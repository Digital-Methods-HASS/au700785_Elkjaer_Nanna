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enne_projektmappe" defaultThemeVersion="166925"/>
  <mc:AlternateContent xmlns:mc="http://schemas.openxmlformats.org/markup-compatibility/2006">
    <mc:Choice Requires="x15">
      <x15ac:absPath xmlns:x15ac="http://schemas.microsoft.com/office/spreadsheetml/2010/11/ac" url="/Users/nannaelkjaer-larsen/Desktop/Teoriorienteret metode - Digital methods/Final_project /Final_project:Preservation_of_buildings_in_Denmark/"/>
    </mc:Choice>
  </mc:AlternateContent>
  <xr:revisionPtr revIDLastSave="0" documentId="8_{2B954033-50DD-6D41-9B4A-98FAFDC05923}" xr6:coauthVersionLast="47" xr6:coauthVersionMax="47" xr10:uidLastSave="{00000000-0000-0000-0000-000000000000}"/>
  <bookViews>
    <workbookView xWindow="820" yWindow="500" windowWidth="27780" windowHeight="16820" xr2:uid="{00000000-000D-0000-FFFF-FFFF00000000}"/>
  </bookViews>
  <sheets>
    <sheet name="fredningsliste_TIDY" sheetId="1"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581" i="1" l="1"/>
  <c r="L2581"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 i="1"/>
  <c r="L2"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41" i="1"/>
  <c r="K42" i="1"/>
  <c r="K43" i="1"/>
  <c r="K44" i="1"/>
  <c r="K45" i="1"/>
  <c r="K46" i="1"/>
  <c r="K49" i="1"/>
  <c r="K50" i="1"/>
  <c r="K51" i="1"/>
  <c r="K52" i="1"/>
  <c r="K53" i="1"/>
  <c r="K54" i="1"/>
  <c r="K55" i="1"/>
  <c r="K56" i="1"/>
  <c r="K57" i="1"/>
  <c r="K58" i="1"/>
  <c r="K59" i="1"/>
  <c r="K60" i="1"/>
  <c r="K61" i="1"/>
  <c r="K62" i="1"/>
  <c r="K65" i="1"/>
  <c r="K66" i="1"/>
  <c r="K67" i="1"/>
  <c r="K68" i="1"/>
  <c r="K69" i="1"/>
  <c r="K72" i="1"/>
  <c r="K73" i="1"/>
  <c r="K74" i="1"/>
  <c r="K75" i="1"/>
  <c r="K76" i="1"/>
  <c r="K77" i="1"/>
  <c r="K78" i="1"/>
  <c r="K79" i="1"/>
  <c r="K80" i="1"/>
  <c r="K81" i="1"/>
  <c r="K82" i="1"/>
  <c r="K83" i="1"/>
  <c r="K84" i="1"/>
  <c r="K85" i="1"/>
  <c r="K89" i="1"/>
  <c r="K90" i="1"/>
  <c r="K91" i="1"/>
  <c r="K92" i="1"/>
  <c r="K93" i="1"/>
  <c r="K95" i="1"/>
  <c r="K96" i="1"/>
  <c r="K97" i="1"/>
  <c r="K98" i="1"/>
  <c r="K99" i="1"/>
  <c r="K100" i="1"/>
  <c r="K101" i="1"/>
  <c r="K102" i="1"/>
  <c r="K103" i="1"/>
  <c r="K105" i="1"/>
  <c r="K106" i="1"/>
  <c r="K107" i="1"/>
  <c r="K108" i="1"/>
  <c r="K109" i="1"/>
  <c r="K113" i="1"/>
  <c r="K114" i="1"/>
  <c r="K115" i="1"/>
  <c r="K116" i="1"/>
  <c r="K117" i="1"/>
  <c r="K118" i="1"/>
  <c r="K119" i="1"/>
  <c r="K120" i="1"/>
  <c r="K121" i="1"/>
  <c r="K122" i="1"/>
  <c r="K123" i="1"/>
  <c r="K125" i="1"/>
  <c r="K129" i="1"/>
  <c r="K130" i="1"/>
  <c r="K131" i="1"/>
  <c r="K133" i="1"/>
  <c r="K135" i="1"/>
  <c r="K136" i="1"/>
  <c r="K137" i="1"/>
  <c r="K138" i="1"/>
  <c r="K139" i="1"/>
  <c r="K140" i="1"/>
  <c r="K141" i="1"/>
  <c r="K142" i="1"/>
  <c r="K145" i="1"/>
  <c r="K146" i="1"/>
  <c r="K147" i="1"/>
  <c r="K149" i="1"/>
  <c r="K152" i="1"/>
  <c r="K153" i="1"/>
  <c r="K154" i="1"/>
  <c r="K155" i="1"/>
  <c r="K156" i="1"/>
  <c r="K157" i="1"/>
  <c r="K158" i="1"/>
  <c r="K161" i="1"/>
  <c r="K162" i="1"/>
  <c r="K163" i="1"/>
  <c r="K168" i="1"/>
  <c r="K169" i="1"/>
  <c r="K170" i="1"/>
  <c r="K171" i="1"/>
  <c r="K172" i="1"/>
  <c r="K173" i="1"/>
  <c r="K174" i="1"/>
  <c r="K177" i="1"/>
  <c r="K178" i="1"/>
  <c r="K179" i="1"/>
  <c r="K184" i="1"/>
  <c r="K185" i="1"/>
  <c r="K186" i="1"/>
  <c r="K187" i="1"/>
  <c r="K188" i="1"/>
  <c r="K189" i="1"/>
  <c r="K190" i="1"/>
  <c r="K193" i="1"/>
  <c r="K194" i="1"/>
  <c r="K195" i="1"/>
  <c r="K200" i="1"/>
  <c r="K201" i="1"/>
  <c r="K202" i="1"/>
  <c r="K203" i="1"/>
  <c r="K204" i="1"/>
  <c r="K205" i="1"/>
  <c r="K206" i="1"/>
  <c r="K209" i="1"/>
  <c r="K210" i="1"/>
  <c r="K211" i="1"/>
  <c r="K216" i="1"/>
  <c r="K217" i="1"/>
  <c r="K218" i="1"/>
  <c r="K219" i="1"/>
  <c r="K220" i="1"/>
  <c r="K221" i="1"/>
  <c r="K222" i="1"/>
  <c r="K225" i="1"/>
  <c r="K226" i="1"/>
  <c r="K227" i="1"/>
  <c r="K231" i="1"/>
  <c r="K232" i="1"/>
  <c r="K233" i="1"/>
  <c r="K234" i="1"/>
  <c r="K235" i="1"/>
  <c r="K236" i="1"/>
  <c r="K241" i="1"/>
  <c r="K242" i="1"/>
  <c r="K243" i="1"/>
  <c r="K245" i="1"/>
  <c r="K246" i="1"/>
  <c r="K247" i="1"/>
  <c r="K248" i="1"/>
  <c r="K249" i="1"/>
  <c r="K250" i="1"/>
  <c r="K251" i="1"/>
  <c r="K257" i="1"/>
  <c r="K258" i="1"/>
  <c r="K259" i="1"/>
  <c r="K260" i="1"/>
  <c r="K261" i="1"/>
  <c r="K262" i="1"/>
  <c r="K263" i="1"/>
  <c r="K265" i="1"/>
  <c r="K266" i="1"/>
  <c r="K267" i="1"/>
  <c r="K272" i="1"/>
  <c r="K273" i="1"/>
  <c r="K274" i="1"/>
  <c r="K275" i="1"/>
  <c r="K276" i="1"/>
  <c r="K277" i="1"/>
  <c r="K278" i="1"/>
  <c r="K281" i="1"/>
  <c r="K282" i="1"/>
  <c r="K283" i="1"/>
  <c r="K287" i="1"/>
  <c r="K288" i="1"/>
  <c r="K289" i="1"/>
  <c r="K290" i="1"/>
  <c r="K291" i="1"/>
  <c r="K292" i="1"/>
  <c r="K293" i="1"/>
  <c r="K297" i="1"/>
  <c r="K298" i="1"/>
  <c r="K299" i="1"/>
  <c r="K302" i="1"/>
  <c r="K303" i="1"/>
  <c r="K304" i="1"/>
  <c r="K305" i="1"/>
  <c r="K306" i="1"/>
  <c r="K307" i="1"/>
  <c r="K308" i="1"/>
  <c r="K313" i="1"/>
  <c r="K314" i="1"/>
  <c r="K315" i="1"/>
  <c r="K317" i="1"/>
  <c r="K318" i="1"/>
  <c r="K319" i="1"/>
  <c r="K320" i="1"/>
  <c r="K321" i="1"/>
  <c r="K322" i="1"/>
  <c r="K328" i="1"/>
  <c r="K329" i="1"/>
  <c r="K330" i="1"/>
  <c r="K331" i="1"/>
  <c r="K332" i="1"/>
  <c r="K333" i="1"/>
  <c r="K334" i="1"/>
  <c r="K337" i="1"/>
  <c r="K338" i="1"/>
  <c r="K342" i="1"/>
  <c r="K343" i="1"/>
  <c r="K344" i="1"/>
  <c r="K345" i="1"/>
  <c r="K346" i="1"/>
  <c r="K347" i="1"/>
  <c r="K353" i="1"/>
  <c r="K354" i="1"/>
  <c r="K355" i="1"/>
  <c r="K356" i="1"/>
  <c r="K357" i="1"/>
  <c r="K358" i="1"/>
  <c r="K359" i="1"/>
  <c r="K361" i="1"/>
  <c r="K362" i="1"/>
  <c r="K367" i="1"/>
  <c r="K368" i="1"/>
  <c r="K369" i="1"/>
  <c r="K370" i="1"/>
  <c r="K371" i="1"/>
  <c r="K372" i="1"/>
  <c r="K377" i="1"/>
  <c r="K378" i="1"/>
  <c r="K381" i="1"/>
  <c r="K382" i="1"/>
  <c r="K383" i="1"/>
  <c r="K384" i="1"/>
  <c r="K385" i="1"/>
  <c r="K386" i="1"/>
  <c r="K392" i="1"/>
  <c r="K393" i="1"/>
  <c r="K394" i="1"/>
  <c r="K395" i="1"/>
  <c r="K396" i="1"/>
  <c r="K397" i="1"/>
  <c r="K398" i="1"/>
  <c r="K401" i="1"/>
  <c r="K402" i="1"/>
  <c r="K406" i="1"/>
  <c r="K407" i="1"/>
  <c r="K408" i="1"/>
  <c r="K409" i="1"/>
  <c r="K410" i="1"/>
  <c r="K417" i="1"/>
  <c r="K418" i="1"/>
  <c r="K419" i="1"/>
  <c r="K420" i="1"/>
  <c r="K421" i="1"/>
  <c r="K422" i="1"/>
  <c r="K425" i="1"/>
  <c r="K426" i="1"/>
  <c r="K431" i="1"/>
  <c r="K432" i="1"/>
  <c r="K433" i="1"/>
  <c r="K434" i="1"/>
  <c r="K435" i="1"/>
  <c r="K436" i="1"/>
  <c r="K441" i="1"/>
  <c r="K442" i="1"/>
  <c r="K445" i="1"/>
  <c r="K446" i="1"/>
  <c r="K447" i="1"/>
  <c r="K449" i="1"/>
  <c r="K450" i="1"/>
  <c r="K456" i="1"/>
  <c r="K457" i="1"/>
  <c r="K458" i="1"/>
  <c r="K459" i="1"/>
  <c r="K460" i="1"/>
  <c r="K461" i="1"/>
  <c r="K465" i="1"/>
  <c r="K466" i="1"/>
  <c r="K470" i="1"/>
  <c r="K471" i="1"/>
  <c r="K472" i="1"/>
  <c r="K473" i="1"/>
  <c r="K474" i="1"/>
  <c r="K481" i="1"/>
  <c r="K482" i="1"/>
  <c r="K483" i="1"/>
  <c r="K484" i="1"/>
  <c r="K485" i="1"/>
  <c r="K486" i="1"/>
  <c r="K489" i="1"/>
  <c r="K490" i="1"/>
  <c r="K495" i="1"/>
  <c r="K496" i="1"/>
  <c r="K497" i="1"/>
  <c r="K498" i="1"/>
  <c r="K499" i="1"/>
  <c r="K505" i="1"/>
  <c r="K506" i="1"/>
  <c r="K509" i="1"/>
  <c r="K510" i="1"/>
  <c r="K511" i="1"/>
  <c r="K513" i="1"/>
  <c r="K514" i="1"/>
  <c r="K520" i="1"/>
  <c r="K521" i="1"/>
  <c r="K522" i="1"/>
  <c r="K523" i="1"/>
  <c r="K524" i="1"/>
  <c r="K530" i="1"/>
  <c r="K533" i="1"/>
  <c r="K534" i="1"/>
  <c r="K535" i="1"/>
  <c r="K538" i="1"/>
  <c r="K544" i="1"/>
  <c r="K545" i="1"/>
  <c r="K546" i="1"/>
  <c r="K547" i="1"/>
  <c r="K548" i="1"/>
  <c r="K554" i="1"/>
  <c r="K557" i="1"/>
  <c r="K558" i="1"/>
  <c r="K559" i="1"/>
  <c r="K562" i="1"/>
  <c r="K568" i="1"/>
  <c r="K569" i="1"/>
  <c r="K570" i="1"/>
  <c r="K578" i="1"/>
  <c r="K579" i="1"/>
  <c r="K580" i="1"/>
  <c r="K581" i="1"/>
  <c r="K590" i="1"/>
  <c r="K591" i="1"/>
  <c r="K600" i="1"/>
  <c r="K608" i="1"/>
  <c r="K609" i="1"/>
  <c r="K610" i="1"/>
  <c r="K618" i="1"/>
  <c r="K619" i="1"/>
  <c r="K620" i="1"/>
  <c r="K628" i="1"/>
  <c r="K629" i="1"/>
  <c r="K630" i="1"/>
  <c r="K638" i="1"/>
  <c r="K639" i="1"/>
  <c r="K640" i="1"/>
  <c r="K649" i="1"/>
  <c r="K650" i="1"/>
  <c r="K657" i="1"/>
  <c r="K659" i="1"/>
  <c r="K660" i="1"/>
  <c r="K667" i="1"/>
  <c r="K669" i="1"/>
  <c r="K670" i="1"/>
  <c r="K677" i="1"/>
  <c r="K679" i="1"/>
  <c r="K687" i="1"/>
  <c r="K688" i="1"/>
  <c r="K689" i="1"/>
  <c r="K698" i="1"/>
  <c r="K706" i="1"/>
  <c r="K714" i="1"/>
  <c r="K722" i="1"/>
  <c r="K730" i="1"/>
  <c r="K738" i="1"/>
  <c r="K746" i="1"/>
  <c r="K754" i="1"/>
  <c r="K762" i="1"/>
  <c r="K770" i="1"/>
  <c r="K778" i="1"/>
  <c r="K786" i="1"/>
  <c r="K794" i="1"/>
  <c r="K802" i="1"/>
  <c r="K810" i="1"/>
  <c r="K818" i="1"/>
  <c r="K826" i="1"/>
  <c r="K834" i="1"/>
  <c r="K842" i="1"/>
  <c r="K850" i="1"/>
  <c r="K858" i="1"/>
  <c r="K866" i="1"/>
  <c r="K874" i="1"/>
  <c r="K882" i="1"/>
  <c r="K890" i="1"/>
  <c r="K4" i="1"/>
  <c r="K5" i="1"/>
  <c r="K6" i="1"/>
  <c r="K7" i="1"/>
  <c r="K8" i="1"/>
  <c r="K9" i="1"/>
  <c r="K3" i="1"/>
  <c r="D3862"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 i="1"/>
  <c r="D4" i="1"/>
  <c r="D2" i="1"/>
  <c r="I17" i="1" a="1"/>
  <c r="I25" i="1" a="1"/>
  <c r="I33" i="1" a="1"/>
  <c r="I41" i="1" a="1"/>
  <c r="I49" i="1" a="1"/>
  <c r="I57" i="1" a="1"/>
  <c r="I65" i="1" a="1"/>
  <c r="I73" i="1" a="1"/>
  <c r="I81" i="1" a="1"/>
  <c r="I89" i="1" a="1"/>
  <c r="I97" i="1" a="1"/>
  <c r="I105" i="1" a="1"/>
  <c r="I113" i="1" a="1"/>
  <c r="I121" i="1" a="1"/>
  <c r="I129" i="1" a="1"/>
  <c r="I137" i="1" a="1"/>
  <c r="I145" i="1" a="1"/>
  <c r="I153" i="1" a="1"/>
  <c r="I161" i="1" a="1"/>
  <c r="I169" i="1" a="1"/>
  <c r="I177" i="1" a="1"/>
  <c r="I185" i="1" a="1"/>
  <c r="I193" i="1" a="1"/>
  <c r="I201" i="1" a="1"/>
  <c r="I209" i="1" a="1"/>
  <c r="I217" i="1" a="1"/>
  <c r="I225" i="1" a="1"/>
  <c r="I233" i="1" a="1"/>
  <c r="I241" i="1" a="1"/>
  <c r="I249" i="1" a="1"/>
  <c r="I257" i="1" a="1"/>
  <c r="I265" i="1" a="1"/>
  <c r="I273" i="1" a="1"/>
  <c r="I281" i="1" a="1"/>
  <c r="I289" i="1" a="1"/>
  <c r="I297" i="1" a="1"/>
  <c r="I305" i="1" a="1"/>
  <c r="I313" i="1" a="1"/>
  <c r="I321" i="1" a="1"/>
  <c r="I329" i="1" a="1"/>
  <c r="I337" i="1" a="1"/>
  <c r="I345" i="1" a="1"/>
  <c r="I353" i="1" a="1"/>
  <c r="I361" i="1" a="1"/>
  <c r="I369" i="1" a="1"/>
  <c r="I377" i="1" a="1"/>
  <c r="I385" i="1" a="1"/>
  <c r="I393" i="1" a="1"/>
  <c r="I401" i="1" a="1"/>
  <c r="I409" i="1" a="1"/>
  <c r="I417" i="1" a="1"/>
  <c r="I425" i="1" a="1"/>
  <c r="I433" i="1" a="1"/>
  <c r="I441" i="1" a="1"/>
  <c r="I449" i="1" a="1"/>
  <c r="I457" i="1" a="1"/>
  <c r="I465" i="1" a="1"/>
  <c r="I473" i="1" a="1"/>
  <c r="I481" i="1" a="1"/>
  <c r="I489" i="1" a="1"/>
  <c r="I497" i="1" a="1"/>
  <c r="I505" i="1" a="1"/>
  <c r="I513" i="1" a="1"/>
  <c r="I521" i="1" a="1"/>
  <c r="I18" i="1" a="1"/>
  <c r="I26" i="1" a="1"/>
  <c r="I34" i="1" a="1"/>
  <c r="I42" i="1" a="1"/>
  <c r="I50" i="1" a="1"/>
  <c r="I58" i="1" a="1"/>
  <c r="I66" i="1" a="1"/>
  <c r="I74" i="1" a="1"/>
  <c r="I82" i="1" a="1"/>
  <c r="I90" i="1" a="1"/>
  <c r="I98" i="1" a="1"/>
  <c r="I106" i="1" a="1"/>
  <c r="I114" i="1" a="1"/>
  <c r="I122" i="1" a="1"/>
  <c r="I130" i="1" a="1"/>
  <c r="I138" i="1" a="1"/>
  <c r="I146" i="1" a="1"/>
  <c r="I154" i="1" a="1"/>
  <c r="I162" i="1" a="1"/>
  <c r="I170" i="1" a="1"/>
  <c r="I178" i="1" a="1"/>
  <c r="I186" i="1" a="1"/>
  <c r="I194" i="1" a="1"/>
  <c r="I202" i="1" a="1"/>
  <c r="I210" i="1" a="1"/>
  <c r="I218" i="1" a="1"/>
  <c r="I226" i="1" a="1"/>
  <c r="I234" i="1" a="1"/>
  <c r="I242" i="1" a="1"/>
  <c r="I250" i="1" a="1"/>
  <c r="I258" i="1" a="1"/>
  <c r="I266" i="1" a="1"/>
  <c r="I274" i="1" a="1"/>
  <c r="I282" i="1" a="1"/>
  <c r="I290" i="1" a="1"/>
  <c r="I298" i="1" a="1"/>
  <c r="I306" i="1" a="1"/>
  <c r="I314" i="1" a="1"/>
  <c r="I322" i="1" a="1"/>
  <c r="I330" i="1" a="1"/>
  <c r="I338" i="1" a="1"/>
  <c r="I346" i="1" a="1"/>
  <c r="I354" i="1" a="1"/>
  <c r="I362" i="1" a="1"/>
  <c r="I370" i="1" a="1"/>
  <c r="I378" i="1" a="1"/>
  <c r="I386" i="1" a="1"/>
  <c r="I394" i="1" a="1"/>
  <c r="I402" i="1" a="1"/>
  <c r="I410" i="1" a="1"/>
  <c r="I418" i="1" a="1"/>
  <c r="I426" i="1" a="1"/>
  <c r="I434" i="1" a="1"/>
  <c r="I442" i="1" a="1"/>
  <c r="I450" i="1" a="1"/>
  <c r="I458" i="1" a="1"/>
  <c r="I466" i="1" a="1"/>
  <c r="I474" i="1" a="1"/>
  <c r="I482" i="1" a="1"/>
  <c r="I490" i="1" a="1"/>
  <c r="I498" i="1" a="1"/>
  <c r="I506" i="1" a="1"/>
  <c r="I514" i="1" a="1"/>
  <c r="I522" i="1" a="1"/>
  <c r="I530" i="1" a="1"/>
  <c r="I538" i="1" a="1"/>
  <c r="I546" i="1" a="1"/>
  <c r="I554" i="1" a="1"/>
  <c r="I562" i="1" a="1"/>
  <c r="I570" i="1" a="1"/>
  <c r="I578" i="1" a="1"/>
  <c r="I19" i="1" a="1"/>
  <c r="I27" i="1" a="1"/>
  <c r="I35" i="1" a="1"/>
  <c r="I43" i="1" a="1"/>
  <c r="I51" i="1" a="1"/>
  <c r="I59" i="1" a="1"/>
  <c r="I67" i="1" a="1"/>
  <c r="I75" i="1" a="1"/>
  <c r="I83" i="1" a="1"/>
  <c r="I91" i="1" a="1"/>
  <c r="I99" i="1" a="1"/>
  <c r="I107" i="1" a="1"/>
  <c r="I115" i="1" a="1"/>
  <c r="I123" i="1" a="1"/>
  <c r="I131" i="1" a="1"/>
  <c r="I139" i="1" a="1"/>
  <c r="I147" i="1" a="1"/>
  <c r="I155" i="1" a="1"/>
  <c r="I163" i="1" a="1"/>
  <c r="I171" i="1" a="1"/>
  <c r="I179" i="1" a="1"/>
  <c r="I187" i="1" a="1"/>
  <c r="I195" i="1" a="1"/>
  <c r="I203" i="1" a="1"/>
  <c r="I211" i="1" a="1"/>
  <c r="I219" i="1" a="1"/>
  <c r="I227" i="1" a="1"/>
  <c r="I235" i="1" a="1"/>
  <c r="I243" i="1" a="1"/>
  <c r="I251" i="1" a="1"/>
  <c r="I259" i="1" a="1"/>
  <c r="I267" i="1" a="1"/>
  <c r="I275" i="1" a="1"/>
  <c r="I283" i="1" a="1"/>
  <c r="I291" i="1" a="1"/>
  <c r="I299" i="1" a="1"/>
  <c r="I307" i="1" a="1"/>
  <c r="I315" i="1" a="1"/>
  <c r="I20" i="1" a="1"/>
  <c r="I28" i="1" a="1"/>
  <c r="I36" i="1" a="1"/>
  <c r="I44" i="1" a="1"/>
  <c r="I52" i="1" a="1"/>
  <c r="I60" i="1" a="1"/>
  <c r="I68" i="1" a="1"/>
  <c r="I76" i="1" a="1"/>
  <c r="I84" i="1" a="1"/>
  <c r="I92" i="1" a="1"/>
  <c r="I100" i="1" a="1"/>
  <c r="I108" i="1" a="1"/>
  <c r="I21" i="1" a="1"/>
  <c r="I29" i="1" a="1"/>
  <c r="I37" i="1" a="1"/>
  <c r="I45" i="1" a="1"/>
  <c r="I53" i="1" a="1"/>
  <c r="I61" i="1" a="1"/>
  <c r="I69" i="1" a="1"/>
  <c r="I77" i="1" a="1"/>
  <c r="I85" i="1" a="1"/>
  <c r="I93" i="1" a="1"/>
  <c r="I101" i="1" a="1"/>
  <c r="I109" i="1" a="1"/>
  <c r="I117" i="1" a="1"/>
  <c r="I125" i="1" a="1"/>
  <c r="I133" i="1" a="1"/>
  <c r="I141" i="1" a="1"/>
  <c r="I149" i="1" a="1"/>
  <c r="I22" i="1" a="1"/>
  <c r="I30" i="1" a="1"/>
  <c r="I38" i="1" a="1"/>
  <c r="I46" i="1" a="1"/>
  <c r="I23" i="1" a="1"/>
  <c r="I54" i="1" a="1"/>
  <c r="I72" i="1" a="1"/>
  <c r="I95" i="1" a="1"/>
  <c r="I116" i="1" a="1"/>
  <c r="I245" i="1" a="1"/>
  <c r="I260" i="1" a="1"/>
  <c r="I272" i="1" a="1"/>
  <c r="I287" i="1" a="1"/>
  <c r="I302" i="1" a="1"/>
  <c r="I328" i="1" a="1"/>
  <c r="I342" i="1" a="1"/>
  <c r="I355" i="1" a="1"/>
  <c r="I367" i="1" a="1"/>
  <c r="I392" i="1" a="1"/>
  <c r="I406" i="1" a="1"/>
  <c r="I419" i="1" a="1"/>
  <c r="I431" i="1" a="1"/>
  <c r="I456" i="1" a="1"/>
  <c r="I470" i="1" a="1"/>
  <c r="I483" i="1" a="1"/>
  <c r="I495" i="1" a="1"/>
  <c r="I520" i="1" a="1"/>
  <c r="I533" i="1" a="1"/>
  <c r="I544" i="1" a="1"/>
  <c r="I608" i="1" a="1"/>
  <c r="I618" i="1" a="1"/>
  <c r="I628" i="1" a="1"/>
  <c r="I638" i="1" a="1"/>
  <c r="I657" i="1" a="1"/>
  <c r="I667" i="1" a="1"/>
  <c r="I677" i="1" a="1"/>
  <c r="I687" i="1" a="1"/>
  <c r="I24" i="1" a="1"/>
  <c r="I118" i="1" a="1"/>
  <c r="I135" i="1" a="1"/>
  <c r="I152" i="1" a="1"/>
  <c r="I168" i="1" a="1"/>
  <c r="I184" i="1" a="1"/>
  <c r="I200" i="1" a="1"/>
  <c r="I216" i="1" a="1"/>
  <c r="I231" i="1" a="1"/>
  <c r="I246" i="1" a="1"/>
  <c r="I317" i="1" a="1"/>
  <c r="I356" i="1" a="1"/>
  <c r="I381" i="1" a="1"/>
  <c r="I420" i="1" a="1"/>
  <c r="I445" i="1" a="1"/>
  <c r="I484" i="1" a="1"/>
  <c r="I509" i="1" a="1"/>
  <c r="I534" i="1" a="1"/>
  <c r="I557" i="1" a="1"/>
  <c r="I568" i="1" a="1"/>
  <c r="I579" i="1" a="1"/>
  <c r="I55" i="1" a="1"/>
  <c r="I78" i="1" a="1"/>
  <c r="I96" i="1" a="1"/>
  <c r="I261" i="1" a="1"/>
  <c r="I276" i="1" a="1"/>
  <c r="I288" i="1" a="1"/>
  <c r="I303" i="1" a="1"/>
  <c r="I318" i="1" a="1"/>
  <c r="I331" i="1" a="1"/>
  <c r="I343" i="1" a="1"/>
  <c r="I368" i="1" a="1"/>
  <c r="I382" i="1" a="1"/>
  <c r="I395" i="1" a="1"/>
  <c r="I407" i="1" a="1"/>
  <c r="I432" i="1" a="1"/>
  <c r="I446" i="1" a="1"/>
  <c r="I459" i="1" a="1"/>
  <c r="I471" i="1" a="1"/>
  <c r="I496" i="1" a="1"/>
  <c r="I510" i="1" a="1"/>
  <c r="I523" i="1" a="1"/>
  <c r="I545" i="1" a="1"/>
  <c r="I558" i="1" a="1"/>
  <c r="I580" i="1" a="1"/>
  <c r="I590" i="1" a="1"/>
  <c r="I609" i="1" a="1"/>
  <c r="I619" i="1" a="1"/>
  <c r="I629" i="1" a="1"/>
  <c r="I639" i="1" a="1"/>
  <c r="I688" i="1" a="1"/>
  <c r="I119" i="1" a="1"/>
  <c r="I136" i="1" a="1"/>
  <c r="I156" i="1" a="1"/>
  <c r="I172" i="1" a="1"/>
  <c r="I188" i="1" a="1"/>
  <c r="I204" i="1" a="1"/>
  <c r="I220" i="1" a="1"/>
  <c r="I232" i="1" a="1"/>
  <c r="I247" i="1" a="1"/>
  <c r="I262" i="1" a="1"/>
  <c r="I332" i="1" a="1"/>
  <c r="I357" i="1" a="1"/>
  <c r="I396" i="1" a="1"/>
  <c r="I421" i="1" a="1"/>
  <c r="I460" i="1" a="1"/>
  <c r="I485" i="1" a="1"/>
  <c r="I524" i="1" a="1"/>
  <c r="I535" i="1" a="1"/>
  <c r="I547" i="1" a="1"/>
  <c r="I569" i="1" a="1"/>
  <c r="I600" i="1" a="1"/>
  <c r="I610" i="1" a="1"/>
  <c r="I620" i="1" a="1"/>
  <c r="I630" i="1" a="1"/>
  <c r="I649" i="1" a="1"/>
  <c r="I659" i="1" a="1"/>
  <c r="I669" i="1" a="1"/>
  <c r="I679" i="1" a="1"/>
  <c r="I698" i="1" a="1"/>
  <c r="I706" i="1" a="1"/>
  <c r="I714" i="1" a="1"/>
  <c r="I722" i="1" a="1"/>
  <c r="I730" i="1" a="1"/>
  <c r="I738" i="1" a="1"/>
  <c r="I746" i="1" a="1"/>
  <c r="I754" i="1" a="1"/>
  <c r="I762" i="1" a="1"/>
  <c r="I770" i="1" a="1"/>
  <c r="I778" i="1" a="1"/>
  <c r="I786" i="1" a="1"/>
  <c r="I794" i="1" a="1"/>
  <c r="I802" i="1" a="1"/>
  <c r="I810" i="1" a="1"/>
  <c r="I818" i="1" a="1"/>
  <c r="I826" i="1" a="1"/>
  <c r="I834" i="1" a="1"/>
  <c r="I842" i="1" a="1"/>
  <c r="I850" i="1" a="1"/>
  <c r="I858" i="1" a="1"/>
  <c r="I866" i="1" a="1"/>
  <c r="I874" i="1" a="1"/>
  <c r="I882" i="1" a="1"/>
  <c r="I890" i="1" a="1"/>
  <c r="I31" i="1" a="1"/>
  <c r="I56" i="1" a="1"/>
  <c r="I79" i="1" a="1"/>
  <c r="I102" i="1" a="1"/>
  <c r="I157" i="1" a="1"/>
  <c r="I173" i="1" a="1"/>
  <c r="I189" i="1" a="1"/>
  <c r="I205" i="1" a="1"/>
  <c r="I277" i="1" a="1"/>
  <c r="I292" i="1" a="1"/>
  <c r="I304" i="1" a="1"/>
  <c r="I319" i="1" a="1"/>
  <c r="I344" i="1" a="1"/>
  <c r="I358" i="1" a="1"/>
  <c r="I371" i="1" a="1"/>
  <c r="I383" i="1" a="1"/>
  <c r="I408" i="1" a="1"/>
  <c r="I422" i="1" a="1"/>
  <c r="I435" i="1" a="1"/>
  <c r="I447" i="1" a="1"/>
  <c r="I472" i="1" a="1"/>
  <c r="I486" i="1" a="1"/>
  <c r="I499" i="1" a="1"/>
  <c r="I511" i="1" a="1"/>
  <c r="I548" i="1" a="1"/>
  <c r="I559" i="1" a="1"/>
  <c r="I581" i="1" a="1"/>
  <c r="I591" i="1" a="1"/>
  <c r="I640" i="1" a="1"/>
  <c r="I650" i="1" a="1"/>
  <c r="I660" i="1" a="1"/>
  <c r="I670" i="1" a="1"/>
  <c r="I689" i="1" a="1"/>
  <c r="I32" i="1" a="1"/>
  <c r="I120" i="1" a="1"/>
  <c r="I140" i="1" a="1"/>
  <c r="I158" i="1" a="1"/>
  <c r="I174" i="1" a="1"/>
  <c r="I190" i="1" a="1"/>
  <c r="I206" i="1" a="1"/>
  <c r="I221" i="1" a="1"/>
  <c r="I236" i="1" a="1"/>
  <c r="I248" i="1" a="1"/>
  <c r="I263" i="1" a="1"/>
  <c r="I278" i="1" a="1"/>
  <c r="I333" i="1" a="1"/>
  <c r="I372" i="1" a="1"/>
  <c r="I397" i="1" a="1"/>
  <c r="I436" i="1" a="1"/>
  <c r="I461" i="1" a="1"/>
  <c r="I62" i="1" a="1"/>
  <c r="I80" i="1" a="1"/>
  <c r="I103" i="1" a="1"/>
  <c r="I142" i="1" a="1"/>
  <c r="I222" i="1" a="1"/>
  <c r="I293" i="1" a="1"/>
  <c r="I308" i="1" a="1"/>
  <c r="I320" i="1" a="1"/>
  <c r="I334" i="1" a="1"/>
  <c r="I347" i="1" a="1"/>
  <c r="I359" i="1" a="1"/>
  <c r="I384" i="1" a="1"/>
  <c r="I398" i="1" a="1"/>
  <c r="I411" i="1" a="1"/>
  <c r="I423" i="1" a="1"/>
  <c r="I448" i="1" a="1"/>
  <c r="I462" i="1" a="1"/>
  <c r="I475" i="1" a="1"/>
  <c r="I487" i="1" a="1"/>
  <c r="I512" i="1" a="1"/>
  <c r="I526" i="1" a="1"/>
  <c r="I549" i="1" a="1"/>
  <c r="I560" i="1" a="1"/>
  <c r="I572" i="1" a="1"/>
  <c r="I124" i="1" a="1"/>
  <c r="I159" i="1" a="1"/>
  <c r="I175" i="1" a="1"/>
  <c r="I191" i="1" a="1"/>
  <c r="I207" i="1" a="1"/>
  <c r="I237" i="1" a="1"/>
  <c r="I252" i="1" a="1"/>
  <c r="I264" i="1" a="1"/>
  <c r="I279" i="1" a="1"/>
  <c r="I294" i="1" a="1"/>
  <c r="I39" i="1" a="1"/>
  <c r="I63" i="1" a="1"/>
  <c r="I86" i="1" a="1"/>
  <c r="I104" i="1" a="1"/>
  <c r="I126" i="1" a="1"/>
  <c r="I143" i="1" a="1"/>
  <c r="I223" i="1" a="1"/>
  <c r="I238" i="1" a="1"/>
  <c r="I309" i="1" a="1"/>
  <c r="I323" i="1" a="1"/>
  <c r="I335" i="1" a="1"/>
  <c r="I360" i="1" a="1"/>
  <c r="I374" i="1" a="1"/>
  <c r="I387" i="1" a="1"/>
  <c r="I399" i="1" a="1"/>
  <c r="I424" i="1" a="1"/>
  <c r="I438" i="1" a="1"/>
  <c r="I451" i="1" a="1"/>
  <c r="I463" i="1" a="1"/>
  <c r="I488" i="1" a="1"/>
  <c r="I502" i="1" a="1"/>
  <c r="I515" i="1" a="1"/>
  <c r="I527" i="1" a="1"/>
  <c r="I40" i="1" a="1"/>
  <c r="I160" i="1" a="1"/>
  <c r="I176" i="1" a="1"/>
  <c r="I192" i="1" a="1"/>
  <c r="I208" i="1" a="1"/>
  <c r="I253" i="1" a="1"/>
  <c r="I268" i="1" a="1"/>
  <c r="I280" i="1" a="1"/>
  <c r="I295" i="1" a="1"/>
  <c r="I310" i="1" a="1"/>
  <c r="I324" i="1" a="1"/>
  <c r="I349" i="1" a="1"/>
  <c r="I388" i="1" a="1"/>
  <c r="I413" i="1" a="1"/>
  <c r="I64" i="1" a="1"/>
  <c r="I87" i="1" a="1"/>
  <c r="I110" i="1" a="1"/>
  <c r="I127" i="1" a="1"/>
  <c r="I144" i="1" a="1"/>
  <c r="I224" i="1" a="1"/>
  <c r="I239" i="1" a="1"/>
  <c r="I254" i="1" a="1"/>
  <c r="I336" i="1" a="1"/>
  <c r="I350" i="1" a="1"/>
  <c r="I363" i="1" a="1"/>
  <c r="I375" i="1" a="1"/>
  <c r="I164" i="1" a="1"/>
  <c r="I180" i="1" a="1"/>
  <c r="I196" i="1" a="1"/>
  <c r="I212" i="1" a="1"/>
  <c r="I269" i="1" a="1"/>
  <c r="I284" i="1" a="1"/>
  <c r="I296" i="1" a="1"/>
  <c r="I311" i="1" a="1"/>
  <c r="I325" i="1" a="1"/>
  <c r="I364" i="1" a="1"/>
  <c r="I389" i="1" a="1"/>
  <c r="I47" i="1" a="1"/>
  <c r="I70" i="1" a="1"/>
  <c r="I88" i="1" a="1"/>
  <c r="I111" i="1" a="1"/>
  <c r="I128" i="1" a="1"/>
  <c r="I148" i="1" a="1"/>
  <c r="I165" i="1" a="1"/>
  <c r="I181" i="1" a="1"/>
  <c r="I197" i="1" a="1"/>
  <c r="I285" i="1" a="1"/>
  <c r="I340" i="1" a="1"/>
  <c r="I379" i="1" a="1"/>
  <c r="I468" i="1" a="1"/>
  <c r="I492" i="1" a="1"/>
  <c r="I516" i="1" a="1"/>
  <c r="I536" i="1" a="1"/>
  <c r="I573" i="1" a="1"/>
  <c r="I601" i="1" a="1"/>
  <c r="I614" i="1" a="1"/>
  <c r="I626" i="1" a="1"/>
  <c r="I653" i="1" a="1"/>
  <c r="I665" i="1" a="1"/>
  <c r="I680" i="1" a="1"/>
  <c r="I703" i="1" a="1"/>
  <c r="I715" i="1" a="1"/>
  <c r="I725" i="1" a="1"/>
  <c r="I744" i="1" a="1"/>
  <c r="I755" i="1" a="1"/>
  <c r="I774" i="1" a="1"/>
  <c r="I804" i="1" a="1"/>
  <c r="I823" i="1" a="1"/>
  <c r="I833" i="1" a="1"/>
  <c r="I853" i="1" a="1"/>
  <c r="I872" i="1" a="1"/>
  <c r="I883" i="1" a="1"/>
  <c r="I910" i="1" a="1"/>
  <c r="I927" i="1" a="1"/>
  <c r="I944" i="1" a="1"/>
  <c r="I953" i="1" a="1"/>
  <c r="I970" i="1" a="1"/>
  <c r="I987" i="1" a="1"/>
  <c r="I1004" i="1" a="1"/>
  <c r="I1021" i="1" a="1"/>
  <c r="I1038" i="1" a="1"/>
  <c r="I1055" i="1" a="1"/>
  <c r="I48" i="1" a="1"/>
  <c r="I151" i="1" a="1"/>
  <c r="I229" i="1" a="1"/>
  <c r="I286" i="1" a="1"/>
  <c r="I380" i="1" a="1"/>
  <c r="I415" i="1" a="1"/>
  <c r="I443" i="1" a="1"/>
  <c r="I537" i="1" a="1"/>
  <c r="I553" i="1" a="1"/>
  <c r="I574" i="1" a="1"/>
  <c r="I587" i="1" a="1"/>
  <c r="I602" i="1" a="1"/>
  <c r="I641" i="1" a="1"/>
  <c r="I654" i="1" a="1"/>
  <c r="I666" i="1" a="1"/>
  <c r="I693" i="1" a="1"/>
  <c r="I735" i="1" a="1"/>
  <c r="I745" i="1" a="1"/>
  <c r="I765" i="1" a="1"/>
  <c r="I784" i="1" a="1"/>
  <c r="I795" i="1" a="1"/>
  <c r="I814" i="1" a="1"/>
  <c r="I844" i="1" a="1"/>
  <c r="I863" i="1" a="1"/>
  <c r="I873" i="1" a="1"/>
  <c r="I893" i="1" a="1"/>
  <c r="I902" i="1" a="1"/>
  <c r="I919" i="1" a="1"/>
  <c r="I936" i="1" a="1"/>
  <c r="I945" i="1" a="1"/>
  <c r="I962" i="1" a="1"/>
  <c r="I979" i="1" a="1"/>
  <c r="I996" i="1" a="1"/>
  <c r="I1013" i="1" a="1"/>
  <c r="I1030" i="1" a="1"/>
  <c r="I1047" i="1" a="1"/>
  <c r="I1064" i="1" a="1"/>
  <c r="I1072" i="1" a="1"/>
  <c r="I1080" i="1" a="1"/>
  <c r="I1088" i="1" a="1"/>
  <c r="I1096" i="1" a="1"/>
  <c r="I1104" i="1" a="1"/>
  <c r="I1112" i="1" a="1"/>
  <c r="I1120" i="1" a="1"/>
  <c r="I1128" i="1" a="1"/>
  <c r="I1136" i="1" a="1"/>
  <c r="I1144" i="1" a="1"/>
  <c r="I1152" i="1" a="1"/>
  <c r="I1160" i="1" a="1"/>
  <c r="I1168" i="1" a="1"/>
  <c r="I1176" i="1" a="1"/>
  <c r="I1184" i="1" a="1"/>
  <c r="I166" i="1" a="1"/>
  <c r="I230" i="1" a="1"/>
  <c r="I341" i="1" a="1"/>
  <c r="I444" i="1" a="1"/>
  <c r="I469" i="1" a="1"/>
  <c r="I493" i="1" a="1"/>
  <c r="I517" i="1" a="1"/>
  <c r="I539" i="1" a="1"/>
  <c r="I555" i="1" a="1"/>
  <c r="I588" i="1" a="1"/>
  <c r="I615" i="1" a="1"/>
  <c r="I627" i="1" a="1"/>
  <c r="I642" i="1" a="1"/>
  <c r="I681" i="1" a="1"/>
  <c r="I694" i="1" a="1"/>
  <c r="I704" i="1" a="1"/>
  <c r="I716" i="1" a="1"/>
  <c r="I726" i="1" a="1"/>
  <c r="I756" i="1" a="1"/>
  <c r="I775" i="1" a="1"/>
  <c r="I785" i="1" a="1"/>
  <c r="I805" i="1" a="1"/>
  <c r="I824" i="1" a="1"/>
  <c r="I835" i="1" a="1"/>
  <c r="I854" i="1" a="1"/>
  <c r="I884" i="1" a="1"/>
  <c r="I911" i="1" a="1"/>
  <c r="I928" i="1" a="1"/>
  <c r="I937" i="1" a="1"/>
  <c r="I954" i="1" a="1"/>
  <c r="I971" i="1" a="1"/>
  <c r="I988" i="1" a="1"/>
  <c r="I1005" i="1" a="1"/>
  <c r="I1022" i="1" a="1"/>
  <c r="I1039" i="1" a="1"/>
  <c r="I1056" i="1" a="1"/>
  <c r="I240" i="1" a="1"/>
  <c r="I348" i="1" a="1"/>
  <c r="I416" i="1" a="1"/>
  <c r="I494" i="1" a="1"/>
  <c r="I518" i="1" a="1"/>
  <c r="I540" i="1" a="1"/>
  <c r="I556" i="1" a="1"/>
  <c r="I575" i="1" a="1"/>
  <c r="I589" i="1" a="1"/>
  <c r="I603" i="1" a="1"/>
  <c r="I655" i="1" a="1"/>
  <c r="I668" i="1" a="1"/>
  <c r="I682" i="1" a="1"/>
  <c r="I705" i="1" a="1"/>
  <c r="I736" i="1" a="1"/>
  <c r="I747" i="1" a="1"/>
  <c r="I766" i="1" a="1"/>
  <c r="I796" i="1" a="1"/>
  <c r="I815" i="1" a="1"/>
  <c r="I825" i="1" a="1"/>
  <c r="I845" i="1" a="1"/>
  <c r="I864" i="1" a="1"/>
  <c r="I875" i="1" a="1"/>
  <c r="I894" i="1" a="1"/>
  <c r="I903" i="1" a="1"/>
  <c r="I920" i="1" a="1"/>
  <c r="I929" i="1" a="1"/>
  <c r="I946" i="1" a="1"/>
  <c r="I963" i="1" a="1"/>
  <c r="I980" i="1" a="1"/>
  <c r="I997" i="1" a="1"/>
  <c r="I1014" i="1" a="1"/>
  <c r="I1031" i="1" a="1"/>
  <c r="I1048" i="1" a="1"/>
  <c r="I1057" i="1" a="1"/>
  <c r="I1065" i="1" a="1"/>
  <c r="I1073" i="1" a="1"/>
  <c r="I1081" i="1" a="1"/>
  <c r="I1089" i="1" a="1"/>
  <c r="I1097" i="1" a="1"/>
  <c r="I1105" i="1" a="1"/>
  <c r="I1113" i="1" a="1"/>
  <c r="I1121" i="1" a="1"/>
  <c r="I1129" i="1" a="1"/>
  <c r="I1137" i="1" a="1"/>
  <c r="I1145" i="1" a="1"/>
  <c r="I1153" i="1" a="1"/>
  <c r="I1161" i="1" a="1"/>
  <c r="I1169" i="1" a="1"/>
  <c r="I1177" i="1" a="1"/>
  <c r="I1185" i="1" a="1"/>
  <c r="I1193" i="1" a="1"/>
  <c r="I1201" i="1" a="1"/>
  <c r="I1209" i="1" a="1"/>
  <c r="I1217" i="1" a="1"/>
  <c r="I1225" i="1" a="1"/>
  <c r="I1233" i="1" a="1"/>
  <c r="I1241" i="1" a="1"/>
  <c r="I1249" i="1" a="1"/>
  <c r="I71" i="1" a="1"/>
  <c r="I167" i="1" a="1"/>
  <c r="I300" i="1" a="1"/>
  <c r="I351" i="1" a="1"/>
  <c r="I390" i="1" a="1"/>
  <c r="I452" i="1" a="1"/>
  <c r="I476" i="1" a="1"/>
  <c r="I604" i="1" a="1"/>
  <c r="I616" i="1" a="1"/>
  <c r="I631" i="1" a="1"/>
  <c r="I643" i="1" a="1"/>
  <c r="I695" i="1" a="1"/>
  <c r="I707" i="1" a="1"/>
  <c r="I717" i="1" a="1"/>
  <c r="I727" i="1" a="1"/>
  <c r="I737" i="1" a="1"/>
  <c r="I757" i="1" a="1"/>
  <c r="I776" i="1" a="1"/>
  <c r="I787" i="1" a="1"/>
  <c r="I806" i="1" a="1"/>
  <c r="I836" i="1" a="1"/>
  <c r="I855" i="1" a="1"/>
  <c r="I865" i="1" a="1"/>
  <c r="I885" i="1" a="1"/>
  <c r="I912" i="1" a="1"/>
  <c r="I921" i="1" a="1"/>
  <c r="I938" i="1" a="1"/>
  <c r="I955" i="1" a="1"/>
  <c r="I972" i="1" a="1"/>
  <c r="I989" i="1" a="1"/>
  <c r="I1006" i="1" a="1"/>
  <c r="I1023" i="1" a="1"/>
  <c r="I1040" i="1" a="1"/>
  <c r="I1049" i="1" a="1"/>
  <c r="I182" i="1" a="1"/>
  <c r="I244" i="1" a="1"/>
  <c r="I477" i="1" a="1"/>
  <c r="I500" i="1" a="1"/>
  <c r="I519" i="1" a="1"/>
  <c r="I541" i="1" a="1"/>
  <c r="I576" i="1" a="1"/>
  <c r="I592" i="1" a="1"/>
  <c r="I644" i="1" a="1"/>
  <c r="I656" i="1" a="1"/>
  <c r="I671" i="1" a="1"/>
  <c r="I683" i="1" a="1"/>
  <c r="I748" i="1" a="1"/>
  <c r="I767" i="1" a="1"/>
  <c r="I777" i="1" a="1"/>
  <c r="I797" i="1" a="1"/>
  <c r="I816" i="1" a="1"/>
  <c r="I827" i="1" a="1"/>
  <c r="I846" i="1" a="1"/>
  <c r="I876" i="1" a="1"/>
  <c r="I895" i="1" a="1"/>
  <c r="I904" i="1" a="1"/>
  <c r="I913" i="1" a="1"/>
  <c r="I930" i="1" a="1"/>
  <c r="I947" i="1" a="1"/>
  <c r="I964" i="1" a="1"/>
  <c r="I301" i="1" a="1"/>
  <c r="I352" i="1" a="1"/>
  <c r="I391" i="1" a="1"/>
  <c r="I427" i="1" a="1"/>
  <c r="I453" i="1" a="1"/>
  <c r="I478" i="1" a="1"/>
  <c r="I501" i="1" a="1"/>
  <c r="I542" i="1" a="1"/>
  <c r="I561" i="1" a="1"/>
  <c r="I605" i="1" a="1"/>
  <c r="I617" i="1" a="1"/>
  <c r="I632" i="1" a="1"/>
  <c r="I684" i="1" a="1"/>
  <c r="I696" i="1" a="1"/>
  <c r="I708" i="1" a="1"/>
  <c r="I718" i="1" a="1"/>
  <c r="I728" i="1" a="1"/>
  <c r="I739" i="1" a="1"/>
  <c r="I758" i="1" a="1"/>
  <c r="I788" i="1" a="1"/>
  <c r="I807" i="1" a="1"/>
  <c r="I817" i="1" a="1"/>
  <c r="I837" i="1" a="1"/>
  <c r="I856" i="1" a="1"/>
  <c r="I867" i="1" a="1"/>
  <c r="I886" i="1" a="1"/>
  <c r="I905" i="1" a="1"/>
  <c r="I922" i="1" a="1"/>
  <c r="I939" i="1" a="1"/>
  <c r="I956" i="1" a="1"/>
  <c r="I973" i="1" a="1"/>
  <c r="I990" i="1" a="1"/>
  <c r="I1007" i="1" a="1"/>
  <c r="I1024" i="1" a="1"/>
  <c r="I1033" i="1" a="1"/>
  <c r="I1050" i="1" a="1"/>
  <c r="I94" i="1" a="1"/>
  <c r="I183" i="1" a="1"/>
  <c r="I255" i="1" a="1"/>
  <c r="I428" i="1" a="1"/>
  <c r="I454" i="1" a="1"/>
  <c r="I525" i="1" a="1"/>
  <c r="I563" i="1" a="1"/>
  <c r="I577" i="1" a="1"/>
  <c r="I593" i="1" a="1"/>
  <c r="I606" i="1" a="1"/>
  <c r="I645" i="1" a="1"/>
  <c r="I658" i="1" a="1"/>
  <c r="I672" i="1" a="1"/>
  <c r="I697" i="1" a="1"/>
  <c r="I729" i="1" a="1"/>
  <c r="I749" i="1" a="1"/>
  <c r="I768" i="1" a="1"/>
  <c r="I779" i="1" a="1"/>
  <c r="I798" i="1" a="1"/>
  <c r="I198" i="1" a="1"/>
  <c r="I312" i="1" a="1"/>
  <c r="I479" i="1" a="1"/>
  <c r="I503" i="1" a="1"/>
  <c r="I543" i="1" a="1"/>
  <c r="I564" i="1" a="1"/>
  <c r="I582" i="1" a="1"/>
  <c r="I594" i="1" a="1"/>
  <c r="I621" i="1" a="1"/>
  <c r="I633" i="1" a="1"/>
  <c r="I646" i="1" a="1"/>
  <c r="I685" i="1" a="1"/>
  <c r="I699" i="1" a="1"/>
  <c r="I709" i="1" a="1"/>
  <c r="I719" i="1" a="1"/>
  <c r="I740" i="1" a="1"/>
  <c r="I759" i="1" a="1"/>
  <c r="I769" i="1" a="1"/>
  <c r="I789" i="1" a="1"/>
  <c r="I808" i="1" a="1"/>
  <c r="I819" i="1" a="1"/>
  <c r="I838" i="1" a="1"/>
  <c r="I868" i="1" a="1"/>
  <c r="I887" i="1" a="1"/>
  <c r="I897" i="1" a="1"/>
  <c r="I906" i="1" a="1"/>
  <c r="I923" i="1" a="1"/>
  <c r="I940" i="1" a="1"/>
  <c r="I957" i="1" a="1"/>
  <c r="I974" i="1" a="1"/>
  <c r="I256" i="1" a="1"/>
  <c r="I400" i="1" a="1"/>
  <c r="I429" i="1" a="1"/>
  <c r="I455" i="1" a="1"/>
  <c r="I607" i="1" a="1"/>
  <c r="I622" i="1" a="1"/>
  <c r="I634" i="1" a="1"/>
  <c r="I661" i="1" a="1"/>
  <c r="I673" i="1" a="1"/>
  <c r="I686" i="1" a="1"/>
  <c r="I731" i="1" a="1"/>
  <c r="I750" i="1" a="1"/>
  <c r="I112" i="1" a="1"/>
  <c r="I199" i="1" a="1"/>
  <c r="I316" i="1" a="1"/>
  <c r="I365" i="1" a="1"/>
  <c r="I403" i="1" a="1"/>
  <c r="I430" i="1" a="1"/>
  <c r="I480" i="1" a="1"/>
  <c r="I504" i="1" a="1"/>
  <c r="I528" i="1" a="1"/>
  <c r="I565" i="1" a="1"/>
  <c r="I583" i="1" a="1"/>
  <c r="I595" i="1" a="1"/>
  <c r="I647" i="1" a="1"/>
  <c r="I662" i="1" a="1"/>
  <c r="I674" i="1" a="1"/>
  <c r="I700" i="1" a="1"/>
  <c r="I213" i="1" a="1"/>
  <c r="I270" i="1" a="1"/>
  <c r="I326" i="1" a="1"/>
  <c r="I366" i="1" a="1"/>
  <c r="I404" i="1" a="1"/>
  <c r="I550" i="1" a="1"/>
  <c r="I566" i="1" a="1"/>
  <c r="I596" i="1" a="1"/>
  <c r="I623" i="1" a="1"/>
  <c r="I635" i="1" a="1"/>
  <c r="I648" i="1" a="1"/>
  <c r="I721" i="1" a="1"/>
  <c r="I732" i="1" a="1"/>
  <c r="I751" i="1" a="1"/>
  <c r="I761" i="1" a="1"/>
  <c r="I781" i="1" a="1"/>
  <c r="I800" i="1" a="1"/>
  <c r="I811" i="1" a="1"/>
  <c r="I830" i="1" a="1"/>
  <c r="I132" i="1" a="1"/>
  <c r="I271" i="1" a="1"/>
  <c r="I327" i="1" a="1"/>
  <c r="I373" i="1" a="1"/>
  <c r="I405" i="1" a="1"/>
  <c r="I439" i="1" a="1"/>
  <c r="I464" i="1" a="1"/>
  <c r="I508" i="1" a="1"/>
  <c r="I531" i="1" a="1"/>
  <c r="I551" i="1" a="1"/>
  <c r="I567" i="1" a="1"/>
  <c r="I412" i="1" a="1"/>
  <c r="I664" i="1" a="1"/>
  <c r="I743" i="1" a="1"/>
  <c r="I848" i="1" a="1"/>
  <c r="I869" i="1" a="1"/>
  <c r="I888" i="1" a="1"/>
  <c r="I907" i="1" a="1"/>
  <c r="I924" i="1" a="1"/>
  <c r="I941" i="1" a="1"/>
  <c r="I958" i="1" a="1"/>
  <c r="I1016" i="1" a="1"/>
  <c r="I1028" i="1" a="1"/>
  <c r="I1043" i="1" a="1"/>
  <c r="I1069" i="1" a="1"/>
  <c r="I1083" i="1" a="1"/>
  <c r="I1094" i="1" a="1"/>
  <c r="I1108" i="1" a="1"/>
  <c r="I1119" i="1" a="1"/>
  <c r="I1133" i="1" a="1"/>
  <c r="I1147" i="1" a="1"/>
  <c r="I1158" i="1" a="1"/>
  <c r="I1172" i="1" a="1"/>
  <c r="I1183" i="1" a="1"/>
  <c r="I1196" i="1" a="1"/>
  <c r="I1206" i="1" a="1"/>
  <c r="I1218" i="1" a="1"/>
  <c r="I1228" i="1" a="1"/>
  <c r="I1238" i="1" a="1"/>
  <c r="I1250" i="1" a="1"/>
  <c r="I1269" i="1" a="1"/>
  <c r="I1289" i="1" a="1"/>
  <c r="I1299" i="1" a="1"/>
  <c r="I1318" i="1" a="1"/>
  <c r="I1328" i="1" a="1"/>
  <c r="I1338" i="1" a="1"/>
  <c r="I1346" i="1" a="1"/>
  <c r="I1354" i="1" a="1"/>
  <c r="I1362" i="1" a="1"/>
  <c r="I1370" i="1" a="1"/>
  <c r="I1378" i="1" a="1"/>
  <c r="I1386" i="1" a="1"/>
  <c r="I1394" i="1" a="1"/>
  <c r="I1402" i="1" a="1"/>
  <c r="I1410" i="1" a="1"/>
  <c r="I1418" i="1" a="1"/>
  <c r="I1426" i="1" a="1"/>
  <c r="I1434" i="1" a="1"/>
  <c r="I1442" i="1" a="1"/>
  <c r="I1450" i="1" a="1"/>
  <c r="I1458" i="1" a="1"/>
  <c r="I1466" i="1" a="1"/>
  <c r="I1474" i="1" a="1"/>
  <c r="I1482" i="1" a="1"/>
  <c r="I1490" i="1" a="1"/>
  <c r="I1498" i="1" a="1"/>
  <c r="I1506" i="1" a="1"/>
  <c r="I1514" i="1" a="1"/>
  <c r="I1522" i="1" a="1"/>
  <c r="I1530" i="1" a="1"/>
  <c r="I1538" i="1" a="1"/>
  <c r="I1546" i="1" a="1"/>
  <c r="I1554" i="1" a="1"/>
  <c r="I1562" i="1" a="1"/>
  <c r="I1570" i="1" a="1"/>
  <c r="I134" i="1" a="1"/>
  <c r="I414" i="1" a="1"/>
  <c r="I613" i="1" a="1"/>
  <c r="I712" i="1" a="1"/>
  <c r="I773" i="1" a="1"/>
  <c r="I801" i="1" a="1"/>
  <c r="I828" i="1" a="1"/>
  <c r="I849" i="1" a="1"/>
  <c r="I889" i="1" a="1"/>
  <c r="I975" i="1" a="1"/>
  <c r="I1002" i="1" a="1"/>
  <c r="I1017" i="1" a="1"/>
  <c r="I1058" i="1" a="1"/>
  <c r="I1122" i="1" a="1"/>
  <c r="I1186" i="1" a="1"/>
  <c r="I1260" i="1" a="1"/>
  <c r="I1279" i="1" a="1"/>
  <c r="I1290" i="1" a="1"/>
  <c r="I1309" i="1" a="1"/>
  <c r="I1329" i="1" a="1"/>
  <c r="I150" i="1" a="1"/>
  <c r="I437" i="1" a="1"/>
  <c r="I675" i="1" a="1"/>
  <c r="I713" i="1" a="1"/>
  <c r="I829" i="1" a="1"/>
  <c r="I851" i="1" a="1"/>
  <c r="I870" i="1" a="1"/>
  <c r="I908" i="1" a="1"/>
  <c r="I925" i="1" a="1"/>
  <c r="I942" i="1" a="1"/>
  <c r="I959" i="1" a="1"/>
  <c r="I1029" i="1" a="1"/>
  <c r="I1044" i="1" a="1"/>
  <c r="I1059" i="1" a="1"/>
  <c r="I1070" i="1" a="1"/>
  <c r="I1084" i="1" a="1"/>
  <c r="I1095" i="1" a="1"/>
  <c r="I1109" i="1" a="1"/>
  <c r="I1123" i="1" a="1"/>
  <c r="I1134" i="1" a="1"/>
  <c r="I1148" i="1" a="1"/>
  <c r="I1159" i="1" a="1"/>
  <c r="I1173" i="1" a="1"/>
  <c r="I1187" i="1" a="1"/>
  <c r="I1197" i="1" a="1"/>
  <c r="I1207" i="1" a="1"/>
  <c r="I1219" i="1" a="1"/>
  <c r="I1229" i="1" a="1"/>
  <c r="I1239" i="1" a="1"/>
  <c r="I1251" i="1" a="1"/>
  <c r="I1270" i="1" a="1"/>
  <c r="I1280" i="1" a="1"/>
  <c r="I1300" i="1" a="1"/>
  <c r="I1319" i="1" a="1"/>
  <c r="I1330" i="1" a="1"/>
  <c r="I1339" i="1" a="1"/>
  <c r="I1347" i="1" a="1"/>
  <c r="I1355" i="1" a="1"/>
  <c r="I1363" i="1" a="1"/>
  <c r="I1371" i="1" a="1"/>
  <c r="I1379" i="1" a="1"/>
  <c r="I1387" i="1" a="1"/>
  <c r="I1395" i="1" a="1"/>
  <c r="I1403" i="1" a="1"/>
  <c r="I1411" i="1" a="1"/>
  <c r="I1419" i="1" a="1"/>
  <c r="I1427" i="1" a="1"/>
  <c r="I1435" i="1" a="1"/>
  <c r="I1443" i="1" a="1"/>
  <c r="I1451" i="1" a="1"/>
  <c r="I214" i="1" a="1"/>
  <c r="I552" i="1" a="1"/>
  <c r="I624" i="1" a="1"/>
  <c r="I676" i="1" a="1"/>
  <c r="I720" i="1" a="1"/>
  <c r="I780" i="1" a="1"/>
  <c r="I803" i="1" a="1"/>
  <c r="I891" i="1" a="1"/>
  <c r="I976" i="1" a="1"/>
  <c r="I991" i="1" a="1"/>
  <c r="I1003" i="1" a="1"/>
  <c r="I1018" i="1" a="1"/>
  <c r="I1032" i="1" a="1"/>
  <c r="I1098" i="1" a="1"/>
  <c r="I1162" i="1" a="1"/>
  <c r="I1208" i="1" a="1"/>
  <c r="I1240" i="1" a="1"/>
  <c r="I1261" i="1" a="1"/>
  <c r="I1281" i="1" a="1"/>
  <c r="I1291" i="1" a="1"/>
  <c r="I1310" i="1" a="1"/>
  <c r="I1320" i="1" a="1"/>
  <c r="I215" i="1" a="1"/>
  <c r="I440" i="1" a="1"/>
  <c r="I723" i="1" a="1"/>
  <c r="I752" i="1" a="1"/>
  <c r="I852" i="1" a="1"/>
  <c r="I871" i="1" a="1"/>
  <c r="I909" i="1" a="1"/>
  <c r="I926" i="1" a="1"/>
  <c r="I943" i="1" a="1"/>
  <c r="I960" i="1" a="1"/>
  <c r="I977" i="1" a="1"/>
  <c r="I1045" i="1" a="1"/>
  <c r="I1060" i="1" a="1"/>
  <c r="I1071" i="1" a="1"/>
  <c r="I1085" i="1" a="1"/>
  <c r="I1099" i="1" a="1"/>
  <c r="I1110" i="1" a="1"/>
  <c r="I1124" i="1" a="1"/>
  <c r="I1135" i="1" a="1"/>
  <c r="I1149" i="1" a="1"/>
  <c r="I1163" i="1" a="1"/>
  <c r="I1174" i="1" a="1"/>
  <c r="I1188" i="1" a="1"/>
  <c r="I1198" i="1" a="1"/>
  <c r="I1210" i="1" a="1"/>
  <c r="I1220" i="1" a="1"/>
  <c r="I1230" i="1" a="1"/>
  <c r="I1242" i="1" a="1"/>
  <c r="I1252" i="1" a="1"/>
  <c r="I1271" i="1" a="1"/>
  <c r="I1282" i="1" a="1"/>
  <c r="I1301" i="1" a="1"/>
  <c r="I228" i="1" a="1"/>
  <c r="I571" i="1" a="1"/>
  <c r="I625" i="1" a="1"/>
  <c r="I678" i="1" a="1"/>
  <c r="I753" i="1" a="1"/>
  <c r="I809" i="1" a="1"/>
  <c r="I831" i="1" a="1"/>
  <c r="I892" i="1" a="1"/>
  <c r="I961" i="1" a="1"/>
  <c r="I992" i="1" a="1"/>
  <c r="I1019" i="1" a="1"/>
  <c r="I1034" i="1" a="1"/>
  <c r="I1074" i="1" a="1"/>
  <c r="I1138" i="1" a="1"/>
  <c r="I1262" i="1" a="1"/>
  <c r="I1272" i="1" a="1"/>
  <c r="I1292" i="1" a="1"/>
  <c r="I1311" i="1" a="1"/>
  <c r="I1322" i="1" a="1"/>
  <c r="I636" i="1" a="1"/>
  <c r="I690" i="1" a="1"/>
  <c r="I724" i="1" a="1"/>
  <c r="I782" i="1" a="1"/>
  <c r="I857" i="1" a="1"/>
  <c r="I877" i="1" a="1"/>
  <c r="I896" i="1" a="1"/>
  <c r="I914" i="1" a="1"/>
  <c r="I931" i="1" a="1"/>
  <c r="I948" i="1" a="1"/>
  <c r="I965" i="1" a="1"/>
  <c r="I978" i="1" a="1"/>
  <c r="I993" i="1" a="1"/>
  <c r="I1046" i="1" a="1"/>
  <c r="I1061" i="1" a="1"/>
  <c r="I1075" i="1" a="1"/>
  <c r="I1086" i="1" a="1"/>
  <c r="I1100" i="1" a="1"/>
  <c r="I1111" i="1" a="1"/>
  <c r="I1125" i="1" a="1"/>
  <c r="I1139" i="1" a="1"/>
  <c r="I1150" i="1" a="1"/>
  <c r="I1164" i="1" a="1"/>
  <c r="I1175" i="1" a="1"/>
  <c r="I1189" i="1" a="1"/>
  <c r="I1199" i="1" a="1"/>
  <c r="I1211" i="1" a="1"/>
  <c r="I1221" i="1" a="1"/>
  <c r="I1231" i="1" a="1"/>
  <c r="I1243" i="1" a="1"/>
  <c r="I1253" i="1" a="1"/>
  <c r="I1273" i="1" a="1"/>
  <c r="I1283" i="1" a="1"/>
  <c r="I1302" i="1" a="1"/>
  <c r="I1312" i="1" a="1"/>
  <c r="I1332" i="1" a="1"/>
  <c r="I1341" i="1" a="1"/>
  <c r="I1349" i="1" a="1"/>
  <c r="I1357" i="1" a="1"/>
  <c r="I1365" i="1" a="1"/>
  <c r="I1373" i="1" a="1"/>
  <c r="I1381" i="1" a="1"/>
  <c r="I1389" i="1" a="1"/>
  <c r="I1397" i="1" a="1"/>
  <c r="I1405" i="1" a="1"/>
  <c r="I1413" i="1" a="1"/>
  <c r="I1421" i="1" a="1"/>
  <c r="I1429" i="1" a="1"/>
  <c r="I1437" i="1" a="1"/>
  <c r="I1445" i="1" a="1"/>
  <c r="I467" i="1" a="1"/>
  <c r="I584" i="1" a="1"/>
  <c r="I832" i="1" a="1"/>
  <c r="I859" i="1" a="1"/>
  <c r="I878" i="1" a="1"/>
  <c r="I915" i="1" a="1"/>
  <c r="I932" i="1" a="1"/>
  <c r="I949" i="1" a="1"/>
  <c r="I966" i="1" a="1"/>
  <c r="I981" i="1" a="1"/>
  <c r="I1008" i="1" a="1"/>
  <c r="I1020" i="1" a="1"/>
  <c r="I1035" i="1" a="1"/>
  <c r="I1114" i="1" a="1"/>
  <c r="I1178" i="1" a="1"/>
  <c r="I1200" i="1" a="1"/>
  <c r="I585" i="1" a="1"/>
  <c r="I637" i="1" a="1"/>
  <c r="I691" i="1" a="1"/>
  <c r="I760" i="1" a="1"/>
  <c r="I783" i="1" a="1"/>
  <c r="I812" i="1" a="1"/>
  <c r="I898" i="1" a="1"/>
  <c r="I982" i="1" a="1"/>
  <c r="I994" i="1" a="1"/>
  <c r="I1009" i="1" a="1"/>
  <c r="I1062" i="1" a="1"/>
  <c r="I1076" i="1" a="1"/>
  <c r="I1087" i="1" a="1"/>
  <c r="I1101" i="1" a="1"/>
  <c r="I1115" i="1" a="1"/>
  <c r="I1126" i="1" a="1"/>
  <c r="I1140" i="1" a="1"/>
  <c r="I1151" i="1" a="1"/>
  <c r="I1165" i="1" a="1"/>
  <c r="I1179" i="1" a="1"/>
  <c r="I1190" i="1" a="1"/>
  <c r="I1202" i="1" a="1"/>
  <c r="I1212" i="1" a="1"/>
  <c r="I1222" i="1" a="1"/>
  <c r="I1234" i="1" a="1"/>
  <c r="I1244" i="1" a="1"/>
  <c r="I1254" i="1" a="1"/>
  <c r="I1264" i="1" a="1"/>
  <c r="I1284" i="1" a="1"/>
  <c r="I586" i="1" a="1"/>
  <c r="I692" i="1" a="1"/>
  <c r="I860" i="1" a="1"/>
  <c r="I879" i="1" a="1"/>
  <c r="I899" i="1" a="1"/>
  <c r="I916" i="1" a="1"/>
  <c r="I933" i="1" a="1"/>
  <c r="I950" i="1" a="1"/>
  <c r="I967" i="1" a="1"/>
  <c r="I1036" i="1" a="1"/>
  <c r="I1051" i="1" a="1"/>
  <c r="I1090" i="1" a="1"/>
  <c r="I1154" i="1" a="1"/>
  <c r="I1265" i="1" a="1"/>
  <c r="I1275" i="1" a="1"/>
  <c r="I1294" i="1" a="1"/>
  <c r="I1304" i="1" a="1"/>
  <c r="I1324" i="1" a="1"/>
  <c r="I491" i="1" a="1"/>
  <c r="I701" i="1" a="1"/>
  <c r="I733" i="1" a="1"/>
  <c r="I763" i="1" a="1"/>
  <c r="I790" i="1" a="1"/>
  <c r="I813" i="1" a="1"/>
  <c r="I839" i="1" a="1"/>
  <c r="I983" i="1" a="1"/>
  <c r="I995" i="1" a="1"/>
  <c r="I1010" i="1" a="1"/>
  <c r="I1025" i="1" a="1"/>
  <c r="I1063" i="1" a="1"/>
  <c r="I1077" i="1" a="1"/>
  <c r="I1091" i="1" a="1"/>
  <c r="I1102" i="1" a="1"/>
  <c r="I1116" i="1" a="1"/>
  <c r="I1127" i="1" a="1"/>
  <c r="I1141" i="1" a="1"/>
  <c r="I1155" i="1" a="1"/>
  <c r="I1166" i="1" a="1"/>
  <c r="I339" i="1" a="1"/>
  <c r="I507" i="1" a="1"/>
  <c r="I597" i="1" a="1"/>
  <c r="I651" i="1" a="1"/>
  <c r="I791" i="1" a="1"/>
  <c r="I840" i="1" a="1"/>
  <c r="I861" i="1" a="1"/>
  <c r="I880" i="1" a="1"/>
  <c r="I900" i="1" a="1"/>
  <c r="I917" i="1" a="1"/>
  <c r="I934" i="1" a="1"/>
  <c r="I951" i="1" a="1"/>
  <c r="I968" i="1" a="1"/>
  <c r="I998" i="1" a="1"/>
  <c r="I1037" i="1" a="1"/>
  <c r="I1052" i="1" a="1"/>
  <c r="I1066" i="1" a="1"/>
  <c r="I1130" i="1" a="1"/>
  <c r="I1192" i="1" a="1"/>
  <c r="I1224" i="1" a="1"/>
  <c r="I1256" i="1" a="1"/>
  <c r="I1276" i="1" a="1"/>
  <c r="I1295" i="1" a="1"/>
  <c r="I1306" i="1" a="1"/>
  <c r="I376" i="1" a="1"/>
  <c r="I599" i="1" a="1"/>
  <c r="I741" i="1" a="1"/>
  <c r="I792" i="1" a="1"/>
  <c r="I821" i="1" a="1"/>
  <c r="I862" i="1" a="1"/>
  <c r="I901" i="1" a="1"/>
  <c r="I918" i="1" a="1"/>
  <c r="I935" i="1" a="1"/>
  <c r="I952" i="1" a="1"/>
  <c r="I985" i="1" a="1"/>
  <c r="I1041" i="1" a="1"/>
  <c r="I1053" i="1" a="1"/>
  <c r="I1106" i="1" a="1"/>
  <c r="I742" i="1" a="1"/>
  <c r="I969" i="1" a="1"/>
  <c r="I1042" i="1" a="1"/>
  <c r="I1167" i="1" a="1"/>
  <c r="I1236" i="1" a="1"/>
  <c r="I1263" i="1" a="1"/>
  <c r="I1287" i="1" a="1"/>
  <c r="I1313" i="1" a="1"/>
  <c r="I1327" i="1" a="1"/>
  <c r="I1374" i="1" a="1"/>
  <c r="I1388" i="1" a="1"/>
  <c r="I1401" i="1" a="1"/>
  <c r="I1416" i="1" a="1"/>
  <c r="I1431" i="1" a="1"/>
  <c r="I1457" i="1" a="1"/>
  <c r="I1480" i="1" a="1"/>
  <c r="I1491" i="1" a="1"/>
  <c r="I1501" i="1" a="1"/>
  <c r="I1520" i="1" a="1"/>
  <c r="I1550" i="1" a="1"/>
  <c r="I1569" i="1" a="1"/>
  <c r="I1579" i="1" a="1"/>
  <c r="I1643" i="1" a="1"/>
  <c r="I1697" i="1" a="1"/>
  <c r="I1705" i="1" a="1"/>
  <c r="I1713" i="1" a="1"/>
  <c r="I1721" i="1" a="1"/>
  <c r="I1729" i="1" a="1"/>
  <c r="I1737" i="1" a="1"/>
  <c r="I1745" i="1" a="1"/>
  <c r="I1753" i="1" a="1"/>
  <c r="I1761" i="1" a="1"/>
  <c r="I1769" i="1" a="1"/>
  <c r="I1777" i="1" a="1"/>
  <c r="I1785" i="1" a="1"/>
  <c r="I1793" i="1" a="1"/>
  <c r="I1801" i="1" a="1"/>
  <c r="I1809" i="1" a="1"/>
  <c r="I1817" i="1" a="1"/>
  <c r="I1825" i="1" a="1"/>
  <c r="I1833" i="1" a="1"/>
  <c r="I1841" i="1" a="1"/>
  <c r="I1849" i="1" a="1"/>
  <c r="I1857" i="1" a="1"/>
  <c r="I1865" i="1" a="1"/>
  <c r="I1873" i="1" a="1"/>
  <c r="I1881" i="1" a="1"/>
  <c r="I1889" i="1" a="1"/>
  <c r="I1897" i="1" a="1"/>
  <c r="I1905" i="1" a="1"/>
  <c r="I1913" i="1" a="1"/>
  <c r="I1921" i="1" a="1"/>
  <c r="I1929" i="1" a="1"/>
  <c r="I1937" i="1" a="1"/>
  <c r="I1945" i="1" a="1"/>
  <c r="I1953" i="1" a="1"/>
  <c r="I1961" i="1" a="1"/>
  <c r="I1969" i="1" a="1"/>
  <c r="I1977" i="1" a="1"/>
  <c r="I1985" i="1" a="1"/>
  <c r="I1993" i="1" a="1"/>
  <c r="I2001" i="1" a="1"/>
  <c r="I2009" i="1" a="1"/>
  <c r="I2017" i="1" a="1"/>
  <c r="I2025" i="1" a="1"/>
  <c r="I2033" i="1" a="1"/>
  <c r="I2041" i="1" a="1"/>
  <c r="I2049" i="1" a="1"/>
  <c r="I881" i="1" a="1"/>
  <c r="I1117" i="1" a="1"/>
  <c r="I1170" i="1" a="1"/>
  <c r="I1205" i="1" a="1"/>
  <c r="I1266" i="1" a="1"/>
  <c r="I1288" i="1" a="1"/>
  <c r="I1314" i="1" a="1"/>
  <c r="I1331" i="1" a="1"/>
  <c r="I1345" i="1" a="1"/>
  <c r="I1360" i="1" a="1"/>
  <c r="I1375" i="1" a="1"/>
  <c r="I1446" i="1" a="1"/>
  <c r="I1470" i="1" a="1"/>
  <c r="I1492" i="1" a="1"/>
  <c r="I1511" i="1" a="1"/>
  <c r="I1531" i="1" a="1"/>
  <c r="I1541" i="1" a="1"/>
  <c r="I1560" i="1" a="1"/>
  <c r="I1580" i="1" a="1"/>
  <c r="I1589" i="1" a="1"/>
  <c r="I1598" i="1" a="1"/>
  <c r="I1607" i="1" a="1"/>
  <c r="I1616" i="1" a="1"/>
  <c r="I1625" i="1" a="1"/>
  <c r="I1634" i="1" a="1"/>
  <c r="I1644" i="1" a="1"/>
  <c r="I1653" i="1" a="1"/>
  <c r="I1662" i="1" a="1"/>
  <c r="I1671" i="1" a="1"/>
  <c r="I1680" i="1" a="1"/>
  <c r="I1689" i="1" a="1"/>
  <c r="I764" i="1" a="1"/>
  <c r="I1118" i="1" a="1"/>
  <c r="I1171" i="1" a="1"/>
  <c r="I1237" i="1" a="1"/>
  <c r="I1267" i="1" a="1"/>
  <c r="I1293" i="1" a="1"/>
  <c r="I1315" i="1" a="1"/>
  <c r="I1390" i="1" a="1"/>
  <c r="I1404" i="1" a="1"/>
  <c r="I1417" i="1" a="1"/>
  <c r="I1432" i="1" a="1"/>
  <c r="I1447" i="1" a="1"/>
  <c r="I1459" i="1" a="1"/>
  <c r="I1471" i="1" a="1"/>
  <c r="I1481" i="1" a="1"/>
  <c r="I1502" i="1" a="1"/>
  <c r="I1521" i="1" a="1"/>
  <c r="I1532" i="1" a="1"/>
  <c r="I1551" i="1" a="1"/>
  <c r="I1571" i="1" a="1"/>
  <c r="I1635" i="1" a="1"/>
  <c r="I1698" i="1" a="1"/>
  <c r="I1706" i="1" a="1"/>
  <c r="I1714" i="1" a="1"/>
  <c r="I1722" i="1" a="1"/>
  <c r="I1730" i="1" a="1"/>
  <c r="I1738" i="1" a="1"/>
  <c r="I1746" i="1" a="1"/>
  <c r="I1754" i="1" a="1"/>
  <c r="I1762" i="1" a="1"/>
  <c r="I1770" i="1" a="1"/>
  <c r="I1778" i="1" a="1"/>
  <c r="I1786" i="1" a="1"/>
  <c r="I1794" i="1" a="1"/>
  <c r="I1802" i="1" a="1"/>
  <c r="I1810" i="1" a="1"/>
  <c r="I1818" i="1" a="1"/>
  <c r="I1826" i="1" a="1"/>
  <c r="I1834" i="1" a="1"/>
  <c r="I1842" i="1" a="1"/>
  <c r="I1850" i="1" a="1"/>
  <c r="I1858" i="1" a="1"/>
  <c r="I1866" i="1" a="1"/>
  <c r="I1874" i="1" a="1"/>
  <c r="I1882" i="1" a="1"/>
  <c r="I1890" i="1" a="1"/>
  <c r="I1898" i="1" a="1"/>
  <c r="I1906" i="1" a="1"/>
  <c r="I1914" i="1" a="1"/>
  <c r="I1922" i="1" a="1"/>
  <c r="I1930" i="1" a="1"/>
  <c r="I1938" i="1" a="1"/>
  <c r="I771" i="1" a="1"/>
  <c r="I984" i="1" a="1"/>
  <c r="I1213" i="1" a="1"/>
  <c r="I1333" i="1" a="1"/>
  <c r="I1348" i="1" a="1"/>
  <c r="I1361" i="1" a="1"/>
  <c r="I1376" i="1" a="1"/>
  <c r="I1391" i="1" a="1"/>
  <c r="I1460" i="1" a="1"/>
  <c r="I1493" i="1" a="1"/>
  <c r="I1512" i="1" a="1"/>
  <c r="I1542" i="1" a="1"/>
  <c r="I1561" i="1" a="1"/>
  <c r="I1572" i="1" a="1"/>
  <c r="I1581" i="1" a="1"/>
  <c r="I1590" i="1" a="1"/>
  <c r="I1599" i="1" a="1"/>
  <c r="I1608" i="1" a="1"/>
  <c r="I1617" i="1" a="1"/>
  <c r="I1626" i="1" a="1"/>
  <c r="I1636" i="1" a="1"/>
  <c r="I1645" i="1" a="1"/>
  <c r="I1654" i="1" a="1"/>
  <c r="I1663" i="1" a="1"/>
  <c r="I1672" i="1" a="1"/>
  <c r="I1681" i="1" a="1"/>
  <c r="I1690" i="1" a="1"/>
  <c r="I529" i="1" a="1"/>
  <c r="I772" i="1" a="1"/>
  <c r="I1054" i="1" a="1"/>
  <c r="I1131" i="1" a="1"/>
  <c r="I1180" i="1" a="1"/>
  <c r="I1214" i="1" a="1"/>
  <c r="I1268" i="1" a="1"/>
  <c r="I1316" i="1" a="1"/>
  <c r="I1334" i="1" a="1"/>
  <c r="I1406" i="1" a="1"/>
  <c r="I1420" i="1" a="1"/>
  <c r="I1433" i="1" a="1"/>
  <c r="I1448" i="1" a="1"/>
  <c r="I1461" i="1" a="1"/>
  <c r="I1472" i="1" a="1"/>
  <c r="I1483" i="1" a="1"/>
  <c r="I1503" i="1" a="1"/>
  <c r="I1523" i="1" a="1"/>
  <c r="I1533" i="1" a="1"/>
  <c r="I1552" i="1" a="1"/>
  <c r="I1627" i="1" a="1"/>
  <c r="I1691" i="1" a="1"/>
  <c r="I1699" i="1" a="1"/>
  <c r="I1707" i="1" a="1"/>
  <c r="I1715" i="1" a="1"/>
  <c r="I1723" i="1" a="1"/>
  <c r="I1731" i="1" a="1"/>
  <c r="I1739" i="1" a="1"/>
  <c r="I1747" i="1" a="1"/>
  <c r="I1755" i="1" a="1"/>
  <c r="I1763" i="1" a="1"/>
  <c r="I1771" i="1" a="1"/>
  <c r="I1779" i="1" a="1"/>
  <c r="I1787" i="1" a="1"/>
  <c r="I1795" i="1" a="1"/>
  <c r="I1803" i="1" a="1"/>
  <c r="I1811" i="1" a="1"/>
  <c r="I1819" i="1" a="1"/>
  <c r="I1827" i="1" a="1"/>
  <c r="I1835" i="1" a="1"/>
  <c r="I1843" i="1" a="1"/>
  <c r="I1851" i="1" a="1"/>
  <c r="I1859" i="1" a="1"/>
  <c r="I1867" i="1" a="1"/>
  <c r="I1875" i="1" a="1"/>
  <c r="I1883" i="1" a="1"/>
  <c r="I1891" i="1" a="1"/>
  <c r="I532" i="1" a="1"/>
  <c r="I986" i="1" a="1"/>
  <c r="I1067" i="1" a="1"/>
  <c r="I1181" i="1" a="1"/>
  <c r="I1245" i="1" a="1"/>
  <c r="I1296" i="1" a="1"/>
  <c r="I1350" i="1" a="1"/>
  <c r="I1364" i="1" a="1"/>
  <c r="I1377" i="1" a="1"/>
  <c r="I1392" i="1" a="1"/>
  <c r="I1407" i="1" a="1"/>
  <c r="I1484" i="1" a="1"/>
  <c r="I1494" i="1" a="1"/>
  <c r="I1513" i="1" a="1"/>
  <c r="I1524" i="1" a="1"/>
  <c r="I1543" i="1" a="1"/>
  <c r="I1563" i="1" a="1"/>
  <c r="I1573" i="1" a="1"/>
  <c r="I1582" i="1" a="1"/>
  <c r="I1591" i="1" a="1"/>
  <c r="I1600" i="1" a="1"/>
  <c r="I1609" i="1" a="1"/>
  <c r="I1618" i="1" a="1"/>
  <c r="I1628" i="1" a="1"/>
  <c r="I1637" i="1" a="1"/>
  <c r="I1646" i="1" a="1"/>
  <c r="I1655" i="1" a="1"/>
  <c r="I1664" i="1" a="1"/>
  <c r="I1673" i="1" a="1"/>
  <c r="I1682" i="1" a="1"/>
  <c r="I598" i="1" a="1"/>
  <c r="I793" i="1" a="1"/>
  <c r="I999" i="1" a="1"/>
  <c r="I1068" i="1" a="1"/>
  <c r="I1132" i="1" a="1"/>
  <c r="I1215" i="1" a="1"/>
  <c r="I1246" i="1" a="1"/>
  <c r="I1274" i="1" a="1"/>
  <c r="I1297" i="1" a="1"/>
  <c r="I1317" i="1" a="1"/>
  <c r="I1335" i="1" a="1"/>
  <c r="I1351" i="1" a="1"/>
  <c r="I1422" i="1" a="1"/>
  <c r="I1436" i="1" a="1"/>
  <c r="I1449" i="1" a="1"/>
  <c r="I1462" i="1" a="1"/>
  <c r="I1473" i="1" a="1"/>
  <c r="I1504" i="1" a="1"/>
  <c r="I1534" i="1" a="1"/>
  <c r="I1553" i="1" a="1"/>
  <c r="I1564" i="1" a="1"/>
  <c r="I1619" i="1" a="1"/>
  <c r="I1683" i="1" a="1"/>
  <c r="I1692" i="1" a="1"/>
  <c r="I1700" i="1" a="1"/>
  <c r="I1708" i="1" a="1"/>
  <c r="I1716" i="1" a="1"/>
  <c r="I1724" i="1" a="1"/>
  <c r="I1732" i="1" a="1"/>
  <c r="I1740" i="1" a="1"/>
  <c r="I1748" i="1" a="1"/>
  <c r="I1756" i="1" a="1"/>
  <c r="I1764" i="1" a="1"/>
  <c r="I1772" i="1" a="1"/>
  <c r="I1780" i="1" a="1"/>
  <c r="I1788" i="1" a="1"/>
  <c r="I1796" i="1" a="1"/>
  <c r="I1804" i="1" a="1"/>
  <c r="I1812" i="1" a="1"/>
  <c r="I1820" i="1" a="1"/>
  <c r="I1828" i="1" a="1"/>
  <c r="I1836" i="1" a="1"/>
  <c r="I1844" i="1" a="1"/>
  <c r="I1852" i="1" a="1"/>
  <c r="I1860" i="1" a="1"/>
  <c r="I1868" i="1" a="1"/>
  <c r="I1876" i="1" a="1"/>
  <c r="I1884" i="1" a="1"/>
  <c r="I1892" i="1" a="1"/>
  <c r="I1900" i="1" a="1"/>
  <c r="I1908" i="1" a="1"/>
  <c r="I1916" i="1" a="1"/>
  <c r="I611" i="1" a="1"/>
  <c r="I799" i="1" a="1"/>
  <c r="I1000" i="1" a="1"/>
  <c r="I1182" i="1" a="1"/>
  <c r="I1216" i="1" a="1"/>
  <c r="I1298" i="1" a="1"/>
  <c r="I1336" i="1" a="1"/>
  <c r="I1366" i="1" a="1"/>
  <c r="I1380" i="1" a="1"/>
  <c r="I1393" i="1" a="1"/>
  <c r="I1408" i="1" a="1"/>
  <c r="I1423" i="1" a="1"/>
  <c r="I1463" i="1" a="1"/>
  <c r="I1485" i="1" a="1"/>
  <c r="I1495" i="1" a="1"/>
  <c r="I1515" i="1" a="1"/>
  <c r="I1525" i="1" a="1"/>
  <c r="I1544" i="1" a="1"/>
  <c r="I1574" i="1" a="1"/>
  <c r="I1583" i="1" a="1"/>
  <c r="I1592" i="1" a="1"/>
  <c r="I1601" i="1" a="1"/>
  <c r="I1610" i="1" a="1"/>
  <c r="I1620" i="1" a="1"/>
  <c r="I1629" i="1" a="1"/>
  <c r="I1638" i="1" a="1"/>
  <c r="I1647" i="1" a="1"/>
  <c r="I1656" i="1" a="1"/>
  <c r="I1665" i="1" a="1"/>
  <c r="I1674" i="1" a="1"/>
  <c r="I1684" i="1" a="1"/>
  <c r="I612" i="1" a="1"/>
  <c r="I820" i="1" a="1"/>
  <c r="I1001" i="1" a="1"/>
  <c r="I1078" i="1" a="1"/>
  <c r="I1142" i="1" a="1"/>
  <c r="I1247" i="1" a="1"/>
  <c r="I1321" i="1" a="1"/>
  <c r="I1337" i="1" a="1"/>
  <c r="I1352" i="1" a="1"/>
  <c r="I1367" i="1" a="1"/>
  <c r="I1438" i="1" a="1"/>
  <c r="I1452" i="1" a="1"/>
  <c r="I1475" i="1" a="1"/>
  <c r="I1505" i="1" a="1"/>
  <c r="I1516" i="1" a="1"/>
  <c r="I1535" i="1" a="1"/>
  <c r="I1555" i="1" a="1"/>
  <c r="I1565" i="1" a="1"/>
  <c r="I1611" i="1" a="1"/>
  <c r="I1675" i="1" a="1"/>
  <c r="I1693" i="1" a="1"/>
  <c r="I1701" i="1" a="1"/>
  <c r="I1709" i="1" a="1"/>
  <c r="I1717" i="1" a="1"/>
  <c r="I1725" i="1" a="1"/>
  <c r="I1733" i="1" a="1"/>
  <c r="I1741" i="1" a="1"/>
  <c r="I1749" i="1" a="1"/>
  <c r="I1757" i="1" a="1"/>
  <c r="I1765" i="1" a="1"/>
  <c r="I1773" i="1" a="1"/>
  <c r="I1781" i="1" a="1"/>
  <c r="I1789" i="1" a="1"/>
  <c r="I1797" i="1" a="1"/>
  <c r="I1805" i="1" a="1"/>
  <c r="I652" i="1" a="1"/>
  <c r="I1011" i="1" a="1"/>
  <c r="I1079" i="1" a="1"/>
  <c r="I1191" i="1" a="1"/>
  <c r="I1223" i="1" a="1"/>
  <c r="I1248" i="1" a="1"/>
  <c r="I1277" i="1" a="1"/>
  <c r="I1323" i="1" a="1"/>
  <c r="I1382" i="1" a="1"/>
  <c r="I1396" i="1" a="1"/>
  <c r="I1409" i="1" a="1"/>
  <c r="I1424" i="1" a="1"/>
  <c r="I1439" i="1" a="1"/>
  <c r="I1453" i="1" a="1"/>
  <c r="I1464" i="1" a="1"/>
  <c r="I1476" i="1" a="1"/>
  <c r="I1486" i="1" a="1"/>
  <c r="I1496" i="1" a="1"/>
  <c r="I1526" i="1" a="1"/>
  <c r="I1545" i="1" a="1"/>
  <c r="I1556" i="1" a="1"/>
  <c r="I1575" i="1" a="1"/>
  <c r="I1584" i="1" a="1"/>
  <c r="I1593" i="1" a="1"/>
  <c r="I1602" i="1" a="1"/>
  <c r="I1612" i="1" a="1"/>
  <c r="I1621" i="1" a="1"/>
  <c r="I1630" i="1" a="1"/>
  <c r="I1639" i="1" a="1"/>
  <c r="I1648" i="1" a="1"/>
  <c r="I1657" i="1" a="1"/>
  <c r="I1666" i="1" a="1"/>
  <c r="I1676" i="1" a="1"/>
  <c r="I1685" i="1" a="1"/>
  <c r="I663" i="1" a="1"/>
  <c r="I822" i="1" a="1"/>
  <c r="I1012" i="1" a="1"/>
  <c r="I1082" i="1" a="1"/>
  <c r="I1143" i="1" a="1"/>
  <c r="I1194" i="1" a="1"/>
  <c r="I1226" i="1" a="1"/>
  <c r="I1303" i="1" a="1"/>
  <c r="I1340" i="1" a="1"/>
  <c r="I1353" i="1" a="1"/>
  <c r="I1368" i="1" a="1"/>
  <c r="I1383" i="1" a="1"/>
  <c r="I1487" i="1" a="1"/>
  <c r="I1507" i="1" a="1"/>
  <c r="I1517" i="1" a="1"/>
  <c r="I1536" i="1" a="1"/>
  <c r="I1566" i="1" a="1"/>
  <c r="I1603" i="1" a="1"/>
  <c r="I841" i="1" a="1"/>
  <c r="I1015" i="1" a="1"/>
  <c r="I1092" i="1" a="1"/>
  <c r="I1146" i="1" a="1"/>
  <c r="I1255" i="1" a="1"/>
  <c r="I1278" i="1" a="1"/>
  <c r="I1305" i="1" a="1"/>
  <c r="I1398" i="1" a="1"/>
  <c r="I1412" i="1" a="1"/>
  <c r="I1425" i="1" a="1"/>
  <c r="I1440" i="1" a="1"/>
  <c r="I1454" i="1" a="1"/>
  <c r="I1465" i="1" a="1"/>
  <c r="I1477" i="1" a="1"/>
  <c r="I1497" i="1" a="1"/>
  <c r="I1508" i="1" a="1"/>
  <c r="I1527" i="1" a="1"/>
  <c r="I1547" i="1" a="1"/>
  <c r="I1557" i="1" a="1"/>
  <c r="I1576" i="1" a="1"/>
  <c r="I1585" i="1" a="1"/>
  <c r="I1594" i="1" a="1"/>
  <c r="I1604" i="1" a="1"/>
  <c r="I1613" i="1" a="1"/>
  <c r="I702" i="1" a="1"/>
  <c r="I843" i="1" a="1"/>
  <c r="I1026" i="1" a="1"/>
  <c r="I1093" i="1" a="1"/>
  <c r="I1156" i="1" a="1"/>
  <c r="I1195" i="1" a="1"/>
  <c r="I1227" i="1" a="1"/>
  <c r="I1257" i="1" a="1"/>
  <c r="I1325" i="1" a="1"/>
  <c r="I1342" i="1" a="1"/>
  <c r="I1356" i="1" a="1"/>
  <c r="I1369" i="1" a="1"/>
  <c r="I1384" i="1" a="1"/>
  <c r="I1399" i="1" a="1"/>
  <c r="I1455" i="1" a="1"/>
  <c r="I1488" i="1" a="1"/>
  <c r="I1518" i="1" a="1"/>
  <c r="I1537" i="1" a="1"/>
  <c r="I1548" i="1" a="1"/>
  <c r="I1567" i="1" a="1"/>
  <c r="I1595" i="1" a="1"/>
  <c r="I1659" i="1" a="1"/>
  <c r="I1695" i="1" a="1"/>
  <c r="I1703" i="1" a="1"/>
  <c r="I1711" i="1" a="1"/>
  <c r="I1719" i="1" a="1"/>
  <c r="I1727" i="1" a="1"/>
  <c r="I1735" i="1" a="1"/>
  <c r="I1743" i="1" a="1"/>
  <c r="I1751" i="1" a="1"/>
  <c r="I710" i="1" a="1"/>
  <c r="I1157" i="1" a="1"/>
  <c r="I1308" i="1" a="1"/>
  <c r="I1468" i="1" a="1"/>
  <c r="I1577" i="1" a="1"/>
  <c r="I1623" i="1" a="1"/>
  <c r="I1651" i="1" a="1"/>
  <c r="I1679" i="1" a="1"/>
  <c r="I1750" i="1" a="1"/>
  <c r="I1806" i="1" a="1"/>
  <c r="I1822" i="1" a="1"/>
  <c r="I1838" i="1" a="1"/>
  <c r="I1854" i="1" a="1"/>
  <c r="I1870" i="1" a="1"/>
  <c r="I1886" i="1" a="1"/>
  <c r="I1901" i="1" a="1"/>
  <c r="I1915" i="1" a="1"/>
  <c r="I1941" i="1" a="1"/>
  <c r="I1952" i="1" a="1"/>
  <c r="I1975" i="1" a="1"/>
  <c r="I1986" i="1" a="1"/>
  <c r="I2007" i="1" a="1"/>
  <c r="I2018" i="1" a="1"/>
  <c r="I2039" i="1" a="1"/>
  <c r="I2050" i="1" a="1"/>
  <c r="I2060" i="1" a="1"/>
  <c r="I2070" i="1" a="1"/>
  <c r="I2089" i="1" a="1"/>
  <c r="I711" i="1" a="1"/>
  <c r="I1400" i="1" a="1"/>
  <c r="I1469" i="1" a="1"/>
  <c r="I1528" i="1" a="1"/>
  <c r="I1652" i="1" a="1"/>
  <c r="I1728" i="1" a="1"/>
  <c r="I1768" i="1" a="1"/>
  <c r="I1902" i="1" a="1"/>
  <c r="I1928" i="1" a="1"/>
  <c r="I1942" i="1" a="1"/>
  <c r="I1965" i="1" a="1"/>
  <c r="I1987" i="1" a="1"/>
  <c r="I1997" i="1" a="1"/>
  <c r="I2019" i="1" a="1"/>
  <c r="I2029" i="1" a="1"/>
  <c r="I2051" i="1" a="1"/>
  <c r="I2080" i="1" a="1"/>
  <c r="I2090" i="1" a="1"/>
  <c r="I2100" i="1" a="1"/>
  <c r="I2108" i="1" a="1"/>
  <c r="I2116" i="1" a="1"/>
  <c r="I2124" i="1" a="1"/>
  <c r="I2132" i="1" a="1"/>
  <c r="I2140" i="1" a="1"/>
  <c r="I2148" i="1" a="1"/>
  <c r="I2156" i="1" a="1"/>
  <c r="I2164" i="1" a="1"/>
  <c r="I2172" i="1" a="1"/>
  <c r="I2180" i="1" a="1"/>
  <c r="I2188" i="1" a="1"/>
  <c r="I2196" i="1" a="1"/>
  <c r="I2204" i="1" a="1"/>
  <c r="I2212" i="1" a="1"/>
  <c r="I2220" i="1" a="1"/>
  <c r="I2228" i="1" a="1"/>
  <c r="I2236" i="1" a="1"/>
  <c r="I2244" i="1" a="1"/>
  <c r="I2252" i="1" a="1"/>
  <c r="I2260" i="1" a="1"/>
  <c r="I2268" i="1" a="1"/>
  <c r="I2276" i="1" a="1"/>
  <c r="I2284" i="1" a="1"/>
  <c r="I2292" i="1" a="1"/>
  <c r="I2300" i="1" a="1"/>
  <c r="I2308" i="1" a="1"/>
  <c r="I2316" i="1" a="1"/>
  <c r="I2324" i="1" a="1"/>
  <c r="I2332" i="1" a="1"/>
  <c r="I2340" i="1" a="1"/>
  <c r="I2348" i="1" a="1"/>
  <c r="I2356" i="1" a="1"/>
  <c r="I2364" i="1" a="1"/>
  <c r="I2372" i="1" a="1"/>
  <c r="I2380" i="1" a="1"/>
  <c r="I2388" i="1" a="1"/>
  <c r="I2396" i="1" a="1"/>
  <c r="I2404" i="1" a="1"/>
  <c r="I2412" i="1" a="1"/>
  <c r="I2420" i="1" a="1"/>
  <c r="I2428" i="1" a="1"/>
  <c r="I2436" i="1" a="1"/>
  <c r="I2444" i="1" a="1"/>
  <c r="I2452" i="1" a="1"/>
  <c r="I2460" i="1" a="1"/>
  <c r="I734" i="1" a="1"/>
  <c r="I1326" i="1" a="1"/>
  <c r="I1478" i="1" a="1"/>
  <c r="I1578" i="1" a="1"/>
  <c r="I1624" i="1" a="1"/>
  <c r="I1686" i="1" a="1"/>
  <c r="I1710" i="1" a="1"/>
  <c r="I1790" i="1" a="1"/>
  <c r="I1807" i="1" a="1"/>
  <c r="I1823" i="1" a="1"/>
  <c r="I1839" i="1" a="1"/>
  <c r="I1855" i="1" a="1"/>
  <c r="I1871" i="1" a="1"/>
  <c r="I1887" i="1" a="1"/>
  <c r="I1917" i="1" a="1"/>
  <c r="I1954" i="1" a="1"/>
  <c r="I1966" i="1" a="1"/>
  <c r="I1976" i="1" a="1"/>
  <c r="I1998" i="1" a="1"/>
  <c r="I2008" i="1" a="1"/>
  <c r="I2030" i="1" a="1"/>
  <c r="I2040" i="1" a="1"/>
  <c r="I2061" i="1" a="1"/>
  <c r="I2071" i="1" a="1"/>
  <c r="I2091" i="1" a="1"/>
  <c r="I847" i="1" a="1"/>
  <c r="I1203" i="1" a="1"/>
  <c r="I1414" i="1" a="1"/>
  <c r="I1479" i="1" a="1"/>
  <c r="I1529" i="1" a="1"/>
  <c r="I1586" i="1" a="1"/>
  <c r="I1658" i="1" a="1"/>
  <c r="I1687" i="1" a="1"/>
  <c r="I1752" i="1" a="1"/>
  <c r="I1903" i="1" a="1"/>
  <c r="I1918" i="1" a="1"/>
  <c r="I1931" i="1" a="1"/>
  <c r="I1943" i="1" a="1"/>
  <c r="I1955" i="1" a="1"/>
  <c r="I1988" i="1" a="1"/>
  <c r="I2020" i="1" a="1"/>
  <c r="I2052" i="1" a="1"/>
  <c r="I2062" i="1" a="1"/>
  <c r="I2081" i="1" a="1"/>
  <c r="I2101" i="1" a="1"/>
  <c r="I2109" i="1" a="1"/>
  <c r="I2117" i="1" a="1"/>
  <c r="I2125" i="1" a="1"/>
  <c r="I2133" i="1" a="1"/>
  <c r="I2141" i="1" a="1"/>
  <c r="I2149" i="1" a="1"/>
  <c r="I2157" i="1" a="1"/>
  <c r="I2165" i="1" a="1"/>
  <c r="I2173" i="1" a="1"/>
  <c r="I2181" i="1" a="1"/>
  <c r="I2189" i="1" a="1"/>
  <c r="I2197" i="1" a="1"/>
  <c r="I2205" i="1" a="1"/>
  <c r="I2213" i="1" a="1"/>
  <c r="I2221" i="1" a="1"/>
  <c r="I2229" i="1" a="1"/>
  <c r="I2237" i="1" a="1"/>
  <c r="I2245" i="1" a="1"/>
  <c r="I2253" i="1" a="1"/>
  <c r="I2261" i="1" a="1"/>
  <c r="I2269" i="1" a="1"/>
  <c r="I2277" i="1" a="1"/>
  <c r="I2285" i="1" a="1"/>
  <c r="I2293" i="1" a="1"/>
  <c r="I2301" i="1" a="1"/>
  <c r="I2309" i="1" a="1"/>
  <c r="I2317" i="1" a="1"/>
  <c r="I2325" i="1" a="1"/>
  <c r="I2333" i="1" a="1"/>
  <c r="I2341" i="1" a="1"/>
  <c r="I2349" i="1" a="1"/>
  <c r="I2357" i="1" a="1"/>
  <c r="I2365" i="1" a="1"/>
  <c r="I2373" i="1" a="1"/>
  <c r="I2381" i="1" a="1"/>
  <c r="I2389" i="1" a="1"/>
  <c r="I2397" i="1" a="1"/>
  <c r="I2405" i="1" a="1"/>
  <c r="I2413" i="1" a="1"/>
  <c r="I2421" i="1" a="1"/>
  <c r="I2429" i="1" a="1"/>
  <c r="I2437" i="1" a="1"/>
  <c r="I2445" i="1" a="1"/>
  <c r="I2453" i="1" a="1"/>
  <c r="I2461" i="1" a="1"/>
  <c r="I2469" i="1" a="1"/>
  <c r="I2477" i="1" a="1"/>
  <c r="I1204" i="1" a="1"/>
  <c r="I1343" i="1" a="1"/>
  <c r="I1415" i="1" a="1"/>
  <c r="I1587" i="1" a="1"/>
  <c r="I1631" i="1" a="1"/>
  <c r="I1660" i="1" a="1"/>
  <c r="I1734" i="1" a="1"/>
  <c r="I1774" i="1" a="1"/>
  <c r="I1791" i="1" a="1"/>
  <c r="I1808" i="1" a="1"/>
  <c r="I1824" i="1" a="1"/>
  <c r="I1840" i="1" a="1"/>
  <c r="I1856" i="1" a="1"/>
  <c r="I1872" i="1" a="1"/>
  <c r="I1888" i="1" a="1"/>
  <c r="I1932" i="1" a="1"/>
  <c r="I1956" i="1" a="1"/>
  <c r="I1967" i="1" a="1"/>
  <c r="I1978" i="1" a="1"/>
  <c r="I1999" i="1" a="1"/>
  <c r="I2010" i="1" a="1"/>
  <c r="I2031" i="1" a="1"/>
  <c r="I2042" i="1" a="1"/>
  <c r="I2072" i="1" a="1"/>
  <c r="I2082" i="1" a="1"/>
  <c r="I2092" i="1" a="1"/>
  <c r="I1539" i="1" a="1"/>
  <c r="I1588" i="1" a="1"/>
  <c r="I1632" i="1" a="1"/>
  <c r="I1688" i="1" a="1"/>
  <c r="I1712" i="1" a="1"/>
  <c r="I1904" i="1" a="1"/>
  <c r="I1919" i="1" a="1"/>
  <c r="I1944" i="1" a="1"/>
  <c r="I1979" i="1" a="1"/>
  <c r="I1989" i="1" a="1"/>
  <c r="I2011" i="1" a="1"/>
  <c r="I2021" i="1" a="1"/>
  <c r="I2043" i="1" a="1"/>
  <c r="I2053" i="1" a="1"/>
  <c r="I2063" i="1" a="1"/>
  <c r="I2083" i="1" a="1"/>
  <c r="I2102" i="1" a="1"/>
  <c r="I2110" i="1" a="1"/>
  <c r="I2118" i="1" a="1"/>
  <c r="I2126" i="1" a="1"/>
  <c r="I2134" i="1" a="1"/>
  <c r="I2142" i="1" a="1"/>
  <c r="I2150" i="1" a="1"/>
  <c r="I2158" i="1" a="1"/>
  <c r="I2166" i="1" a="1"/>
  <c r="I2174" i="1" a="1"/>
  <c r="I2182" i="1" a="1"/>
  <c r="I2190" i="1" a="1"/>
  <c r="I2198" i="1" a="1"/>
  <c r="I2206" i="1" a="1"/>
  <c r="I2214" i="1" a="1"/>
  <c r="I2222" i="1" a="1"/>
  <c r="I2230" i="1" a="1"/>
  <c r="I2238" i="1" a="1"/>
  <c r="I2246" i="1" a="1"/>
  <c r="I2254" i="1" a="1"/>
  <c r="I2262" i="1" a="1"/>
  <c r="I2270" i="1" a="1"/>
  <c r="I2278" i="1" a="1"/>
  <c r="I2286" i="1" a="1"/>
  <c r="I2294" i="1" a="1"/>
  <c r="I2302" i="1" a="1"/>
  <c r="I2310" i="1" a="1"/>
  <c r="I2318" i="1" a="1"/>
  <c r="I2326" i="1" a="1"/>
  <c r="I2334" i="1" a="1"/>
  <c r="I2342" i="1" a="1"/>
  <c r="I2350" i="1" a="1"/>
  <c r="I2358" i="1" a="1"/>
  <c r="I2366" i="1" a="1"/>
  <c r="I2374" i="1" a="1"/>
  <c r="I2382" i="1" a="1"/>
  <c r="I2390" i="1" a="1"/>
  <c r="I2398" i="1" a="1"/>
  <c r="I2406" i="1" a="1"/>
  <c r="I2414" i="1" a="1"/>
  <c r="I2422" i="1" a="1"/>
  <c r="I2430" i="1" a="1"/>
  <c r="I2438" i="1" a="1"/>
  <c r="I2446" i="1" a="1"/>
  <c r="I2454" i="1" a="1"/>
  <c r="I2462" i="1" a="1"/>
  <c r="I2470" i="1" a="1"/>
  <c r="I2478" i="1" a="1"/>
  <c r="I1232" i="1" a="1"/>
  <c r="I1344" i="1" a="1"/>
  <c r="I1428" i="1" a="1"/>
  <c r="I1489" i="1" a="1"/>
  <c r="I1540" i="1" a="1"/>
  <c r="I1596" i="1" a="1"/>
  <c r="I1661" i="1" a="1"/>
  <c r="I1694" i="1" a="1"/>
  <c r="I1758" i="1" a="1"/>
  <c r="I1775" i="1" a="1"/>
  <c r="I1792" i="1" a="1"/>
  <c r="I1933" i="1" a="1"/>
  <c r="I1957" i="1" a="1"/>
  <c r="I1968" i="1" a="1"/>
  <c r="I1990" i="1" a="1"/>
  <c r="I2000" i="1" a="1"/>
  <c r="I2022" i="1" a="1"/>
  <c r="I2032" i="1" a="1"/>
  <c r="I2054" i="1" a="1"/>
  <c r="I2073" i="1" a="1"/>
  <c r="I2093" i="1" a="1"/>
  <c r="I1235" i="1" a="1"/>
  <c r="I1633" i="1" a="1"/>
  <c r="I1667" i="1" a="1"/>
  <c r="I1736" i="1" a="1"/>
  <c r="I1813" i="1" a="1"/>
  <c r="I1829" i="1" a="1"/>
  <c r="I1845" i="1" a="1"/>
  <c r="I1861" i="1" a="1"/>
  <c r="I1877" i="1" a="1"/>
  <c r="I1893" i="1" a="1"/>
  <c r="I1907" i="1" a="1"/>
  <c r="I1920" i="1" a="1"/>
  <c r="I1934" i="1" a="1"/>
  <c r="I1946" i="1" a="1"/>
  <c r="I1958" i="1" a="1"/>
  <c r="I1980" i="1" a="1"/>
  <c r="I2012" i="1" a="1"/>
  <c r="I2044" i="1" a="1"/>
  <c r="I2064" i="1" a="1"/>
  <c r="I2074" i="1" a="1"/>
  <c r="I2084" i="1" a="1"/>
  <c r="I2094" i="1" a="1"/>
  <c r="I2103" i="1" a="1"/>
  <c r="I2111" i="1" a="1"/>
  <c r="I2119" i="1" a="1"/>
  <c r="I2127" i="1" a="1"/>
  <c r="I2135" i="1" a="1"/>
  <c r="I2143" i="1" a="1"/>
  <c r="I2151" i="1" a="1"/>
  <c r="I2159" i="1" a="1"/>
  <c r="I2167" i="1" a="1"/>
  <c r="I2175" i="1" a="1"/>
  <c r="I2183" i="1" a="1"/>
  <c r="I2191" i="1" a="1"/>
  <c r="I1258" i="1" a="1"/>
  <c r="I1358" i="1" a="1"/>
  <c r="I1430" i="1" a="1"/>
  <c r="I1499" i="1" a="1"/>
  <c r="I1549" i="1" a="1"/>
  <c r="I1597" i="1" a="1"/>
  <c r="I1668" i="1" a="1"/>
  <c r="I1718" i="1" a="1"/>
  <c r="I1759" i="1" a="1"/>
  <c r="I1776" i="1" a="1"/>
  <c r="I1814" i="1" a="1"/>
  <c r="I1830" i="1" a="1"/>
  <c r="I1846" i="1" a="1"/>
  <c r="I1862" i="1" a="1"/>
  <c r="I1878" i="1" a="1"/>
  <c r="I1894" i="1" a="1"/>
  <c r="I1947" i="1" a="1"/>
  <c r="I1970" i="1" a="1"/>
  <c r="I1991" i="1" a="1"/>
  <c r="I2002" i="1" a="1"/>
  <c r="I2023" i="1" a="1"/>
  <c r="I2034" i="1" a="1"/>
  <c r="I2055" i="1" a="1"/>
  <c r="I2075" i="1" a="1"/>
  <c r="I1027" i="1" a="1"/>
  <c r="I1359" i="1" a="1"/>
  <c r="I1441" i="1" a="1"/>
  <c r="I1500" i="1" a="1"/>
  <c r="I1605" i="1" a="1"/>
  <c r="I1640" i="1" a="1"/>
  <c r="I1669" i="1" a="1"/>
  <c r="I1696" i="1" a="1"/>
  <c r="I1798" i="1" a="1"/>
  <c r="I1909" i="1" a="1"/>
  <c r="I1923" i="1" a="1"/>
  <c r="I1935" i="1" a="1"/>
  <c r="I1948" i="1" a="1"/>
  <c r="I1959" i="1" a="1"/>
  <c r="I1971" i="1" a="1"/>
  <c r="I1981" i="1" a="1"/>
  <c r="I2003" i="1" a="1"/>
  <c r="I2013" i="1" a="1"/>
  <c r="I2035" i="1" a="1"/>
  <c r="I2045" i="1" a="1"/>
  <c r="I2065" i="1" a="1"/>
  <c r="I2085" i="1" a="1"/>
  <c r="I2095" i="1" a="1"/>
  <c r="I2104" i="1" a="1"/>
  <c r="I2112" i="1" a="1"/>
  <c r="I2120" i="1" a="1"/>
  <c r="I2128" i="1" a="1"/>
  <c r="I2136" i="1" a="1"/>
  <c r="I2144" i="1" a="1"/>
  <c r="I2152" i="1" a="1"/>
  <c r="I2160" i="1" a="1"/>
  <c r="I2168" i="1" a="1"/>
  <c r="I2176" i="1" a="1"/>
  <c r="I2184" i="1" a="1"/>
  <c r="I2192" i="1" a="1"/>
  <c r="I2200" i="1" a="1"/>
  <c r="I2208" i="1" a="1"/>
  <c r="I1259" i="1" a="1"/>
  <c r="I1558" i="1" a="1"/>
  <c r="I1641" i="1" a="1"/>
  <c r="I1742" i="1" a="1"/>
  <c r="I1760" i="1" a="1"/>
  <c r="I1815" i="1" a="1"/>
  <c r="I1831" i="1" a="1"/>
  <c r="I1847" i="1" a="1"/>
  <c r="I1863" i="1" a="1"/>
  <c r="I1879" i="1" a="1"/>
  <c r="I1895" i="1" a="1"/>
  <c r="I1910" i="1" a="1"/>
  <c r="I1924" i="1" a="1"/>
  <c r="I1982" i="1" a="1"/>
  <c r="I1992" i="1" a="1"/>
  <c r="I2014" i="1" a="1"/>
  <c r="I2024" i="1" a="1"/>
  <c r="I2046" i="1" a="1"/>
  <c r="I2056" i="1" a="1"/>
  <c r="I2066" i="1" a="1"/>
  <c r="I2076" i="1" a="1"/>
  <c r="I2086" i="1" a="1"/>
  <c r="I1285" i="1" a="1"/>
  <c r="I1372" i="1" a="1"/>
  <c r="I1444" i="1" a="1"/>
  <c r="I1509" i="1" a="1"/>
  <c r="I1606" i="1" a="1"/>
  <c r="I1670" i="1" a="1"/>
  <c r="I1720" i="1" a="1"/>
  <c r="I1782" i="1" a="1"/>
  <c r="I1799" i="1" a="1"/>
  <c r="I1936" i="1" a="1"/>
  <c r="I1949" i="1" a="1"/>
  <c r="I1960" i="1" a="1"/>
  <c r="I1972" i="1" a="1"/>
  <c r="I2004" i="1" a="1"/>
  <c r="I2036" i="1" a="1"/>
  <c r="I2067" i="1" a="1"/>
  <c r="I2096" i="1" a="1"/>
  <c r="I2105" i="1" a="1"/>
  <c r="I2113" i="1" a="1"/>
  <c r="I2121" i="1" a="1"/>
  <c r="I2129" i="1" a="1"/>
  <c r="I2137" i="1" a="1"/>
  <c r="I2145" i="1" a="1"/>
  <c r="I2153" i="1" a="1"/>
  <c r="I2161" i="1" a="1"/>
  <c r="I2169" i="1" a="1"/>
  <c r="I2177" i="1" a="1"/>
  <c r="I2185" i="1" a="1"/>
  <c r="I2193" i="1" a="1"/>
  <c r="I2201" i="1" a="1"/>
  <c r="I2209" i="1" a="1"/>
  <c r="I2217" i="1" a="1"/>
  <c r="I1286" i="1" a="1"/>
  <c r="I1559" i="1" a="1"/>
  <c r="I1614" i="1" a="1"/>
  <c r="I1642" i="1" a="1"/>
  <c r="I1702" i="1" a="1"/>
  <c r="I1816" i="1" a="1"/>
  <c r="I1832" i="1" a="1"/>
  <c r="I1848" i="1" a="1"/>
  <c r="I1864" i="1" a="1"/>
  <c r="I1880" i="1" a="1"/>
  <c r="I1896" i="1" a="1"/>
  <c r="I1911" i="1" a="1"/>
  <c r="I1925" i="1" a="1"/>
  <c r="I1950" i="1" a="1"/>
  <c r="I1983" i="1" a="1"/>
  <c r="I1994" i="1" a="1"/>
  <c r="I2015" i="1" a="1"/>
  <c r="I2026" i="1" a="1"/>
  <c r="I2047" i="1" a="1"/>
  <c r="I2057" i="1" a="1"/>
  <c r="I2077" i="1" a="1"/>
  <c r="I2087" i="1" a="1"/>
  <c r="I1103" i="1" a="1"/>
  <c r="I1568" i="1" a="1"/>
  <c r="I1912" i="1" a="1"/>
  <c r="I2037" i="1" a="1"/>
  <c r="I2088" i="1" a="1"/>
  <c r="I2131" i="1" a="1"/>
  <c r="I2202" i="1" a="1"/>
  <c r="I2242" i="1" a="1"/>
  <c r="I2259" i="1" a="1"/>
  <c r="I2280" i="1" a="1"/>
  <c r="I2297" i="1" a="1"/>
  <c r="I2335" i="1" a="1"/>
  <c r="I2491" i="1" a="1"/>
  <c r="I2504" i="1" a="1"/>
  <c r="I1107" i="1" a="1"/>
  <c r="I1744" i="1" a="1"/>
  <c r="I2038" i="1" a="1"/>
  <c r="I2138" i="1" a="1"/>
  <c r="I2171" i="1" a="1"/>
  <c r="I2225" i="1" a="1"/>
  <c r="I2263" i="1" a="1"/>
  <c r="I2298" i="1" a="1"/>
  <c r="I2315" i="1" a="1"/>
  <c r="I2336" i="1" a="1"/>
  <c r="I2353" i="1" a="1"/>
  <c r="I2370" i="1" a="1"/>
  <c r="I2386" i="1" a="1"/>
  <c r="I2402" i="1" a="1"/>
  <c r="I2418" i="1" a="1"/>
  <c r="I2434" i="1" a="1"/>
  <c r="I2450" i="1" a="1"/>
  <c r="I2466" i="1" a="1"/>
  <c r="I2481" i="1" a="1"/>
  <c r="I2492" i="1" a="1"/>
  <c r="I2515" i="1" a="1"/>
  <c r="I2527" i="1" a="1"/>
  <c r="I2535" i="1" a="1"/>
  <c r="I2543" i="1" a="1"/>
  <c r="I2551" i="1" a="1"/>
  <c r="I2559" i="1" a="1"/>
  <c r="I2567" i="1" a="1"/>
  <c r="I2575" i="1" a="1"/>
  <c r="I2583" i="1" a="1"/>
  <c r="I2591" i="1" a="1"/>
  <c r="I2599" i="1" a="1"/>
  <c r="I2607" i="1" a="1"/>
  <c r="I2615" i="1" a="1"/>
  <c r="I2623" i="1" a="1"/>
  <c r="I2631" i="1" a="1"/>
  <c r="I2639" i="1" a="1"/>
  <c r="I2647" i="1" a="1"/>
  <c r="I2655" i="1" a="1"/>
  <c r="I2663" i="1" a="1"/>
  <c r="I2671" i="1" a="1"/>
  <c r="I2679" i="1" a="1"/>
  <c r="I2687" i="1" a="1"/>
  <c r="I2695" i="1" a="1"/>
  <c r="I2703" i="1" a="1"/>
  <c r="I2711" i="1" a="1"/>
  <c r="I2719" i="1" a="1"/>
  <c r="I2727" i="1" a="1"/>
  <c r="I2735" i="1" a="1"/>
  <c r="I2743" i="1" a="1"/>
  <c r="I2751" i="1" a="1"/>
  <c r="I2759" i="1" a="1"/>
  <c r="I2767" i="1" a="1"/>
  <c r="I2775" i="1" a="1"/>
  <c r="I2783" i="1" a="1"/>
  <c r="I2791" i="1" a="1"/>
  <c r="I2799" i="1" a="1"/>
  <c r="I2807" i="1" a="1"/>
  <c r="I2815" i="1" a="1"/>
  <c r="I2823" i="1" a="1"/>
  <c r="I1837" i="1" a="1"/>
  <c r="I1926" i="1" a="1"/>
  <c r="I1984" i="1" a="1"/>
  <c r="I2097" i="1" a="1"/>
  <c r="I2203" i="1" a="1"/>
  <c r="I2226" i="1" a="1"/>
  <c r="I2243" i="1" a="1"/>
  <c r="I2264" i="1" a="1"/>
  <c r="I2281" i="1" a="1"/>
  <c r="I2319" i="1" a="1"/>
  <c r="I2354" i="1" a="1"/>
  <c r="I2493" i="1" a="1"/>
  <c r="I2505" i="1" a="1"/>
  <c r="I2516" i="1" a="1"/>
  <c r="I1615" i="1" a="1"/>
  <c r="I2098" i="1" a="1"/>
  <c r="I2139" i="1" a="1"/>
  <c r="I2178" i="1" a="1"/>
  <c r="I2207" i="1" a="1"/>
  <c r="I2247" i="1" a="1"/>
  <c r="I2282" i="1" a="1"/>
  <c r="I2299" i="1" a="1"/>
  <c r="I2320" i="1" a="1"/>
  <c r="I2337" i="1" a="1"/>
  <c r="I2371" i="1" a="1"/>
  <c r="I2387" i="1" a="1"/>
  <c r="I2403" i="1" a="1"/>
  <c r="I2419" i="1" a="1"/>
  <c r="I2435" i="1" a="1"/>
  <c r="I2451" i="1" a="1"/>
  <c r="I2467" i="1" a="1"/>
  <c r="I2482" i="1" a="1"/>
  <c r="I2494" i="1" a="1"/>
  <c r="I2517" i="1" a="1"/>
  <c r="I2528" i="1" a="1"/>
  <c r="I2536" i="1" a="1"/>
  <c r="I2544" i="1" a="1"/>
  <c r="I2552" i="1" a="1"/>
  <c r="I2560" i="1" a="1"/>
  <c r="I2568" i="1" a="1"/>
  <c r="I2576" i="1" a="1"/>
  <c r="I2584" i="1" a="1"/>
  <c r="I2592" i="1" a="1"/>
  <c r="I2600" i="1" a="1"/>
  <c r="I2608" i="1" a="1"/>
  <c r="I2616" i="1" a="1"/>
  <c r="I2624" i="1" a="1"/>
  <c r="I2632" i="1" a="1"/>
  <c r="I2640" i="1" a="1"/>
  <c r="I2648" i="1" a="1"/>
  <c r="I2656" i="1" a="1"/>
  <c r="I2664" i="1" a="1"/>
  <c r="I2672" i="1" a="1"/>
  <c r="I2680" i="1" a="1"/>
  <c r="I2688" i="1" a="1"/>
  <c r="I2696" i="1" a="1"/>
  <c r="I2704" i="1" a="1"/>
  <c r="I2712" i="1" a="1"/>
  <c r="I2720" i="1" a="1"/>
  <c r="I2728" i="1" a="1"/>
  <c r="I2736" i="1" a="1"/>
  <c r="I2744" i="1" a="1"/>
  <c r="I2752" i="1" a="1"/>
  <c r="I2760" i="1" a="1"/>
  <c r="I2768" i="1" a="1"/>
  <c r="I2776" i="1" a="1"/>
  <c r="I2784" i="1" a="1"/>
  <c r="I2792" i="1" a="1"/>
  <c r="I2800" i="1" a="1"/>
  <c r="I2808" i="1" a="1"/>
  <c r="I2816" i="1" a="1"/>
  <c r="I2824" i="1" a="1"/>
  <c r="I2832" i="1" a="1"/>
  <c r="I2840" i="1" a="1"/>
  <c r="I2848" i="1" a="1"/>
  <c r="I2856" i="1" a="1"/>
  <c r="I2864" i="1" a="1"/>
  <c r="I2872" i="1" a="1"/>
  <c r="I2880" i="1" a="1"/>
  <c r="I2888" i="1" a="1"/>
  <c r="I2896" i="1" a="1"/>
  <c r="I2904" i="1" a="1"/>
  <c r="I2912" i="1" a="1"/>
  <c r="I2920" i="1" a="1"/>
  <c r="I2928" i="1" a="1"/>
  <c r="I1307" i="1" a="1"/>
  <c r="I1622" i="1" a="1"/>
  <c r="I1766" i="1" a="1"/>
  <c r="I1927" i="1" a="1"/>
  <c r="I1995" i="1" a="1"/>
  <c r="I2048" i="1" a="1"/>
  <c r="I2099" i="1" a="1"/>
  <c r="I2146" i="1" a="1"/>
  <c r="I2227" i="1" a="1"/>
  <c r="I2248" i="1" a="1"/>
  <c r="I2265" i="1" a="1"/>
  <c r="I2303" i="1" a="1"/>
  <c r="I2338" i="1" a="1"/>
  <c r="I2355" i="1" a="1"/>
  <c r="I2375" i="1" a="1"/>
  <c r="I2391" i="1" a="1"/>
  <c r="I2407" i="1" a="1"/>
  <c r="I2423" i="1" a="1"/>
  <c r="I2439" i="1" a="1"/>
  <c r="I2455" i="1" a="1"/>
  <c r="I2468" i="1" a="1"/>
  <c r="I2495" i="1" a="1"/>
  <c r="I2506" i="1" a="1"/>
  <c r="I2518" i="1" a="1"/>
  <c r="I1853" i="1" a="1"/>
  <c r="I1939" i="1" a="1"/>
  <c r="I2106" i="1" a="1"/>
  <c r="I2179" i="1" a="1"/>
  <c r="I2210" i="1" a="1"/>
  <c r="I2231" i="1" a="1"/>
  <c r="I2266" i="1" a="1"/>
  <c r="I2283" i="1" a="1"/>
  <c r="I2304" i="1" a="1"/>
  <c r="I2321" i="1" a="1"/>
  <c r="I2359" i="1" a="1"/>
  <c r="I2376" i="1" a="1"/>
  <c r="I2392" i="1" a="1"/>
  <c r="I2408" i="1" a="1"/>
  <c r="I2424" i="1" a="1"/>
  <c r="I2440" i="1" a="1"/>
  <c r="I2456" i="1" a="1"/>
  <c r="I2471" i="1" a="1"/>
  <c r="I2483" i="1" a="1"/>
  <c r="I2496" i="1" a="1"/>
  <c r="I2519" i="1" a="1"/>
  <c r="I2529" i="1" a="1"/>
  <c r="I2537" i="1" a="1"/>
  <c r="I2545" i="1" a="1"/>
  <c r="I2553" i="1" a="1"/>
  <c r="I2561" i="1" a="1"/>
  <c r="I2569" i="1" a="1"/>
  <c r="I2577" i="1" a="1"/>
  <c r="I2585" i="1" a="1"/>
  <c r="I2593" i="1" a="1"/>
  <c r="I2601" i="1" a="1"/>
  <c r="I2609" i="1" a="1"/>
  <c r="I2617" i="1" a="1"/>
  <c r="I2625" i="1" a="1"/>
  <c r="I2633" i="1" a="1"/>
  <c r="I2641" i="1" a="1"/>
  <c r="I2649" i="1" a="1"/>
  <c r="I2657" i="1" a="1"/>
  <c r="I2665" i="1" a="1"/>
  <c r="I2673" i="1" a="1"/>
  <c r="I2681" i="1" a="1"/>
  <c r="I2689" i="1" a="1"/>
  <c r="I2697" i="1" a="1"/>
  <c r="I2705" i="1" a="1"/>
  <c r="I2713" i="1" a="1"/>
  <c r="I2721" i="1" a="1"/>
  <c r="I2729" i="1" a="1"/>
  <c r="I2737" i="1" a="1"/>
  <c r="I2745" i="1" a="1"/>
  <c r="I2753" i="1" a="1"/>
  <c r="I2761" i="1" a="1"/>
  <c r="I2769" i="1" a="1"/>
  <c r="I2777" i="1" a="1"/>
  <c r="I2785" i="1" a="1"/>
  <c r="I2793" i="1" a="1"/>
  <c r="I2801" i="1" a="1"/>
  <c r="I2809" i="1" a="1"/>
  <c r="I2817" i="1" a="1"/>
  <c r="I2825" i="1" a="1"/>
  <c r="I2833" i="1" a="1"/>
  <c r="I2841" i="1" a="1"/>
  <c r="I2849" i="1" a="1"/>
  <c r="I2857" i="1" a="1"/>
  <c r="I2865" i="1" a="1"/>
  <c r="I2873" i="1" a="1"/>
  <c r="I2881" i="1" a="1"/>
  <c r="I2889" i="1" a="1"/>
  <c r="I2897" i="1" a="1"/>
  <c r="I2905" i="1" a="1"/>
  <c r="I2913" i="1" a="1"/>
  <c r="I2921" i="1" a="1"/>
  <c r="I1649" i="1" a="1"/>
  <c r="I1767" i="1" a="1"/>
  <c r="I1940" i="1" a="1"/>
  <c r="I1996" i="1" a="1"/>
  <c r="I2058" i="1" a="1"/>
  <c r="I2147" i="1" a="1"/>
  <c r="I2232" i="1" a="1"/>
  <c r="I2249" i="1" a="1"/>
  <c r="I2287" i="1" a="1"/>
  <c r="I2322" i="1" a="1"/>
  <c r="I2339" i="1" a="1"/>
  <c r="I2360" i="1" a="1"/>
  <c r="I2472" i="1" a="1"/>
  <c r="I2484" i="1" a="1"/>
  <c r="I2507" i="1" a="1"/>
  <c r="I2520" i="1" a="1"/>
  <c r="I1385" i="1" a="1"/>
  <c r="I1650" i="1" a="1"/>
  <c r="I1783" i="1" a="1"/>
  <c r="I2005" i="1" a="1"/>
  <c r="I2059" i="1" a="1"/>
  <c r="I2107" i="1" a="1"/>
  <c r="I2154" i="1" a="1"/>
  <c r="I2186" i="1" a="1"/>
  <c r="I2211" i="1" a="1"/>
  <c r="I2250" i="1" a="1"/>
  <c r="I2267" i="1" a="1"/>
  <c r="I2288" i="1" a="1"/>
  <c r="I2305" i="1" a="1"/>
  <c r="I2343" i="1" a="1"/>
  <c r="I2377" i="1" a="1"/>
  <c r="I2393" i="1" a="1"/>
  <c r="I2409" i="1" a="1"/>
  <c r="I2425" i="1" a="1"/>
  <c r="I2441" i="1" a="1"/>
  <c r="I2457" i="1" a="1"/>
  <c r="I2485" i="1" a="1"/>
  <c r="I2497" i="1" a="1"/>
  <c r="I2508" i="1" a="1"/>
  <c r="I2530" i="1" a="1"/>
  <c r="I2538" i="1" a="1"/>
  <c r="I2546" i="1" a="1"/>
  <c r="I2554" i="1" a="1"/>
  <c r="I2562" i="1" a="1"/>
  <c r="I2570" i="1" a="1"/>
  <c r="I2578" i="1" a="1"/>
  <c r="I2586" i="1" a="1"/>
  <c r="I2594" i="1" a="1"/>
  <c r="I2602" i="1" a="1"/>
  <c r="I2610" i="1" a="1"/>
  <c r="I2618" i="1" a="1"/>
  <c r="I2626" i="1" a="1"/>
  <c r="I2634" i="1" a="1"/>
  <c r="I2642" i="1" a="1"/>
  <c r="I2650" i="1" a="1"/>
  <c r="I2658" i="1" a="1"/>
  <c r="I2666" i="1" a="1"/>
  <c r="I2674" i="1" a="1"/>
  <c r="I1677" i="1" a="1"/>
  <c r="I1869" i="1" a="1"/>
  <c r="I2006" i="1" a="1"/>
  <c r="I2114" i="1" a="1"/>
  <c r="I2215" i="1" a="1"/>
  <c r="I2233" i="1" a="1"/>
  <c r="I2271" i="1" a="1"/>
  <c r="I2306" i="1" a="1"/>
  <c r="I2323" i="1" a="1"/>
  <c r="I2344" i="1" a="1"/>
  <c r="I2361" i="1" a="1"/>
  <c r="I2473" i="1" a="1"/>
  <c r="I2486" i="1" a="1"/>
  <c r="I2509" i="1" a="1"/>
  <c r="I2521" i="1" a="1"/>
  <c r="I1456" i="1" a="1"/>
  <c r="I1678" i="1" a="1"/>
  <c r="I1784" i="1" a="1"/>
  <c r="I1951" i="1" a="1"/>
  <c r="I2068" i="1" a="1"/>
  <c r="I2155" i="1" a="1"/>
  <c r="I2187" i="1" a="1"/>
  <c r="I2216" i="1" a="1"/>
  <c r="I2234" i="1" a="1"/>
  <c r="I2251" i="1" a="1"/>
  <c r="I2272" i="1" a="1"/>
  <c r="I2289" i="1" a="1"/>
  <c r="I2327" i="1" a="1"/>
  <c r="I2362" i="1" a="1"/>
  <c r="I2378" i="1" a="1"/>
  <c r="I2394" i="1" a="1"/>
  <c r="I2410" i="1" a="1"/>
  <c r="I2426" i="1" a="1"/>
  <c r="I2442" i="1" a="1"/>
  <c r="I2458" i="1" a="1"/>
  <c r="I2487" i="1" a="1"/>
  <c r="I2498" i="1" a="1"/>
  <c r="I1800" i="1" a="1"/>
  <c r="I2115" i="1" a="1"/>
  <c r="I2255" i="1" a="1"/>
  <c r="I2290" i="1" a="1"/>
  <c r="I2307" i="1" a="1"/>
  <c r="I2328" i="1" a="1"/>
  <c r="I2345" i="1" a="1"/>
  <c r="I2474" i="1" a="1"/>
  <c r="I2488" i="1" a="1"/>
  <c r="I2511" i="1" a="1"/>
  <c r="I2522" i="1" a="1"/>
  <c r="I1467" i="1" a="1"/>
  <c r="I1885" i="1" a="1"/>
  <c r="I1962" i="1" a="1"/>
  <c r="I2016" i="1" a="1"/>
  <c r="I2069" i="1" a="1"/>
  <c r="I2122" i="1" a="1"/>
  <c r="I2162" i="1" a="1"/>
  <c r="I2194" i="1" a="1"/>
  <c r="I2218" i="1" a="1"/>
  <c r="I2235" i="1" a="1"/>
  <c r="I2256" i="1" a="1"/>
  <c r="I2273" i="1" a="1"/>
  <c r="I2311" i="1" a="1"/>
  <c r="I2346" i="1" a="1"/>
  <c r="I2363" i="1" a="1"/>
  <c r="I2379" i="1" a="1"/>
  <c r="I2395" i="1" a="1"/>
  <c r="I2411" i="1" a="1"/>
  <c r="I2427" i="1" a="1"/>
  <c r="I2443" i="1" a="1"/>
  <c r="I2459" i="1" a="1"/>
  <c r="I2499" i="1" a="1"/>
  <c r="I2512" i="1" a="1"/>
  <c r="I2532" i="1" a="1"/>
  <c r="I2540" i="1" a="1"/>
  <c r="I2548" i="1" a="1"/>
  <c r="I2556" i="1" a="1"/>
  <c r="I2564" i="1" a="1"/>
  <c r="I2572" i="1" a="1"/>
  <c r="I2580" i="1" a="1"/>
  <c r="I2588" i="1" a="1"/>
  <c r="I2596" i="1" a="1"/>
  <c r="I2604" i="1" a="1"/>
  <c r="I2612" i="1" a="1"/>
  <c r="I2620" i="1" a="1"/>
  <c r="I2628" i="1" a="1"/>
  <c r="I2636" i="1" a="1"/>
  <c r="I2644" i="1" a="1"/>
  <c r="I2652" i="1" a="1"/>
  <c r="I2660" i="1" a="1"/>
  <c r="I2668" i="1" a="1"/>
  <c r="I2676" i="1" a="1"/>
  <c r="I2684" i="1" a="1"/>
  <c r="I2692" i="1" a="1"/>
  <c r="I2700" i="1" a="1"/>
  <c r="I2708" i="1" a="1"/>
  <c r="I2716" i="1" a="1"/>
  <c r="I2724" i="1" a="1"/>
  <c r="I2732" i="1" a="1"/>
  <c r="I2740" i="1" a="1"/>
  <c r="I2748" i="1" a="1"/>
  <c r="I2756" i="1" a="1"/>
  <c r="I2764" i="1" a="1"/>
  <c r="I2772" i="1" a="1"/>
  <c r="I1510" i="1" a="1"/>
  <c r="I1963" i="1" a="1"/>
  <c r="I2078" i="1" a="1"/>
  <c r="I2239" i="1" a="1"/>
  <c r="I2274" i="1" a="1"/>
  <c r="I2291" i="1" a="1"/>
  <c r="I2312" i="1" a="1"/>
  <c r="I2329" i="1" a="1"/>
  <c r="I2367" i="1" a="1"/>
  <c r="I2383" i="1" a="1"/>
  <c r="I2399" i="1" a="1"/>
  <c r="I2415" i="1" a="1"/>
  <c r="I2431" i="1" a="1"/>
  <c r="I2447" i="1" a="1"/>
  <c r="I2463" i="1" a="1"/>
  <c r="I2475" i="1" a="1"/>
  <c r="I2489" i="1" a="1"/>
  <c r="I2500" i="1" a="1"/>
  <c r="I2523" i="1" a="1"/>
  <c r="I2224" i="1" a="1"/>
  <c r="I2330" i="1" a="1"/>
  <c r="I2539" i="1" a="1"/>
  <c r="I2571" i="1" a="1"/>
  <c r="I2603" i="1" a="1"/>
  <c r="I2635" i="1" a="1"/>
  <c r="I2667" i="1" a="1"/>
  <c r="I2718" i="1" a="1"/>
  <c r="I2746" i="1" a="1"/>
  <c r="I2771" i="1" a="1"/>
  <c r="I2794" i="1" a="1"/>
  <c r="I2835" i="1" a="1"/>
  <c r="I2853" i="1" a="1"/>
  <c r="I2870" i="1" a="1"/>
  <c r="I2890" i="1" a="1"/>
  <c r="I2908" i="1" a="1"/>
  <c r="I2941" i="1" a="1"/>
  <c r="I2955" i="1" a="1"/>
  <c r="I2968" i="1" a="1"/>
  <c r="I2981" i="1" a="1"/>
  <c r="I2994" i="1" a="1"/>
  <c r="I1519" i="1" a="1"/>
  <c r="I2028" i="1" a="1"/>
  <c r="I2240" i="1" a="1"/>
  <c r="I2417" i="1" a="1"/>
  <c r="I2501" i="1" a="1"/>
  <c r="I2541" i="1" a="1"/>
  <c r="I2573" i="1" a="1"/>
  <c r="I2605" i="1" a="1"/>
  <c r="I2637" i="1" a="1"/>
  <c r="I2669" i="1" a="1"/>
  <c r="I2694" i="1" a="1"/>
  <c r="I2722" i="1" a="1"/>
  <c r="I2747" i="1" a="1"/>
  <c r="I2773" i="1" a="1"/>
  <c r="I2795" i="1" a="1"/>
  <c r="I2814" i="1" a="1"/>
  <c r="I2836" i="1" a="1"/>
  <c r="I2871" i="1" a="1"/>
  <c r="I2891" i="1" a="1"/>
  <c r="I2909" i="1" a="1"/>
  <c r="I2926" i="1" a="1"/>
  <c r="I2956" i="1" a="1"/>
  <c r="I2969" i="1" a="1"/>
  <c r="I2995" i="1" a="1"/>
  <c r="I3006" i="1" a="1"/>
  <c r="I3014" i="1" a="1"/>
  <c r="I3022" i="1" a="1"/>
  <c r="I3030" i="1" a="1"/>
  <c r="I3038" i="1" a="1"/>
  <c r="I3046" i="1" a="1"/>
  <c r="I3054" i="1" a="1"/>
  <c r="I3062" i="1" a="1"/>
  <c r="I3070" i="1" a="1"/>
  <c r="I3078" i="1" a="1"/>
  <c r="I3086" i="1" a="1"/>
  <c r="I3094" i="1" a="1"/>
  <c r="I3102" i="1" a="1"/>
  <c r="I3110" i="1" a="1"/>
  <c r="I3118" i="1" a="1"/>
  <c r="I3126" i="1" a="1"/>
  <c r="I3134" i="1" a="1"/>
  <c r="I3142" i="1" a="1"/>
  <c r="I3150" i="1" a="1"/>
  <c r="I3158" i="1" a="1"/>
  <c r="I3166" i="1" a="1"/>
  <c r="I3174" i="1" a="1"/>
  <c r="I3182" i="1" a="1"/>
  <c r="I3190" i="1" a="1"/>
  <c r="I3198" i="1" a="1"/>
  <c r="I3206" i="1" a="1"/>
  <c r="I3214" i="1" a="1"/>
  <c r="I3222" i="1" a="1"/>
  <c r="I3230" i="1" a="1"/>
  <c r="I3238" i="1" a="1"/>
  <c r="I3246" i="1" a="1"/>
  <c r="I3254" i="1" a="1"/>
  <c r="I3262" i="1" a="1"/>
  <c r="I3270" i="1" a="1"/>
  <c r="I3278" i="1" a="1"/>
  <c r="I3286" i="1" a="1"/>
  <c r="I3294" i="1" a="1"/>
  <c r="I3302" i="1" a="1"/>
  <c r="I3310" i="1" a="1"/>
  <c r="I3318" i="1" a="1"/>
  <c r="I3326" i="1" a="1"/>
  <c r="I3334" i="1" a="1"/>
  <c r="I3342" i="1" a="1"/>
  <c r="I2331" i="1" a="1"/>
  <c r="I2432" i="1" a="1"/>
  <c r="I2502" i="1" a="1"/>
  <c r="I2698" i="1" a="1"/>
  <c r="I2723" i="1" a="1"/>
  <c r="I2749" i="1" a="1"/>
  <c r="I2796" i="1" a="1"/>
  <c r="I2818" i="1" a="1"/>
  <c r="I2837" i="1" a="1"/>
  <c r="I2854" i="1" a="1"/>
  <c r="I2874" i="1" a="1"/>
  <c r="I2892" i="1" a="1"/>
  <c r="I2927" i="1" a="1"/>
  <c r="I2942" i="1" a="1"/>
  <c r="I2957" i="1" a="1"/>
  <c r="I2970" i="1" a="1"/>
  <c r="I2982" i="1" a="1"/>
  <c r="I2996" i="1" a="1"/>
  <c r="I1704" i="1" a="1"/>
  <c r="I2079" i="1" a="1"/>
  <c r="I2241" i="1" a="1"/>
  <c r="I2347" i="1" a="1"/>
  <c r="I2503" i="1" a="1"/>
  <c r="I2542" i="1" a="1"/>
  <c r="I2574" i="1" a="1"/>
  <c r="I2606" i="1" a="1"/>
  <c r="I2638" i="1" a="1"/>
  <c r="I2670" i="1" a="1"/>
  <c r="I2699" i="1" a="1"/>
  <c r="I2725" i="1" a="1"/>
  <c r="I2774" i="1" a="1"/>
  <c r="I2797" i="1" a="1"/>
  <c r="I2819" i="1" a="1"/>
  <c r="I2855" i="1" a="1"/>
  <c r="I2875" i="1" a="1"/>
  <c r="I2893" i="1" a="1"/>
  <c r="I2910" i="1" a="1"/>
  <c r="I2929" i="1" a="1"/>
  <c r="I2943" i="1" a="1"/>
  <c r="I2971" i="1" a="1"/>
  <c r="I2983" i="1" a="1"/>
  <c r="I3007" i="1" a="1"/>
  <c r="I3015" i="1" a="1"/>
  <c r="I3023" i="1" a="1"/>
  <c r="I3031" i="1" a="1"/>
  <c r="I3039" i="1" a="1"/>
  <c r="I3047" i="1" a="1"/>
  <c r="I3055" i="1" a="1"/>
  <c r="I3063" i="1" a="1"/>
  <c r="I3071" i="1" a="1"/>
  <c r="I3079" i="1" a="1"/>
  <c r="I3087" i="1" a="1"/>
  <c r="I3095" i="1" a="1"/>
  <c r="I3103" i="1" a="1"/>
  <c r="I3111" i="1" a="1"/>
  <c r="I3119" i="1" a="1"/>
  <c r="I3127" i="1" a="1"/>
  <c r="I3135" i="1" a="1"/>
  <c r="I3143" i="1" a="1"/>
  <c r="I3151" i="1" a="1"/>
  <c r="I3159" i="1" a="1"/>
  <c r="I3167" i="1" a="1"/>
  <c r="I3175" i="1" a="1"/>
  <c r="I3183" i="1" a="1"/>
  <c r="I3191" i="1" a="1"/>
  <c r="I3199" i="1" a="1"/>
  <c r="I3207" i="1" a="1"/>
  <c r="I3215" i="1" a="1"/>
  <c r="I3223" i="1" a="1"/>
  <c r="I3231" i="1" a="1"/>
  <c r="I3239" i="1" a="1"/>
  <c r="I3247" i="1" a="1"/>
  <c r="I3255" i="1" a="1"/>
  <c r="I3263" i="1" a="1"/>
  <c r="I3271" i="1" a="1"/>
  <c r="I3279" i="1" a="1"/>
  <c r="I3287" i="1" a="1"/>
  <c r="I3295" i="1" a="1"/>
  <c r="I3303" i="1" a="1"/>
  <c r="I3311" i="1" a="1"/>
  <c r="I3319" i="1" a="1"/>
  <c r="I3327" i="1" a="1"/>
  <c r="I3335" i="1" a="1"/>
  <c r="I3343" i="1" a="1"/>
  <c r="I3351" i="1" a="1"/>
  <c r="I3359" i="1" a="1"/>
  <c r="I3367" i="1" a="1"/>
  <c r="I3375" i="1" a="1"/>
  <c r="I3383" i="1" a="1"/>
  <c r="I2257" i="1" a="1"/>
  <c r="I2351" i="1" a="1"/>
  <c r="I2433" i="1" a="1"/>
  <c r="I2510" i="1" a="1"/>
  <c r="I2547" i="1" a="1"/>
  <c r="I2579" i="1" a="1"/>
  <c r="I2611" i="1" a="1"/>
  <c r="I2643" i="1" a="1"/>
  <c r="I2675" i="1" a="1"/>
  <c r="I2701" i="1" a="1"/>
  <c r="I2750" i="1" a="1"/>
  <c r="I2778" i="1" a="1"/>
  <c r="I2820" i="1" a="1"/>
  <c r="I2838" i="1" a="1"/>
  <c r="I2858" i="1" a="1"/>
  <c r="I2876" i="1" a="1"/>
  <c r="I2911" i="1" a="1"/>
  <c r="I2930" i="1" a="1"/>
  <c r="I2944" i="1" a="1"/>
  <c r="I2958" i="1" a="1"/>
  <c r="I2972" i="1" a="1"/>
  <c r="I2984" i="1" a="1"/>
  <c r="I2997" i="1" a="1"/>
  <c r="I1726" i="1" a="1"/>
  <c r="I2123" i="1" a="1"/>
  <c r="I2258" i="1" a="1"/>
  <c r="I2352" i="1" a="1"/>
  <c r="I2448" i="1" a="1"/>
  <c r="I2513" i="1" a="1"/>
  <c r="I2549" i="1" a="1"/>
  <c r="I2613" i="1" a="1"/>
  <c r="I2645" i="1" a="1"/>
  <c r="I2677" i="1" a="1"/>
  <c r="I2726" i="1" a="1"/>
  <c r="I2754" i="1" a="1"/>
  <c r="I2779" i="1" a="1"/>
  <c r="I2798" i="1" a="1"/>
  <c r="I2821" i="1" a="1"/>
  <c r="I2839" i="1" a="1"/>
  <c r="I2859" i="1" a="1"/>
  <c r="I2877" i="1" a="1"/>
  <c r="I2894" i="1" a="1"/>
  <c r="I2914" i="1" a="1"/>
  <c r="I2931" i="1" a="1"/>
  <c r="I2945" i="1" a="1"/>
  <c r="I2959" i="1" a="1"/>
  <c r="I2985" i="1" a="1"/>
  <c r="I3008" i="1" a="1"/>
  <c r="I3016" i="1" a="1"/>
  <c r="I3024" i="1" a="1"/>
  <c r="I3032" i="1" a="1"/>
  <c r="I3040" i="1" a="1"/>
  <c r="I3048" i="1" a="1"/>
  <c r="I3056" i="1" a="1"/>
  <c r="I3064" i="1" a="1"/>
  <c r="I3072" i="1" a="1"/>
  <c r="I3080" i="1" a="1"/>
  <c r="I3088" i="1" a="1"/>
  <c r="I3096" i="1" a="1"/>
  <c r="I3104" i="1" a="1"/>
  <c r="I3112" i="1" a="1"/>
  <c r="I3120" i="1" a="1"/>
  <c r="I3128" i="1" a="1"/>
  <c r="I3136" i="1" a="1"/>
  <c r="I3144" i="1" a="1"/>
  <c r="I3152" i="1" a="1"/>
  <c r="I3160" i="1" a="1"/>
  <c r="I3168" i="1" a="1"/>
  <c r="I3176" i="1" a="1"/>
  <c r="I3184" i="1" a="1"/>
  <c r="I3192" i="1" a="1"/>
  <c r="I3200" i="1" a="1"/>
  <c r="I3208" i="1" a="1"/>
  <c r="I3216" i="1" a="1"/>
  <c r="I3224" i="1" a="1"/>
  <c r="I3232" i="1" a="1"/>
  <c r="I3240" i="1" a="1"/>
  <c r="I3248" i="1" a="1"/>
  <c r="I3256" i="1" a="1"/>
  <c r="I3264" i="1" a="1"/>
  <c r="I3272" i="1" a="1"/>
  <c r="I3280" i="1" a="1"/>
  <c r="I3288" i="1" a="1"/>
  <c r="I3296" i="1" a="1"/>
  <c r="I3304" i="1" a="1"/>
  <c r="I3312" i="1" a="1"/>
  <c r="I3320" i="1" a="1"/>
  <c r="I3328" i="1" a="1"/>
  <c r="I3336" i="1" a="1"/>
  <c r="I3344" i="1" a="1"/>
  <c r="I3352" i="1" a="1"/>
  <c r="I3360" i="1" a="1"/>
  <c r="I3368" i="1" a="1"/>
  <c r="I3376" i="1" a="1"/>
  <c r="I3384" i="1" a="1"/>
  <c r="I2130" i="1" a="1"/>
  <c r="I2368" i="1" a="1"/>
  <c r="I2702" i="1" a="1"/>
  <c r="I2730" i="1" a="1"/>
  <c r="I2755" i="1" a="1"/>
  <c r="I2780" i="1" a="1"/>
  <c r="I2802" i="1" a="1"/>
  <c r="I2842" i="1" a="1"/>
  <c r="I2860" i="1" a="1"/>
  <c r="I2895" i="1" a="1"/>
  <c r="I2915" i="1" a="1"/>
  <c r="I2932" i="1" a="1"/>
  <c r="I2946" i="1" a="1"/>
  <c r="I2960" i="1" a="1"/>
  <c r="I2973" i="1" a="1"/>
  <c r="I2986" i="1" a="1"/>
  <c r="I2998" i="1" a="1"/>
  <c r="I2449" i="1" a="1"/>
  <c r="I2514" i="1" a="1"/>
  <c r="I2550" i="1" a="1"/>
  <c r="I2582" i="1" a="1"/>
  <c r="I2614" i="1" a="1"/>
  <c r="I2646" i="1" a="1"/>
  <c r="I2678" i="1" a="1"/>
  <c r="I2706" i="1" a="1"/>
  <c r="I2731" i="1" a="1"/>
  <c r="I2757" i="1" a="1"/>
  <c r="I2781" i="1" a="1"/>
  <c r="I2803" i="1" a="1"/>
  <c r="I2822" i="1" a="1"/>
  <c r="I2843" i="1" a="1"/>
  <c r="I2861" i="1" a="1"/>
  <c r="I2878" i="1" a="1"/>
  <c r="I2898" i="1" a="1"/>
  <c r="I2916" i="1" a="1"/>
  <c r="I2933" i="1" a="1"/>
  <c r="I2947" i="1" a="1"/>
  <c r="I2961" i="1" a="1"/>
  <c r="I2987" i="1" a="1"/>
  <c r="I2999" i="1" a="1"/>
  <c r="I3009" i="1" a="1"/>
  <c r="I3017" i="1" a="1"/>
  <c r="I3025" i="1" a="1"/>
  <c r="I3033" i="1" a="1"/>
  <c r="I3041" i="1" a="1"/>
  <c r="I3049" i="1" a="1"/>
  <c r="I3057" i="1" a="1"/>
  <c r="I3065" i="1" a="1"/>
  <c r="I3073" i="1" a="1"/>
  <c r="I3081" i="1" a="1"/>
  <c r="I3089" i="1" a="1"/>
  <c r="I3097" i="1" a="1"/>
  <c r="I3105" i="1" a="1"/>
  <c r="I3113" i="1" a="1"/>
  <c r="I3121" i="1" a="1"/>
  <c r="I1821" i="1" a="1"/>
  <c r="I2163" i="1" a="1"/>
  <c r="I2275" i="1" a="1"/>
  <c r="I2369" i="1" a="1"/>
  <c r="I2464" i="1" a="1"/>
  <c r="I2555" i="1" a="1"/>
  <c r="I2587" i="1" a="1"/>
  <c r="I2619" i="1" a="1"/>
  <c r="I2651" i="1" a="1"/>
  <c r="I2682" i="1" a="1"/>
  <c r="I2707" i="1" a="1"/>
  <c r="I2733" i="1" a="1"/>
  <c r="I2804" i="1" a="1"/>
  <c r="I2826" i="1" a="1"/>
  <c r="I2844" i="1" a="1"/>
  <c r="I2879" i="1" a="1"/>
  <c r="I2899" i="1" a="1"/>
  <c r="I2917" i="1" a="1"/>
  <c r="I2948" i="1" a="1"/>
  <c r="I2962" i="1" a="1"/>
  <c r="I2974" i="1" a="1"/>
  <c r="I2988" i="1" a="1"/>
  <c r="I3000" i="1" a="1"/>
  <c r="I1899" i="1" a="1"/>
  <c r="I2279" i="1" a="1"/>
  <c r="I2384" i="1" a="1"/>
  <c r="I2524" i="1" a="1"/>
  <c r="I2557" i="1" a="1"/>
  <c r="I2170" i="1" a="1"/>
  <c r="I2295" i="1" a="1"/>
  <c r="I2465" i="1" a="1"/>
  <c r="I2525" i="1" a="1"/>
  <c r="I2685" i="1" a="1"/>
  <c r="I2734" i="1" a="1"/>
  <c r="I2762" i="1" a="1"/>
  <c r="I2786" i="1" a="1"/>
  <c r="I2828" i="1" a="1"/>
  <c r="I2863" i="1" a="1"/>
  <c r="I2883" i="1" a="1"/>
  <c r="I2901" i="1" a="1"/>
  <c r="I2918" i="1" a="1"/>
  <c r="I2935" i="1" a="1"/>
  <c r="I2964" i="1" a="1"/>
  <c r="I2976" i="1" a="1"/>
  <c r="I2989" i="1" a="1"/>
  <c r="I3002" i="1" a="1"/>
  <c r="I2195" i="1" a="1"/>
  <c r="I2296" i="1" a="1"/>
  <c r="I2385" i="1" a="1"/>
  <c r="I2476" i="1" a="1"/>
  <c r="I2526" i="1" a="1"/>
  <c r="I2558" i="1" a="1"/>
  <c r="I2590" i="1" a="1"/>
  <c r="I2622" i="1" a="1"/>
  <c r="I2654" i="1" a="1"/>
  <c r="I2710" i="1" a="1"/>
  <c r="I2738" i="1" a="1"/>
  <c r="I2763" i="1" a="1"/>
  <c r="I2787" i="1" a="1"/>
  <c r="I2806" i="1" a="1"/>
  <c r="I2829" i="1" a="1"/>
  <c r="I2846" i="1" a="1"/>
  <c r="I2866" i="1" a="1"/>
  <c r="I2884" i="1" a="1"/>
  <c r="I2919" i="1" a="1"/>
  <c r="I2936" i="1" a="1"/>
  <c r="I2950" i="1" a="1"/>
  <c r="I2977" i="1" a="1"/>
  <c r="I3003" i="1" a="1"/>
  <c r="I3011" i="1" a="1"/>
  <c r="I3019" i="1" a="1"/>
  <c r="I3027" i="1" a="1"/>
  <c r="I3035" i="1" a="1"/>
  <c r="I3043" i="1" a="1"/>
  <c r="I3051" i="1" a="1"/>
  <c r="I3059" i="1" a="1"/>
  <c r="I3067" i="1" a="1"/>
  <c r="I3075" i="1" a="1"/>
  <c r="I3083" i="1" a="1"/>
  <c r="I3091" i="1" a="1"/>
  <c r="I3099" i="1" a="1"/>
  <c r="I3107" i="1" a="1"/>
  <c r="I3115" i="1" a="1"/>
  <c r="I1964" i="1" a="1"/>
  <c r="I2199" i="1" a="1"/>
  <c r="I2400" i="1" a="1"/>
  <c r="I2479" i="1" a="1"/>
  <c r="I2531" i="1" a="1"/>
  <c r="I2563" i="1" a="1"/>
  <c r="I2595" i="1" a="1"/>
  <c r="I2627" i="1" a="1"/>
  <c r="I2659" i="1" a="1"/>
  <c r="I2686" i="1" a="1"/>
  <c r="I2714" i="1" a="1"/>
  <c r="I2739" i="1" a="1"/>
  <c r="I2765" i="1" a="1"/>
  <c r="I2788" i="1" a="1"/>
  <c r="I2810" i="1" a="1"/>
  <c r="I2847" i="1" a="1"/>
  <c r="I2867" i="1" a="1"/>
  <c r="I2885" i="1" a="1"/>
  <c r="I2902" i="1" a="1"/>
  <c r="I2922" i="1" a="1"/>
  <c r="I2937" i="1" a="1"/>
  <c r="I2951" i="1" a="1"/>
  <c r="I2965" i="1" a="1"/>
  <c r="I2978" i="1" a="1"/>
  <c r="I2990" i="1" a="1"/>
  <c r="I1973" i="1" a="1"/>
  <c r="I2662" i="1" a="1"/>
  <c r="I2770" i="1" a="1"/>
  <c r="I2852" i="1" a="1"/>
  <c r="I2925" i="1" a="1"/>
  <c r="I3021" i="1" a="1"/>
  <c r="I3053" i="1" a="1"/>
  <c r="I3085" i="1" a="1"/>
  <c r="I3117" i="1" a="1"/>
  <c r="I3163" i="1" a="1"/>
  <c r="I3185" i="1" a="1"/>
  <c r="I3226" i="1" a="1"/>
  <c r="I3281" i="1" a="1"/>
  <c r="I3297" i="1" a="1"/>
  <c r="I3313" i="1" a="1"/>
  <c r="I3329" i="1" a="1"/>
  <c r="I3345" i="1" a="1"/>
  <c r="I3357" i="1" a="1"/>
  <c r="I3372" i="1" a="1"/>
  <c r="I3387" i="1" a="1"/>
  <c r="I3398" i="1" a="1"/>
  <c r="I3421" i="1" a="1"/>
  <c r="I3434" i="1" a="1"/>
  <c r="I3457" i="1" a="1"/>
  <c r="I3468" i="1" a="1"/>
  <c r="I3480" i="1" a="1"/>
  <c r="I3503" i="1" a="1"/>
  <c r="I1974" i="1" a="1"/>
  <c r="I2534" i="1" a="1"/>
  <c r="I2683" i="1" a="1"/>
  <c r="I2782" i="1" a="1"/>
  <c r="I2862" i="1" a="1"/>
  <c r="I2934" i="1" a="1"/>
  <c r="I3026" i="1" a="1"/>
  <c r="I3058" i="1" a="1"/>
  <c r="I3090" i="1" a="1"/>
  <c r="I3122" i="1" a="1"/>
  <c r="I3141" i="1" a="1"/>
  <c r="I3164" i="1" a="1"/>
  <c r="I3186" i="1" a="1"/>
  <c r="I3205" i="1" a="1"/>
  <c r="I3227" i="1" a="1"/>
  <c r="I3244" i="1" a="1"/>
  <c r="I3261" i="1" a="1"/>
  <c r="I3282" i="1" a="1"/>
  <c r="I3298" i="1" a="1"/>
  <c r="I3314" i="1" a="1"/>
  <c r="I3330" i="1" a="1"/>
  <c r="I3346" i="1" a="1"/>
  <c r="I3358" i="1" a="1"/>
  <c r="I3399" i="1" a="1"/>
  <c r="I3411" i="1" a="1"/>
  <c r="I3422" i="1" a="1"/>
  <c r="I3445" i="1" a="1"/>
  <c r="I3458" i="1" a="1"/>
  <c r="I3481" i="1" a="1"/>
  <c r="I3492" i="1" a="1"/>
  <c r="I3504" i="1" a="1"/>
  <c r="I3515" i="1" a="1"/>
  <c r="I3523" i="1" a="1"/>
  <c r="I3531" i="1" a="1"/>
  <c r="I3539" i="1" a="1"/>
  <c r="I3547" i="1" a="1"/>
  <c r="I3555" i="1" a="1"/>
  <c r="I3563" i="1" a="1"/>
  <c r="I3571" i="1" a="1"/>
  <c r="I3579" i="1" a="1"/>
  <c r="I3587" i="1" a="1"/>
  <c r="I3595" i="1" a="1"/>
  <c r="I3603" i="1" a="1"/>
  <c r="I3611" i="1" a="1"/>
  <c r="I3619" i="1" a="1"/>
  <c r="I3627" i="1" a="1"/>
  <c r="I3635" i="1" a="1"/>
  <c r="I3643" i="1" a="1"/>
  <c r="I3651" i="1" a="1"/>
  <c r="I3659" i="1" a="1"/>
  <c r="I3667" i="1" a="1"/>
  <c r="I3675" i="1" a="1"/>
  <c r="I3683" i="1" a="1"/>
  <c r="I3691" i="1" a="1"/>
  <c r="I3699" i="1" a="1"/>
  <c r="I3707" i="1" a="1"/>
  <c r="I3715" i="1" a="1"/>
  <c r="I3723" i="1" a="1"/>
  <c r="I3731" i="1" a="1"/>
  <c r="I3739" i="1" a="1"/>
  <c r="I3747" i="1" a="1"/>
  <c r="I3755" i="1" a="1"/>
  <c r="I3763" i="1" a="1"/>
  <c r="I3771" i="1" a="1"/>
  <c r="I3779" i="1" a="1"/>
  <c r="I3787" i="1" a="1"/>
  <c r="I3795" i="1" a="1"/>
  <c r="I3803" i="1" a="1"/>
  <c r="I3811" i="1" a="1"/>
  <c r="I3819" i="1" a="1"/>
  <c r="I3827" i="1" a="1"/>
  <c r="I3835" i="1" a="1"/>
  <c r="I3843" i="1" a="1"/>
  <c r="I3851" i="1" a="1"/>
  <c r="I3859" i="1" a="1"/>
  <c r="I2027" i="1" a="1"/>
  <c r="I2565" i="1" a="1"/>
  <c r="I2690" i="1" a="1"/>
  <c r="I2789" i="1" a="1"/>
  <c r="I2868" i="1" a="1"/>
  <c r="I2938" i="1" a="1"/>
  <c r="I2991" i="1" a="1"/>
  <c r="I3028" i="1" a="1"/>
  <c r="I3060" i="1" a="1"/>
  <c r="I3092" i="1" a="1"/>
  <c r="I3123" i="1" a="1"/>
  <c r="I3145" i="1" a="1"/>
  <c r="I3187" i="1" a="1"/>
  <c r="I3209" i="1" a="1"/>
  <c r="I3265" i="1" a="1"/>
  <c r="I3361" i="1" a="1"/>
  <c r="I3373" i="1" a="1"/>
  <c r="I3388" i="1" a="1"/>
  <c r="I3400" i="1" a="1"/>
  <c r="I3423" i="1" a="1"/>
  <c r="I3435" i="1" a="1"/>
  <c r="I3446" i="1" a="1"/>
  <c r="I3469" i="1" a="1"/>
  <c r="I3482" i="1" a="1"/>
  <c r="I3505" i="1" a="1"/>
  <c r="I2691" i="1" a="1"/>
  <c r="I2869" i="1" a="1"/>
  <c r="I2939" i="1" a="1"/>
  <c r="I2992" i="1" a="1"/>
  <c r="I3124" i="1" a="1"/>
  <c r="I3146" i="1" a="1"/>
  <c r="I3165" i="1" a="1"/>
  <c r="I3188" i="1" a="1"/>
  <c r="I3210" i="1" a="1"/>
  <c r="I3228" i="1" a="1"/>
  <c r="I3245" i="1" a="1"/>
  <c r="I3266" i="1" a="1"/>
  <c r="I3283" i="1" a="1"/>
  <c r="I3299" i="1" a="1"/>
  <c r="I3315" i="1" a="1"/>
  <c r="I3331" i="1" a="1"/>
  <c r="I3347" i="1" a="1"/>
  <c r="I3362" i="1" a="1"/>
  <c r="I3374" i="1" a="1"/>
  <c r="I3401" i="1" a="1"/>
  <c r="I3412" i="1" a="1"/>
  <c r="I3424" i="1" a="1"/>
  <c r="I3447" i="1" a="1"/>
  <c r="I3459" i="1" a="1"/>
  <c r="I3470" i="1" a="1"/>
  <c r="I3493" i="1" a="1"/>
  <c r="I3506" i="1" a="1"/>
  <c r="I3516" i="1" a="1"/>
  <c r="I3524" i="1" a="1"/>
  <c r="I3532" i="1" a="1"/>
  <c r="I3540" i="1" a="1"/>
  <c r="I3548" i="1" a="1"/>
  <c r="I3556" i="1" a="1"/>
  <c r="I3564" i="1" a="1"/>
  <c r="I3572" i="1" a="1"/>
  <c r="I3580" i="1" a="1"/>
  <c r="I3588" i="1" a="1"/>
  <c r="I3596" i="1" a="1"/>
  <c r="I3604" i="1" a="1"/>
  <c r="I3612" i="1" a="1"/>
  <c r="I3620" i="1" a="1"/>
  <c r="I3628" i="1" a="1"/>
  <c r="I3636" i="1" a="1"/>
  <c r="I3644" i="1" a="1"/>
  <c r="I3652" i="1" a="1"/>
  <c r="I3660" i="1" a="1"/>
  <c r="I3668" i="1" a="1"/>
  <c r="I3676" i="1" a="1"/>
  <c r="I3684" i="1" a="1"/>
  <c r="I3692" i="1" a="1"/>
  <c r="I3700" i="1" a="1"/>
  <c r="I3708" i="1" a="1"/>
  <c r="I3716" i="1" a="1"/>
  <c r="I3724" i="1" a="1"/>
  <c r="I3732" i="1" a="1"/>
  <c r="I3740" i="1" a="1"/>
  <c r="I3748" i="1" a="1"/>
  <c r="I3756" i="1" a="1"/>
  <c r="I3764" i="1" a="1"/>
  <c r="I3772" i="1" a="1"/>
  <c r="I3780" i="1" a="1"/>
  <c r="I3788" i="1" a="1"/>
  <c r="I3796" i="1" a="1"/>
  <c r="I3804" i="1" a="1"/>
  <c r="I3812" i="1" a="1"/>
  <c r="I3820" i="1" a="1"/>
  <c r="I3828" i="1" a="1"/>
  <c r="I3836" i="1" a="1"/>
  <c r="I3844" i="1" a="1"/>
  <c r="I3852" i="1" a="1"/>
  <c r="I3860" i="1" a="1"/>
  <c r="I2219" i="1" a="1"/>
  <c r="I2566" i="1" a="1"/>
  <c r="I2693" i="1" a="1"/>
  <c r="I2790" i="1" a="1"/>
  <c r="I2940" i="1" a="1"/>
  <c r="I2993" i="1" a="1"/>
  <c r="I3029" i="1" a="1"/>
  <c r="I3061" i="1" a="1"/>
  <c r="I3093" i="1" a="1"/>
  <c r="I3147" i="1" a="1"/>
  <c r="I3169" i="1" a="1"/>
  <c r="I3211" i="1" a="1"/>
  <c r="I3249" i="1" a="1"/>
  <c r="I3267" i="1" a="1"/>
  <c r="I3377" i="1" a="1"/>
  <c r="I3389" i="1" a="1"/>
  <c r="I3402" i="1" a="1"/>
  <c r="I3425" i="1" a="1"/>
  <c r="I3436" i="1" a="1"/>
  <c r="I3448" i="1" a="1"/>
  <c r="I3471" i="1" a="1"/>
  <c r="I3483" i="1" a="1"/>
  <c r="I3494" i="1" a="1"/>
  <c r="I2223" i="1" a="1"/>
  <c r="I2589" i="1" a="1"/>
  <c r="I2709" i="1" a="1"/>
  <c r="I2805" i="1" a="1"/>
  <c r="I2882" i="1" a="1"/>
  <c r="I2949" i="1" a="1"/>
  <c r="I3001" i="1" a="1"/>
  <c r="I3034" i="1" a="1"/>
  <c r="I3066" i="1" a="1"/>
  <c r="I3098" i="1" a="1"/>
  <c r="I3125" i="1" a="1"/>
  <c r="I3148" i="1" a="1"/>
  <c r="I3170" i="1" a="1"/>
  <c r="I3189" i="1" a="1"/>
  <c r="I3212" i="1" a="1"/>
  <c r="I3229" i="1" a="1"/>
  <c r="I3250" i="1" a="1"/>
  <c r="I3284" i="1" a="1"/>
  <c r="I3300" i="1" a="1"/>
  <c r="I3316" i="1" a="1"/>
  <c r="I3332" i="1" a="1"/>
  <c r="I3348" i="1" a="1"/>
  <c r="I3363" i="1" a="1"/>
  <c r="I3378" i="1" a="1"/>
  <c r="I3390" i="1" a="1"/>
  <c r="I3413" i="1" a="1"/>
  <c r="I3426" i="1" a="1"/>
  <c r="I3449" i="1" a="1"/>
  <c r="I3460" i="1" a="1"/>
  <c r="I3472" i="1" a="1"/>
  <c r="I3495" i="1" a="1"/>
  <c r="I3507" i="1" a="1"/>
  <c r="I3517" i="1" a="1"/>
  <c r="I3525" i="1" a="1"/>
  <c r="I3533" i="1" a="1"/>
  <c r="I3541" i="1" a="1"/>
  <c r="I3549" i="1" a="1"/>
  <c r="I3557" i="1" a="1"/>
  <c r="I3565" i="1" a="1"/>
  <c r="I3573" i="1" a="1"/>
  <c r="I3581" i="1" a="1"/>
  <c r="I3589" i="1" a="1"/>
  <c r="I3597" i="1" a="1"/>
  <c r="I3605" i="1" a="1"/>
  <c r="I3613" i="1" a="1"/>
  <c r="I3621" i="1" a="1"/>
  <c r="I3629" i="1" a="1"/>
  <c r="I3637" i="1" a="1"/>
  <c r="I3645" i="1" a="1"/>
  <c r="I3653" i="1" a="1"/>
  <c r="I3661" i="1" a="1"/>
  <c r="I3669" i="1" a="1"/>
  <c r="I3677" i="1" a="1"/>
  <c r="I3685" i="1" a="1"/>
  <c r="I3693" i="1" a="1"/>
  <c r="I3701" i="1" a="1"/>
  <c r="I3709" i="1" a="1"/>
  <c r="I3717" i="1" a="1"/>
  <c r="I3725" i="1" a="1"/>
  <c r="I3733" i="1" a="1"/>
  <c r="I3741" i="1" a="1"/>
  <c r="I3749" i="1" a="1"/>
  <c r="I3757" i="1" a="1"/>
  <c r="I3765" i="1" a="1"/>
  <c r="I3773" i="1" a="1"/>
  <c r="I3781" i="1" a="1"/>
  <c r="I3789" i="1" a="1"/>
  <c r="I3797" i="1" a="1"/>
  <c r="I3805" i="1" a="1"/>
  <c r="I3813" i="1" a="1"/>
  <c r="I3821" i="1" a="1"/>
  <c r="I3829" i="1" a="1"/>
  <c r="I3837" i="1" a="1"/>
  <c r="I3845" i="1" a="1"/>
  <c r="I3853" i="1" a="1"/>
  <c r="I3861" i="1" a="1"/>
  <c r="I2597" i="1" a="1"/>
  <c r="I2715" i="1" a="1"/>
  <c r="I2811" i="1" a="1"/>
  <c r="I2952" i="1" a="1"/>
  <c r="I3004" i="1" a="1"/>
  <c r="I3036" i="1" a="1"/>
  <c r="I3068" i="1" a="1"/>
  <c r="I3100" i="1" a="1"/>
  <c r="I3129" i="1" a="1"/>
  <c r="I3171" i="1" a="1"/>
  <c r="I3193" i="1" a="1"/>
  <c r="I3233" i="1" a="1"/>
  <c r="I3251" i="1" a="1"/>
  <c r="I3268" i="1" a="1"/>
  <c r="I3391" i="1" a="1"/>
  <c r="I3403" i="1" a="1"/>
  <c r="I3414" i="1" a="1"/>
  <c r="I3437" i="1" a="1"/>
  <c r="I3450" i="1" a="1"/>
  <c r="I3473" i="1" a="1"/>
  <c r="I3484" i="1" a="1"/>
  <c r="I3496" i="1" a="1"/>
  <c r="I2313" i="1" a="1"/>
  <c r="I2717" i="1" a="1"/>
  <c r="I2812" i="1" a="1"/>
  <c r="I2886" i="1" a="1"/>
  <c r="I2953" i="1" a="1"/>
  <c r="I3130" i="1" a="1"/>
  <c r="I3149" i="1" a="1"/>
  <c r="I3172" i="1" a="1"/>
  <c r="I3194" i="1" a="1"/>
  <c r="I3213" i="1" a="1"/>
  <c r="I3234" i="1" a="1"/>
  <c r="I3285" i="1" a="1"/>
  <c r="I3301" i="1" a="1"/>
  <c r="I3317" i="1" a="1"/>
  <c r="I3333" i="1" a="1"/>
  <c r="I3349" i="1" a="1"/>
  <c r="I3364" i="1" a="1"/>
  <c r="I3379" i="1" a="1"/>
  <c r="I3392" i="1" a="1"/>
  <c r="I3415" i="1" a="1"/>
  <c r="I3427" i="1" a="1"/>
  <c r="I3438" i="1" a="1"/>
  <c r="I3461" i="1" a="1"/>
  <c r="I3474" i="1" a="1"/>
  <c r="I3497" i="1" a="1"/>
  <c r="I3508" i="1" a="1"/>
  <c r="I3518" i="1" a="1"/>
  <c r="I3526" i="1" a="1"/>
  <c r="I3534" i="1" a="1"/>
  <c r="I3542" i="1" a="1"/>
  <c r="I3550" i="1" a="1"/>
  <c r="I3558" i="1" a="1"/>
  <c r="I3566" i="1" a="1"/>
  <c r="I3574" i="1" a="1"/>
  <c r="I3582" i="1" a="1"/>
  <c r="I3590" i="1" a="1"/>
  <c r="I3598" i="1" a="1"/>
  <c r="I3606" i="1" a="1"/>
  <c r="I3614" i="1" a="1"/>
  <c r="I3622" i="1" a="1"/>
  <c r="I3630" i="1" a="1"/>
  <c r="I3638" i="1" a="1"/>
  <c r="I3646" i="1" a="1"/>
  <c r="I3654" i="1" a="1"/>
  <c r="I3662" i="1" a="1"/>
  <c r="I3670" i="1" a="1"/>
  <c r="I3678" i="1" a="1"/>
  <c r="I3686" i="1" a="1"/>
  <c r="I3694" i="1" a="1"/>
  <c r="I3702" i="1" a="1"/>
  <c r="I3710" i="1" a="1"/>
  <c r="I3718" i="1" a="1"/>
  <c r="I3726" i="1" a="1"/>
  <c r="I3734" i="1" a="1"/>
  <c r="I3742" i="1" a="1"/>
  <c r="I3750" i="1" a="1"/>
  <c r="I3758" i="1" a="1"/>
  <c r="I3766" i="1" a="1"/>
  <c r="I3774" i="1" a="1"/>
  <c r="I3782" i="1" a="1"/>
  <c r="I3790" i="1" a="1"/>
  <c r="I3798" i="1" a="1"/>
  <c r="I3806" i="1" a="1"/>
  <c r="I3814" i="1" a="1"/>
  <c r="I3822" i="1" a="1"/>
  <c r="I3830" i="1" a="1"/>
  <c r="I3838" i="1" a="1"/>
  <c r="I3846" i="1" a="1"/>
  <c r="I3854" i="1" a="1"/>
  <c r="I3862" i="1" a="1"/>
  <c r="I3679" i="1" a="1"/>
  <c r="I2314" i="1" a="1"/>
  <c r="I2598" i="1" a="1"/>
  <c r="I2813" i="1" a="1"/>
  <c r="I2887" i="1" a="1"/>
  <c r="I2954" i="1" a="1"/>
  <c r="I3005" i="1" a="1"/>
  <c r="I3037" i="1" a="1"/>
  <c r="I3069" i="1" a="1"/>
  <c r="I3101" i="1" a="1"/>
  <c r="I3131" i="1" a="1"/>
  <c r="I3153" i="1" a="1"/>
  <c r="I3195" i="1" a="1"/>
  <c r="I3217" i="1" a="1"/>
  <c r="I3235" i="1" a="1"/>
  <c r="I3252" i="1" a="1"/>
  <c r="I3269" i="1" a="1"/>
  <c r="I3289" i="1" a="1"/>
  <c r="I3305" i="1" a="1"/>
  <c r="I3321" i="1" a="1"/>
  <c r="I3337" i="1" a="1"/>
  <c r="I3350" i="1" a="1"/>
  <c r="I3393" i="1" a="1"/>
  <c r="I3404" i="1" a="1"/>
  <c r="I3416" i="1" a="1"/>
  <c r="I3439" i="1" a="1"/>
  <c r="I3451" i="1" a="1"/>
  <c r="I3462" i="1" a="1"/>
  <c r="I3485" i="1" a="1"/>
  <c r="I3498" i="1" a="1"/>
  <c r="I3567" i="1" a="1"/>
  <c r="I3711" i="1" a="1"/>
  <c r="I3743" i="1" a="1"/>
  <c r="I3767" i="1" a="1"/>
  <c r="I3799" i="1" a="1"/>
  <c r="I3823" i="1" a="1"/>
  <c r="I3847" i="1" a="1"/>
  <c r="I2621" i="1" a="1"/>
  <c r="I2827" i="1" a="1"/>
  <c r="I2900" i="1" a="1"/>
  <c r="I2963" i="1" a="1"/>
  <c r="I3010" i="1" a="1"/>
  <c r="I3042" i="1" a="1"/>
  <c r="I3074" i="1" a="1"/>
  <c r="I3106" i="1" a="1"/>
  <c r="I3132" i="1" a="1"/>
  <c r="I3154" i="1" a="1"/>
  <c r="I3173" i="1" a="1"/>
  <c r="I3196" i="1" a="1"/>
  <c r="I3218" i="1" a="1"/>
  <c r="I3273" i="1" a="1"/>
  <c r="I3290" i="1" a="1"/>
  <c r="I3306" i="1" a="1"/>
  <c r="I3322" i="1" a="1"/>
  <c r="I3338" i="1" a="1"/>
  <c r="I3353" i="1" a="1"/>
  <c r="I3365" i="1" a="1"/>
  <c r="I3380" i="1" a="1"/>
  <c r="I3394" i="1" a="1"/>
  <c r="I3417" i="1" a="1"/>
  <c r="I3428" i="1" a="1"/>
  <c r="I3440" i="1" a="1"/>
  <c r="I3463" i="1" a="1"/>
  <c r="I3475" i="1" a="1"/>
  <c r="I3486" i="1" a="1"/>
  <c r="I3509" i="1" a="1"/>
  <c r="I3519" i="1" a="1"/>
  <c r="I3527" i="1" a="1"/>
  <c r="I3535" i="1" a="1"/>
  <c r="I3543" i="1" a="1"/>
  <c r="I3551" i="1" a="1"/>
  <c r="I3559" i="1" a="1"/>
  <c r="I3575" i="1" a="1"/>
  <c r="I3583" i="1" a="1"/>
  <c r="I3591" i="1" a="1"/>
  <c r="I3599" i="1" a="1"/>
  <c r="I3607" i="1" a="1"/>
  <c r="I3615" i="1" a="1"/>
  <c r="I3623" i="1" a="1"/>
  <c r="I3631" i="1" a="1"/>
  <c r="I3639" i="1" a="1"/>
  <c r="I3647" i="1" a="1"/>
  <c r="I3655" i="1" a="1"/>
  <c r="I3663" i="1" a="1"/>
  <c r="I3671" i="1" a="1"/>
  <c r="I3687" i="1" a="1"/>
  <c r="I3695" i="1" a="1"/>
  <c r="I3703" i="1" a="1"/>
  <c r="I3719" i="1" a="1"/>
  <c r="I3727" i="1" a="1"/>
  <c r="I3735" i="1" a="1"/>
  <c r="I3759" i="1" a="1"/>
  <c r="I3775" i="1" a="1"/>
  <c r="I3807" i="1" a="1"/>
  <c r="I3839" i="1" a="1"/>
  <c r="I3855" i="1" a="1"/>
  <c r="I2401" i="1" a="1"/>
  <c r="I2629" i="1" a="1"/>
  <c r="I2741" i="1" a="1"/>
  <c r="I2830" i="1" a="1"/>
  <c r="I2903" i="1" a="1"/>
  <c r="I3012" i="1" a="1"/>
  <c r="I3044" i="1" a="1"/>
  <c r="I3076" i="1" a="1"/>
  <c r="I3108" i="1" a="1"/>
  <c r="I3155" i="1" a="1"/>
  <c r="I3177" i="1" a="1"/>
  <c r="I3219" i="1" a="1"/>
  <c r="I3236" i="1" a="1"/>
  <c r="I3253" i="1" a="1"/>
  <c r="I3274" i="1" a="1"/>
  <c r="I3354" i="1" a="1"/>
  <c r="I3366" i="1" a="1"/>
  <c r="I3405" i="1" a="1"/>
  <c r="I3418" i="1" a="1"/>
  <c r="I3441" i="1" a="1"/>
  <c r="I3452" i="1" a="1"/>
  <c r="I3464" i="1" a="1"/>
  <c r="I3487" i="1" a="1"/>
  <c r="I3499" i="1" a="1"/>
  <c r="I3510" i="1" a="1"/>
  <c r="I2416" i="1" a="1"/>
  <c r="I2831" i="1" a="1"/>
  <c r="I2906" i="1" a="1"/>
  <c r="I2966" i="1" a="1"/>
  <c r="I3133" i="1" a="1"/>
  <c r="I3156" i="1" a="1"/>
  <c r="I3178" i="1" a="1"/>
  <c r="I3197" i="1" a="1"/>
  <c r="I3257" i="1" a="1"/>
  <c r="I3275" i="1" a="1"/>
  <c r="I3291" i="1" a="1"/>
  <c r="I3307" i="1" a="1"/>
  <c r="I3323" i="1" a="1"/>
  <c r="I3339" i="1" a="1"/>
  <c r="I3369" i="1" a="1"/>
  <c r="I3381" i="1" a="1"/>
  <c r="I3395" i="1" a="1"/>
  <c r="I3406" i="1" a="1"/>
  <c r="I3429" i="1" a="1"/>
  <c r="I3442" i="1" a="1"/>
  <c r="I3465" i="1" a="1"/>
  <c r="I3476" i="1" a="1"/>
  <c r="I3488" i="1" a="1"/>
  <c r="I3520" i="1" a="1"/>
  <c r="I3528" i="1" a="1"/>
  <c r="I3536" i="1" a="1"/>
  <c r="I3544" i="1" a="1"/>
  <c r="I3552" i="1" a="1"/>
  <c r="I3560" i="1" a="1"/>
  <c r="I3568" i="1" a="1"/>
  <c r="I3576" i="1" a="1"/>
  <c r="I3584" i="1" a="1"/>
  <c r="I3592" i="1" a="1"/>
  <c r="I3600" i="1" a="1"/>
  <c r="I3608" i="1" a="1"/>
  <c r="I3616" i="1" a="1"/>
  <c r="I3624" i="1" a="1"/>
  <c r="I3632" i="1" a="1"/>
  <c r="I3640" i="1" a="1"/>
  <c r="I3648" i="1" a="1"/>
  <c r="I3656" i="1" a="1"/>
  <c r="I3664" i="1" a="1"/>
  <c r="I3672" i="1" a="1"/>
  <c r="I3680" i="1" a="1"/>
  <c r="I3688" i="1" a="1"/>
  <c r="I3696" i="1" a="1"/>
  <c r="I3704" i="1" a="1"/>
  <c r="I3712" i="1" a="1"/>
  <c r="I3720" i="1" a="1"/>
  <c r="I3728" i="1" a="1"/>
  <c r="I3736" i="1" a="1"/>
  <c r="I3744" i="1" a="1"/>
  <c r="I3752" i="1" a="1"/>
  <c r="I3760" i="1" a="1"/>
  <c r="I3768" i="1" a="1"/>
  <c r="I3776" i="1" a="1"/>
  <c r="I3784" i="1" a="1"/>
  <c r="I3792" i="1" a="1"/>
  <c r="I3800" i="1" a="1"/>
  <c r="I3808" i="1" a="1"/>
  <c r="I3816" i="1" a="1"/>
  <c r="I3824" i="1" a="1"/>
  <c r="I3832" i="1" a="1"/>
  <c r="I3840" i="1" a="1"/>
  <c r="I3848" i="1" a="1"/>
  <c r="I3856" i="1" a="1"/>
  <c r="I2758" i="1" a="1"/>
  <c r="I3292" i="1" a="1"/>
  <c r="I2480" i="1" a="1"/>
  <c r="I2630" i="1" a="1"/>
  <c r="I2742" i="1" a="1"/>
  <c r="I2834" i="1" a="1"/>
  <c r="I2907" i="1" a="1"/>
  <c r="I2967" i="1" a="1"/>
  <c r="I3013" i="1" a="1"/>
  <c r="I3045" i="1" a="1"/>
  <c r="I3077" i="1" a="1"/>
  <c r="I3109" i="1" a="1"/>
  <c r="I3137" i="1" a="1"/>
  <c r="I3179" i="1" a="1"/>
  <c r="I3201" i="1" a="1"/>
  <c r="I3220" i="1" a="1"/>
  <c r="I3237" i="1" a="1"/>
  <c r="I3258" i="1" a="1"/>
  <c r="I3355" i="1" a="1"/>
  <c r="I3370" i="1" a="1"/>
  <c r="I3382" i="1" a="1"/>
  <c r="I3407" i="1" a="1"/>
  <c r="I3419" i="1" a="1"/>
  <c r="I3430" i="1" a="1"/>
  <c r="I3453" i="1" a="1"/>
  <c r="I3466" i="1" a="1"/>
  <c r="I3489" i="1" a="1"/>
  <c r="I3500" i="1" a="1"/>
  <c r="I3511" i="1" a="1"/>
  <c r="I2845" i="1" a="1"/>
  <c r="I2975" i="1" a="1"/>
  <c r="I3018" i="1" a="1"/>
  <c r="I3050" i="1" a="1"/>
  <c r="I3082" i="1" a="1"/>
  <c r="I3114" i="1" a="1"/>
  <c r="I3138" i="1" a="1"/>
  <c r="I3157" i="1" a="1"/>
  <c r="I3180" i="1" a="1"/>
  <c r="I3202" i="1" a="1"/>
  <c r="I3241" i="1" a="1"/>
  <c r="I3259" i="1" a="1"/>
  <c r="I3276" i="1" a="1"/>
  <c r="I3308" i="1" a="1"/>
  <c r="I3324" i="1" a="1"/>
  <c r="I3340" i="1" a="1"/>
  <c r="I2490" i="1" a="1"/>
  <c r="I3243" i="1" a="1"/>
  <c r="I3371" i="1" a="1"/>
  <c r="I3433" i="1" a="1"/>
  <c r="I3586" i="1" a="1"/>
  <c r="I3633" i="1" a="1"/>
  <c r="I3714" i="1" a="1"/>
  <c r="I3754" i="1" a="1"/>
  <c r="I3833" i="1" a="1"/>
  <c r="I3713" i="1" a="1"/>
  <c r="I2533" i="1" a="1"/>
  <c r="I3084" i="1" a="1"/>
  <c r="I3443" i="1" a="1"/>
  <c r="I3501" i="1" a="1"/>
  <c r="I3546" i="1" a="1"/>
  <c r="I3593" i="1" a="1"/>
  <c r="I3674" i="1" a="1"/>
  <c r="I3721" i="1" a="1"/>
  <c r="I3761" i="1" a="1"/>
  <c r="I3794" i="1" a="1"/>
  <c r="I3538" i="1" a="1"/>
  <c r="I2653" i="1" a="1"/>
  <c r="I3260" i="1" a="1"/>
  <c r="I3385" i="1" a="1"/>
  <c r="I3502" i="1" a="1"/>
  <c r="I3553" i="1" a="1"/>
  <c r="I3634" i="1" a="1"/>
  <c r="I3681" i="1" a="1"/>
  <c r="I3801" i="1" a="1"/>
  <c r="I3834" i="1" a="1"/>
  <c r="I3791" i="1" a="1"/>
  <c r="I2661" i="1" a="1"/>
  <c r="I3116" i="1" a="1"/>
  <c r="I3386" i="1" a="1"/>
  <c r="I3444" i="1" a="1"/>
  <c r="I3512" i="1" a="1"/>
  <c r="I3594" i="1" a="1"/>
  <c r="I3641" i="1" a="1"/>
  <c r="I3722" i="1" a="1"/>
  <c r="I3762" i="1" a="1"/>
  <c r="I3841" i="1" a="1"/>
  <c r="I3225" i="1" a="1"/>
  <c r="I3491" i="1" a="1"/>
  <c r="I3277" i="1" a="1"/>
  <c r="I3454" i="1" a="1"/>
  <c r="I3513" i="1" a="1"/>
  <c r="I3554" i="1" a="1"/>
  <c r="I3601" i="1" a="1"/>
  <c r="I3682" i="1" a="1"/>
  <c r="I3729" i="1" a="1"/>
  <c r="I3769" i="1" a="1"/>
  <c r="I3802" i="1" a="1"/>
  <c r="I3585" i="1" a="1"/>
  <c r="I3432" i="1" a="1"/>
  <c r="I3139" i="1" a="1"/>
  <c r="I3396" i="1" a="1"/>
  <c r="I3455" i="1" a="1"/>
  <c r="I3514" i="1" a="1"/>
  <c r="I3561" i="1" a="1"/>
  <c r="I3642" i="1" a="1"/>
  <c r="I3689" i="1" a="1"/>
  <c r="I3809" i="1" a="1"/>
  <c r="I3842" i="1" a="1"/>
  <c r="I3431" i="1" a="1"/>
  <c r="I2766" i="1" a="1"/>
  <c r="I3140" i="1" a="1"/>
  <c r="I3293" i="1" a="1"/>
  <c r="I3456" i="1" a="1"/>
  <c r="I3521" i="1" a="1"/>
  <c r="I3602" i="1" a="1"/>
  <c r="I3649" i="1" a="1"/>
  <c r="I3730" i="1" a="1"/>
  <c r="I3770" i="1" a="1"/>
  <c r="I3849" i="1" a="1"/>
  <c r="I3826" i="1" a="1"/>
  <c r="I2850" i="1" a="1"/>
  <c r="I3161" i="1" a="1"/>
  <c r="I3397" i="1" a="1"/>
  <c r="I3562" i="1" a="1"/>
  <c r="I3609" i="1" a="1"/>
  <c r="I3690" i="1" a="1"/>
  <c r="I3737" i="1" a="1"/>
  <c r="I3777" i="1" a="1"/>
  <c r="I3810" i="1" a="1"/>
  <c r="I3242" i="1" a="1"/>
  <c r="I2851" i="1" a="1"/>
  <c r="I3162" i="1" a="1"/>
  <c r="I3309" i="1" a="1"/>
  <c r="I3408" i="1" a="1"/>
  <c r="I3467" i="1" a="1"/>
  <c r="I3522" i="1" a="1"/>
  <c r="I3569" i="1" a="1"/>
  <c r="I3650" i="1" a="1"/>
  <c r="I3697" i="1" a="1"/>
  <c r="I3815" i="1" a="1"/>
  <c r="I3850" i="1" a="1"/>
  <c r="I2923" i="1" a="1"/>
  <c r="I3409" i="1" a="1"/>
  <c r="I3529" i="1" a="1"/>
  <c r="I3610" i="1" a="1"/>
  <c r="I3657" i="1" a="1"/>
  <c r="I3738" i="1" a="1"/>
  <c r="I3778" i="1" a="1"/>
  <c r="I3817" i="1" a="1"/>
  <c r="I3857" i="1" a="1"/>
  <c r="I2924" i="1" a="1"/>
  <c r="I3181" i="1" a="1"/>
  <c r="I3325" i="1" a="1"/>
  <c r="I3410" i="1" a="1"/>
  <c r="I3477" i="1" a="1"/>
  <c r="I3570" i="1" a="1"/>
  <c r="I3617" i="1" a="1"/>
  <c r="I3698" i="1" a="1"/>
  <c r="I3745" i="1" a="1"/>
  <c r="I3783" i="1" a="1"/>
  <c r="I3020" i="1" a="1"/>
  <c r="I3490" i="1" a="1"/>
  <c r="I3625" i="1" a="1"/>
  <c r="I3751" i="1" a="1"/>
  <c r="I3052" i="1" a="1"/>
  <c r="I3626" i="1" a="1"/>
  <c r="I3673" i="1" a="1"/>
  <c r="I3793" i="1" a="1"/>
  <c r="I3831" i="1" a="1"/>
  <c r="I2979" i="1" a="1"/>
  <c r="I3203" i="1" a="1"/>
  <c r="I3478" i="1" a="1"/>
  <c r="I3530" i="1" a="1"/>
  <c r="I3577" i="1" a="1"/>
  <c r="I3658" i="1" a="1"/>
  <c r="I3705" i="1" a="1"/>
  <c r="I3785" i="1" a="1"/>
  <c r="I3818" i="1" a="1"/>
  <c r="I3858" i="1" a="1"/>
  <c r="I3356" i="1" a="1"/>
  <c r="I3706" i="1" a="1"/>
  <c r="I3666" i="1" a="1"/>
  <c r="I3545" i="1" a="1"/>
  <c r="I2980" i="1" a="1"/>
  <c r="I3204" i="1" a="1"/>
  <c r="I3341" i="1" a="1"/>
  <c r="I3420" i="1" a="1"/>
  <c r="I3479" i="1" a="1"/>
  <c r="I3537" i="1" a="1"/>
  <c r="I3618" i="1" a="1"/>
  <c r="I3665" i="1" a="1"/>
  <c r="I3746" i="1" a="1"/>
  <c r="I3825" i="1" a="1"/>
  <c r="I3221" i="1" a="1"/>
  <c r="I3578" i="1" a="1"/>
  <c r="I3786" i="1" a="1"/>
  <c r="I3753" i="1" a="1"/>
  <c r="I10" i="1" a="1"/>
  <c r="I11" i="1" a="1"/>
  <c r="I12" i="1" a="1"/>
  <c r="I13" i="1" a="1"/>
  <c r="I14" i="1" a="1"/>
  <c r="I15" i="1" a="1"/>
  <c r="I16" i="1" a="1"/>
  <c r="I9" i="1" a="1"/>
  <c r="I8" i="1" a="1"/>
  <c r="I3" i="1" a="1"/>
  <c r="I4" i="1" a="1"/>
  <c r="I5" i="1" a="1"/>
  <c r="I6" i="1" a="1"/>
  <c r="I7" i="1" a="1"/>
  <c r="J9" i="1" a="1"/>
  <c r="J17" i="1" a="1"/>
  <c r="J25" i="1" a="1"/>
  <c r="J33" i="1" a="1"/>
  <c r="J41" i="1" a="1"/>
  <c r="J49" i="1" a="1"/>
  <c r="J57" i="1" a="1"/>
  <c r="J65" i="1" a="1"/>
  <c r="J73" i="1" a="1"/>
  <c r="J81" i="1" a="1"/>
  <c r="J89" i="1" a="1"/>
  <c r="J97" i="1" a="1"/>
  <c r="J105" i="1" a="1"/>
  <c r="J113" i="1" a="1"/>
  <c r="J121" i="1" a="1"/>
  <c r="J129" i="1" a="1"/>
  <c r="J137" i="1" a="1"/>
  <c r="J145" i="1" a="1"/>
  <c r="J153" i="1" a="1"/>
  <c r="J161" i="1" a="1"/>
  <c r="J169" i="1" a="1"/>
  <c r="J177" i="1" a="1"/>
  <c r="J185" i="1" a="1"/>
  <c r="J193" i="1" a="1"/>
  <c r="J201" i="1" a="1"/>
  <c r="J209" i="1" a="1"/>
  <c r="J217" i="1" a="1"/>
  <c r="J225" i="1" a="1"/>
  <c r="J233" i="1" a="1"/>
  <c r="J241" i="1" a="1"/>
  <c r="J249" i="1" a="1"/>
  <c r="J257" i="1" a="1"/>
  <c r="J265" i="1" a="1"/>
  <c r="J273" i="1" a="1"/>
  <c r="J281" i="1" a="1"/>
  <c r="J289" i="1" a="1"/>
  <c r="J297" i="1" a="1"/>
  <c r="J305" i="1" a="1"/>
  <c r="J313" i="1" a="1"/>
  <c r="J321" i="1" a="1"/>
  <c r="J10" i="1" a="1"/>
  <c r="J18" i="1" a="1"/>
  <c r="J26" i="1" a="1"/>
  <c r="J34" i="1" a="1"/>
  <c r="J42" i="1" a="1"/>
  <c r="J50" i="1" a="1"/>
  <c r="J58" i="1" a="1"/>
  <c r="J66" i="1" a="1"/>
  <c r="J74" i="1" a="1"/>
  <c r="J82" i="1" a="1"/>
  <c r="J90" i="1" a="1"/>
  <c r="J98" i="1" a="1"/>
  <c r="J106" i="1" a="1"/>
  <c r="J114" i="1" a="1"/>
  <c r="J122" i="1" a="1"/>
  <c r="J130" i="1" a="1"/>
  <c r="J138" i="1" a="1"/>
  <c r="J146" i="1" a="1"/>
  <c r="J154" i="1" a="1"/>
  <c r="J162" i="1" a="1"/>
  <c r="J170" i="1" a="1"/>
  <c r="J178" i="1" a="1"/>
  <c r="J186" i="1" a="1"/>
  <c r="J194" i="1" a="1"/>
  <c r="J202" i="1" a="1"/>
  <c r="J210" i="1" a="1"/>
  <c r="J218" i="1" a="1"/>
  <c r="J226" i="1" a="1"/>
  <c r="J234" i="1" a="1"/>
  <c r="J242" i="1" a="1"/>
  <c r="J250" i="1" a="1"/>
  <c r="J258" i="1" a="1"/>
  <c r="J266" i="1" a="1"/>
  <c r="J274" i="1" a="1"/>
  <c r="J282" i="1" a="1"/>
  <c r="J290" i="1" a="1"/>
  <c r="J298" i="1" a="1"/>
  <c r="J306" i="1" a="1"/>
  <c r="J314" i="1" a="1"/>
  <c r="J322" i="1" a="1"/>
  <c r="J330" i="1" a="1"/>
  <c r="J338" i="1" a="1"/>
  <c r="J346" i="1" a="1"/>
  <c r="J354" i="1" a="1"/>
  <c r="J362" i="1" a="1"/>
  <c r="J370" i="1" a="1"/>
  <c r="J378" i="1" a="1"/>
  <c r="J386" i="1" a="1"/>
  <c r="J394" i="1" a="1"/>
  <c r="J402" i="1" a="1"/>
  <c r="J410" i="1" a="1"/>
  <c r="J418" i="1" a="1"/>
  <c r="J426" i="1" a="1"/>
  <c r="J434" i="1" a="1"/>
  <c r="J442" i="1" a="1"/>
  <c r="J450" i="1" a="1"/>
  <c r="J458" i="1" a="1"/>
  <c r="J466" i="1" a="1"/>
  <c r="J474" i="1" a="1"/>
  <c r="J482" i="1" a="1"/>
  <c r="J490" i="1" a="1"/>
  <c r="J498" i="1" a="1"/>
  <c r="J506" i="1" a="1"/>
  <c r="J514" i="1" a="1"/>
  <c r="J522" i="1" a="1"/>
  <c r="J530" i="1" a="1"/>
  <c r="J538" i="1" a="1"/>
  <c r="J546" i="1" a="1"/>
  <c r="J554" i="1" a="1"/>
  <c r="J562" i="1" a="1"/>
  <c r="J11" i="1" a="1"/>
  <c r="J19" i="1" a="1"/>
  <c r="J27" i="1" a="1"/>
  <c r="J35" i="1" a="1"/>
  <c r="J43" i="1" a="1"/>
  <c r="J51" i="1" a="1"/>
  <c r="J59" i="1" a="1"/>
  <c r="J67" i="1" a="1"/>
  <c r="J75" i="1" a="1"/>
  <c r="J83" i="1" a="1"/>
  <c r="J91" i="1" a="1"/>
  <c r="J99" i="1" a="1"/>
  <c r="J107" i="1" a="1"/>
  <c r="J115" i="1" a="1"/>
  <c r="J123" i="1" a="1"/>
  <c r="J131" i="1" a="1"/>
  <c r="J139" i="1" a="1"/>
  <c r="J147" i="1" a="1"/>
  <c r="J155" i="1" a="1"/>
  <c r="J163" i="1" a="1"/>
  <c r="J171" i="1" a="1"/>
  <c r="J179" i="1" a="1"/>
  <c r="J187" i="1" a="1"/>
  <c r="J195" i="1" a="1"/>
  <c r="J203" i="1" a="1"/>
  <c r="J211" i="1" a="1"/>
  <c r="J219" i="1" a="1"/>
  <c r="J227" i="1" a="1"/>
  <c r="J235" i="1" a="1"/>
  <c r="J243" i="1" a="1"/>
  <c r="J251" i="1" a="1"/>
  <c r="J259" i="1" a="1"/>
  <c r="J267" i="1" a="1"/>
  <c r="J275" i="1" a="1"/>
  <c r="J283" i="1" a="1"/>
  <c r="J291" i="1" a="1"/>
  <c r="J299" i="1" a="1"/>
  <c r="J307" i="1" a="1"/>
  <c r="J315" i="1" a="1"/>
  <c r="J323" i="1" a="1"/>
  <c r="J331" i="1" a="1"/>
  <c r="J339" i="1" a="1"/>
  <c r="J347" i="1" a="1"/>
  <c r="J355" i="1" a="1"/>
  <c r="J363" i="1" a="1"/>
  <c r="J371" i="1" a="1"/>
  <c r="J379" i="1" a="1"/>
  <c r="J387" i="1" a="1"/>
  <c r="J395" i="1" a="1"/>
  <c r="J403" i="1" a="1"/>
  <c r="J411" i="1" a="1"/>
  <c r="J419" i="1" a="1"/>
  <c r="J427" i="1" a="1"/>
  <c r="J435" i="1" a="1"/>
  <c r="J443" i="1" a="1"/>
  <c r="J451" i="1" a="1"/>
  <c r="J459" i="1" a="1"/>
  <c r="J467" i="1" a="1"/>
  <c r="J475" i="1" a="1"/>
  <c r="J483" i="1" a="1"/>
  <c r="J491" i="1" a="1"/>
  <c r="J499" i="1" a="1"/>
  <c r="J507" i="1" a="1"/>
  <c r="J515" i="1" a="1"/>
  <c r="J523" i="1" a="1"/>
  <c r="J12" i="1" a="1"/>
  <c r="J20" i="1" a="1"/>
  <c r="J28" i="1" a="1"/>
  <c r="J36" i="1" a="1"/>
  <c r="J44" i="1" a="1"/>
  <c r="J52" i="1" a="1"/>
  <c r="J60" i="1" a="1"/>
  <c r="J68" i="1" a="1"/>
  <c r="J76" i="1" a="1"/>
  <c r="J84" i="1" a="1"/>
  <c r="J92" i="1" a="1"/>
  <c r="J100" i="1" a="1"/>
  <c r="J108" i="1" a="1"/>
  <c r="J116" i="1" a="1"/>
  <c r="J124" i="1" a="1"/>
  <c r="J132" i="1" a="1"/>
  <c r="J140" i="1" a="1"/>
  <c r="J148" i="1" a="1"/>
  <c r="J156" i="1" a="1"/>
  <c r="J164" i="1" a="1"/>
  <c r="J172" i="1" a="1"/>
  <c r="J180" i="1" a="1"/>
  <c r="J188" i="1" a="1"/>
  <c r="J196" i="1" a="1"/>
  <c r="J204" i="1" a="1"/>
  <c r="J212" i="1" a="1"/>
  <c r="J220" i="1" a="1"/>
  <c r="J228" i="1" a="1"/>
  <c r="J236" i="1" a="1"/>
  <c r="J244" i="1" a="1"/>
  <c r="J252" i="1" a="1"/>
  <c r="J260" i="1" a="1"/>
  <c r="J268" i="1" a="1"/>
  <c r="J276" i="1" a="1"/>
  <c r="J284" i="1" a="1"/>
  <c r="J292" i="1" a="1"/>
  <c r="J300" i="1" a="1"/>
  <c r="J308" i="1" a="1"/>
  <c r="J316" i="1" a="1"/>
  <c r="J324" i="1" a="1"/>
  <c r="J332" i="1" a="1"/>
  <c r="J340" i="1" a="1"/>
  <c r="J348" i="1" a="1"/>
  <c r="J356" i="1" a="1"/>
  <c r="J364" i="1" a="1"/>
  <c r="J372" i="1" a="1"/>
  <c r="J380" i="1" a="1"/>
  <c r="J388" i="1" a="1"/>
  <c r="J396" i="1" a="1"/>
  <c r="J404" i="1" a="1"/>
  <c r="J412" i="1" a="1"/>
  <c r="J420" i="1" a="1"/>
  <c r="J13" i="1" a="1"/>
  <c r="J21" i="1" a="1"/>
  <c r="J29" i="1" a="1"/>
  <c r="J37" i="1" a="1"/>
  <c r="J45" i="1" a="1"/>
  <c r="J53" i="1" a="1"/>
  <c r="J61" i="1" a="1"/>
  <c r="J69" i="1" a="1"/>
  <c r="J77" i="1" a="1"/>
  <c r="J85" i="1" a="1"/>
  <c r="J93" i="1" a="1"/>
  <c r="J101" i="1" a="1"/>
  <c r="J109" i="1" a="1"/>
  <c r="J117" i="1" a="1"/>
  <c r="J125" i="1" a="1"/>
  <c r="J133" i="1" a="1"/>
  <c r="J141" i="1" a="1"/>
  <c r="J149" i="1" a="1"/>
  <c r="J157" i="1" a="1"/>
  <c r="J165" i="1" a="1"/>
  <c r="J173" i="1" a="1"/>
  <c r="J181" i="1" a="1"/>
  <c r="J189" i="1" a="1"/>
  <c r="J197" i="1" a="1"/>
  <c r="J205" i="1" a="1"/>
  <c r="J213" i="1" a="1"/>
  <c r="J221" i="1" a="1"/>
  <c r="J229" i="1" a="1"/>
  <c r="J237" i="1" a="1"/>
  <c r="J245" i="1" a="1"/>
  <c r="J253" i="1" a="1"/>
  <c r="J261" i="1" a="1"/>
  <c r="J269" i="1" a="1"/>
  <c r="J277" i="1" a="1"/>
  <c r="J285" i="1" a="1"/>
  <c r="J293" i="1" a="1"/>
  <c r="J301" i="1" a="1"/>
  <c r="J309" i="1" a="1"/>
  <c r="J317" i="1" a="1"/>
  <c r="J14" i="1" a="1"/>
  <c r="J22" i="1" a="1"/>
  <c r="J30" i="1" a="1"/>
  <c r="J38" i="1" a="1"/>
  <c r="J46" i="1" a="1"/>
  <c r="J54" i="1" a="1"/>
  <c r="J62" i="1" a="1"/>
  <c r="J70" i="1" a="1"/>
  <c r="J78" i="1" a="1"/>
  <c r="J86" i="1" a="1"/>
  <c r="J94" i="1" a="1"/>
  <c r="J102" i="1" a="1"/>
  <c r="J110" i="1" a="1"/>
  <c r="J118" i="1" a="1"/>
  <c r="J126" i="1" a="1"/>
  <c r="J134" i="1" a="1"/>
  <c r="J142" i="1" a="1"/>
  <c r="J150" i="1" a="1"/>
  <c r="J158" i="1" a="1"/>
  <c r="J166" i="1" a="1"/>
  <c r="J174" i="1" a="1"/>
  <c r="J182" i="1" a="1"/>
  <c r="J190" i="1" a="1"/>
  <c r="J198" i="1" a="1"/>
  <c r="J206" i="1" a="1"/>
  <c r="J214" i="1" a="1"/>
  <c r="J222" i="1" a="1"/>
  <c r="J230" i="1" a="1"/>
  <c r="J238" i="1" a="1"/>
  <c r="J246" i="1" a="1"/>
  <c r="J254" i="1" a="1"/>
  <c r="J262" i="1" a="1"/>
  <c r="J270" i="1" a="1"/>
  <c r="J278" i="1" a="1"/>
  <c r="J286" i="1" a="1"/>
  <c r="J294" i="1" a="1"/>
  <c r="J302" i="1" a="1"/>
  <c r="J310" i="1" a="1"/>
  <c r="J15" i="1" a="1"/>
  <c r="J23" i="1" a="1"/>
  <c r="J31" i="1" a="1"/>
  <c r="J39" i="1" a="1"/>
  <c r="J47" i="1" a="1"/>
  <c r="J55" i="1" a="1"/>
  <c r="J63" i="1" a="1"/>
  <c r="J71" i="1" a="1"/>
  <c r="J79" i="1" a="1"/>
  <c r="J87" i="1" a="1"/>
  <c r="J95" i="1" a="1"/>
  <c r="J103" i="1" a="1"/>
  <c r="J111" i="1" a="1"/>
  <c r="J119" i="1" a="1"/>
  <c r="J127" i="1" a="1"/>
  <c r="J135" i="1" a="1"/>
  <c r="J143" i="1" a="1"/>
  <c r="J151" i="1" a="1"/>
  <c r="J159" i="1" a="1"/>
  <c r="J167" i="1" a="1"/>
  <c r="J175" i="1" a="1"/>
  <c r="J183" i="1" a="1"/>
  <c r="J191" i="1" a="1"/>
  <c r="J199" i="1" a="1"/>
  <c r="J207" i="1" a="1"/>
  <c r="J215" i="1" a="1"/>
  <c r="J223" i="1" a="1"/>
  <c r="J231" i="1" a="1"/>
  <c r="J239" i="1" a="1"/>
  <c r="J16" i="1" a="1"/>
  <c r="J80" i="1" a="1"/>
  <c r="J144" i="1" a="1"/>
  <c r="J208" i="1" a="1"/>
  <c r="J263" i="1" a="1"/>
  <c r="J304" i="1" a="1"/>
  <c r="J334" i="1" a="1"/>
  <c r="J353" i="1" a="1"/>
  <c r="J376" i="1" a="1"/>
  <c r="J398" i="1" a="1"/>
  <c r="J417" i="1" a="1"/>
  <c r="J438" i="1" a="1"/>
  <c r="J456" i="1" a="1"/>
  <c r="J473" i="1" a="1"/>
  <c r="J493" i="1" a="1"/>
  <c r="J511" i="1" a="1"/>
  <c r="J576" i="1" a="1"/>
  <c r="J590" i="1" a="1"/>
  <c r="J604" i="1" a="1"/>
  <c r="J618" i="1" a="1"/>
  <c r="J647" i="1" a="1"/>
  <c r="J661" i="1" a="1"/>
  <c r="J675" i="1" a="1"/>
  <c r="J264" i="1" a="1"/>
  <c r="J335" i="1" a="1"/>
  <c r="J357" i="1" a="1"/>
  <c r="J399" i="1" a="1"/>
  <c r="J421" i="1" a="1"/>
  <c r="J439" i="1" a="1"/>
  <c r="J476" i="1" a="1"/>
  <c r="J494" i="1" a="1"/>
  <c r="J512" i="1" a="1"/>
  <c r="J529" i="1" a="1"/>
  <c r="J545" i="1" a="1"/>
  <c r="J561" i="1" a="1"/>
  <c r="J591" i="1" a="1"/>
  <c r="J605" i="1" a="1"/>
  <c r="J619" i="1" a="1"/>
  <c r="J633" i="1" a="1"/>
  <c r="J648" i="1" a="1"/>
  <c r="J662" i="1" a="1"/>
  <c r="J676" i="1" a="1"/>
  <c r="J689" i="1" a="1"/>
  <c r="J697" i="1" a="1"/>
  <c r="J705" i="1" a="1"/>
  <c r="J713" i="1" a="1"/>
  <c r="J721" i="1" a="1"/>
  <c r="J729" i="1" a="1"/>
  <c r="J737" i="1" a="1"/>
  <c r="J745" i="1" a="1"/>
  <c r="J753" i="1" a="1"/>
  <c r="J761" i="1" a="1"/>
  <c r="J769" i="1" a="1"/>
  <c r="J777" i="1" a="1"/>
  <c r="J785" i="1" a="1"/>
  <c r="J793" i="1" a="1"/>
  <c r="J801" i="1" a="1"/>
  <c r="J809" i="1" a="1"/>
  <c r="J817" i="1" a="1"/>
  <c r="J825" i="1" a="1"/>
  <c r="J833" i="1" a="1"/>
  <c r="J841" i="1" a="1"/>
  <c r="J849" i="1" a="1"/>
  <c r="J857" i="1" a="1"/>
  <c r="J865" i="1" a="1"/>
  <c r="J873" i="1" a="1"/>
  <c r="J881" i="1" a="1"/>
  <c r="J889" i="1" a="1"/>
  <c r="J897" i="1" a="1"/>
  <c r="J905" i="1" a="1"/>
  <c r="J913" i="1" a="1"/>
  <c r="J921" i="1" a="1"/>
  <c r="J929" i="1" a="1"/>
  <c r="J937" i="1" a="1"/>
  <c r="J945" i="1" a="1"/>
  <c r="J953" i="1" a="1"/>
  <c r="J961" i="1" a="1"/>
  <c r="J969" i="1" a="1"/>
  <c r="J977" i="1" a="1"/>
  <c r="J985" i="1" a="1"/>
  <c r="J993" i="1" a="1"/>
  <c r="J1001" i="1" a="1"/>
  <c r="J1009" i="1" a="1"/>
  <c r="J1017" i="1" a="1"/>
  <c r="J1025" i="1" a="1"/>
  <c r="J1033" i="1" a="1"/>
  <c r="J1041" i="1" a="1"/>
  <c r="J24" i="1" a="1"/>
  <c r="J88" i="1" a="1"/>
  <c r="J152" i="1" a="1"/>
  <c r="J216" i="1" a="1"/>
  <c r="J311" i="1" a="1"/>
  <c r="J336" i="1" a="1"/>
  <c r="J358" i="1" a="1"/>
  <c r="J377" i="1" a="1"/>
  <c r="J400" i="1" a="1"/>
  <c r="J422" i="1" a="1"/>
  <c r="J440" i="1" a="1"/>
  <c r="J457" i="1" a="1"/>
  <c r="J477" i="1" a="1"/>
  <c r="J495" i="1" a="1"/>
  <c r="J531" i="1" a="1"/>
  <c r="J547" i="1" a="1"/>
  <c r="J563" i="1" a="1"/>
  <c r="J577" i="1" a="1"/>
  <c r="J592" i="1" a="1"/>
  <c r="J606" i="1" a="1"/>
  <c r="J620" i="1" a="1"/>
  <c r="J634" i="1" a="1"/>
  <c r="J663" i="1" a="1"/>
  <c r="J677" i="1" a="1"/>
  <c r="J271" i="1" a="1"/>
  <c r="J312" i="1" a="1"/>
  <c r="J359" i="1" a="1"/>
  <c r="J381" i="1" a="1"/>
  <c r="J423" i="1" a="1"/>
  <c r="J460" i="1" a="1"/>
  <c r="J478" i="1" a="1"/>
  <c r="J496" i="1" a="1"/>
  <c r="J513" i="1" a="1"/>
  <c r="J532" i="1" a="1"/>
  <c r="J548" i="1" a="1"/>
  <c r="J564" i="1" a="1"/>
  <c r="J578" i="1" a="1"/>
  <c r="J607" i="1" a="1"/>
  <c r="J621" i="1" a="1"/>
  <c r="J635" i="1" a="1"/>
  <c r="J649" i="1" a="1"/>
  <c r="J664" i="1" a="1"/>
  <c r="J678" i="1" a="1"/>
  <c r="J690" i="1" a="1"/>
  <c r="J698" i="1" a="1"/>
  <c r="J706" i="1" a="1"/>
  <c r="J714" i="1" a="1"/>
  <c r="J722" i="1" a="1"/>
  <c r="J730" i="1" a="1"/>
  <c r="J738" i="1" a="1"/>
  <c r="J746" i="1" a="1"/>
  <c r="J754" i="1" a="1"/>
  <c r="J762" i="1" a="1"/>
  <c r="J770" i="1" a="1"/>
  <c r="J778" i="1" a="1"/>
  <c r="J786" i="1" a="1"/>
  <c r="J794" i="1" a="1"/>
  <c r="J802" i="1" a="1"/>
  <c r="J810" i="1" a="1"/>
  <c r="J818" i="1" a="1"/>
  <c r="J826" i="1" a="1"/>
  <c r="J834" i="1" a="1"/>
  <c r="J842" i="1" a="1"/>
  <c r="J850" i="1" a="1"/>
  <c r="J858" i="1" a="1"/>
  <c r="J866" i="1" a="1"/>
  <c r="J874" i="1" a="1"/>
  <c r="J882" i="1" a="1"/>
  <c r="J890" i="1" a="1"/>
  <c r="J898" i="1" a="1"/>
  <c r="J906" i="1" a="1"/>
  <c r="J914" i="1" a="1"/>
  <c r="J922" i="1" a="1"/>
  <c r="J930" i="1" a="1"/>
  <c r="J938" i="1" a="1"/>
  <c r="J946" i="1" a="1"/>
  <c r="J32" i="1" a="1"/>
  <c r="J96" i="1" a="1"/>
  <c r="J160" i="1" a="1"/>
  <c r="J224" i="1" a="1"/>
  <c r="J272" i="1" a="1"/>
  <c r="J337" i="1" a="1"/>
  <c r="J360" i="1" a="1"/>
  <c r="J382" i="1" a="1"/>
  <c r="J401" i="1" a="1"/>
  <c r="J424" i="1" a="1"/>
  <c r="J441" i="1" a="1"/>
  <c r="J461" i="1" a="1"/>
  <c r="J479" i="1" a="1"/>
  <c r="J516" i="1" a="1"/>
  <c r="J533" i="1" a="1"/>
  <c r="J549" i="1" a="1"/>
  <c r="J565" i="1" a="1"/>
  <c r="J579" i="1" a="1"/>
  <c r="J593" i="1" a="1"/>
  <c r="J608" i="1" a="1"/>
  <c r="J622" i="1" a="1"/>
  <c r="J636" i="1" a="1"/>
  <c r="J650" i="1" a="1"/>
  <c r="J679" i="1" a="1"/>
  <c r="J318" i="1" a="1"/>
  <c r="J341" i="1" a="1"/>
  <c r="J383" i="1" a="1"/>
  <c r="J405" i="1" a="1"/>
  <c r="J444" i="1" a="1"/>
  <c r="J462" i="1" a="1"/>
  <c r="J480" i="1" a="1"/>
  <c r="J497" i="1" a="1"/>
  <c r="J517" i="1" a="1"/>
  <c r="J534" i="1" a="1"/>
  <c r="J550" i="1" a="1"/>
  <c r="J566" i="1" a="1"/>
  <c r="J580" i="1" a="1"/>
  <c r="J594" i="1" a="1"/>
  <c r="J623" i="1" a="1"/>
  <c r="J637" i="1" a="1"/>
  <c r="J651" i="1" a="1"/>
  <c r="J665" i="1" a="1"/>
  <c r="J680" i="1" a="1"/>
  <c r="J691" i="1" a="1"/>
  <c r="J699" i="1" a="1"/>
  <c r="J707" i="1" a="1"/>
  <c r="J715" i="1" a="1"/>
  <c r="J723" i="1" a="1"/>
  <c r="J731" i="1" a="1"/>
  <c r="J739" i="1" a="1"/>
  <c r="J747" i="1" a="1"/>
  <c r="J755" i="1" a="1"/>
  <c r="J763" i="1" a="1"/>
  <c r="J771" i="1" a="1"/>
  <c r="J779" i="1" a="1"/>
  <c r="J787" i="1" a="1"/>
  <c r="J795" i="1" a="1"/>
  <c r="J803" i="1" a="1"/>
  <c r="J811" i="1" a="1"/>
  <c r="J819" i="1" a="1"/>
  <c r="J827" i="1" a="1"/>
  <c r="J835" i="1" a="1"/>
  <c r="J843" i="1" a="1"/>
  <c r="J851" i="1" a="1"/>
  <c r="J859" i="1" a="1"/>
  <c r="J867" i="1" a="1"/>
  <c r="J875" i="1" a="1"/>
  <c r="J883" i="1" a="1"/>
  <c r="J891" i="1" a="1"/>
  <c r="J899" i="1" a="1"/>
  <c r="J40" i="1" a="1"/>
  <c r="J104" i="1" a="1"/>
  <c r="J168" i="1" a="1"/>
  <c r="J232" i="1" a="1"/>
  <c r="J279" i="1" a="1"/>
  <c r="J319" i="1" a="1"/>
  <c r="J342" i="1" a="1"/>
  <c r="J361" i="1" a="1"/>
  <c r="J384" i="1" a="1"/>
  <c r="J406" i="1" a="1"/>
  <c r="J425" i="1" a="1"/>
  <c r="J445" i="1" a="1"/>
  <c r="J463" i="1" a="1"/>
  <c r="J500" i="1" a="1"/>
  <c r="J518" i="1" a="1"/>
  <c r="J535" i="1" a="1"/>
  <c r="J551" i="1" a="1"/>
  <c r="J567" i="1" a="1"/>
  <c r="J581" i="1" a="1"/>
  <c r="J595" i="1" a="1"/>
  <c r="J609" i="1" a="1"/>
  <c r="J624" i="1" a="1"/>
  <c r="J638" i="1" a="1"/>
  <c r="J652" i="1" a="1"/>
  <c r="J666" i="1" a="1"/>
  <c r="J280" i="1" a="1"/>
  <c r="J320" i="1" a="1"/>
  <c r="J343" i="1" a="1"/>
  <c r="J365" i="1" a="1"/>
  <c r="J407" i="1" a="1"/>
  <c r="J428" i="1" a="1"/>
  <c r="J446" i="1" a="1"/>
  <c r="J464" i="1" a="1"/>
  <c r="J481" i="1" a="1"/>
  <c r="J501" i="1" a="1"/>
  <c r="J519" i="1" a="1"/>
  <c r="J536" i="1" a="1"/>
  <c r="J552" i="1" a="1"/>
  <c r="J568" i="1" a="1"/>
  <c r="J582" i="1" a="1"/>
  <c r="J596" i="1" a="1"/>
  <c r="J610" i="1" a="1"/>
  <c r="J639" i="1" a="1"/>
  <c r="J653" i="1" a="1"/>
  <c r="J667" i="1" a="1"/>
  <c r="J681" i="1" a="1"/>
  <c r="J692" i="1" a="1"/>
  <c r="J700" i="1" a="1"/>
  <c r="J708" i="1" a="1"/>
  <c r="J48" i="1" a="1"/>
  <c r="J112" i="1" a="1"/>
  <c r="J176" i="1" a="1"/>
  <c r="J240" i="1" a="1"/>
  <c r="J344" i="1" a="1"/>
  <c r="J366" i="1" a="1"/>
  <c r="J385" i="1" a="1"/>
  <c r="J408" i="1" a="1"/>
  <c r="J429" i="1" a="1"/>
  <c r="J447" i="1" a="1"/>
  <c r="J484" i="1" a="1"/>
  <c r="J502" i="1" a="1"/>
  <c r="J520" i="1" a="1"/>
  <c r="J583" i="1" a="1"/>
  <c r="J597" i="1" a="1"/>
  <c r="J611" i="1" a="1"/>
  <c r="J625" i="1" a="1"/>
  <c r="J640" i="1" a="1"/>
  <c r="J654" i="1" a="1"/>
  <c r="J668" i="1" a="1"/>
  <c r="J682" i="1" a="1"/>
  <c r="J287" i="1" a="1"/>
  <c r="J325" i="1" a="1"/>
  <c r="J367" i="1" a="1"/>
  <c r="J389" i="1" a="1"/>
  <c r="J430" i="1" a="1"/>
  <c r="J448" i="1" a="1"/>
  <c r="J465" i="1" a="1"/>
  <c r="J485" i="1" a="1"/>
  <c r="J503" i="1" a="1"/>
  <c r="J537" i="1" a="1"/>
  <c r="J553" i="1" a="1"/>
  <c r="J569" i="1" a="1"/>
  <c r="J584" i="1" a="1"/>
  <c r="J598" i="1" a="1"/>
  <c r="J612" i="1" a="1"/>
  <c r="J626" i="1" a="1"/>
  <c r="J655" i="1" a="1"/>
  <c r="J669" i="1" a="1"/>
  <c r="J683" i="1" a="1"/>
  <c r="J693" i="1" a="1"/>
  <c r="J701" i="1" a="1"/>
  <c r="J709" i="1" a="1"/>
  <c r="J717" i="1" a="1"/>
  <c r="J725" i="1" a="1"/>
  <c r="J733" i="1" a="1"/>
  <c r="J741" i="1" a="1"/>
  <c r="J749" i="1" a="1"/>
  <c r="J757" i="1" a="1"/>
  <c r="J765" i="1" a="1"/>
  <c r="J773" i="1" a="1"/>
  <c r="J781" i="1" a="1"/>
  <c r="J789" i="1" a="1"/>
  <c r="J797" i="1" a="1"/>
  <c r="J805" i="1" a="1"/>
  <c r="J813" i="1" a="1"/>
  <c r="J821" i="1" a="1"/>
  <c r="J829" i="1" a="1"/>
  <c r="J837" i="1" a="1"/>
  <c r="J845" i="1" a="1"/>
  <c r="J853" i="1" a="1"/>
  <c r="J861" i="1" a="1"/>
  <c r="J869" i="1" a="1"/>
  <c r="J877" i="1" a="1"/>
  <c r="J885" i="1" a="1"/>
  <c r="J893" i="1" a="1"/>
  <c r="J901" i="1" a="1"/>
  <c r="J909" i="1" a="1"/>
  <c r="J917" i="1" a="1"/>
  <c r="J925" i="1" a="1"/>
  <c r="J933" i="1" a="1"/>
  <c r="J941" i="1" a="1"/>
  <c r="J56" i="1" a="1"/>
  <c r="J120" i="1" a="1"/>
  <c r="J184" i="1" a="1"/>
  <c r="J247" i="1" a="1"/>
  <c r="J288" i="1" a="1"/>
  <c r="J326" i="1" a="1"/>
  <c r="J345" i="1" a="1"/>
  <c r="J368" i="1" a="1"/>
  <c r="J390" i="1" a="1"/>
  <c r="J409" i="1" a="1"/>
  <c r="J431" i="1" a="1"/>
  <c r="J468" i="1" a="1"/>
  <c r="J486" i="1" a="1"/>
  <c r="J504" i="1" a="1"/>
  <c r="J521" i="1" a="1"/>
  <c r="J539" i="1" a="1"/>
  <c r="J555" i="1" a="1"/>
  <c r="J570" i="1" a="1"/>
  <c r="J599" i="1" a="1"/>
  <c r="J613" i="1" a="1"/>
  <c r="J627" i="1" a="1"/>
  <c r="J641" i="1" a="1"/>
  <c r="J656" i="1" a="1"/>
  <c r="J670" i="1" a="1"/>
  <c r="J684" i="1" a="1"/>
  <c r="J248" i="1" a="1"/>
  <c r="J327" i="1" a="1"/>
  <c r="J349" i="1" a="1"/>
  <c r="J391" i="1" a="1"/>
  <c r="J413" i="1" a="1"/>
  <c r="J432" i="1" a="1"/>
  <c r="J449" i="1" a="1"/>
  <c r="J469" i="1" a="1"/>
  <c r="J487" i="1" a="1"/>
  <c r="J524" i="1" a="1"/>
  <c r="J540" i="1" a="1"/>
  <c r="J556" i="1" a="1"/>
  <c r="J571" i="1" a="1"/>
  <c r="J585" i="1" a="1"/>
  <c r="J600" i="1" a="1"/>
  <c r="J614" i="1" a="1"/>
  <c r="J628" i="1" a="1"/>
  <c r="J642" i="1" a="1"/>
  <c r="J671" i="1" a="1"/>
  <c r="J685" i="1" a="1"/>
  <c r="J694" i="1" a="1"/>
  <c r="J702" i="1" a="1"/>
  <c r="J710" i="1" a="1"/>
  <c r="J718" i="1" a="1"/>
  <c r="J726" i="1" a="1"/>
  <c r="J64" i="1" a="1"/>
  <c r="J128" i="1" a="1"/>
  <c r="J192" i="1" a="1"/>
  <c r="J295" i="1" a="1"/>
  <c r="J328" i="1" a="1"/>
  <c r="J350" i="1" a="1"/>
  <c r="J369" i="1" a="1"/>
  <c r="J392" i="1" a="1"/>
  <c r="J414" i="1" a="1"/>
  <c r="J452" i="1" a="1"/>
  <c r="J470" i="1" a="1"/>
  <c r="J488" i="1" a="1"/>
  <c r="J505" i="1" a="1"/>
  <c r="J525" i="1" a="1"/>
  <c r="J541" i="1" a="1"/>
  <c r="J557" i="1" a="1"/>
  <c r="J572" i="1" a="1"/>
  <c r="J586" i="1" a="1"/>
  <c r="J615" i="1" a="1"/>
  <c r="J629" i="1" a="1"/>
  <c r="J643" i="1" a="1"/>
  <c r="J657" i="1" a="1"/>
  <c r="J672" i="1" a="1"/>
  <c r="J686" i="1" a="1"/>
  <c r="J255" i="1" a="1"/>
  <c r="J296" i="1" a="1"/>
  <c r="J351" i="1" a="1"/>
  <c r="J373" i="1" a="1"/>
  <c r="J415" i="1" a="1"/>
  <c r="J433" i="1" a="1"/>
  <c r="J453" i="1" a="1"/>
  <c r="J471" i="1" a="1"/>
  <c r="J508" i="1" a="1"/>
  <c r="J526" i="1" a="1"/>
  <c r="J542" i="1" a="1"/>
  <c r="J558" i="1" a="1"/>
  <c r="J573" i="1" a="1"/>
  <c r="J587" i="1" a="1"/>
  <c r="J601" i="1" a="1"/>
  <c r="J616" i="1" a="1"/>
  <c r="J630" i="1" a="1"/>
  <c r="J644" i="1" a="1"/>
  <c r="J72" i="1" a="1"/>
  <c r="J136" i="1" a="1"/>
  <c r="J200" i="1" a="1"/>
  <c r="J256" i="1" a="1"/>
  <c r="J329" i="1" a="1"/>
  <c r="J352" i="1" a="1"/>
  <c r="J374" i="1" a="1"/>
  <c r="J393" i="1" a="1"/>
  <c r="J416" i="1" a="1"/>
  <c r="J436" i="1" a="1"/>
  <c r="J454" i="1" a="1"/>
  <c r="J472" i="1" a="1"/>
  <c r="J489" i="1" a="1"/>
  <c r="J509" i="1" a="1"/>
  <c r="J527" i="1" a="1"/>
  <c r="J543" i="1" a="1"/>
  <c r="J559" i="1" a="1"/>
  <c r="J574" i="1" a="1"/>
  <c r="J588" i="1" a="1"/>
  <c r="J602" i="1" a="1"/>
  <c r="J631" i="1" a="1"/>
  <c r="J645" i="1" a="1"/>
  <c r="J659" i="1" a="1"/>
  <c r="J673" i="1" a="1"/>
  <c r="J687" i="1" a="1"/>
  <c r="J544" i="1" a="1"/>
  <c r="J696" i="1" a="1"/>
  <c r="J734" i="1" a="1"/>
  <c r="J782" i="1" a="1"/>
  <c r="J800" i="1" a="1"/>
  <c r="J823" i="1" a="1"/>
  <c r="J846" i="1" a="1"/>
  <c r="J864" i="1" a="1"/>
  <c r="J884" i="1" a="1"/>
  <c r="J900" i="1" a="1"/>
  <c r="J955" i="1" a="1"/>
  <c r="J978" i="1" a="1"/>
  <c r="J990" i="1" a="1"/>
  <c r="J1000" i="1" a="1"/>
  <c r="J1011" i="1" a="1"/>
  <c r="J1030" i="1" a="1"/>
  <c r="J1049" i="1" a="1"/>
  <c r="J1059" i="1" a="1"/>
  <c r="J1068" i="1" a="1"/>
  <c r="J1077" i="1" a="1"/>
  <c r="J1086" i="1" a="1"/>
  <c r="J1095" i="1" a="1"/>
  <c r="J1104" i="1" a="1"/>
  <c r="J1113" i="1" a="1"/>
  <c r="J1123" i="1" a="1"/>
  <c r="J1132" i="1" a="1"/>
  <c r="J1141" i="1" a="1"/>
  <c r="J1150" i="1" a="1"/>
  <c r="J1159" i="1" a="1"/>
  <c r="J1168" i="1" a="1"/>
  <c r="J1177" i="1" a="1"/>
  <c r="J1187" i="1" a="1"/>
  <c r="J1196" i="1" a="1"/>
  <c r="J1205" i="1" a="1"/>
  <c r="J1214" i="1" a="1"/>
  <c r="J1222" i="1" a="1"/>
  <c r="J1230" i="1" a="1"/>
  <c r="J1238" i="1" a="1"/>
  <c r="J1246" i="1" a="1"/>
  <c r="J1254" i="1" a="1"/>
  <c r="J1262" i="1" a="1"/>
  <c r="J1270" i="1" a="1"/>
  <c r="J560" i="1" a="1"/>
  <c r="J759" i="1" a="1"/>
  <c r="J804" i="1" a="1"/>
  <c r="J868" i="1" a="1"/>
  <c r="J915" i="1" a="1"/>
  <c r="J928" i="1" a="1"/>
  <c r="J943" i="1" a="1"/>
  <c r="J956" i="1" a="1"/>
  <c r="J967" i="1" a="1"/>
  <c r="J979" i="1" a="1"/>
  <c r="J1021" i="1" a="1"/>
  <c r="J1040" i="1" a="1"/>
  <c r="J1050" i="1" a="1"/>
  <c r="J1114" i="1" a="1"/>
  <c r="J1178" i="1" a="1"/>
  <c r="J575" i="1" a="1"/>
  <c r="J703" i="1" a="1"/>
  <c r="J735" i="1" a="1"/>
  <c r="J760" i="1" a="1"/>
  <c r="J783" i="1" a="1"/>
  <c r="J806" i="1" a="1"/>
  <c r="J824" i="1" a="1"/>
  <c r="J847" i="1" a="1"/>
  <c r="J870" i="1" a="1"/>
  <c r="J886" i="1" a="1"/>
  <c r="J902" i="1" a="1"/>
  <c r="J916" i="1" a="1"/>
  <c r="J980" i="1" a="1"/>
  <c r="J991" i="1" a="1"/>
  <c r="J1002" i="1" a="1"/>
  <c r="J1012" i="1" a="1"/>
  <c r="J1031" i="1" a="1"/>
  <c r="J1051" i="1" a="1"/>
  <c r="J1060" i="1" a="1"/>
  <c r="J1069" i="1" a="1"/>
  <c r="J1078" i="1" a="1"/>
  <c r="J1087" i="1" a="1"/>
  <c r="J1096" i="1" a="1"/>
  <c r="J1105" i="1" a="1"/>
  <c r="J1115" i="1" a="1"/>
  <c r="J1124" i="1" a="1"/>
  <c r="J1133" i="1" a="1"/>
  <c r="J1142" i="1" a="1"/>
  <c r="J1151" i="1" a="1"/>
  <c r="J1160" i="1" a="1"/>
  <c r="J1169" i="1" a="1"/>
  <c r="J1179" i="1" a="1"/>
  <c r="J1188" i="1" a="1"/>
  <c r="J1197" i="1" a="1"/>
  <c r="J1206" i="1" a="1"/>
  <c r="J1215" i="1" a="1"/>
  <c r="J1223" i="1" a="1"/>
  <c r="J1231" i="1" a="1"/>
  <c r="J1239" i="1" a="1"/>
  <c r="J1247" i="1" a="1"/>
  <c r="J1255" i="1" a="1"/>
  <c r="J1263" i="1" a="1"/>
  <c r="J1271" i="1" a="1"/>
  <c r="J1279" i="1" a="1"/>
  <c r="J1287" i="1" a="1"/>
  <c r="J1295" i="1" a="1"/>
  <c r="J1303" i="1" a="1"/>
  <c r="J1311" i="1" a="1"/>
  <c r="J1319" i="1" a="1"/>
  <c r="J1327" i="1" a="1"/>
  <c r="J1335" i="1" a="1"/>
  <c r="J1343" i="1" a="1"/>
  <c r="J1351" i="1" a="1"/>
  <c r="J1359" i="1" a="1"/>
  <c r="J1367" i="1" a="1"/>
  <c r="J1375" i="1" a="1"/>
  <c r="J1383" i="1" a="1"/>
  <c r="J1391" i="1" a="1"/>
  <c r="J1399" i="1" a="1"/>
  <c r="J589" i="1" a="1"/>
  <c r="J704" i="1" a="1"/>
  <c r="J736" i="1" a="1"/>
  <c r="J764" i="1" a="1"/>
  <c r="J828" i="1" a="1"/>
  <c r="J931" i="1" a="1"/>
  <c r="J944" i="1" a="1"/>
  <c r="J957" i="1" a="1"/>
  <c r="J968" i="1" a="1"/>
  <c r="J1003" i="1" a="1"/>
  <c r="J1022" i="1" a="1"/>
  <c r="J1042" i="1" a="1"/>
  <c r="J1106" i="1" a="1"/>
  <c r="J1170" i="1" a="1"/>
  <c r="J303" i="1" a="1"/>
  <c r="J603" i="1" a="1"/>
  <c r="J740" i="1" a="1"/>
  <c r="J766" i="1" a="1"/>
  <c r="J784" i="1" a="1"/>
  <c r="J807" i="1" a="1"/>
  <c r="J830" i="1" a="1"/>
  <c r="J848" i="1" a="1"/>
  <c r="J871" i="1" a="1"/>
  <c r="J887" i="1" a="1"/>
  <c r="J903" i="1" a="1"/>
  <c r="J918" i="1" a="1"/>
  <c r="J932" i="1" a="1"/>
  <c r="J958" i="1" a="1"/>
  <c r="J981" i="1" a="1"/>
  <c r="J992" i="1" a="1"/>
  <c r="J1013" i="1" a="1"/>
  <c r="J1032" i="1" a="1"/>
  <c r="J1043" i="1" a="1"/>
  <c r="J1052" i="1" a="1"/>
  <c r="J1061" i="1" a="1"/>
  <c r="J1070" i="1" a="1"/>
  <c r="J1079" i="1" a="1"/>
  <c r="J1088" i="1" a="1"/>
  <c r="J1097" i="1" a="1"/>
  <c r="J1107" i="1" a="1"/>
  <c r="J1116" i="1" a="1"/>
  <c r="J1125" i="1" a="1"/>
  <c r="J1134" i="1" a="1"/>
  <c r="J1143" i="1" a="1"/>
  <c r="J1152" i="1" a="1"/>
  <c r="J1161" i="1" a="1"/>
  <c r="J1171" i="1" a="1"/>
  <c r="J1180" i="1" a="1"/>
  <c r="J1189" i="1" a="1"/>
  <c r="J1198" i="1" a="1"/>
  <c r="J1207" i="1" a="1"/>
  <c r="J1216" i="1" a="1"/>
  <c r="J1224" i="1" a="1"/>
  <c r="J1232" i="1" a="1"/>
  <c r="J1240" i="1" a="1"/>
  <c r="J1248" i="1" a="1"/>
  <c r="J1256" i="1" a="1"/>
  <c r="J1264" i="1" a="1"/>
  <c r="J1272" i="1" a="1"/>
  <c r="J1280" i="1" a="1"/>
  <c r="J1288" i="1" a="1"/>
  <c r="J1296" i="1" a="1"/>
  <c r="J1304" i="1" a="1"/>
  <c r="J333" i="1" a="1"/>
  <c r="J617" i="1" a="1"/>
  <c r="J711" i="1" a="1"/>
  <c r="J742" i="1" a="1"/>
  <c r="J788" i="1" a="1"/>
  <c r="J852" i="1" a="1"/>
  <c r="J947" i="1" a="1"/>
  <c r="J970" i="1" a="1"/>
  <c r="J982" i="1" a="1"/>
  <c r="J1004" i="1" a="1"/>
  <c r="J1023" i="1" a="1"/>
  <c r="J1098" i="1" a="1"/>
  <c r="J1162" i="1" a="1"/>
  <c r="J632" i="1" a="1"/>
  <c r="J712" i="1" a="1"/>
  <c r="J767" i="1" a="1"/>
  <c r="J790" i="1" a="1"/>
  <c r="J808" i="1" a="1"/>
  <c r="J831" i="1" a="1"/>
  <c r="J854" i="1" a="1"/>
  <c r="J872" i="1" a="1"/>
  <c r="J888" i="1" a="1"/>
  <c r="J904" i="1" a="1"/>
  <c r="J919" i="1" a="1"/>
  <c r="J934" i="1" a="1"/>
  <c r="J948" i="1" a="1"/>
  <c r="J959" i="1" a="1"/>
  <c r="J971" i="1" a="1"/>
  <c r="J994" i="1" a="1"/>
  <c r="J1014" i="1" a="1"/>
  <c r="J1034" i="1" a="1"/>
  <c r="J1044" i="1" a="1"/>
  <c r="J1053" i="1" a="1"/>
  <c r="J1062" i="1" a="1"/>
  <c r="J1071" i="1" a="1"/>
  <c r="J1080" i="1" a="1"/>
  <c r="J1089" i="1" a="1"/>
  <c r="J1099" i="1" a="1"/>
  <c r="J1108" i="1" a="1"/>
  <c r="J1117" i="1" a="1"/>
  <c r="J1126" i="1" a="1"/>
  <c r="J1135" i="1" a="1"/>
  <c r="J1144" i="1" a="1"/>
  <c r="J1153" i="1" a="1"/>
  <c r="J1163" i="1" a="1"/>
  <c r="J1172" i="1" a="1"/>
  <c r="J1181" i="1" a="1"/>
  <c r="J1190" i="1" a="1"/>
  <c r="J1199" i="1" a="1"/>
  <c r="J1208" i="1" a="1"/>
  <c r="J1217" i="1" a="1"/>
  <c r="J1225" i="1" a="1"/>
  <c r="J1233" i="1" a="1"/>
  <c r="J1241" i="1" a="1"/>
  <c r="J1249" i="1" a="1"/>
  <c r="J1257" i="1" a="1"/>
  <c r="J1265" i="1" a="1"/>
  <c r="J1273" i="1" a="1"/>
  <c r="J375" i="1" a="1"/>
  <c r="J646" i="1" a="1"/>
  <c r="J716" i="1" a="1"/>
  <c r="J743" i="1" a="1"/>
  <c r="J812" i="1" a="1"/>
  <c r="J972" i="1" a="1"/>
  <c r="J983" i="1" a="1"/>
  <c r="J995" i="1" a="1"/>
  <c r="J1005" i="1" a="1"/>
  <c r="J1024" i="1" a="1"/>
  <c r="J1035" i="1" a="1"/>
  <c r="J1090" i="1" a="1"/>
  <c r="J1154" i="1" a="1"/>
  <c r="J397" i="1" a="1"/>
  <c r="J658" i="1" a="1"/>
  <c r="J744" i="1" a="1"/>
  <c r="J768" i="1" a="1"/>
  <c r="J791" i="1" a="1"/>
  <c r="J814" i="1" a="1"/>
  <c r="J832" i="1" a="1"/>
  <c r="J855" i="1" a="1"/>
  <c r="J876" i="1" a="1"/>
  <c r="J892" i="1" a="1"/>
  <c r="J907" i="1" a="1"/>
  <c r="J920" i="1" a="1"/>
  <c r="J935" i="1" a="1"/>
  <c r="J949" i="1" a="1"/>
  <c r="J960" i="1" a="1"/>
  <c r="J1015" i="1" a="1"/>
  <c r="J1045" i="1" a="1"/>
  <c r="J1054" i="1" a="1"/>
  <c r="J1063" i="1" a="1"/>
  <c r="J1072" i="1" a="1"/>
  <c r="J1081" i="1" a="1"/>
  <c r="J1091" i="1" a="1"/>
  <c r="J1100" i="1" a="1"/>
  <c r="J1109" i="1" a="1"/>
  <c r="J1118" i="1" a="1"/>
  <c r="J1127" i="1" a="1"/>
  <c r="J1136" i="1" a="1"/>
  <c r="J1145" i="1" a="1"/>
  <c r="J1155" i="1" a="1"/>
  <c r="J1164" i="1" a="1"/>
  <c r="J1173" i="1" a="1"/>
  <c r="J1182" i="1" a="1"/>
  <c r="J1191" i="1" a="1"/>
  <c r="J660" i="1" a="1"/>
  <c r="J719" i="1" a="1"/>
  <c r="J748" i="1" a="1"/>
  <c r="J772" i="1" a="1"/>
  <c r="J836" i="1" a="1"/>
  <c r="J908" i="1" a="1"/>
  <c r="J950" i="1" a="1"/>
  <c r="J973" i="1" a="1"/>
  <c r="J984" i="1" a="1"/>
  <c r="J996" i="1" a="1"/>
  <c r="J1006" i="1" a="1"/>
  <c r="J1026" i="1" a="1"/>
  <c r="J1036" i="1" a="1"/>
  <c r="J1082" i="1" a="1"/>
  <c r="J1146" i="1" a="1"/>
  <c r="J1210" i="1" a="1"/>
  <c r="J437" i="1" a="1"/>
  <c r="J720" i="1" a="1"/>
  <c r="J750" i="1" a="1"/>
  <c r="J774" i="1" a="1"/>
  <c r="J792" i="1" a="1"/>
  <c r="J815" i="1" a="1"/>
  <c r="J838" i="1" a="1"/>
  <c r="J856" i="1" a="1"/>
  <c r="J878" i="1" a="1"/>
  <c r="J894" i="1" a="1"/>
  <c r="J923" i="1" a="1"/>
  <c r="J936" i="1" a="1"/>
  <c r="J962" i="1" a="1"/>
  <c r="J974" i="1" a="1"/>
  <c r="J1016" i="1" a="1"/>
  <c r="J1027" i="1" a="1"/>
  <c r="J1046" i="1" a="1"/>
  <c r="J1055" i="1" a="1"/>
  <c r="J1064" i="1" a="1"/>
  <c r="J1073" i="1" a="1"/>
  <c r="J1083" i="1" a="1"/>
  <c r="J1092" i="1" a="1"/>
  <c r="J1101" i="1" a="1"/>
  <c r="J1110" i="1" a="1"/>
  <c r="J1119" i="1" a="1"/>
  <c r="J1128" i="1" a="1"/>
  <c r="J1137" i="1" a="1"/>
  <c r="J1147" i="1" a="1"/>
  <c r="J1156" i="1" a="1"/>
  <c r="J1165" i="1" a="1"/>
  <c r="J1174" i="1" a="1"/>
  <c r="J1183" i="1" a="1"/>
  <c r="J1192" i="1" a="1"/>
  <c r="J1201" i="1" a="1"/>
  <c r="J1211" i="1" a="1"/>
  <c r="J1219" i="1" a="1"/>
  <c r="J455" i="1" a="1"/>
  <c r="J674" i="1" a="1"/>
  <c r="J724" i="1" a="1"/>
  <c r="J796" i="1" a="1"/>
  <c r="J860" i="1" a="1"/>
  <c r="J910" i="1" a="1"/>
  <c r="J924" i="1" a="1"/>
  <c r="J951" i="1" a="1"/>
  <c r="J963" i="1" a="1"/>
  <c r="J986" i="1" a="1"/>
  <c r="J997" i="1" a="1"/>
  <c r="J1007" i="1" a="1"/>
  <c r="J1037" i="1" a="1"/>
  <c r="J1074" i="1" a="1"/>
  <c r="J1138" i="1" a="1"/>
  <c r="J751" i="1" a="1"/>
  <c r="J775" i="1" a="1"/>
  <c r="J798" i="1" a="1"/>
  <c r="J816" i="1" a="1"/>
  <c r="J839" i="1" a="1"/>
  <c r="J862" i="1" a="1"/>
  <c r="J879" i="1" a="1"/>
  <c r="J895" i="1" a="1"/>
  <c r="J939" i="1" a="1"/>
  <c r="J964" i="1" a="1"/>
  <c r="J975" i="1" a="1"/>
  <c r="J987" i="1" a="1"/>
  <c r="J998" i="1" a="1"/>
  <c r="J1018" i="1" a="1"/>
  <c r="J1028" i="1" a="1"/>
  <c r="J1047" i="1" a="1"/>
  <c r="J492" i="1" a="1"/>
  <c r="J688" i="1" a="1"/>
  <c r="J727" i="1" a="1"/>
  <c r="J752" i="1" a="1"/>
  <c r="J820" i="1" a="1"/>
  <c r="J911" i="1" a="1"/>
  <c r="J926" i="1" a="1"/>
  <c r="J940" i="1" a="1"/>
  <c r="J952" i="1" a="1"/>
  <c r="J988" i="1" a="1"/>
  <c r="J1008" i="1" a="1"/>
  <c r="J1019" i="1" a="1"/>
  <c r="J1038" i="1" a="1"/>
  <c r="J1066" i="1" a="1"/>
  <c r="J1130" i="1" a="1"/>
  <c r="J510" i="1" a="1"/>
  <c r="J728" i="1" a="1"/>
  <c r="J756" i="1" a="1"/>
  <c r="J776" i="1" a="1"/>
  <c r="J799" i="1" a="1"/>
  <c r="J822" i="1" a="1"/>
  <c r="J840" i="1" a="1"/>
  <c r="J863" i="1" a="1"/>
  <c r="J880" i="1" a="1"/>
  <c r="J896" i="1" a="1"/>
  <c r="J965" i="1" a="1"/>
  <c r="J976" i="1" a="1"/>
  <c r="J999" i="1" a="1"/>
  <c r="J1029" i="1" a="1"/>
  <c r="J1048" i="1" a="1"/>
  <c r="J1057" i="1" a="1"/>
  <c r="J1067" i="1" a="1"/>
  <c r="J1076" i="1" a="1"/>
  <c r="J1085" i="1" a="1"/>
  <c r="J1094" i="1" a="1"/>
  <c r="J528" i="1" a="1"/>
  <c r="J1093" i="1" a="1"/>
  <c r="J1140" i="1" a="1"/>
  <c r="J1176" i="1" a="1"/>
  <c r="J1298" i="1" a="1"/>
  <c r="J1322" i="1" a="1"/>
  <c r="J1333" i="1" a="1"/>
  <c r="J1369" i="1" a="1"/>
  <c r="J1380" i="1" a="1"/>
  <c r="J1392" i="1" a="1"/>
  <c r="J1425" i="1" a="1"/>
  <c r="J1457" i="1" a="1"/>
  <c r="J1489" i="1" a="1"/>
  <c r="J1509" i="1" a="1"/>
  <c r="J1519" i="1" a="1"/>
  <c r="J1529" i="1" a="1"/>
  <c r="J1539" i="1" a="1"/>
  <c r="J1558" i="1" a="1"/>
  <c r="J1578" i="1" a="1"/>
  <c r="J1588" i="1" a="1"/>
  <c r="J1606" i="1" a="1"/>
  <c r="J1614" i="1" a="1"/>
  <c r="J1622" i="1" a="1"/>
  <c r="J1630" i="1" a="1"/>
  <c r="J1638" i="1" a="1"/>
  <c r="J1646" i="1" a="1"/>
  <c r="J1654" i="1" a="1"/>
  <c r="J1662" i="1" a="1"/>
  <c r="J1670" i="1" a="1"/>
  <c r="J1678" i="1" a="1"/>
  <c r="J1686" i="1" a="1"/>
  <c r="J1694" i="1" a="1"/>
  <c r="J1702" i="1" a="1"/>
  <c r="J1710" i="1" a="1"/>
  <c r="J1718" i="1" a="1"/>
  <c r="J1726" i="1" a="1"/>
  <c r="J1734" i="1" a="1"/>
  <c r="J1742" i="1" a="1"/>
  <c r="J1750" i="1" a="1"/>
  <c r="J1758" i="1" a="1"/>
  <c r="J1766" i="1" a="1"/>
  <c r="J1774" i="1" a="1"/>
  <c r="J1782" i="1" a="1"/>
  <c r="J1790" i="1" a="1"/>
  <c r="J1798" i="1" a="1"/>
  <c r="J1806" i="1" a="1"/>
  <c r="J1814" i="1" a="1"/>
  <c r="J1822" i="1" a="1"/>
  <c r="J1830" i="1" a="1"/>
  <c r="J1838" i="1" a="1"/>
  <c r="J1846" i="1" a="1"/>
  <c r="J1854" i="1" a="1"/>
  <c r="J1862" i="1" a="1"/>
  <c r="J1870" i="1" a="1"/>
  <c r="J1878" i="1" a="1"/>
  <c r="J1886" i="1" a="1"/>
  <c r="J1894" i="1" a="1"/>
  <c r="J1902" i="1" a="1"/>
  <c r="J1910" i="1" a="1"/>
  <c r="J1918" i="1" a="1"/>
  <c r="J1926" i="1" a="1"/>
  <c r="J1934" i="1" a="1"/>
  <c r="J695" i="1" a="1"/>
  <c r="J989" i="1" a="1"/>
  <c r="J1204" i="1" a="1"/>
  <c r="J1285" i="1" a="1"/>
  <c r="J1299" i="1" a="1"/>
  <c r="J1310" i="1" a="1"/>
  <c r="J1323" i="1" a="1"/>
  <c r="J1346" i="1" a="1"/>
  <c r="J1357" i="1" a="1"/>
  <c r="J1393" i="1" a="1"/>
  <c r="J1404" i="1" a="1"/>
  <c r="J1414" i="1" a="1"/>
  <c r="J1436" i="1" a="1"/>
  <c r="J1446" i="1" a="1"/>
  <c r="J1468" i="1" a="1"/>
  <c r="J1478" i="1" a="1"/>
  <c r="J1500" i="1" a="1"/>
  <c r="J1520" i="1" a="1"/>
  <c r="J1549" i="1" a="1"/>
  <c r="J1559" i="1" a="1"/>
  <c r="J1569" i="1" a="1"/>
  <c r="J1579" i="1" a="1"/>
  <c r="J1598" i="1" a="1"/>
  <c r="J732" i="1" a="1"/>
  <c r="J1102" i="1" a="1"/>
  <c r="J1148" i="1" a="1"/>
  <c r="J1184" i="1" a="1"/>
  <c r="J1226" i="1" a="1"/>
  <c r="J1242" i="1" a="1"/>
  <c r="J1258" i="1" a="1"/>
  <c r="J1274" i="1" a="1"/>
  <c r="J1312" i="1" a="1"/>
  <c r="J1334" i="1" a="1"/>
  <c r="J1347" i="1" a="1"/>
  <c r="J1370" i="1" a="1"/>
  <c r="J1381" i="1" a="1"/>
  <c r="J1415" i="1" a="1"/>
  <c r="J1426" i="1" a="1"/>
  <c r="J1447" i="1" a="1"/>
  <c r="J1458" i="1" a="1"/>
  <c r="J1479" i="1" a="1"/>
  <c r="J1490" i="1" a="1"/>
  <c r="J1510" i="1" a="1"/>
  <c r="J1530" i="1" a="1"/>
  <c r="J1540" i="1" a="1"/>
  <c r="J1560" i="1" a="1"/>
  <c r="J1589" i="1" a="1"/>
  <c r="J1599" i="1" a="1"/>
  <c r="J1607" i="1" a="1"/>
  <c r="J1615" i="1" a="1"/>
  <c r="J1623" i="1" a="1"/>
  <c r="J1631" i="1" a="1"/>
  <c r="J1639" i="1" a="1"/>
  <c r="J1647" i="1" a="1"/>
  <c r="J1655" i="1" a="1"/>
  <c r="J1663" i="1" a="1"/>
  <c r="J1671" i="1" a="1"/>
  <c r="J1679" i="1" a="1"/>
  <c r="J1687" i="1" a="1"/>
  <c r="J1695" i="1" a="1"/>
  <c r="J1703" i="1" a="1"/>
  <c r="J1711" i="1" a="1"/>
  <c r="J1719" i="1" a="1"/>
  <c r="J1727" i="1" a="1"/>
  <c r="J1735" i="1" a="1"/>
  <c r="J1743" i="1" a="1"/>
  <c r="J1751" i="1" a="1"/>
  <c r="J1759" i="1" a="1"/>
  <c r="J1767" i="1" a="1"/>
  <c r="J1775" i="1" a="1"/>
  <c r="J1783" i="1" a="1"/>
  <c r="J1791" i="1" a="1"/>
  <c r="J1799" i="1" a="1"/>
  <c r="J1807" i="1" a="1"/>
  <c r="J1815" i="1" a="1"/>
  <c r="J1823" i="1" a="1"/>
  <c r="J1831" i="1" a="1"/>
  <c r="J1839" i="1" a="1"/>
  <c r="J1847" i="1" a="1"/>
  <c r="J1855" i="1" a="1"/>
  <c r="J1863" i="1" a="1"/>
  <c r="J1871" i="1" a="1"/>
  <c r="J1879" i="1" a="1"/>
  <c r="J1887" i="1" a="1"/>
  <c r="J1895" i="1" a="1"/>
  <c r="J1903" i="1" a="1"/>
  <c r="J1911" i="1" a="1"/>
  <c r="J1919" i="1" a="1"/>
  <c r="J1927" i="1" a="1"/>
  <c r="J1935" i="1" a="1"/>
  <c r="J1943" i="1" a="1"/>
  <c r="J1951" i="1" a="1"/>
  <c r="J1959" i="1" a="1"/>
  <c r="J1967" i="1" a="1"/>
  <c r="J1975" i="1" a="1"/>
  <c r="J1983" i="1" a="1"/>
  <c r="J1991" i="1" a="1"/>
  <c r="J758" i="1" a="1"/>
  <c r="J1010" i="1" a="1"/>
  <c r="J1103" i="1" a="1"/>
  <c r="J1227" i="1" a="1"/>
  <c r="J1243" i="1" a="1"/>
  <c r="J1259" i="1" a="1"/>
  <c r="J1275" i="1" a="1"/>
  <c r="J1286" i="1" a="1"/>
  <c r="J1300" i="1" a="1"/>
  <c r="J1313" i="1" a="1"/>
  <c r="J1324" i="1" a="1"/>
  <c r="J1336" i="1" a="1"/>
  <c r="J1358" i="1" a="1"/>
  <c r="J1371" i="1" a="1"/>
  <c r="J1394" i="1" a="1"/>
  <c r="J1405" i="1" a="1"/>
  <c r="J1416" i="1" a="1"/>
  <c r="J1427" i="1" a="1"/>
  <c r="J1437" i="1" a="1"/>
  <c r="J1448" i="1" a="1"/>
  <c r="J1459" i="1" a="1"/>
  <c r="J1469" i="1" a="1"/>
  <c r="J1480" i="1" a="1"/>
  <c r="J1491" i="1" a="1"/>
  <c r="J1501" i="1" a="1"/>
  <c r="J1511" i="1" a="1"/>
  <c r="J1521" i="1" a="1"/>
  <c r="J1531" i="1" a="1"/>
  <c r="J1550" i="1" a="1"/>
  <c r="J1570" i="1" a="1"/>
  <c r="J1580" i="1" a="1"/>
  <c r="J780" i="1" a="1"/>
  <c r="J1020" i="1" a="1"/>
  <c r="J1149" i="1" a="1"/>
  <c r="J1185" i="1" a="1"/>
  <c r="J1209" i="1" a="1"/>
  <c r="J1289" i="1" a="1"/>
  <c r="J1337" i="1" a="1"/>
  <c r="J1348" i="1" a="1"/>
  <c r="J1360" i="1" a="1"/>
  <c r="J1382" i="1" a="1"/>
  <c r="J1395" i="1" a="1"/>
  <c r="J1417" i="1" a="1"/>
  <c r="J1449" i="1" a="1"/>
  <c r="J1481" i="1" a="1"/>
  <c r="J1512" i="1" a="1"/>
  <c r="J1541" i="1" a="1"/>
  <c r="J1551" i="1" a="1"/>
  <c r="J1561" i="1" a="1"/>
  <c r="J1571" i="1" a="1"/>
  <c r="J1590" i="1" a="1"/>
  <c r="J1600" i="1" a="1"/>
  <c r="J1608" i="1" a="1"/>
  <c r="J1616" i="1" a="1"/>
  <c r="J1624" i="1" a="1"/>
  <c r="J1632" i="1" a="1"/>
  <c r="J1640" i="1" a="1"/>
  <c r="J1648" i="1" a="1"/>
  <c r="J1656" i="1" a="1"/>
  <c r="J1664" i="1" a="1"/>
  <c r="J1672" i="1" a="1"/>
  <c r="J1680" i="1" a="1"/>
  <c r="J1688" i="1" a="1"/>
  <c r="J1696" i="1" a="1"/>
  <c r="J1704" i="1" a="1"/>
  <c r="J1712" i="1" a="1"/>
  <c r="J1720" i="1" a="1"/>
  <c r="J1728" i="1" a="1"/>
  <c r="J1736" i="1" a="1"/>
  <c r="J1744" i="1" a="1"/>
  <c r="J1752" i="1" a="1"/>
  <c r="J1760" i="1" a="1"/>
  <c r="J1768" i="1" a="1"/>
  <c r="J1776" i="1" a="1"/>
  <c r="J1784" i="1" a="1"/>
  <c r="J1792" i="1" a="1"/>
  <c r="J1800" i="1" a="1"/>
  <c r="J1808" i="1" a="1"/>
  <c r="J1816" i="1" a="1"/>
  <c r="J1824" i="1" a="1"/>
  <c r="J1832" i="1" a="1"/>
  <c r="J1840" i="1" a="1"/>
  <c r="J1848" i="1" a="1"/>
  <c r="J1856" i="1" a="1"/>
  <c r="J1864" i="1" a="1"/>
  <c r="J1872" i="1" a="1"/>
  <c r="J1880" i="1" a="1"/>
  <c r="J1888" i="1" a="1"/>
  <c r="J1111" i="1" a="1"/>
  <c r="J1186" i="1" a="1"/>
  <c r="J1228" i="1" a="1"/>
  <c r="J1244" i="1" a="1"/>
  <c r="J1260" i="1" a="1"/>
  <c r="J1276" i="1" a="1"/>
  <c r="J1301" i="1" a="1"/>
  <c r="J1314" i="1" a="1"/>
  <c r="J1325" i="1" a="1"/>
  <c r="J1361" i="1" a="1"/>
  <c r="J1372" i="1" a="1"/>
  <c r="J1384" i="1" a="1"/>
  <c r="J1406" i="1" a="1"/>
  <c r="J1428" i="1" a="1"/>
  <c r="J1438" i="1" a="1"/>
  <c r="J1460" i="1" a="1"/>
  <c r="J1470" i="1" a="1"/>
  <c r="J1492" i="1" a="1"/>
  <c r="J1502" i="1" a="1"/>
  <c r="J1522" i="1" a="1"/>
  <c r="J1532" i="1" a="1"/>
  <c r="J1552" i="1" a="1"/>
  <c r="J1581" i="1" a="1"/>
  <c r="J1591" i="1" a="1"/>
  <c r="J1039" i="1" a="1"/>
  <c r="J1112" i="1" a="1"/>
  <c r="J1157" i="1" a="1"/>
  <c r="J1212" i="1" a="1"/>
  <c r="J1290" i="1" a="1"/>
  <c r="J1315" i="1" a="1"/>
  <c r="J1338" i="1" a="1"/>
  <c r="J1349" i="1" a="1"/>
  <c r="J1385" i="1" a="1"/>
  <c r="J1396" i="1" a="1"/>
  <c r="J1407" i="1" a="1"/>
  <c r="J1418" i="1" a="1"/>
  <c r="J1439" i="1" a="1"/>
  <c r="J1450" i="1" a="1"/>
  <c r="J1471" i="1" a="1"/>
  <c r="J1482" i="1" a="1"/>
  <c r="J1503" i="1" a="1"/>
  <c r="J1513" i="1" a="1"/>
  <c r="J1523" i="1" a="1"/>
  <c r="J1542" i="1" a="1"/>
  <c r="J1562" i="1" a="1"/>
  <c r="J1572" i="1" a="1"/>
  <c r="J1592" i="1" a="1"/>
  <c r="J1601" i="1" a="1"/>
  <c r="J1609" i="1" a="1"/>
  <c r="J1617" i="1" a="1"/>
  <c r="J1625" i="1" a="1"/>
  <c r="J1633" i="1" a="1"/>
  <c r="J1641" i="1" a="1"/>
  <c r="J1649" i="1" a="1"/>
  <c r="J1657" i="1" a="1"/>
  <c r="J1665" i="1" a="1"/>
  <c r="J1673" i="1" a="1"/>
  <c r="J1681" i="1" a="1"/>
  <c r="J1689" i="1" a="1"/>
  <c r="J1697" i="1" a="1"/>
  <c r="J1705" i="1" a="1"/>
  <c r="J1713" i="1" a="1"/>
  <c r="J1721" i="1" a="1"/>
  <c r="J1729" i="1" a="1"/>
  <c r="J1737" i="1" a="1"/>
  <c r="J1745" i="1" a="1"/>
  <c r="J1753" i="1" a="1"/>
  <c r="J1761" i="1" a="1"/>
  <c r="J1769" i="1" a="1"/>
  <c r="J1777" i="1" a="1"/>
  <c r="J1785" i="1" a="1"/>
  <c r="J1793" i="1" a="1"/>
  <c r="J1801" i="1" a="1"/>
  <c r="J1809" i="1" a="1"/>
  <c r="J1817" i="1" a="1"/>
  <c r="J1825" i="1" a="1"/>
  <c r="J1833" i="1" a="1"/>
  <c r="J1841" i="1" a="1"/>
  <c r="J1849" i="1" a="1"/>
  <c r="J1857" i="1" a="1"/>
  <c r="J1865" i="1" a="1"/>
  <c r="J1873" i="1" a="1"/>
  <c r="J1881" i="1" a="1"/>
  <c r="J1889" i="1" a="1"/>
  <c r="J1897" i="1" a="1"/>
  <c r="J1905" i="1" a="1"/>
  <c r="J844" i="1" a="1"/>
  <c r="J1229" i="1" a="1"/>
  <c r="J1245" i="1" a="1"/>
  <c r="J1261" i="1" a="1"/>
  <c r="J1277" i="1" a="1"/>
  <c r="J1291" i="1" a="1"/>
  <c r="J1302" i="1" a="1"/>
  <c r="J1326" i="1" a="1"/>
  <c r="J1339" i="1" a="1"/>
  <c r="J1362" i="1" a="1"/>
  <c r="J1373" i="1" a="1"/>
  <c r="J1408" i="1" a="1"/>
  <c r="J1419" i="1" a="1"/>
  <c r="J1429" i="1" a="1"/>
  <c r="J1440" i="1" a="1"/>
  <c r="J1451" i="1" a="1"/>
  <c r="J1461" i="1" a="1"/>
  <c r="J1472" i="1" a="1"/>
  <c r="J1483" i="1" a="1"/>
  <c r="J1493" i="1" a="1"/>
  <c r="J1504" i="1" a="1"/>
  <c r="J1533" i="1" a="1"/>
  <c r="J1543" i="1" a="1"/>
  <c r="J1553" i="1" a="1"/>
  <c r="J1563" i="1" a="1"/>
  <c r="J1582" i="1" a="1"/>
  <c r="J1056" i="1" a="1"/>
  <c r="J1120" i="1" a="1"/>
  <c r="J1158" i="1" a="1"/>
  <c r="J1193" i="1" a="1"/>
  <c r="J1213" i="1" a="1"/>
  <c r="J1305" i="1" a="1"/>
  <c r="J1316" i="1" a="1"/>
  <c r="J1328" i="1" a="1"/>
  <c r="J1350" i="1" a="1"/>
  <c r="J1363" i="1" a="1"/>
  <c r="J1386" i="1" a="1"/>
  <c r="J1397" i="1" a="1"/>
  <c r="J1409" i="1" a="1"/>
  <c r="J1441" i="1" a="1"/>
  <c r="J1473" i="1" a="1"/>
  <c r="J1514" i="1" a="1"/>
  <c r="J1524" i="1" a="1"/>
  <c r="J1544" i="1" a="1"/>
  <c r="J1573" i="1" a="1"/>
  <c r="J1583" i="1" a="1"/>
  <c r="J1593" i="1" a="1"/>
  <c r="J1602" i="1" a="1"/>
  <c r="J1610" i="1" a="1"/>
  <c r="J1618" i="1" a="1"/>
  <c r="J1626" i="1" a="1"/>
  <c r="J1634" i="1" a="1"/>
  <c r="J1642" i="1" a="1"/>
  <c r="J1650" i="1" a="1"/>
  <c r="J1658" i="1" a="1"/>
  <c r="J1666" i="1" a="1"/>
  <c r="J1674" i="1" a="1"/>
  <c r="J1682" i="1" a="1"/>
  <c r="J1690" i="1" a="1"/>
  <c r="J1698" i="1" a="1"/>
  <c r="J1706" i="1" a="1"/>
  <c r="J1714" i="1" a="1"/>
  <c r="J1722" i="1" a="1"/>
  <c r="J1730" i="1" a="1"/>
  <c r="J1738" i="1" a="1"/>
  <c r="J1746" i="1" a="1"/>
  <c r="J1754" i="1" a="1"/>
  <c r="J1762" i="1" a="1"/>
  <c r="J1770" i="1" a="1"/>
  <c r="J1778" i="1" a="1"/>
  <c r="J1786" i="1" a="1"/>
  <c r="J1794" i="1" a="1"/>
  <c r="J1802" i="1" a="1"/>
  <c r="J1810" i="1" a="1"/>
  <c r="J1818" i="1" a="1"/>
  <c r="J1826" i="1" a="1"/>
  <c r="J1834" i="1" a="1"/>
  <c r="J1842" i="1" a="1"/>
  <c r="J1058" i="1" a="1"/>
  <c r="J1121" i="1" a="1"/>
  <c r="J1194" i="1" a="1"/>
  <c r="J1278" i="1" a="1"/>
  <c r="J1292" i="1" a="1"/>
  <c r="J1329" i="1" a="1"/>
  <c r="J1340" i="1" a="1"/>
  <c r="J1352" i="1" a="1"/>
  <c r="J1374" i="1" a="1"/>
  <c r="J1387" i="1" a="1"/>
  <c r="J1420" i="1" a="1"/>
  <c r="J1430" i="1" a="1"/>
  <c r="J1452" i="1" a="1"/>
  <c r="J1462" i="1" a="1"/>
  <c r="J1484" i="1" a="1"/>
  <c r="J1494" i="1" a="1"/>
  <c r="J1505" i="1" a="1"/>
  <c r="J1515" i="1" a="1"/>
  <c r="J1534" i="1" a="1"/>
  <c r="J1554" i="1" a="1"/>
  <c r="J1564" i="1" a="1"/>
  <c r="J1584" i="1" a="1"/>
  <c r="J1065" i="1" a="1"/>
  <c r="J1122" i="1" a="1"/>
  <c r="J1166" i="1" a="1"/>
  <c r="J1195" i="1" a="1"/>
  <c r="J1234" i="1" a="1"/>
  <c r="J1250" i="1" a="1"/>
  <c r="J1266" i="1" a="1"/>
  <c r="J1281" i="1" a="1"/>
  <c r="J1306" i="1" a="1"/>
  <c r="J1317" i="1" a="1"/>
  <c r="J1353" i="1" a="1"/>
  <c r="J1364" i="1" a="1"/>
  <c r="J1376" i="1" a="1"/>
  <c r="J1398" i="1" a="1"/>
  <c r="J1410" i="1" a="1"/>
  <c r="J1431" i="1" a="1"/>
  <c r="J1442" i="1" a="1"/>
  <c r="J1463" i="1" a="1"/>
  <c r="J1474" i="1" a="1"/>
  <c r="J1495" i="1" a="1"/>
  <c r="J1525" i="1" a="1"/>
  <c r="J1535" i="1" a="1"/>
  <c r="J1545" i="1" a="1"/>
  <c r="J1555" i="1" a="1"/>
  <c r="J1574" i="1" a="1"/>
  <c r="J1594" i="1" a="1"/>
  <c r="J1603" i="1" a="1"/>
  <c r="J1611" i="1" a="1"/>
  <c r="J1619" i="1" a="1"/>
  <c r="J1627" i="1" a="1"/>
  <c r="J1635" i="1" a="1"/>
  <c r="J1643" i="1" a="1"/>
  <c r="J1651" i="1" a="1"/>
  <c r="J1659" i="1" a="1"/>
  <c r="J1667" i="1" a="1"/>
  <c r="J1675" i="1" a="1"/>
  <c r="J1683" i="1" a="1"/>
  <c r="J1691" i="1" a="1"/>
  <c r="J1699" i="1" a="1"/>
  <c r="J1707" i="1" a="1"/>
  <c r="J1715" i="1" a="1"/>
  <c r="J1723" i="1" a="1"/>
  <c r="J1731" i="1" a="1"/>
  <c r="J1739" i="1" a="1"/>
  <c r="J1747" i="1" a="1"/>
  <c r="J1755" i="1" a="1"/>
  <c r="J1763" i="1" a="1"/>
  <c r="J912" i="1" a="1"/>
  <c r="J1129" i="1" a="1"/>
  <c r="J1218" i="1" a="1"/>
  <c r="J1235" i="1" a="1"/>
  <c r="J1251" i="1" a="1"/>
  <c r="J1267" i="1" a="1"/>
  <c r="J1293" i="1" a="1"/>
  <c r="J1307" i="1" a="1"/>
  <c r="J1330" i="1" a="1"/>
  <c r="J1341" i="1" a="1"/>
  <c r="J1377" i="1" a="1"/>
  <c r="J1388" i="1" a="1"/>
  <c r="J1400" i="1" a="1"/>
  <c r="J1411" i="1" a="1"/>
  <c r="J1421" i="1" a="1"/>
  <c r="J1432" i="1" a="1"/>
  <c r="J1443" i="1" a="1"/>
  <c r="J1453" i="1" a="1"/>
  <c r="J1464" i="1" a="1"/>
  <c r="J1475" i="1" a="1"/>
  <c r="J1485" i="1" a="1"/>
  <c r="J1496" i="1" a="1"/>
  <c r="J1506" i="1" a="1"/>
  <c r="J1516" i="1" a="1"/>
  <c r="J1536" i="1" a="1"/>
  <c r="J1565" i="1" a="1"/>
  <c r="J1575" i="1" a="1"/>
  <c r="J1585" i="1" a="1"/>
  <c r="J1595" i="1" a="1"/>
  <c r="J927" i="1" a="1"/>
  <c r="J1075" i="1" a="1"/>
  <c r="J1131" i="1" a="1"/>
  <c r="J1167" i="1" a="1"/>
  <c r="J1282" i="1" a="1"/>
  <c r="J1318" i="1" a="1"/>
  <c r="J1331" i="1" a="1"/>
  <c r="J1354" i="1" a="1"/>
  <c r="J1365" i="1" a="1"/>
  <c r="J1401" i="1" a="1"/>
  <c r="J1433" i="1" a="1"/>
  <c r="J1465" i="1" a="1"/>
  <c r="J1497" i="1" a="1"/>
  <c r="J1507" i="1" a="1"/>
  <c r="J1526" i="1" a="1"/>
  <c r="J1546" i="1" a="1"/>
  <c r="J1556" i="1" a="1"/>
  <c r="J1576" i="1" a="1"/>
  <c r="J1604" i="1" a="1"/>
  <c r="J1612" i="1" a="1"/>
  <c r="J1620" i="1" a="1"/>
  <c r="J1628" i="1" a="1"/>
  <c r="J1636" i="1" a="1"/>
  <c r="J1644" i="1" a="1"/>
  <c r="J1652" i="1" a="1"/>
  <c r="J1660" i="1" a="1"/>
  <c r="J1668" i="1" a="1"/>
  <c r="J1676" i="1" a="1"/>
  <c r="J1684" i="1" a="1"/>
  <c r="J1692" i="1" a="1"/>
  <c r="J942" i="1" a="1"/>
  <c r="J1200" i="1" a="1"/>
  <c r="J1220" i="1" a="1"/>
  <c r="J1236" i="1" a="1"/>
  <c r="J1252" i="1" a="1"/>
  <c r="J1268" i="1" a="1"/>
  <c r="J1283" i="1" a="1"/>
  <c r="J1294" i="1" a="1"/>
  <c r="J1308" i="1" a="1"/>
  <c r="J1320" i="1" a="1"/>
  <c r="J1342" i="1" a="1"/>
  <c r="J1355" i="1" a="1"/>
  <c r="J1378" i="1" a="1"/>
  <c r="J1389" i="1" a="1"/>
  <c r="J1412" i="1" a="1"/>
  <c r="J1422" i="1" a="1"/>
  <c r="J1444" i="1" a="1"/>
  <c r="J1454" i="1" a="1"/>
  <c r="J1476" i="1" a="1"/>
  <c r="J1486" i="1" a="1"/>
  <c r="J1517" i="1" a="1"/>
  <c r="J1527" i="1" a="1"/>
  <c r="J1537" i="1" a="1"/>
  <c r="J1547" i="1" a="1"/>
  <c r="J1566" i="1" a="1"/>
  <c r="J1586" i="1" a="1"/>
  <c r="J1596" i="1" a="1"/>
  <c r="J954" i="1" a="1"/>
  <c r="J1084" i="1" a="1"/>
  <c r="J1139" i="1" a="1"/>
  <c r="J1175" i="1" a="1"/>
  <c r="J1202" i="1" a="1"/>
  <c r="J1297" i="1" a="1"/>
  <c r="J1321" i="1" a="1"/>
  <c r="J1332" i="1" a="1"/>
  <c r="J1344" i="1" a="1"/>
  <c r="J1366" i="1" a="1"/>
  <c r="J1379" i="1" a="1"/>
  <c r="J1402" i="1" a="1"/>
  <c r="J1423" i="1" a="1"/>
  <c r="J1434" i="1" a="1"/>
  <c r="J1455" i="1" a="1"/>
  <c r="J1466" i="1" a="1"/>
  <c r="J1487" i="1" a="1"/>
  <c r="J1498" i="1" a="1"/>
  <c r="J1508" i="1" a="1"/>
  <c r="J1528" i="1" a="1"/>
  <c r="J1557" i="1" a="1"/>
  <c r="J1567" i="1" a="1"/>
  <c r="J1577" i="1" a="1"/>
  <c r="J1587" i="1" a="1"/>
  <c r="J1605" i="1" a="1"/>
  <c r="J1613" i="1" a="1"/>
  <c r="J1621" i="1" a="1"/>
  <c r="J1629" i="1" a="1"/>
  <c r="J1637" i="1" a="1"/>
  <c r="J1645" i="1" a="1"/>
  <c r="J1653" i="1" a="1"/>
  <c r="J1661" i="1" a="1"/>
  <c r="J1669" i="1" a="1"/>
  <c r="J1677" i="1" a="1"/>
  <c r="J1685" i="1" a="1"/>
  <c r="J1693" i="1" a="1"/>
  <c r="J1701" i="1" a="1"/>
  <c r="J1709" i="1" a="1"/>
  <c r="J1717" i="1" a="1"/>
  <c r="J1725" i="1" a="1"/>
  <c r="J1733" i="1" a="1"/>
  <c r="J1741" i="1" a="1"/>
  <c r="J1749" i="1" a="1"/>
  <c r="J1757" i="1" a="1"/>
  <c r="J1765" i="1" a="1"/>
  <c r="J966" i="1" a="1"/>
  <c r="J1368" i="1" a="1"/>
  <c r="J1538" i="1" a="1"/>
  <c r="J1820" i="1" a="1"/>
  <c r="J1867" i="1" a="1"/>
  <c r="J1906" i="1" a="1"/>
  <c r="J1920" i="1" a="1"/>
  <c r="J1933" i="1" a="1"/>
  <c r="J1960" i="1" a="1"/>
  <c r="J1986" i="1" a="1"/>
  <c r="J2010" i="1" a="1"/>
  <c r="J2021" i="1" a="1"/>
  <c r="J2030" i="1" a="1"/>
  <c r="J2038" i="1" a="1"/>
  <c r="J2046" i="1" a="1"/>
  <c r="J2054" i="1" a="1"/>
  <c r="J2062" i="1" a="1"/>
  <c r="J2070" i="1" a="1"/>
  <c r="J2078" i="1" a="1"/>
  <c r="J2086" i="1" a="1"/>
  <c r="J2094" i="1" a="1"/>
  <c r="J2102" i="1" a="1"/>
  <c r="J2110" i="1" a="1"/>
  <c r="J2118" i="1" a="1"/>
  <c r="J2126" i="1" a="1"/>
  <c r="J2134" i="1" a="1"/>
  <c r="J2142" i="1" a="1"/>
  <c r="J2150" i="1" a="1"/>
  <c r="J2158" i="1" a="1"/>
  <c r="J2166" i="1" a="1"/>
  <c r="J2174" i="1" a="1"/>
  <c r="J2182" i="1" a="1"/>
  <c r="J2190" i="1" a="1"/>
  <c r="J2198" i="1" a="1"/>
  <c r="J2206" i="1" a="1"/>
  <c r="J2214" i="1" a="1"/>
  <c r="J2222" i="1" a="1"/>
  <c r="J2230" i="1" a="1"/>
  <c r="J2238" i="1" a="1"/>
  <c r="J2246" i="1" a="1"/>
  <c r="J2254" i="1" a="1"/>
  <c r="J2262" i="1" a="1"/>
  <c r="J2270" i="1" a="1"/>
  <c r="J2278" i="1" a="1"/>
  <c r="J2286" i="1" a="1"/>
  <c r="J2294" i="1" a="1"/>
  <c r="J2302" i="1" a="1"/>
  <c r="J2310" i="1" a="1"/>
  <c r="J2318" i="1" a="1"/>
  <c r="J2326" i="1" a="1"/>
  <c r="J2334" i="1" a="1"/>
  <c r="J2342" i="1" a="1"/>
  <c r="J2350" i="1" a="1"/>
  <c r="J2358" i="1" a="1"/>
  <c r="J2366" i="1" a="1"/>
  <c r="J2374" i="1" a="1"/>
  <c r="J2382" i="1" a="1"/>
  <c r="J2390" i="1" a="1"/>
  <c r="J2398" i="1" a="1"/>
  <c r="J2406" i="1" a="1"/>
  <c r="J2414" i="1" a="1"/>
  <c r="J2422" i="1" a="1"/>
  <c r="J2430" i="1" a="1"/>
  <c r="J2438" i="1" a="1"/>
  <c r="J2446" i="1" a="1"/>
  <c r="J2454" i="1" a="1"/>
  <c r="J2462" i="1" a="1"/>
  <c r="J2470" i="1" a="1"/>
  <c r="J2478" i="1" a="1"/>
  <c r="J2486" i="1" a="1"/>
  <c r="J2494" i="1" a="1"/>
  <c r="J2502" i="1" a="1"/>
  <c r="J2510" i="1" a="1"/>
  <c r="J2518" i="1" a="1"/>
  <c r="J1548" i="1" a="1"/>
  <c r="J1756" i="1" a="1"/>
  <c r="J1795" i="1" a="1"/>
  <c r="J1845" i="1" a="1"/>
  <c r="J1868" i="1" a="1"/>
  <c r="J1890" i="1" a="1"/>
  <c r="J1907" i="1" a="1"/>
  <c r="J1921" i="1" a="1"/>
  <c r="J1948" i="1" a="1"/>
  <c r="J1961" i="1" a="1"/>
  <c r="J1973" i="1" a="1"/>
  <c r="J1987" i="1" a="1"/>
  <c r="J1998" i="1" a="1"/>
  <c r="J2011" i="1" a="1"/>
  <c r="J1390" i="1" a="1"/>
  <c r="J1796" i="1" a="1"/>
  <c r="J1821" i="1" a="1"/>
  <c r="J1891" i="1" a="1"/>
  <c r="J1922" i="1" a="1"/>
  <c r="J1936" i="1" a="1"/>
  <c r="J1962" i="1" a="1"/>
  <c r="J1999" i="1" a="1"/>
  <c r="J2022" i="1" a="1"/>
  <c r="J2031" i="1" a="1"/>
  <c r="J2039" i="1" a="1"/>
  <c r="J2047" i="1" a="1"/>
  <c r="J2055" i="1" a="1"/>
  <c r="J2063" i="1" a="1"/>
  <c r="J2071" i="1" a="1"/>
  <c r="J2079" i="1" a="1"/>
  <c r="J2087" i="1" a="1"/>
  <c r="J2095" i="1" a="1"/>
  <c r="J2103" i="1" a="1"/>
  <c r="J2111" i="1" a="1"/>
  <c r="J2119" i="1" a="1"/>
  <c r="J2127" i="1" a="1"/>
  <c r="J2135" i="1" a="1"/>
  <c r="J2143" i="1" a="1"/>
  <c r="J2151" i="1" a="1"/>
  <c r="J2159" i="1" a="1"/>
  <c r="J2167" i="1" a="1"/>
  <c r="J2175" i="1" a="1"/>
  <c r="J2183" i="1" a="1"/>
  <c r="J2191" i="1" a="1"/>
  <c r="J2199" i="1" a="1"/>
  <c r="J2207" i="1" a="1"/>
  <c r="J2215" i="1" a="1"/>
  <c r="J2223" i="1" a="1"/>
  <c r="J2231" i="1" a="1"/>
  <c r="J2239" i="1" a="1"/>
  <c r="J2247" i="1" a="1"/>
  <c r="J2255" i="1" a="1"/>
  <c r="J2263" i="1" a="1"/>
  <c r="J2271" i="1" a="1"/>
  <c r="J2279" i="1" a="1"/>
  <c r="J2287" i="1" a="1"/>
  <c r="J2295" i="1" a="1"/>
  <c r="J2303" i="1" a="1"/>
  <c r="J2311" i="1" a="1"/>
  <c r="J2319" i="1" a="1"/>
  <c r="J2327" i="1" a="1"/>
  <c r="J2335" i="1" a="1"/>
  <c r="J2343" i="1" a="1"/>
  <c r="J2351" i="1" a="1"/>
  <c r="J2359" i="1" a="1"/>
  <c r="J2367" i="1" a="1"/>
  <c r="J2375" i="1" a="1"/>
  <c r="J2383" i="1" a="1"/>
  <c r="J2391" i="1" a="1"/>
  <c r="J2399" i="1" a="1"/>
  <c r="J2407" i="1" a="1"/>
  <c r="J2415" i="1" a="1"/>
  <c r="J2423" i="1" a="1"/>
  <c r="J2431" i="1" a="1"/>
  <c r="J2439" i="1" a="1"/>
  <c r="J2447" i="1" a="1"/>
  <c r="J2455" i="1" a="1"/>
  <c r="J2463" i="1" a="1"/>
  <c r="J2471" i="1" a="1"/>
  <c r="J2479" i="1" a="1"/>
  <c r="J2487" i="1" a="1"/>
  <c r="J2495" i="1" a="1"/>
  <c r="J2503" i="1" a="1"/>
  <c r="J2511" i="1" a="1"/>
  <c r="J2519" i="1" a="1"/>
  <c r="J2527" i="1" a="1"/>
  <c r="J2535" i="1" a="1"/>
  <c r="J2543" i="1" a="1"/>
  <c r="J1403" i="1" a="1"/>
  <c r="J1568" i="1" a="1"/>
  <c r="J1700" i="1" a="1"/>
  <c r="J1764" i="1" a="1"/>
  <c r="J1797" i="1" a="1"/>
  <c r="J1850" i="1" a="1"/>
  <c r="J1869" i="1" a="1"/>
  <c r="J1892" i="1" a="1"/>
  <c r="J1908" i="1" a="1"/>
  <c r="J1923" i="1" a="1"/>
  <c r="J1937" i="1" a="1"/>
  <c r="J1949" i="1" a="1"/>
  <c r="J1963" i="1" a="1"/>
  <c r="J1974" i="1" a="1"/>
  <c r="J1988" i="1" a="1"/>
  <c r="J2000" i="1" a="1"/>
  <c r="J2012" i="1" a="1"/>
  <c r="J2023" i="1" a="1"/>
  <c r="J1203" i="1" a="1"/>
  <c r="J1413" i="1" a="1"/>
  <c r="J1827" i="1" a="1"/>
  <c r="J1851" i="1" a="1"/>
  <c r="J1938" i="1" a="1"/>
  <c r="J1976" i="1" a="1"/>
  <c r="J2001" i="1" a="1"/>
  <c r="J2024" i="1" a="1"/>
  <c r="J2032" i="1" a="1"/>
  <c r="J2040" i="1" a="1"/>
  <c r="J2048" i="1" a="1"/>
  <c r="J2056" i="1" a="1"/>
  <c r="J2064" i="1" a="1"/>
  <c r="J2072" i="1" a="1"/>
  <c r="J2080" i="1" a="1"/>
  <c r="J2088" i="1" a="1"/>
  <c r="J2096" i="1" a="1"/>
  <c r="J2104" i="1" a="1"/>
  <c r="J2112" i="1" a="1"/>
  <c r="J2120" i="1" a="1"/>
  <c r="J2128" i="1" a="1"/>
  <c r="J2136" i="1" a="1"/>
  <c r="J2144" i="1" a="1"/>
  <c r="J2152" i="1" a="1"/>
  <c r="J2160" i="1" a="1"/>
  <c r="J2168" i="1" a="1"/>
  <c r="J2176" i="1" a="1"/>
  <c r="J2184" i="1" a="1"/>
  <c r="J2192" i="1" a="1"/>
  <c r="J2200" i="1" a="1"/>
  <c r="J2208" i="1" a="1"/>
  <c r="J2216" i="1" a="1"/>
  <c r="J2224" i="1" a="1"/>
  <c r="J2232" i="1" a="1"/>
  <c r="J2240" i="1" a="1"/>
  <c r="J2248" i="1" a="1"/>
  <c r="J2256" i="1" a="1"/>
  <c r="J2264" i="1" a="1"/>
  <c r="J2272" i="1" a="1"/>
  <c r="J2280" i="1" a="1"/>
  <c r="J2288" i="1" a="1"/>
  <c r="J2296" i="1" a="1"/>
  <c r="J2304" i="1" a="1"/>
  <c r="J2312" i="1" a="1"/>
  <c r="J2320" i="1" a="1"/>
  <c r="J2328" i="1" a="1"/>
  <c r="J2336" i="1" a="1"/>
  <c r="J2344" i="1" a="1"/>
  <c r="J2352" i="1" a="1"/>
  <c r="J2360" i="1" a="1"/>
  <c r="J2368" i="1" a="1"/>
  <c r="J2376" i="1" a="1"/>
  <c r="J2384" i="1" a="1"/>
  <c r="J2392" i="1" a="1"/>
  <c r="J2400" i="1" a="1"/>
  <c r="J2408" i="1" a="1"/>
  <c r="J2416" i="1" a="1"/>
  <c r="J2424" i="1" a="1"/>
  <c r="J2432" i="1" a="1"/>
  <c r="J2440" i="1" a="1"/>
  <c r="J2448" i="1" a="1"/>
  <c r="J2456" i="1" a="1"/>
  <c r="J2464" i="1" a="1"/>
  <c r="J1221" i="1" a="1"/>
  <c r="J1424" i="1" a="1"/>
  <c r="J1708" i="1" a="1"/>
  <c r="J1771" i="1" a="1"/>
  <c r="J1803" i="1" a="1"/>
  <c r="J1828" i="1" a="1"/>
  <c r="J1852" i="1" a="1"/>
  <c r="J1874" i="1" a="1"/>
  <c r="J1893" i="1" a="1"/>
  <c r="J1909" i="1" a="1"/>
  <c r="J1924" i="1" a="1"/>
  <c r="J1939" i="1" a="1"/>
  <c r="J1950" i="1" a="1"/>
  <c r="J1964" i="1" a="1"/>
  <c r="J1977" i="1" a="1"/>
  <c r="J1989" i="1" a="1"/>
  <c r="J2002" i="1" a="1"/>
  <c r="J2013" i="1" a="1"/>
  <c r="J1237" i="1" a="1"/>
  <c r="J1435" i="1" a="1"/>
  <c r="J1597" i="1" a="1"/>
  <c r="J1772" i="1" a="1"/>
  <c r="J1804" i="1" a="1"/>
  <c r="J1875" i="1" a="1"/>
  <c r="J1952" i="1" a="1"/>
  <c r="J1978" i="1" a="1"/>
  <c r="J2003" i="1" a="1"/>
  <c r="J2025" i="1" a="1"/>
  <c r="J2033" i="1" a="1"/>
  <c r="J2041" i="1" a="1"/>
  <c r="J2049" i="1" a="1"/>
  <c r="J2057" i="1" a="1"/>
  <c r="J2065" i="1" a="1"/>
  <c r="J2073" i="1" a="1"/>
  <c r="J2081" i="1" a="1"/>
  <c r="J2089" i="1" a="1"/>
  <c r="J2097" i="1" a="1"/>
  <c r="J2105" i="1" a="1"/>
  <c r="J2113" i="1" a="1"/>
  <c r="J2121" i="1" a="1"/>
  <c r="J2129" i="1" a="1"/>
  <c r="J2137" i="1" a="1"/>
  <c r="J2145" i="1" a="1"/>
  <c r="J2153" i="1" a="1"/>
  <c r="J2161" i="1" a="1"/>
  <c r="J2169" i="1" a="1"/>
  <c r="J2177" i="1" a="1"/>
  <c r="J2185" i="1" a="1"/>
  <c r="J2193" i="1" a="1"/>
  <c r="J2201" i="1" a="1"/>
  <c r="J2209" i="1" a="1"/>
  <c r="J2217" i="1" a="1"/>
  <c r="J2225" i="1" a="1"/>
  <c r="J2233" i="1" a="1"/>
  <c r="J2241" i="1" a="1"/>
  <c r="J2249" i="1" a="1"/>
  <c r="J2257" i="1" a="1"/>
  <c r="J2265" i="1" a="1"/>
  <c r="J2273" i="1" a="1"/>
  <c r="J2281" i="1" a="1"/>
  <c r="J2289" i="1" a="1"/>
  <c r="J2297" i="1" a="1"/>
  <c r="J2305" i="1" a="1"/>
  <c r="J2313" i="1" a="1"/>
  <c r="J2321" i="1" a="1"/>
  <c r="J2329" i="1" a="1"/>
  <c r="J2337" i="1" a="1"/>
  <c r="J2345" i="1" a="1"/>
  <c r="J2353" i="1" a="1"/>
  <c r="J2361" i="1" a="1"/>
  <c r="J2369" i="1" a="1"/>
  <c r="J2377" i="1" a="1"/>
  <c r="J2385" i="1" a="1"/>
  <c r="J2393" i="1" a="1"/>
  <c r="J2401" i="1" a="1"/>
  <c r="J2409" i="1" a="1"/>
  <c r="J2417" i="1" a="1"/>
  <c r="J2425" i="1" a="1"/>
  <c r="J2433" i="1" a="1"/>
  <c r="J2441" i="1" a="1"/>
  <c r="J2449" i="1" a="1"/>
  <c r="J2457" i="1" a="1"/>
  <c r="J2465" i="1" a="1"/>
  <c r="J2473" i="1" a="1"/>
  <c r="J2481" i="1" a="1"/>
  <c r="J2489" i="1" a="1"/>
  <c r="J2497" i="1" a="1"/>
  <c r="J1253" i="1" a="1"/>
  <c r="J1445" i="1" a="1"/>
  <c r="J1716" i="1" a="1"/>
  <c r="J1773" i="1" a="1"/>
  <c r="J1829" i="1" a="1"/>
  <c r="J1853" i="1" a="1"/>
  <c r="J1876" i="1" a="1"/>
  <c r="J1896" i="1" a="1"/>
  <c r="J1912" i="1" a="1"/>
  <c r="J1925" i="1" a="1"/>
  <c r="J1940" i="1" a="1"/>
  <c r="J1953" i="1" a="1"/>
  <c r="J1965" i="1" a="1"/>
  <c r="J1979" i="1" a="1"/>
  <c r="J1990" i="1" a="1"/>
  <c r="J2014" i="1" a="1"/>
  <c r="J1269" i="1" a="1"/>
  <c r="J1456" i="1" a="1"/>
  <c r="J1805" i="1" a="1"/>
  <c r="J1898" i="1" a="1"/>
  <c r="J1913" i="1" a="1"/>
  <c r="J1954" i="1" a="1"/>
  <c r="J1992" i="1" a="1"/>
  <c r="J2004" i="1" a="1"/>
  <c r="J2015" i="1" a="1"/>
  <c r="J2026" i="1" a="1"/>
  <c r="J2034" i="1" a="1"/>
  <c r="J2042" i="1" a="1"/>
  <c r="J2050" i="1" a="1"/>
  <c r="J2058" i="1" a="1"/>
  <c r="J2066" i="1" a="1"/>
  <c r="J2074" i="1" a="1"/>
  <c r="J2082" i="1" a="1"/>
  <c r="J2090" i="1" a="1"/>
  <c r="J2098" i="1" a="1"/>
  <c r="J2106" i="1" a="1"/>
  <c r="J2114" i="1" a="1"/>
  <c r="J2122" i="1" a="1"/>
  <c r="J2130" i="1" a="1"/>
  <c r="J2138" i="1" a="1"/>
  <c r="J2146" i="1" a="1"/>
  <c r="J2154" i="1" a="1"/>
  <c r="J2162" i="1" a="1"/>
  <c r="J2170" i="1" a="1"/>
  <c r="J2178" i="1" a="1"/>
  <c r="J2186" i="1" a="1"/>
  <c r="J2194" i="1" a="1"/>
  <c r="J2202" i="1" a="1"/>
  <c r="J2210" i="1" a="1"/>
  <c r="J2218" i="1" a="1"/>
  <c r="J2226" i="1" a="1"/>
  <c r="J2234" i="1" a="1"/>
  <c r="J2242" i="1" a="1"/>
  <c r="J2250" i="1" a="1"/>
  <c r="J2258" i="1" a="1"/>
  <c r="J2266" i="1" a="1"/>
  <c r="J2274" i="1" a="1"/>
  <c r="J2282" i="1" a="1"/>
  <c r="J2290" i="1" a="1"/>
  <c r="J2298" i="1" a="1"/>
  <c r="J2306" i="1" a="1"/>
  <c r="J2314" i="1" a="1"/>
  <c r="J2322" i="1" a="1"/>
  <c r="J2330" i="1" a="1"/>
  <c r="J2338" i="1" a="1"/>
  <c r="J2346" i="1" a="1"/>
  <c r="J2354" i="1" a="1"/>
  <c r="J2362" i="1" a="1"/>
  <c r="J2370" i="1" a="1"/>
  <c r="J2378" i="1" a="1"/>
  <c r="J2386" i="1" a="1"/>
  <c r="J2394" i="1" a="1"/>
  <c r="J2402" i="1" a="1"/>
  <c r="J2410" i="1" a="1"/>
  <c r="J2418" i="1" a="1"/>
  <c r="J2426" i="1" a="1"/>
  <c r="J2434" i="1" a="1"/>
  <c r="J1284" i="1" a="1"/>
  <c r="J1467" i="1" a="1"/>
  <c r="J1724" i="1" a="1"/>
  <c r="J1779" i="1" a="1"/>
  <c r="J1835" i="1" a="1"/>
  <c r="J1858" i="1" a="1"/>
  <c r="J1877" i="1" a="1"/>
  <c r="J1899" i="1" a="1"/>
  <c r="J1914" i="1" a="1"/>
  <c r="J1928" i="1" a="1"/>
  <c r="J1941" i="1" a="1"/>
  <c r="J1955" i="1" a="1"/>
  <c r="J1966" i="1" a="1"/>
  <c r="J1980" i="1" a="1"/>
  <c r="J1993" i="1" a="1"/>
  <c r="J2016" i="1" a="1"/>
  <c r="J1477" i="1" a="1"/>
  <c r="J1780" i="1" a="1"/>
  <c r="J1811" i="1" a="1"/>
  <c r="J1836" i="1" a="1"/>
  <c r="J1859" i="1" a="1"/>
  <c r="J1915" i="1" a="1"/>
  <c r="J1929" i="1" a="1"/>
  <c r="J1968" i="1" a="1"/>
  <c r="J1994" i="1" a="1"/>
  <c r="J2005" i="1" a="1"/>
  <c r="J2017" i="1" a="1"/>
  <c r="J2027" i="1" a="1"/>
  <c r="J2035" i="1" a="1"/>
  <c r="J2043" i="1" a="1"/>
  <c r="J2051" i="1" a="1"/>
  <c r="J2059" i="1" a="1"/>
  <c r="J2067" i="1" a="1"/>
  <c r="J2075" i="1" a="1"/>
  <c r="J2083" i="1" a="1"/>
  <c r="J2091" i="1" a="1"/>
  <c r="J2099" i="1" a="1"/>
  <c r="J2107" i="1" a="1"/>
  <c r="J2115" i="1" a="1"/>
  <c r="J2123" i="1" a="1"/>
  <c r="J2131" i="1" a="1"/>
  <c r="J2139" i="1" a="1"/>
  <c r="J2147" i="1" a="1"/>
  <c r="J2155" i="1" a="1"/>
  <c r="J2163" i="1" a="1"/>
  <c r="J2171" i="1" a="1"/>
  <c r="J2179" i="1" a="1"/>
  <c r="J2187" i="1" a="1"/>
  <c r="J2195" i="1" a="1"/>
  <c r="J2203" i="1" a="1"/>
  <c r="J2211" i="1" a="1"/>
  <c r="J2219" i="1" a="1"/>
  <c r="J2227" i="1" a="1"/>
  <c r="J2235" i="1" a="1"/>
  <c r="J2243" i="1" a="1"/>
  <c r="J2251" i="1" a="1"/>
  <c r="J2259" i="1" a="1"/>
  <c r="J2267" i="1" a="1"/>
  <c r="J2275" i="1" a="1"/>
  <c r="J2283" i="1" a="1"/>
  <c r="J2291" i="1" a="1"/>
  <c r="J2299" i="1" a="1"/>
  <c r="J2307" i="1" a="1"/>
  <c r="J2315" i="1" a="1"/>
  <c r="J2323" i="1" a="1"/>
  <c r="J2331" i="1" a="1"/>
  <c r="J2339" i="1" a="1"/>
  <c r="J2347" i="1" a="1"/>
  <c r="J2355" i="1" a="1"/>
  <c r="J2363" i="1" a="1"/>
  <c r="J2371" i="1" a="1"/>
  <c r="J2379" i="1" a="1"/>
  <c r="J2387" i="1" a="1"/>
  <c r="J2395" i="1" a="1"/>
  <c r="J2403" i="1" a="1"/>
  <c r="J2411" i="1" a="1"/>
  <c r="J2419" i="1" a="1"/>
  <c r="J2427" i="1" a="1"/>
  <c r="J2435" i="1" a="1"/>
  <c r="J2443" i="1" a="1"/>
  <c r="J2451" i="1" a="1"/>
  <c r="J2459" i="1" a="1"/>
  <c r="J2467" i="1" a="1"/>
  <c r="J2475" i="1" a="1"/>
  <c r="J1309" i="1" a="1"/>
  <c r="J1488" i="1" a="1"/>
  <c r="J1732" i="1" a="1"/>
  <c r="J1781" i="1" a="1"/>
  <c r="J1812" i="1" a="1"/>
  <c r="J1860" i="1" a="1"/>
  <c r="J1882" i="1" a="1"/>
  <c r="J1900" i="1" a="1"/>
  <c r="J1930" i="1" a="1"/>
  <c r="J1942" i="1" a="1"/>
  <c r="J1956" i="1" a="1"/>
  <c r="J1969" i="1" a="1"/>
  <c r="J1981" i="1" a="1"/>
  <c r="J1995" i="1" a="1"/>
  <c r="J2018" i="1" a="1"/>
  <c r="J1499" i="1" a="1"/>
  <c r="J1837" i="1" a="1"/>
  <c r="J1883" i="1" a="1"/>
  <c r="J1916" i="1" a="1"/>
  <c r="J1931" i="1" a="1"/>
  <c r="J1944" i="1" a="1"/>
  <c r="J1970" i="1" a="1"/>
  <c r="J2006" i="1" a="1"/>
  <c r="J2019" i="1" a="1"/>
  <c r="J2028" i="1" a="1"/>
  <c r="J2036" i="1" a="1"/>
  <c r="J2044" i="1" a="1"/>
  <c r="J2052" i="1" a="1"/>
  <c r="J2060" i="1" a="1"/>
  <c r="J2068" i="1" a="1"/>
  <c r="J2076" i="1" a="1"/>
  <c r="J2084" i="1" a="1"/>
  <c r="J2092" i="1" a="1"/>
  <c r="J2100" i="1" a="1"/>
  <c r="J2108" i="1" a="1"/>
  <c r="J2116" i="1" a="1"/>
  <c r="J2124" i="1" a="1"/>
  <c r="J2132" i="1" a="1"/>
  <c r="J2140" i="1" a="1"/>
  <c r="J2148" i="1" a="1"/>
  <c r="J2156" i="1" a="1"/>
  <c r="J2164" i="1" a="1"/>
  <c r="J2172" i="1" a="1"/>
  <c r="J2180" i="1" a="1"/>
  <c r="J2188" i="1" a="1"/>
  <c r="J2196" i="1" a="1"/>
  <c r="J2204" i="1" a="1"/>
  <c r="J2212" i="1" a="1"/>
  <c r="J2220" i="1" a="1"/>
  <c r="J2228" i="1" a="1"/>
  <c r="J2236" i="1" a="1"/>
  <c r="J2244" i="1" a="1"/>
  <c r="J2252" i="1" a="1"/>
  <c r="J2260" i="1" a="1"/>
  <c r="J1740" i="1" a="1"/>
  <c r="J1787" i="1" a="1"/>
  <c r="J1813" i="1" a="1"/>
  <c r="J1861" i="1" a="1"/>
  <c r="J1884" i="1" a="1"/>
  <c r="J1901" i="1" a="1"/>
  <c r="J1945" i="1" a="1"/>
  <c r="J1957" i="1" a="1"/>
  <c r="J1971" i="1" a="1"/>
  <c r="J1982" i="1" a="1"/>
  <c r="J1996" i="1" a="1"/>
  <c r="J2007" i="1" a="1"/>
  <c r="J1345" i="1" a="1"/>
  <c r="J1518" i="1" a="1"/>
  <c r="J1788" i="1" a="1"/>
  <c r="J1843" i="1" a="1"/>
  <c r="J1917" i="1" a="1"/>
  <c r="J1932" i="1" a="1"/>
  <c r="J1946" i="1" a="1"/>
  <c r="J1984" i="1" a="1"/>
  <c r="J2008" i="1" a="1"/>
  <c r="J2020" i="1" a="1"/>
  <c r="J2029" i="1" a="1"/>
  <c r="J2037" i="1" a="1"/>
  <c r="J2045" i="1" a="1"/>
  <c r="J2053" i="1" a="1"/>
  <c r="J2061" i="1" a="1"/>
  <c r="J2069" i="1" a="1"/>
  <c r="J2077" i="1" a="1"/>
  <c r="J2085" i="1" a="1"/>
  <c r="J2093" i="1" a="1"/>
  <c r="J2101" i="1" a="1"/>
  <c r="J2109" i="1" a="1"/>
  <c r="J2117" i="1" a="1"/>
  <c r="J2125" i="1" a="1"/>
  <c r="J2133" i="1" a="1"/>
  <c r="J2141" i="1" a="1"/>
  <c r="J2149" i="1" a="1"/>
  <c r="J2157" i="1" a="1"/>
  <c r="J2165" i="1" a="1"/>
  <c r="J2173" i="1" a="1"/>
  <c r="J2181" i="1" a="1"/>
  <c r="J2189" i="1" a="1"/>
  <c r="J2197" i="1" a="1"/>
  <c r="J2205" i="1" a="1"/>
  <c r="J2213" i="1" a="1"/>
  <c r="J2221" i="1" a="1"/>
  <c r="J2229" i="1" a="1"/>
  <c r="J2237" i="1" a="1"/>
  <c r="J2245" i="1" a="1"/>
  <c r="J2253" i="1" a="1"/>
  <c r="J2261" i="1" a="1"/>
  <c r="J2269" i="1" a="1"/>
  <c r="J2277" i="1" a="1"/>
  <c r="J2285" i="1" a="1"/>
  <c r="J2293" i="1" a="1"/>
  <c r="J2301" i="1" a="1"/>
  <c r="J2309" i="1" a="1"/>
  <c r="J2317" i="1" a="1"/>
  <c r="J2325" i="1" a="1"/>
  <c r="J2333" i="1" a="1"/>
  <c r="J2341" i="1" a="1"/>
  <c r="J2349" i="1" a="1"/>
  <c r="J2357" i="1" a="1"/>
  <c r="J2365" i="1" a="1"/>
  <c r="J2373" i="1" a="1"/>
  <c r="J2381" i="1" a="1"/>
  <c r="J2389" i="1" a="1"/>
  <c r="J2397" i="1" a="1"/>
  <c r="J1356" i="1" a="1"/>
  <c r="J1997" i="1" a="1"/>
  <c r="J2437" i="1" a="1"/>
  <c r="J2469" i="1" a="1"/>
  <c r="J2492" i="1" a="1"/>
  <c r="J2512" i="1" a="1"/>
  <c r="J2529" i="1" a="1"/>
  <c r="J2545" i="1" a="1"/>
  <c r="J2559" i="1" a="1"/>
  <c r="J2009" i="1" a="1"/>
  <c r="J2268" i="1" a="1"/>
  <c r="J2332" i="1" a="1"/>
  <c r="J2396" i="1" a="1"/>
  <c r="J2493" i="1" a="1"/>
  <c r="J2513" i="1" a="1"/>
  <c r="J2530" i="1" a="1"/>
  <c r="J2546" i="1" a="1"/>
  <c r="J2560" i="1" a="1"/>
  <c r="J2574" i="1" a="1"/>
  <c r="J2588" i="1" a="1"/>
  <c r="J2596" i="1" a="1"/>
  <c r="J2604" i="1" a="1"/>
  <c r="J2612" i="1" a="1"/>
  <c r="J2620" i="1" a="1"/>
  <c r="J2628" i="1" a="1"/>
  <c r="J2636" i="1" a="1"/>
  <c r="J2644" i="1" a="1"/>
  <c r="J2652" i="1" a="1"/>
  <c r="J2660" i="1" a="1"/>
  <c r="J2668" i="1" a="1"/>
  <c r="J2676" i="1" a="1"/>
  <c r="J2684" i="1" a="1"/>
  <c r="J2692" i="1" a="1"/>
  <c r="J2700" i="1" a="1"/>
  <c r="J2708" i="1" a="1"/>
  <c r="J2716" i="1" a="1"/>
  <c r="J2724" i="1" a="1"/>
  <c r="J2732" i="1" a="1"/>
  <c r="J2740" i="1" a="1"/>
  <c r="J2748" i="1" a="1"/>
  <c r="J2756" i="1" a="1"/>
  <c r="J2764" i="1" a="1"/>
  <c r="J2772" i="1" a="1"/>
  <c r="J2780" i="1" a="1"/>
  <c r="J2788" i="1" a="1"/>
  <c r="J2796" i="1" a="1"/>
  <c r="J2804" i="1" a="1"/>
  <c r="J2812" i="1" a="1"/>
  <c r="J2820" i="1" a="1"/>
  <c r="J2828" i="1" a="1"/>
  <c r="J2836" i="1" a="1"/>
  <c r="J2844" i="1" a="1"/>
  <c r="J2852" i="1" a="1"/>
  <c r="J2860" i="1" a="1"/>
  <c r="J2868" i="1" a="1"/>
  <c r="J2876" i="1" a="1"/>
  <c r="J2884" i="1" a="1"/>
  <c r="J2892" i="1" a="1"/>
  <c r="J2900" i="1" a="1"/>
  <c r="J2908" i="1" a="1"/>
  <c r="J2916" i="1" a="1"/>
  <c r="J2924" i="1" a="1"/>
  <c r="J2932" i="1" a="1"/>
  <c r="J2940" i="1" a="1"/>
  <c r="J2948" i="1" a="1"/>
  <c r="J2442" i="1" a="1"/>
  <c r="J2472" i="1" a="1"/>
  <c r="J2514" i="1" a="1"/>
  <c r="J2531" i="1" a="1"/>
  <c r="J2547" i="1" a="1"/>
  <c r="J2561" i="1" a="1"/>
  <c r="J2575" i="1" a="1"/>
  <c r="J1748" i="1" a="1"/>
  <c r="J2276" i="1" a="1"/>
  <c r="J2340" i="1" a="1"/>
  <c r="J2404" i="1" a="1"/>
  <c r="J2444" i="1" a="1"/>
  <c r="J2474" i="1" a="1"/>
  <c r="J2496" i="1" a="1"/>
  <c r="J2515" i="1" a="1"/>
  <c r="J2532" i="1" a="1"/>
  <c r="J2548" i="1" a="1"/>
  <c r="J2562" i="1" a="1"/>
  <c r="J2576" i="1" a="1"/>
  <c r="J2589" i="1" a="1"/>
  <c r="J2597" i="1" a="1"/>
  <c r="J2605" i="1" a="1"/>
  <c r="J2613" i="1" a="1"/>
  <c r="J2621" i="1" a="1"/>
  <c r="J2629" i="1" a="1"/>
  <c r="J2637" i="1" a="1"/>
  <c r="J2645" i="1" a="1"/>
  <c r="J2653" i="1" a="1"/>
  <c r="J2661" i="1" a="1"/>
  <c r="J2669" i="1" a="1"/>
  <c r="J2677" i="1" a="1"/>
  <c r="J2685" i="1" a="1"/>
  <c r="J2693" i="1" a="1"/>
  <c r="J2701" i="1" a="1"/>
  <c r="J2709" i="1" a="1"/>
  <c r="J2717" i="1" a="1"/>
  <c r="J2725" i="1" a="1"/>
  <c r="J2733" i="1" a="1"/>
  <c r="J2741" i="1" a="1"/>
  <c r="J2749" i="1" a="1"/>
  <c r="J2757" i="1" a="1"/>
  <c r="J2765" i="1" a="1"/>
  <c r="J2773" i="1" a="1"/>
  <c r="J2781" i="1" a="1"/>
  <c r="J2789" i="1" a="1"/>
  <c r="J2797" i="1" a="1"/>
  <c r="J2805" i="1" a="1"/>
  <c r="J2813" i="1" a="1"/>
  <c r="J2821" i="1" a="1"/>
  <c r="J2829" i="1" a="1"/>
  <c r="J2837" i="1" a="1"/>
  <c r="J2845" i="1" a="1"/>
  <c r="J2853" i="1" a="1"/>
  <c r="J1789" i="1" a="1"/>
  <c r="J2405" i="1" a="1"/>
  <c r="J2445" i="1" a="1"/>
  <c r="J2476" i="1" a="1"/>
  <c r="J2498" i="1" a="1"/>
  <c r="J2516" i="1" a="1"/>
  <c r="J2533" i="1" a="1"/>
  <c r="J2549" i="1" a="1"/>
  <c r="J2563" i="1" a="1"/>
  <c r="J2577" i="1" a="1"/>
  <c r="J1819" i="1" a="1"/>
  <c r="J2284" i="1" a="1"/>
  <c r="J2348" i="1" a="1"/>
  <c r="J2477" i="1" a="1"/>
  <c r="J2499" i="1" a="1"/>
  <c r="J2517" i="1" a="1"/>
  <c r="J2564" i="1" a="1"/>
  <c r="J2578" i="1" a="1"/>
  <c r="J2590" i="1" a="1"/>
  <c r="J2598" i="1" a="1"/>
  <c r="J2606" i="1" a="1"/>
  <c r="J2614" i="1" a="1"/>
  <c r="J2622" i="1" a="1"/>
  <c r="J2630" i="1" a="1"/>
  <c r="J2638" i="1" a="1"/>
  <c r="J2646" i="1" a="1"/>
  <c r="J2654" i="1" a="1"/>
  <c r="J2662" i="1" a="1"/>
  <c r="J2670" i="1" a="1"/>
  <c r="J2678" i="1" a="1"/>
  <c r="J2686" i="1" a="1"/>
  <c r="J2694" i="1" a="1"/>
  <c r="J2702" i="1" a="1"/>
  <c r="J2710" i="1" a="1"/>
  <c r="J2718" i="1" a="1"/>
  <c r="J2726" i="1" a="1"/>
  <c r="J2734" i="1" a="1"/>
  <c r="J2742" i="1" a="1"/>
  <c r="J2750" i="1" a="1"/>
  <c r="J2758" i="1" a="1"/>
  <c r="J2766" i="1" a="1"/>
  <c r="J2774" i="1" a="1"/>
  <c r="J2782" i="1" a="1"/>
  <c r="J1844" i="1" a="1"/>
  <c r="J2412" i="1" a="1"/>
  <c r="J2450" i="1" a="1"/>
  <c r="J2500" i="1" a="1"/>
  <c r="J2534" i="1" a="1"/>
  <c r="J2550" i="1" a="1"/>
  <c r="J2565" i="1" a="1"/>
  <c r="J2579" i="1" a="1"/>
  <c r="J1866" i="1" a="1"/>
  <c r="J2292" i="1" a="1"/>
  <c r="J2356" i="1" a="1"/>
  <c r="J2413" i="1" a="1"/>
  <c r="J2452" i="1" a="1"/>
  <c r="J2480" i="1" a="1"/>
  <c r="J2501" i="1" a="1"/>
  <c r="J2520" i="1" a="1"/>
  <c r="J2536" i="1" a="1"/>
  <c r="J2551" i="1" a="1"/>
  <c r="J2580" i="1" a="1"/>
  <c r="J2591" i="1" a="1"/>
  <c r="J2599" i="1" a="1"/>
  <c r="J2607" i="1" a="1"/>
  <c r="J2615" i="1" a="1"/>
  <c r="J2623" i="1" a="1"/>
  <c r="J2631" i="1" a="1"/>
  <c r="J2639" i="1" a="1"/>
  <c r="J2647" i="1" a="1"/>
  <c r="J2655" i="1" a="1"/>
  <c r="J2663" i="1" a="1"/>
  <c r="J2671" i="1" a="1"/>
  <c r="J2679" i="1" a="1"/>
  <c r="J1885" i="1" a="1"/>
  <c r="J2453" i="1" a="1"/>
  <c r="J2482" i="1" a="1"/>
  <c r="J2521" i="1" a="1"/>
  <c r="J2537" i="1" a="1"/>
  <c r="J2552" i="1" a="1"/>
  <c r="J2566" i="1" a="1"/>
  <c r="J1904" i="1" a="1"/>
  <c r="J2300" i="1" a="1"/>
  <c r="J2364" i="1" a="1"/>
  <c r="J2420" i="1" a="1"/>
  <c r="J2483" i="1" a="1"/>
  <c r="J2504" i="1" a="1"/>
  <c r="J2522" i="1" a="1"/>
  <c r="J2538" i="1" a="1"/>
  <c r="J2553" i="1" a="1"/>
  <c r="J2567" i="1" a="1"/>
  <c r="J2592" i="1" a="1"/>
  <c r="J2600" i="1" a="1"/>
  <c r="J2608" i="1" a="1"/>
  <c r="J2616" i="1" a="1"/>
  <c r="J2624" i="1" a="1"/>
  <c r="J2632" i="1" a="1"/>
  <c r="J2640" i="1" a="1"/>
  <c r="J2648" i="1" a="1"/>
  <c r="J2656" i="1" a="1"/>
  <c r="J2421" i="1" a="1"/>
  <c r="J2458" i="1" a="1"/>
  <c r="J2484" i="1" a="1"/>
  <c r="J2505" i="1" a="1"/>
  <c r="J2523" i="1" a="1"/>
  <c r="J2539" i="1" a="1"/>
  <c r="J2554" i="1" a="1"/>
  <c r="J2568" i="1" a="1"/>
  <c r="J2582" i="1" a="1"/>
  <c r="J2308" i="1" a="1"/>
  <c r="J2372" i="1" a="1"/>
  <c r="J2460" i="1" a="1"/>
  <c r="J2485" i="1" a="1"/>
  <c r="J2506" i="1" a="1"/>
  <c r="J2524" i="1" a="1"/>
  <c r="J1947" i="1" a="1"/>
  <c r="J1972" i="1" a="1"/>
  <c r="J2466" i="1" a="1"/>
  <c r="J2490" i="1" a="1"/>
  <c r="J1958" i="1" a="1"/>
  <c r="J2555" i="1" a="1"/>
  <c r="J2618" i="1" a="1"/>
  <c r="J2794" i="1" a="1"/>
  <c r="J2809" i="1" a="1"/>
  <c r="J2824" i="1" a="1"/>
  <c r="J2835" i="1" a="1"/>
  <c r="J2849" i="1" a="1"/>
  <c r="J2862" i="1" a="1"/>
  <c r="J2873" i="1" a="1"/>
  <c r="J2885" i="1" a="1"/>
  <c r="J2896" i="1" a="1"/>
  <c r="J2906" i="1" a="1"/>
  <c r="J2918" i="1" a="1"/>
  <c r="J2928" i="1" a="1"/>
  <c r="J2938" i="1" a="1"/>
  <c r="J2950" i="1" a="1"/>
  <c r="J2969" i="1" a="1"/>
  <c r="J2989" i="1" a="1"/>
  <c r="J2999" i="1" a="1"/>
  <c r="J3018" i="1" a="1"/>
  <c r="J3028" i="1" a="1"/>
  <c r="J3048" i="1" a="1"/>
  <c r="J3067" i="1" a="1"/>
  <c r="J3078" i="1" a="1"/>
  <c r="J3097" i="1" a="1"/>
  <c r="J3117" i="1" a="1"/>
  <c r="J3127" i="1" a="1"/>
  <c r="J3146" i="1" a="1"/>
  <c r="J3156" i="1" a="1"/>
  <c r="J1985" i="1" a="1"/>
  <c r="J2488" i="1" a="1"/>
  <c r="J2556" i="1" a="1"/>
  <c r="J2594" i="1" a="1"/>
  <c r="J2643" i="1" a="1"/>
  <c r="J2666" i="1" a="1"/>
  <c r="J2683" i="1" a="1"/>
  <c r="J2699" i="1" a="1"/>
  <c r="J2715" i="1" a="1"/>
  <c r="J2731" i="1" a="1"/>
  <c r="J2747" i="1" a="1"/>
  <c r="J2763" i="1" a="1"/>
  <c r="J2779" i="1" a="1"/>
  <c r="J2838" i="1" a="1"/>
  <c r="J2863" i="1" a="1"/>
  <c r="J2886" i="1" a="1"/>
  <c r="J2960" i="1" a="1"/>
  <c r="J2979" i="1" a="1"/>
  <c r="J2990" i="1" a="1"/>
  <c r="J3009" i="1" a="1"/>
  <c r="J3029" i="1" a="1"/>
  <c r="J3039" i="1" a="1"/>
  <c r="J3058" i="1" a="1"/>
  <c r="J3068" i="1" a="1"/>
  <c r="J3088" i="1" a="1"/>
  <c r="J3107" i="1" a="1"/>
  <c r="J3118" i="1" a="1"/>
  <c r="J3137" i="1" a="1"/>
  <c r="J3157" i="1" a="1"/>
  <c r="J3166" i="1" a="1"/>
  <c r="J3175" i="1" a="1"/>
  <c r="J3183" i="1" a="1"/>
  <c r="J3191" i="1" a="1"/>
  <c r="J3199" i="1" a="1"/>
  <c r="J3207" i="1" a="1"/>
  <c r="J3215" i="1" a="1"/>
  <c r="J3223" i="1" a="1"/>
  <c r="J3231" i="1" a="1"/>
  <c r="J3239" i="1" a="1"/>
  <c r="J3247" i="1" a="1"/>
  <c r="J3255" i="1" a="1"/>
  <c r="J3263" i="1" a="1"/>
  <c r="J3271" i="1" a="1"/>
  <c r="J3279" i="1" a="1"/>
  <c r="J3287" i="1" a="1"/>
  <c r="J3295" i="1" a="1"/>
  <c r="J3303" i="1" a="1"/>
  <c r="J3311" i="1" a="1"/>
  <c r="J3319" i="1" a="1"/>
  <c r="J3327" i="1" a="1"/>
  <c r="J3335" i="1" a="1"/>
  <c r="J3343" i="1" a="1"/>
  <c r="J3351" i="1" a="1"/>
  <c r="J3359" i="1" a="1"/>
  <c r="J3367" i="1" a="1"/>
  <c r="J3375" i="1" a="1"/>
  <c r="J3383" i="1" a="1"/>
  <c r="J3391" i="1" a="1"/>
  <c r="J3399" i="1" a="1"/>
  <c r="J3407" i="1" a="1"/>
  <c r="J3415" i="1" a="1"/>
  <c r="J3423" i="1" a="1"/>
  <c r="J3431" i="1" a="1"/>
  <c r="J2491" i="1" a="1"/>
  <c r="J2557" i="1" a="1"/>
  <c r="J2619" i="1" a="1"/>
  <c r="J2649" i="1" a="1"/>
  <c r="J2687" i="1" a="1"/>
  <c r="J2703" i="1" a="1"/>
  <c r="J2719" i="1" a="1"/>
  <c r="J2735" i="1" a="1"/>
  <c r="J2751" i="1" a="1"/>
  <c r="J2767" i="1" a="1"/>
  <c r="J2783" i="1" a="1"/>
  <c r="J2795" i="1" a="1"/>
  <c r="J2810" i="1" a="1"/>
  <c r="J2825" i="1" a="1"/>
  <c r="J2839" i="1" a="1"/>
  <c r="J2850" i="1" a="1"/>
  <c r="J2874" i="1" a="1"/>
  <c r="J2887" i="1" a="1"/>
  <c r="J2897" i="1" a="1"/>
  <c r="J2907" i="1" a="1"/>
  <c r="J2919" i="1" a="1"/>
  <c r="J2929" i="1" a="1"/>
  <c r="J2939" i="1" a="1"/>
  <c r="J2951" i="1" a="1"/>
  <c r="J2970" i="1" a="1"/>
  <c r="J2980" i="1" a="1"/>
  <c r="J3000" i="1" a="1"/>
  <c r="J3019" i="1" a="1"/>
  <c r="J3030" i="1" a="1"/>
  <c r="J3049" i="1" a="1"/>
  <c r="J3069" i="1" a="1"/>
  <c r="J3079" i="1" a="1"/>
  <c r="J3098" i="1" a="1"/>
  <c r="J3108" i="1" a="1"/>
  <c r="J3128" i="1" a="1"/>
  <c r="J3147" i="1" a="1"/>
  <c r="J2507" i="1" a="1"/>
  <c r="J2595" i="1" a="1"/>
  <c r="J2625" i="1" a="1"/>
  <c r="J2667" i="1" a="1"/>
  <c r="J2688" i="1" a="1"/>
  <c r="J2704" i="1" a="1"/>
  <c r="J2720" i="1" a="1"/>
  <c r="J2736" i="1" a="1"/>
  <c r="J2752" i="1" a="1"/>
  <c r="J2768" i="1" a="1"/>
  <c r="J2784" i="1" a="1"/>
  <c r="J2798" i="1" a="1"/>
  <c r="J2864" i="1" a="1"/>
  <c r="J2909" i="1" a="1"/>
  <c r="J2941" i="1" a="1"/>
  <c r="J2961" i="1" a="1"/>
  <c r="J2981" i="1" a="1"/>
  <c r="J2991" i="1" a="1"/>
  <c r="J3010" i="1" a="1"/>
  <c r="J3020" i="1" a="1"/>
  <c r="J3040" i="1" a="1"/>
  <c r="J3059" i="1" a="1"/>
  <c r="J3070" i="1" a="1"/>
  <c r="J3089" i="1" a="1"/>
  <c r="J3109" i="1" a="1"/>
  <c r="J3119" i="1" a="1"/>
  <c r="J3138" i="1" a="1"/>
  <c r="J3148" i="1" a="1"/>
  <c r="J3158" i="1" a="1"/>
  <c r="J3167" i="1" a="1"/>
  <c r="J3176" i="1" a="1"/>
  <c r="J3184" i="1" a="1"/>
  <c r="J3192" i="1" a="1"/>
  <c r="J3200" i="1" a="1"/>
  <c r="J3208" i="1" a="1"/>
  <c r="J3216" i="1" a="1"/>
  <c r="J3224" i="1" a="1"/>
  <c r="J3232" i="1" a="1"/>
  <c r="J3240" i="1" a="1"/>
  <c r="J3248" i="1" a="1"/>
  <c r="J3256" i="1" a="1"/>
  <c r="J3264" i="1" a="1"/>
  <c r="J3272" i="1" a="1"/>
  <c r="J3280" i="1" a="1"/>
  <c r="J3288" i="1" a="1"/>
  <c r="J3296" i="1" a="1"/>
  <c r="J2508" i="1" a="1"/>
  <c r="J2558" i="1" a="1"/>
  <c r="J2601" i="1" a="1"/>
  <c r="J2650" i="1" a="1"/>
  <c r="J2672" i="1" a="1"/>
  <c r="J2799" i="1" a="1"/>
  <c r="J2811" i="1" a="1"/>
  <c r="J2826" i="1" a="1"/>
  <c r="J2840" i="1" a="1"/>
  <c r="J2851" i="1" a="1"/>
  <c r="J2875" i="1" a="1"/>
  <c r="J2888" i="1" a="1"/>
  <c r="J2898" i="1" a="1"/>
  <c r="J2910" i="1" a="1"/>
  <c r="J2920" i="1" a="1"/>
  <c r="J2930" i="1" a="1"/>
  <c r="J2942" i="1" a="1"/>
  <c r="J2952" i="1" a="1"/>
  <c r="J2971" i="1" a="1"/>
  <c r="J2982" i="1" a="1"/>
  <c r="J3001" i="1" a="1"/>
  <c r="J3021" i="1" a="1"/>
  <c r="J3031" i="1" a="1"/>
  <c r="J3050" i="1" a="1"/>
  <c r="J3060" i="1" a="1"/>
  <c r="J3080" i="1" a="1"/>
  <c r="J3099" i="1" a="1"/>
  <c r="J3110" i="1" a="1"/>
  <c r="J3129" i="1" a="1"/>
  <c r="J3149" i="1" a="1"/>
  <c r="J2509" i="1" a="1"/>
  <c r="J2569" i="1" a="1"/>
  <c r="J2626" i="1" a="1"/>
  <c r="J2689" i="1" a="1"/>
  <c r="J2705" i="1" a="1"/>
  <c r="J2721" i="1" a="1"/>
  <c r="J2737" i="1" a="1"/>
  <c r="J2753" i="1" a="1"/>
  <c r="J2769" i="1" a="1"/>
  <c r="J2785" i="1" a="1"/>
  <c r="J2800" i="1" a="1"/>
  <c r="J2814" i="1" a="1"/>
  <c r="J2854" i="1" a="1"/>
  <c r="J2865" i="1" a="1"/>
  <c r="J2877" i="1" a="1"/>
  <c r="J2962" i="1" a="1"/>
  <c r="J2972" i="1" a="1"/>
  <c r="J2992" i="1" a="1"/>
  <c r="J3011" i="1" a="1"/>
  <c r="J3022" i="1" a="1"/>
  <c r="J3041" i="1" a="1"/>
  <c r="J3061" i="1" a="1"/>
  <c r="J3071" i="1" a="1"/>
  <c r="J3090" i="1" a="1"/>
  <c r="J3100" i="1" a="1"/>
  <c r="J3120" i="1" a="1"/>
  <c r="J3139" i="1" a="1"/>
  <c r="J3150" i="1" a="1"/>
  <c r="J3159" i="1" a="1"/>
  <c r="J3168" i="1" a="1"/>
  <c r="J3177" i="1" a="1"/>
  <c r="J3185" i="1" a="1"/>
  <c r="J3193" i="1" a="1"/>
  <c r="J3201" i="1" a="1"/>
  <c r="J3209" i="1" a="1"/>
  <c r="J3217" i="1" a="1"/>
  <c r="J3225" i="1" a="1"/>
  <c r="J3233" i="1" a="1"/>
  <c r="J3241" i="1" a="1"/>
  <c r="J2316" i="1" a="1"/>
  <c r="J2570" i="1" a="1"/>
  <c r="J2602" i="1" a="1"/>
  <c r="J2651" i="1" a="1"/>
  <c r="J2673" i="1" a="1"/>
  <c r="J2815" i="1" a="1"/>
  <c r="J2827" i="1" a="1"/>
  <c r="J2841" i="1" a="1"/>
  <c r="J2855" i="1" a="1"/>
  <c r="J2878" i="1" a="1"/>
  <c r="J2889" i="1" a="1"/>
  <c r="J2899" i="1" a="1"/>
  <c r="J2911" i="1" a="1"/>
  <c r="J2921" i="1" a="1"/>
  <c r="J2931" i="1" a="1"/>
  <c r="J2943" i="1" a="1"/>
  <c r="J2953" i="1" a="1"/>
  <c r="J2973" i="1" a="1"/>
  <c r="J2983" i="1" a="1"/>
  <c r="J3002" i="1" a="1"/>
  <c r="J3012" i="1" a="1"/>
  <c r="J3032" i="1" a="1"/>
  <c r="J3051" i="1" a="1"/>
  <c r="J3062" i="1" a="1"/>
  <c r="J3081" i="1" a="1"/>
  <c r="J3101" i="1" a="1"/>
  <c r="J3111" i="1" a="1"/>
  <c r="J2324" i="1" a="1"/>
  <c r="J2525" i="1" a="1"/>
  <c r="J2571" i="1" a="1"/>
  <c r="J2627" i="1" a="1"/>
  <c r="J2690" i="1" a="1"/>
  <c r="J2706" i="1" a="1"/>
  <c r="J2722" i="1" a="1"/>
  <c r="J2738" i="1" a="1"/>
  <c r="J2754" i="1" a="1"/>
  <c r="J2770" i="1" a="1"/>
  <c r="J2786" i="1" a="1"/>
  <c r="J2801" i="1" a="1"/>
  <c r="J2816" i="1" a="1"/>
  <c r="J2830" i="1" a="1"/>
  <c r="J2866" i="1" a="1"/>
  <c r="J2879" i="1" a="1"/>
  <c r="J2901" i="1" a="1"/>
  <c r="J2933" i="1" a="1"/>
  <c r="J2963" i="1" a="1"/>
  <c r="J2974" i="1" a="1"/>
  <c r="J2993" i="1" a="1"/>
  <c r="J3013" i="1" a="1"/>
  <c r="J3023" i="1" a="1"/>
  <c r="J2380" i="1" a="1"/>
  <c r="J2572" i="1" a="1"/>
  <c r="J2603" i="1" a="1"/>
  <c r="J2633" i="1" a="1"/>
  <c r="J2657" i="1" a="1"/>
  <c r="J2674" i="1" a="1"/>
  <c r="J2831" i="1" a="1"/>
  <c r="J2842" i="1" a="1"/>
  <c r="J2856" i="1" a="1"/>
  <c r="J2890" i="1" a="1"/>
  <c r="J2902" i="1" a="1"/>
  <c r="J2912" i="1" a="1"/>
  <c r="J2922" i="1" a="1"/>
  <c r="J2934" i="1" a="1"/>
  <c r="J2944" i="1" a="1"/>
  <c r="J2954" i="1" a="1"/>
  <c r="J2964" i="1" a="1"/>
  <c r="J2984" i="1" a="1"/>
  <c r="J3003" i="1" a="1"/>
  <c r="J3014" i="1" a="1"/>
  <c r="J2388" i="1" a="1"/>
  <c r="J2526" i="1" a="1"/>
  <c r="J2573" i="1" a="1"/>
  <c r="J2609" i="1" a="1"/>
  <c r="J2691" i="1" a="1"/>
  <c r="J2707" i="1" a="1"/>
  <c r="J2723" i="1" a="1"/>
  <c r="J2739" i="1" a="1"/>
  <c r="J2755" i="1" a="1"/>
  <c r="J2771" i="1" a="1"/>
  <c r="J2787" i="1" a="1"/>
  <c r="J2802" i="1" a="1"/>
  <c r="J2817" i="1" a="1"/>
  <c r="J2867" i="1" a="1"/>
  <c r="J2880" i="1" a="1"/>
  <c r="J2965" i="1" a="1"/>
  <c r="J2975" i="1" a="1"/>
  <c r="J2994" i="1" a="1"/>
  <c r="J3004" i="1" a="1"/>
  <c r="J3024" i="1" a="1"/>
  <c r="J3043" i="1" a="1"/>
  <c r="J2428" i="1" a="1"/>
  <c r="J2528" i="1" a="1"/>
  <c r="J2583" i="1" a="1"/>
  <c r="J2634" i="1" a="1"/>
  <c r="J2658" i="1" a="1"/>
  <c r="J2675" i="1" a="1"/>
  <c r="J2695" i="1" a="1"/>
  <c r="J2711" i="1" a="1"/>
  <c r="J2727" i="1" a="1"/>
  <c r="J2743" i="1" a="1"/>
  <c r="J2759" i="1" a="1"/>
  <c r="J2775" i="1" a="1"/>
  <c r="J2790" i="1" a="1"/>
  <c r="J2832" i="1" a="1"/>
  <c r="J2843" i="1" a="1"/>
  <c r="J2857" i="1" a="1"/>
  <c r="J2869" i="1" a="1"/>
  <c r="J2891" i="1" a="1"/>
  <c r="J2903" i="1" a="1"/>
  <c r="J2913" i="1" a="1"/>
  <c r="J2923" i="1" a="1"/>
  <c r="J2935" i="1" a="1"/>
  <c r="J2945" i="1" a="1"/>
  <c r="J2955" i="1" a="1"/>
  <c r="J2966" i="1" a="1"/>
  <c r="J2985" i="1" a="1"/>
  <c r="J2429" i="1" a="1"/>
  <c r="J2540" i="1" a="1"/>
  <c r="J2584" i="1" a="1"/>
  <c r="J2610" i="1" a="1"/>
  <c r="J2680" i="1" a="1"/>
  <c r="J2696" i="1" a="1"/>
  <c r="J2712" i="1" a="1"/>
  <c r="J2728" i="1" a="1"/>
  <c r="J2744" i="1" a="1"/>
  <c r="J2760" i="1" a="1"/>
  <c r="J2776" i="1" a="1"/>
  <c r="J2436" i="1" a="1"/>
  <c r="J2541" i="1" a="1"/>
  <c r="J2585" i="1" a="1"/>
  <c r="J2635" i="1" a="1"/>
  <c r="J2659" i="1" a="1"/>
  <c r="J2461" i="1" a="1"/>
  <c r="J2586" i="1" a="1"/>
  <c r="J2611" i="1" a="1"/>
  <c r="J2542" i="1" a="1"/>
  <c r="J2587" i="1" a="1"/>
  <c r="J2617" i="1" a="1"/>
  <c r="J2793" i="1" a="1"/>
  <c r="J2808" i="1" a="1"/>
  <c r="J2822" i="1" a="1"/>
  <c r="J2834" i="1" a="1"/>
  <c r="J2468" i="1" a="1"/>
  <c r="J2745" i="1" a="1"/>
  <c r="J2818" i="1" a="1"/>
  <c r="J2859" i="1" a="1"/>
  <c r="J2967" i="1" a="1"/>
  <c r="J2996" i="1" a="1"/>
  <c r="J3045" i="1" a="1"/>
  <c r="J3096" i="1" a="1"/>
  <c r="J3114" i="1" a="1"/>
  <c r="J3132" i="1" a="1"/>
  <c r="J3162" i="1" a="1"/>
  <c r="J3178" i="1" a="1"/>
  <c r="J3189" i="1" a="1"/>
  <c r="J3203" i="1" a="1"/>
  <c r="J3214" i="1" a="1"/>
  <c r="J3228" i="1" a="1"/>
  <c r="J3242" i="1" a="1"/>
  <c r="J3276" i="1" a="1"/>
  <c r="J3289" i="1" a="1"/>
  <c r="J3448" i="1" a="1"/>
  <c r="J3458" i="1" a="1"/>
  <c r="J3477" i="1" a="1"/>
  <c r="J3487" i="1" a="1"/>
  <c r="J3507" i="1" a="1"/>
  <c r="J3526" i="1" a="1"/>
  <c r="J3591" i="1" a="1"/>
  <c r="J2544" i="1" a="1"/>
  <c r="J2746" i="1" a="1"/>
  <c r="J2861" i="1" a="1"/>
  <c r="J2936" i="1" a="1"/>
  <c r="J2997" i="1" a="1"/>
  <c r="J3025" i="1" a="1"/>
  <c r="J3046" i="1" a="1"/>
  <c r="J3064" i="1" a="1"/>
  <c r="J3082" i="1" a="1"/>
  <c r="J3133" i="1" a="1"/>
  <c r="J3253" i="1" a="1"/>
  <c r="J3266" i="1" a="1"/>
  <c r="J3300" i="1" a="1"/>
  <c r="J3310" i="1" a="1"/>
  <c r="J3322" i="1" a="1"/>
  <c r="J3332" i="1" a="1"/>
  <c r="J3342" i="1" a="1"/>
  <c r="J3354" i="1" a="1"/>
  <c r="J3364" i="1" a="1"/>
  <c r="J3374" i="1" a="1"/>
  <c r="J3386" i="1" a="1"/>
  <c r="J3396" i="1" a="1"/>
  <c r="J3406" i="1" a="1"/>
  <c r="J3418" i="1" a="1"/>
  <c r="J3428" i="1" a="1"/>
  <c r="J3438" i="1" a="1"/>
  <c r="J3449" i="1" a="1"/>
  <c r="J3468" i="1" a="1"/>
  <c r="J3488" i="1" a="1"/>
  <c r="J3498" i="1" a="1"/>
  <c r="J3517" i="1" a="1"/>
  <c r="J3527" i="1" a="1"/>
  <c r="J3537" i="1" a="1"/>
  <c r="J3546" i="1" a="1"/>
  <c r="J3555" i="1" a="1"/>
  <c r="J3564" i="1" a="1"/>
  <c r="J3573" i="1" a="1"/>
  <c r="J3582" i="1" a="1"/>
  <c r="J3592" i="1" a="1"/>
  <c r="J3601" i="1" a="1"/>
  <c r="J3609" i="1" a="1"/>
  <c r="J3617" i="1" a="1"/>
  <c r="J3625" i="1" a="1"/>
  <c r="J3633" i="1" a="1"/>
  <c r="J3641" i="1" a="1"/>
  <c r="J3649" i="1" a="1"/>
  <c r="J3657" i="1" a="1"/>
  <c r="J3665" i="1" a="1"/>
  <c r="J3673" i="1" a="1"/>
  <c r="J3681" i="1" a="1"/>
  <c r="J3689" i="1" a="1"/>
  <c r="J3697" i="1" a="1"/>
  <c r="J3705" i="1" a="1"/>
  <c r="J3713" i="1" a="1"/>
  <c r="J3721" i="1" a="1"/>
  <c r="J3729" i="1" a="1"/>
  <c r="J3737" i="1" a="1"/>
  <c r="J3745" i="1" a="1"/>
  <c r="J3753" i="1" a="1"/>
  <c r="J3761" i="1" a="1"/>
  <c r="J3769" i="1" a="1"/>
  <c r="J3777" i="1" a="1"/>
  <c r="J3785" i="1" a="1"/>
  <c r="J3793" i="1" a="1"/>
  <c r="J3801" i="1" a="1"/>
  <c r="J3809" i="1" a="1"/>
  <c r="J3817" i="1" a="1"/>
  <c r="J3825" i="1" a="1"/>
  <c r="J3833" i="1" a="1"/>
  <c r="J3841" i="1" a="1"/>
  <c r="J3849" i="1" a="1"/>
  <c r="J3857" i="1" a="1"/>
  <c r="J2593" i="1" a="1"/>
  <c r="J2819" i="1" a="1"/>
  <c r="J2870" i="1" a="1"/>
  <c r="J2904" i="1" a="1"/>
  <c r="J2968" i="1" a="1"/>
  <c r="J2998" i="1" a="1"/>
  <c r="J3102" i="1" a="1"/>
  <c r="J3115" i="1" a="1"/>
  <c r="J3134" i="1" a="1"/>
  <c r="J3151" i="1" a="1"/>
  <c r="J3163" i="1" a="1"/>
  <c r="J3179" i="1" a="1"/>
  <c r="J3190" i="1" a="1"/>
  <c r="J3204" i="1" a="1"/>
  <c r="J3218" i="1" a="1"/>
  <c r="J3229" i="1" a="1"/>
  <c r="J3243" i="1" a="1"/>
  <c r="J3277" i="1" a="1"/>
  <c r="J3290" i="1" a="1"/>
  <c r="J3312" i="1" a="1"/>
  <c r="J3344" i="1" a="1"/>
  <c r="J3376" i="1" a="1"/>
  <c r="J3408" i="1" a="1"/>
  <c r="J3439" i="1" a="1"/>
  <c r="J3459" i="1" a="1"/>
  <c r="J3478" i="1" a="1"/>
  <c r="J3489" i="1" a="1"/>
  <c r="J3508" i="1" a="1"/>
  <c r="J3528" i="1" a="1"/>
  <c r="J3583" i="1" a="1"/>
  <c r="J2761" i="1" a="1"/>
  <c r="J2823" i="1" a="1"/>
  <c r="J2871" i="1" a="1"/>
  <c r="J2937" i="1" a="1"/>
  <c r="J3026" i="1" a="1"/>
  <c r="J3047" i="1" a="1"/>
  <c r="J3065" i="1" a="1"/>
  <c r="J3083" i="1" a="1"/>
  <c r="J3116" i="1" a="1"/>
  <c r="J3164" i="1" a="1"/>
  <c r="J3254" i="1" a="1"/>
  <c r="J3267" i="1" a="1"/>
  <c r="J3301" i="1" a="1"/>
  <c r="J3313" i="1" a="1"/>
  <c r="J3323" i="1" a="1"/>
  <c r="J3333" i="1" a="1"/>
  <c r="J3345" i="1" a="1"/>
  <c r="J3355" i="1" a="1"/>
  <c r="J3365" i="1" a="1"/>
  <c r="J3377" i="1" a="1"/>
  <c r="J3387" i="1" a="1"/>
  <c r="J3397" i="1" a="1"/>
  <c r="J3409" i="1" a="1"/>
  <c r="J3419" i="1" a="1"/>
  <c r="J3429" i="1" a="1"/>
  <c r="J3440" i="1" a="1"/>
  <c r="J3450" i="1" a="1"/>
  <c r="J3469" i="1" a="1"/>
  <c r="J3479" i="1" a="1"/>
  <c r="J3499" i="1" a="1"/>
  <c r="J3518" i="1" a="1"/>
  <c r="J3529" i="1" a="1"/>
  <c r="J3538" i="1" a="1"/>
  <c r="J3547" i="1" a="1"/>
  <c r="J3556" i="1" a="1"/>
  <c r="J3565" i="1" a="1"/>
  <c r="J3574" i="1" a="1"/>
  <c r="J3584" i="1" a="1"/>
  <c r="J3593" i="1" a="1"/>
  <c r="J3602" i="1" a="1"/>
  <c r="J3610" i="1" a="1"/>
  <c r="J3618" i="1" a="1"/>
  <c r="J3626" i="1" a="1"/>
  <c r="J3634" i="1" a="1"/>
  <c r="J3642" i="1" a="1"/>
  <c r="J3650" i="1" a="1"/>
  <c r="J3658" i="1" a="1"/>
  <c r="J3666" i="1" a="1"/>
  <c r="J3674" i="1" a="1"/>
  <c r="J3682" i="1" a="1"/>
  <c r="J3690" i="1" a="1"/>
  <c r="J3698" i="1" a="1"/>
  <c r="J3706" i="1" a="1"/>
  <c r="J3714" i="1" a="1"/>
  <c r="J3722" i="1" a="1"/>
  <c r="J3730" i="1" a="1"/>
  <c r="J3738" i="1" a="1"/>
  <c r="J3746" i="1" a="1"/>
  <c r="J3754" i="1" a="1"/>
  <c r="J3762" i="1" a="1"/>
  <c r="J3770" i="1" a="1"/>
  <c r="J3778" i="1" a="1"/>
  <c r="J3786" i="1" a="1"/>
  <c r="J3794" i="1" a="1"/>
  <c r="J3802" i="1" a="1"/>
  <c r="J3810" i="1" a="1"/>
  <c r="J3818" i="1" a="1"/>
  <c r="J3826" i="1" a="1"/>
  <c r="J3834" i="1" a="1"/>
  <c r="J3842" i="1" a="1"/>
  <c r="J3850" i="1" a="1"/>
  <c r="J3858" i="1" a="1"/>
  <c r="J2641" i="1" a="1"/>
  <c r="J2762" i="1" a="1"/>
  <c r="J2905" i="1" a="1"/>
  <c r="J2976" i="1" a="1"/>
  <c r="J3005" i="1" a="1"/>
  <c r="J3084" i="1" a="1"/>
  <c r="J3103" i="1" a="1"/>
  <c r="J3121" i="1" a="1"/>
  <c r="J3135" i="1" a="1"/>
  <c r="J3152" i="1" a="1"/>
  <c r="J3165" i="1" a="1"/>
  <c r="J3180" i="1" a="1"/>
  <c r="J3194" i="1" a="1"/>
  <c r="J3205" i="1" a="1"/>
  <c r="J3219" i="1" a="1"/>
  <c r="J3230" i="1" a="1"/>
  <c r="J3244" i="1" a="1"/>
  <c r="J3257" i="1" a="1"/>
  <c r="J3278" i="1" a="1"/>
  <c r="J3291" i="1" a="1"/>
  <c r="J3441" i="1" a="1"/>
  <c r="J3460" i="1" a="1"/>
  <c r="J3480" i="1" a="1"/>
  <c r="J3490" i="1" a="1"/>
  <c r="J3509" i="1" a="1"/>
  <c r="J3519" i="1" a="1"/>
  <c r="J3575" i="1" a="1"/>
  <c r="J2642" i="1" a="1"/>
  <c r="J2833" i="1" a="1"/>
  <c r="J2872" i="1" a="1"/>
  <c r="J3006" i="1" a="1"/>
  <c r="J3027" i="1" a="1"/>
  <c r="J3052" i="1" a="1"/>
  <c r="J3066" i="1" a="1"/>
  <c r="J3085" i="1" a="1"/>
  <c r="J3268" i="1" a="1"/>
  <c r="J3281" i="1" a="1"/>
  <c r="J3302" i="1" a="1"/>
  <c r="J3314" i="1" a="1"/>
  <c r="J3324" i="1" a="1"/>
  <c r="J3334" i="1" a="1"/>
  <c r="J3346" i="1" a="1"/>
  <c r="J3356" i="1" a="1"/>
  <c r="J3366" i="1" a="1"/>
  <c r="J3378" i="1" a="1"/>
  <c r="J3388" i="1" a="1"/>
  <c r="J3398" i="1" a="1"/>
  <c r="J3410" i="1" a="1"/>
  <c r="J3420" i="1" a="1"/>
  <c r="J3430" i="1" a="1"/>
  <c r="J3451" i="1" a="1"/>
  <c r="J3470" i="1" a="1"/>
  <c r="J3481" i="1" a="1"/>
  <c r="J3500" i="1" a="1"/>
  <c r="J3520" i="1" a="1"/>
  <c r="J3530" i="1" a="1"/>
  <c r="J3539" i="1" a="1"/>
  <c r="J3548" i="1" a="1"/>
  <c r="J3557" i="1" a="1"/>
  <c r="J3566" i="1" a="1"/>
  <c r="J3576" i="1" a="1"/>
  <c r="J3585" i="1" a="1"/>
  <c r="J3594" i="1" a="1"/>
  <c r="J3603" i="1" a="1"/>
  <c r="J3611" i="1" a="1"/>
  <c r="J3619" i="1" a="1"/>
  <c r="J3627" i="1" a="1"/>
  <c r="J3635" i="1" a="1"/>
  <c r="J3643" i="1" a="1"/>
  <c r="J3651" i="1" a="1"/>
  <c r="J3659" i="1" a="1"/>
  <c r="J3667" i="1" a="1"/>
  <c r="J3675" i="1" a="1"/>
  <c r="J3683" i="1" a="1"/>
  <c r="J3691" i="1" a="1"/>
  <c r="J3699" i="1" a="1"/>
  <c r="J3707" i="1" a="1"/>
  <c r="J3715" i="1" a="1"/>
  <c r="J3723" i="1" a="1"/>
  <c r="J3731" i="1" a="1"/>
  <c r="J3739" i="1" a="1"/>
  <c r="J3747" i="1" a="1"/>
  <c r="J3755" i="1" a="1"/>
  <c r="J3763" i="1" a="1"/>
  <c r="J3771" i="1" a="1"/>
  <c r="J3779" i="1" a="1"/>
  <c r="J3787" i="1" a="1"/>
  <c r="J3795" i="1" a="1"/>
  <c r="J3803" i="1" a="1"/>
  <c r="J3811" i="1" a="1"/>
  <c r="J3819" i="1" a="1"/>
  <c r="J3827" i="1" a="1"/>
  <c r="J3835" i="1" a="1"/>
  <c r="J3843" i="1" a="1"/>
  <c r="J3851" i="1" a="1"/>
  <c r="J3859" i="1" a="1"/>
  <c r="J2664" i="1" a="1"/>
  <c r="J2777" i="1" a="1"/>
  <c r="J2946" i="1" a="1"/>
  <c r="J2977" i="1" a="1"/>
  <c r="J3033" i="1" a="1"/>
  <c r="J3053" i="1" a="1"/>
  <c r="J3086" i="1" a="1"/>
  <c r="J3104" i="1" a="1"/>
  <c r="J3122" i="1" a="1"/>
  <c r="J3136" i="1" a="1"/>
  <c r="J3153" i="1" a="1"/>
  <c r="J3169" i="1" a="1"/>
  <c r="J3181" i="1" a="1"/>
  <c r="J3195" i="1" a="1"/>
  <c r="J3206" i="1" a="1"/>
  <c r="J3220" i="1" a="1"/>
  <c r="J3234" i="1" a="1"/>
  <c r="J3245" i="1" a="1"/>
  <c r="J3258" i="1" a="1"/>
  <c r="J3292" i="1" a="1"/>
  <c r="J3304" i="1" a="1"/>
  <c r="J3336" i="1" a="1"/>
  <c r="J3368" i="1" a="1"/>
  <c r="J3400" i="1" a="1"/>
  <c r="J3432" i="1" a="1"/>
  <c r="J3442" i="1" a="1"/>
  <c r="J3461" i="1" a="1"/>
  <c r="J3471" i="1" a="1"/>
  <c r="J3491" i="1" a="1"/>
  <c r="J3510" i="1" a="1"/>
  <c r="J3521" i="1" a="1"/>
  <c r="J3567" i="1" a="1"/>
  <c r="J2665" i="1" a="1"/>
  <c r="J2778" i="1" a="1"/>
  <c r="J2881" i="1" a="1"/>
  <c r="J2914" i="1" a="1"/>
  <c r="J3007" i="1" a="1"/>
  <c r="J3034" i="1" a="1"/>
  <c r="J3054" i="1" a="1"/>
  <c r="J3072" i="1" a="1"/>
  <c r="J3140" i="1" a="1"/>
  <c r="J3269" i="1" a="1"/>
  <c r="J3282" i="1" a="1"/>
  <c r="J3305" i="1" a="1"/>
  <c r="J3315" i="1" a="1"/>
  <c r="J3325" i="1" a="1"/>
  <c r="J3337" i="1" a="1"/>
  <c r="J3347" i="1" a="1"/>
  <c r="J3357" i="1" a="1"/>
  <c r="J3369" i="1" a="1"/>
  <c r="J3379" i="1" a="1"/>
  <c r="J3389" i="1" a="1"/>
  <c r="J3401" i="1" a="1"/>
  <c r="J3411" i="1" a="1"/>
  <c r="J3421" i="1" a="1"/>
  <c r="J3433" i="1" a="1"/>
  <c r="J3452" i="1" a="1"/>
  <c r="J3472" i="1" a="1"/>
  <c r="J3482" i="1" a="1"/>
  <c r="J3501" i="1" a="1"/>
  <c r="J3511" i="1" a="1"/>
  <c r="J3531" i="1" a="1"/>
  <c r="J3540" i="1" a="1"/>
  <c r="J3549" i="1" a="1"/>
  <c r="J3558" i="1" a="1"/>
  <c r="J3568" i="1" a="1"/>
  <c r="J3577" i="1" a="1"/>
  <c r="J3586" i="1" a="1"/>
  <c r="J3595" i="1" a="1"/>
  <c r="J3604" i="1" a="1"/>
  <c r="J3612" i="1" a="1"/>
  <c r="J3620" i="1" a="1"/>
  <c r="J3628" i="1" a="1"/>
  <c r="J3636" i="1" a="1"/>
  <c r="J3644" i="1" a="1"/>
  <c r="J3652" i="1" a="1"/>
  <c r="J3660" i="1" a="1"/>
  <c r="J3668" i="1" a="1"/>
  <c r="J3676" i="1" a="1"/>
  <c r="J3684" i="1" a="1"/>
  <c r="J3692" i="1" a="1"/>
  <c r="J3700" i="1" a="1"/>
  <c r="J3708" i="1" a="1"/>
  <c r="J3716" i="1" a="1"/>
  <c r="J3724" i="1" a="1"/>
  <c r="J3732" i="1" a="1"/>
  <c r="J3740" i="1" a="1"/>
  <c r="J3748" i="1" a="1"/>
  <c r="J3756" i="1" a="1"/>
  <c r="J3764" i="1" a="1"/>
  <c r="J3772" i="1" a="1"/>
  <c r="J3780" i="1" a="1"/>
  <c r="J3788" i="1" a="1"/>
  <c r="J3796" i="1" a="1"/>
  <c r="J3804" i="1" a="1"/>
  <c r="J3812" i="1" a="1"/>
  <c r="J3820" i="1" a="1"/>
  <c r="J3828" i="1" a="1"/>
  <c r="J3836" i="1" a="1"/>
  <c r="J3844" i="1" a="1"/>
  <c r="J3852" i="1" a="1"/>
  <c r="J3860" i="1" a="1"/>
  <c r="J2681" i="1" a="1"/>
  <c r="J2791" i="1" a="1"/>
  <c r="J2846" i="1" a="1"/>
  <c r="J2947" i="1" a="1"/>
  <c r="J2978" i="1" a="1"/>
  <c r="J3087" i="1" a="1"/>
  <c r="J3105" i="1" a="1"/>
  <c r="J3123" i="1" a="1"/>
  <c r="J3141" i="1" a="1"/>
  <c r="J3154" i="1" a="1"/>
  <c r="J3170" i="1" a="1"/>
  <c r="J3182" i="1" a="1"/>
  <c r="J3196" i="1" a="1"/>
  <c r="J3210" i="1" a="1"/>
  <c r="J3221" i="1" a="1"/>
  <c r="J3235" i="1" a="1"/>
  <c r="J3246" i="1" a="1"/>
  <c r="J3259" i="1" a="1"/>
  <c r="J3293" i="1" a="1"/>
  <c r="J3443" i="1" a="1"/>
  <c r="J3462" i="1" a="1"/>
  <c r="J3473" i="1" a="1"/>
  <c r="J3492" i="1" a="1"/>
  <c r="J3512" i="1" a="1"/>
  <c r="J3522" i="1" a="1"/>
  <c r="J3559" i="1" a="1"/>
  <c r="J3733" i="1" a="1"/>
  <c r="J2682" i="1" a="1"/>
  <c r="J2792" i="1" a="1"/>
  <c r="J2847" i="1" a="1"/>
  <c r="J2882" i="1" a="1"/>
  <c r="J2915" i="1" a="1"/>
  <c r="J2949" i="1" a="1"/>
  <c r="J3008" i="1" a="1"/>
  <c r="J3035" i="1" a="1"/>
  <c r="J3055" i="1" a="1"/>
  <c r="J3073" i="1" a="1"/>
  <c r="J3091" i="1" a="1"/>
  <c r="J3124" i="1" a="1"/>
  <c r="J3142" i="1" a="1"/>
  <c r="J3249" i="1" a="1"/>
  <c r="J3270" i="1" a="1"/>
  <c r="J3283" i="1" a="1"/>
  <c r="J3306" i="1" a="1"/>
  <c r="J3316" i="1" a="1"/>
  <c r="J3326" i="1" a="1"/>
  <c r="J3338" i="1" a="1"/>
  <c r="J3348" i="1" a="1"/>
  <c r="J3358" i="1" a="1"/>
  <c r="J3370" i="1" a="1"/>
  <c r="J3380" i="1" a="1"/>
  <c r="J3390" i="1" a="1"/>
  <c r="J3402" i="1" a="1"/>
  <c r="J3412" i="1" a="1"/>
  <c r="J3422" i="1" a="1"/>
  <c r="J3434" i="1" a="1"/>
  <c r="J3453" i="1" a="1"/>
  <c r="J3463" i="1" a="1"/>
  <c r="J3483" i="1" a="1"/>
  <c r="J3502" i="1" a="1"/>
  <c r="J3513" i="1" a="1"/>
  <c r="J3532" i="1" a="1"/>
  <c r="J3541" i="1" a="1"/>
  <c r="J3550" i="1" a="1"/>
  <c r="J3560" i="1" a="1"/>
  <c r="J3569" i="1" a="1"/>
  <c r="J3578" i="1" a="1"/>
  <c r="J3587" i="1" a="1"/>
  <c r="J3596" i="1" a="1"/>
  <c r="J3605" i="1" a="1"/>
  <c r="J3613" i="1" a="1"/>
  <c r="J3621" i="1" a="1"/>
  <c r="J3629" i="1" a="1"/>
  <c r="J3637" i="1" a="1"/>
  <c r="J3645" i="1" a="1"/>
  <c r="J3653" i="1" a="1"/>
  <c r="J3661" i="1" a="1"/>
  <c r="J3669" i="1" a="1"/>
  <c r="J3677" i="1" a="1"/>
  <c r="J3685" i="1" a="1"/>
  <c r="J3693" i="1" a="1"/>
  <c r="J3701" i="1" a="1"/>
  <c r="J3709" i="1" a="1"/>
  <c r="J3717" i="1" a="1"/>
  <c r="J3725" i="1" a="1"/>
  <c r="J3741" i="1" a="1"/>
  <c r="J3749" i="1" a="1"/>
  <c r="J3757" i="1" a="1"/>
  <c r="J3765" i="1" a="1"/>
  <c r="J3773" i="1" a="1"/>
  <c r="J3781" i="1" a="1"/>
  <c r="J3789" i="1" a="1"/>
  <c r="J3797" i="1" a="1"/>
  <c r="J3805" i="1" a="1"/>
  <c r="J3813" i="1" a="1"/>
  <c r="J3821" i="1" a="1"/>
  <c r="J3829" i="1" a="1"/>
  <c r="J3837" i="1" a="1"/>
  <c r="J3845" i="1" a="1"/>
  <c r="J3853" i="1" a="1"/>
  <c r="J2697" i="1" a="1"/>
  <c r="J2917" i="1" a="1"/>
  <c r="J2956" i="1" a="1"/>
  <c r="J2986" i="1" a="1"/>
  <c r="J3015" i="1" a="1"/>
  <c r="J3036" i="1" a="1"/>
  <c r="J3092" i="1" a="1"/>
  <c r="J3106" i="1" a="1"/>
  <c r="J3125" i="1" a="1"/>
  <c r="J3155" i="1" a="1"/>
  <c r="J3171" i="1" a="1"/>
  <c r="J3186" i="1" a="1"/>
  <c r="J3197" i="1" a="1"/>
  <c r="J3211" i="1" a="1"/>
  <c r="J3222" i="1" a="1"/>
  <c r="J3236" i="1" a="1"/>
  <c r="J3260" i="1" a="1"/>
  <c r="J3273" i="1" a="1"/>
  <c r="J3294" i="1" a="1"/>
  <c r="J3328" i="1" a="1"/>
  <c r="J3360" i="1" a="1"/>
  <c r="J3392" i="1" a="1"/>
  <c r="J3424" i="1" a="1"/>
  <c r="J3444" i="1" a="1"/>
  <c r="J3464" i="1" a="1"/>
  <c r="J3474" i="1" a="1"/>
  <c r="J3493" i="1" a="1"/>
  <c r="J3503" i="1" a="1"/>
  <c r="J3523" i="1" a="1"/>
  <c r="J3551" i="1" a="1"/>
  <c r="J3662" i="1" a="1"/>
  <c r="J3790" i="1" a="1"/>
  <c r="J3814" i="1" a="1"/>
  <c r="J3822" i="1" a="1"/>
  <c r="J3838" i="1" a="1"/>
  <c r="J3854" i="1" a="1"/>
  <c r="J3862" i="1" a="1"/>
  <c r="J2698" i="1" a="1"/>
  <c r="J2848" i="1" a="1"/>
  <c r="J2883" i="1" a="1"/>
  <c r="J2925" i="1" a="1"/>
  <c r="J2957" i="1" a="1"/>
  <c r="J3037" i="1" a="1"/>
  <c r="J3056" i="1" a="1"/>
  <c r="J3074" i="1" a="1"/>
  <c r="J3093" i="1" a="1"/>
  <c r="J3126" i="1" a="1"/>
  <c r="J3143" i="1" a="1"/>
  <c r="J3172" i="1" a="1"/>
  <c r="J3250" i="1" a="1"/>
  <c r="J3284" i="1" a="1"/>
  <c r="J3297" i="1" a="1"/>
  <c r="J3307" i="1" a="1"/>
  <c r="J3317" i="1" a="1"/>
  <c r="J3329" i="1" a="1"/>
  <c r="J3339" i="1" a="1"/>
  <c r="J3349" i="1" a="1"/>
  <c r="J3361" i="1" a="1"/>
  <c r="J3371" i="1" a="1"/>
  <c r="J3381" i="1" a="1"/>
  <c r="J3393" i="1" a="1"/>
  <c r="J3403" i="1" a="1"/>
  <c r="J3413" i="1" a="1"/>
  <c r="J3425" i="1" a="1"/>
  <c r="J3435" i="1" a="1"/>
  <c r="J3454" i="1" a="1"/>
  <c r="J3465" i="1" a="1"/>
  <c r="J3484" i="1" a="1"/>
  <c r="J3504" i="1" a="1"/>
  <c r="J3514" i="1" a="1"/>
  <c r="J3533" i="1" a="1"/>
  <c r="J3542" i="1" a="1"/>
  <c r="J3552" i="1" a="1"/>
  <c r="J3561" i="1" a="1"/>
  <c r="J3570" i="1" a="1"/>
  <c r="J3579" i="1" a="1"/>
  <c r="J3588" i="1" a="1"/>
  <c r="J3597" i="1" a="1"/>
  <c r="J3606" i="1" a="1"/>
  <c r="J3614" i="1" a="1"/>
  <c r="J3622" i="1" a="1"/>
  <c r="J3630" i="1" a="1"/>
  <c r="J3638" i="1" a="1"/>
  <c r="J3646" i="1" a="1"/>
  <c r="J3654" i="1" a="1"/>
  <c r="J3670" i="1" a="1"/>
  <c r="J3678" i="1" a="1"/>
  <c r="J3686" i="1" a="1"/>
  <c r="J3694" i="1" a="1"/>
  <c r="J3702" i="1" a="1"/>
  <c r="J3710" i="1" a="1"/>
  <c r="J3718" i="1" a="1"/>
  <c r="J3726" i="1" a="1"/>
  <c r="J3734" i="1" a="1"/>
  <c r="J3742" i="1" a="1"/>
  <c r="J3750" i="1" a="1"/>
  <c r="J3758" i="1" a="1"/>
  <c r="J3766" i="1" a="1"/>
  <c r="J3774" i="1" a="1"/>
  <c r="J3782" i="1" a="1"/>
  <c r="J3798" i="1" a="1"/>
  <c r="J3806" i="1" a="1"/>
  <c r="J3830" i="1" a="1"/>
  <c r="J3846" i="1" a="1"/>
  <c r="J2713" i="1" a="1"/>
  <c r="J2803" i="1" a="1"/>
  <c r="J2893" i="1" a="1"/>
  <c r="J2926" i="1" a="1"/>
  <c r="J2958" i="1" a="1"/>
  <c r="J2987" i="1" a="1"/>
  <c r="J3016" i="1" a="1"/>
  <c r="J3038" i="1" a="1"/>
  <c r="J3094" i="1" a="1"/>
  <c r="J3112" i="1" a="1"/>
  <c r="J3160" i="1" a="1"/>
  <c r="J3173" i="1" a="1"/>
  <c r="J3187" i="1" a="1"/>
  <c r="J3198" i="1" a="1"/>
  <c r="J3212" i="1" a="1"/>
  <c r="J3226" i="1" a="1"/>
  <c r="J3237" i="1" a="1"/>
  <c r="J3261" i="1" a="1"/>
  <c r="J3274" i="1" a="1"/>
  <c r="J3445" i="1" a="1"/>
  <c r="J3455" i="1" a="1"/>
  <c r="J3475" i="1" a="1"/>
  <c r="J3494" i="1" a="1"/>
  <c r="J3505" i="1" a="1"/>
  <c r="J3524" i="1" a="1"/>
  <c r="J3543" i="1" a="1"/>
  <c r="J2714" i="1" a="1"/>
  <c r="J2806" i="1" a="1"/>
  <c r="J2894" i="1" a="1"/>
  <c r="J2988" i="1" a="1"/>
  <c r="J3042" i="1" a="1"/>
  <c r="J3057" i="1" a="1"/>
  <c r="J3075" i="1" a="1"/>
  <c r="J3130" i="1" a="1"/>
  <c r="J3144" i="1" a="1"/>
  <c r="J3251" i="1" a="1"/>
  <c r="J3285" i="1" a="1"/>
  <c r="J3298" i="1" a="1"/>
  <c r="J3308" i="1" a="1"/>
  <c r="J3318" i="1" a="1"/>
  <c r="J3330" i="1" a="1"/>
  <c r="J3340" i="1" a="1"/>
  <c r="J3350" i="1" a="1"/>
  <c r="J3362" i="1" a="1"/>
  <c r="J3372" i="1" a="1"/>
  <c r="J3382" i="1" a="1"/>
  <c r="J3394" i="1" a="1"/>
  <c r="J3404" i="1" a="1"/>
  <c r="J3414" i="1" a="1"/>
  <c r="J3426" i="1" a="1"/>
  <c r="J3436" i="1" a="1"/>
  <c r="J3456" i="1" a="1"/>
  <c r="J3466" i="1" a="1"/>
  <c r="J3485" i="1" a="1"/>
  <c r="J3495" i="1" a="1"/>
  <c r="J3515" i="1" a="1"/>
  <c r="J3534" i="1" a="1"/>
  <c r="J3544" i="1" a="1"/>
  <c r="J3553" i="1" a="1"/>
  <c r="J3562" i="1" a="1"/>
  <c r="J3571" i="1" a="1"/>
  <c r="J3580" i="1" a="1"/>
  <c r="J3589" i="1" a="1"/>
  <c r="J3598" i="1" a="1"/>
  <c r="J3607" i="1" a="1"/>
  <c r="J3615" i="1" a="1"/>
  <c r="J3623" i="1" a="1"/>
  <c r="J3631" i="1" a="1"/>
  <c r="J3639" i="1" a="1"/>
  <c r="J3647" i="1" a="1"/>
  <c r="J3655" i="1" a="1"/>
  <c r="J3663" i="1" a="1"/>
  <c r="J3671" i="1" a="1"/>
  <c r="J3679" i="1" a="1"/>
  <c r="J3687" i="1" a="1"/>
  <c r="J3695" i="1" a="1"/>
  <c r="J3703" i="1" a="1"/>
  <c r="J3711" i="1" a="1"/>
  <c r="J3719" i="1" a="1"/>
  <c r="J3727" i="1" a="1"/>
  <c r="J3735" i="1" a="1"/>
  <c r="J3743" i="1" a="1"/>
  <c r="J3751" i="1" a="1"/>
  <c r="J3759" i="1" a="1"/>
  <c r="J3767" i="1" a="1"/>
  <c r="J2729" i="1" a="1"/>
  <c r="J2807" i="1" a="1"/>
  <c r="J2858" i="1" a="1"/>
  <c r="J2927" i="1" a="1"/>
  <c r="J2959" i="1" a="1"/>
  <c r="J3017" i="1" a="1"/>
  <c r="J3076" i="1" a="1"/>
  <c r="J3095" i="1" a="1"/>
  <c r="J3113" i="1" a="1"/>
  <c r="J3161" i="1" a="1"/>
  <c r="J3174" i="1" a="1"/>
  <c r="J3188" i="1" a="1"/>
  <c r="J3202" i="1" a="1"/>
  <c r="J3213" i="1" a="1"/>
  <c r="J3227" i="1" a="1"/>
  <c r="J3238" i="1" a="1"/>
  <c r="J3262" i="1" a="1"/>
  <c r="J3275" i="1" a="1"/>
  <c r="J3320" i="1" a="1"/>
  <c r="J3352" i="1" a="1"/>
  <c r="J3384" i="1" a="1"/>
  <c r="J3416" i="1" a="1"/>
  <c r="J3446" i="1" a="1"/>
  <c r="J3457" i="1" a="1"/>
  <c r="J3476" i="1" a="1"/>
  <c r="J3496" i="1" a="1"/>
  <c r="J3506" i="1" a="1"/>
  <c r="J3525" i="1" a="1"/>
  <c r="J3535" i="1" a="1"/>
  <c r="J3599" i="1" a="1"/>
  <c r="J2730" i="1" a="1"/>
  <c r="J3363" i="1" a="1"/>
  <c r="J3664" i="1" a="1"/>
  <c r="J3783" i="1" a="1"/>
  <c r="J3847" i="1" a="1"/>
  <c r="J3373" i="1" a="1"/>
  <c r="J3536" i="1" a="1"/>
  <c r="J3672" i="1" a="1"/>
  <c r="J3784" i="1" a="1"/>
  <c r="J3848" i="1" a="1"/>
  <c r="J3385" i="1" a="1"/>
  <c r="J3545" i="1" a="1"/>
  <c r="J3680" i="1" a="1"/>
  <c r="J3791" i="1" a="1"/>
  <c r="J3855" i="1" a="1"/>
  <c r="J2895" i="1" a="1"/>
  <c r="J3395" i="1" a="1"/>
  <c r="J3554" i="1" a="1"/>
  <c r="J3688" i="1" a="1"/>
  <c r="J3792" i="1" a="1"/>
  <c r="J3856" i="1" a="1"/>
  <c r="J3405" i="1" a="1"/>
  <c r="J3563" i="1" a="1"/>
  <c r="J3696" i="1" a="1"/>
  <c r="J3799" i="1" a="1"/>
  <c r="J3861" i="1" a="1"/>
  <c r="J3417" i="1" a="1"/>
  <c r="J3572" i="1" a="1"/>
  <c r="J3704" i="1" a="1"/>
  <c r="J3800" i="1" a="1"/>
  <c r="J2995" i="1" a="1"/>
  <c r="J3252" i="1" a="1"/>
  <c r="J3427" i="1" a="1"/>
  <c r="J3581" i="1" a="1"/>
  <c r="J3712" i="1" a="1"/>
  <c r="J3807" i="1" a="1"/>
  <c r="J3265" i="1" a="1"/>
  <c r="J3437" i="1" a="1"/>
  <c r="J3590" i="1" a="1"/>
  <c r="J3720" i="1" a="1"/>
  <c r="J3808" i="1" a="1"/>
  <c r="J3044" i="1" a="1"/>
  <c r="J3447" i="1" a="1"/>
  <c r="J3600" i="1" a="1"/>
  <c r="J3728" i="1" a="1"/>
  <c r="J3815" i="1" a="1"/>
  <c r="J3063" i="1" a="1"/>
  <c r="J3286" i="1" a="1"/>
  <c r="J3608" i="1" a="1"/>
  <c r="J3736" i="1" a="1"/>
  <c r="J3816" i="1" a="1"/>
  <c r="J3077" i="1" a="1"/>
  <c r="J3299" i="1" a="1"/>
  <c r="J3467" i="1" a="1"/>
  <c r="J3616" i="1" a="1"/>
  <c r="J3744" i="1" a="1"/>
  <c r="J3823" i="1" a="1"/>
  <c r="J3309" i="1" a="1"/>
  <c r="J3624" i="1" a="1"/>
  <c r="J3752" i="1" a="1"/>
  <c r="J3824" i="1" a="1"/>
  <c r="J3321" i="1" a="1"/>
  <c r="J3486" i="1" a="1"/>
  <c r="J3632" i="1" a="1"/>
  <c r="J3760" i="1" a="1"/>
  <c r="J3831" i="1" a="1"/>
  <c r="J3131" i="1" a="1"/>
  <c r="J3331" i="1" a="1"/>
  <c r="J3497" i="1" a="1"/>
  <c r="J3640" i="1" a="1"/>
  <c r="J3768" i="1" a="1"/>
  <c r="J3832" i="1" a="1"/>
  <c r="J3145" i="1" a="1"/>
  <c r="J3341" i="1" a="1"/>
  <c r="J3648" i="1" a="1"/>
  <c r="J3775" i="1" a="1"/>
  <c r="J3839" i="1" a="1"/>
  <c r="J3353" i="1" a="1"/>
  <c r="J3516" i="1" a="1"/>
  <c r="J3656" i="1" a="1"/>
  <c r="J3776" i="1" a="1"/>
  <c r="J3840" i="1" a="1"/>
  <c r="J5" i="1" a="1"/>
  <c r="J6" i="1" a="1"/>
  <c r="J7" i="1" a="1"/>
  <c r="J8" i="1" a="1"/>
  <c r="J3" i="1" a="1"/>
  <c r="J4" i="1" a="1"/>
  <c r="J2" i="1" a="1"/>
  <c r="I2" i="1" a="1"/>
  <c r="J3840" i="1" l="1"/>
  <c r="J3776" i="1"/>
  <c r="J3656" i="1"/>
  <c r="J3516" i="1"/>
  <c r="J3353" i="1"/>
  <c r="J3839" i="1"/>
  <c r="J3775" i="1"/>
  <c r="J3648" i="1"/>
  <c r="J3341" i="1"/>
  <c r="J3145" i="1"/>
  <c r="J3832" i="1"/>
  <c r="J3768" i="1"/>
  <c r="J3640" i="1"/>
  <c r="J3497" i="1"/>
  <c r="J3331" i="1"/>
  <c r="J3131" i="1"/>
  <c r="J3831" i="1"/>
  <c r="J3760" i="1"/>
  <c r="J3632" i="1"/>
  <c r="J3486" i="1"/>
  <c r="J3321" i="1"/>
  <c r="J3824" i="1"/>
  <c r="J3752" i="1"/>
  <c r="J3624" i="1"/>
  <c r="J3309" i="1"/>
  <c r="J3823" i="1"/>
  <c r="J3744" i="1"/>
  <c r="J3616" i="1"/>
  <c r="J3467" i="1"/>
  <c r="J3299" i="1"/>
  <c r="J3077" i="1"/>
  <c r="J3816" i="1"/>
  <c r="J3736" i="1"/>
  <c r="J3608" i="1"/>
  <c r="J3286" i="1"/>
  <c r="J3063" i="1"/>
  <c r="J3815" i="1"/>
  <c r="J3728" i="1"/>
  <c r="J3600" i="1"/>
  <c r="J3447" i="1"/>
  <c r="J3044" i="1"/>
  <c r="J3808" i="1"/>
  <c r="J3720" i="1"/>
  <c r="J3590" i="1"/>
  <c r="J3437" i="1"/>
  <c r="J3265" i="1"/>
  <c r="J3807" i="1"/>
  <c r="J3712" i="1"/>
  <c r="J3581" i="1"/>
  <c r="J3427" i="1"/>
  <c r="J3252" i="1"/>
  <c r="J2995" i="1"/>
  <c r="J3800" i="1"/>
  <c r="J3704" i="1"/>
  <c r="J3572" i="1"/>
  <c r="J3417" i="1"/>
  <c r="J3861" i="1"/>
  <c r="J3799" i="1"/>
  <c r="J3696" i="1"/>
  <c r="J3563" i="1"/>
  <c r="J3405" i="1"/>
  <c r="J3856" i="1"/>
  <c r="J3792" i="1"/>
  <c r="J3688" i="1"/>
  <c r="J3554" i="1"/>
  <c r="J3395" i="1"/>
  <c r="J2895" i="1"/>
  <c r="J3855" i="1"/>
  <c r="J3791" i="1"/>
  <c r="J3680" i="1"/>
  <c r="J3545" i="1"/>
  <c r="J3385" i="1"/>
  <c r="J3848" i="1"/>
  <c r="J3784" i="1"/>
  <c r="J3672" i="1"/>
  <c r="J3536" i="1"/>
  <c r="J3373" i="1"/>
  <c r="J3847" i="1"/>
  <c r="J3783" i="1"/>
  <c r="J3664" i="1"/>
  <c r="J3363" i="1"/>
  <c r="J2730" i="1"/>
  <c r="J3599" i="1"/>
  <c r="J3535" i="1"/>
  <c r="J3525" i="1"/>
  <c r="J3506" i="1"/>
  <c r="J3496" i="1"/>
  <c r="J3476" i="1"/>
  <c r="J3457" i="1"/>
  <c r="J3446" i="1"/>
  <c r="J3416" i="1"/>
  <c r="J3384" i="1"/>
  <c r="J3352" i="1"/>
  <c r="J3320" i="1"/>
  <c r="J3275" i="1"/>
  <c r="J3262" i="1"/>
  <c r="J3238" i="1"/>
  <c r="J3227" i="1"/>
  <c r="J3213" i="1"/>
  <c r="J3202" i="1"/>
  <c r="J3188" i="1"/>
  <c r="J3174" i="1"/>
  <c r="J3161" i="1"/>
  <c r="J3113" i="1"/>
  <c r="J3095" i="1"/>
  <c r="J3076" i="1"/>
  <c r="J3017" i="1"/>
  <c r="J2959" i="1"/>
  <c r="J2927" i="1"/>
  <c r="J2858" i="1"/>
  <c r="J2807" i="1"/>
  <c r="J2729" i="1"/>
  <c r="J3767" i="1"/>
  <c r="J3759" i="1"/>
  <c r="J3751" i="1"/>
  <c r="J3743" i="1"/>
  <c r="J3735" i="1"/>
  <c r="J3727" i="1"/>
  <c r="J3719" i="1"/>
  <c r="J3711" i="1"/>
  <c r="J3703" i="1"/>
  <c r="J3695" i="1"/>
  <c r="J3687" i="1"/>
  <c r="J3679" i="1"/>
  <c r="J3671" i="1"/>
  <c r="J3663" i="1"/>
  <c r="J3655" i="1"/>
  <c r="J3647" i="1"/>
  <c r="J3639" i="1"/>
  <c r="J3631" i="1"/>
  <c r="J3623" i="1"/>
  <c r="J3615" i="1"/>
  <c r="J3607" i="1"/>
  <c r="J3598" i="1"/>
  <c r="J3589" i="1"/>
  <c r="J3580" i="1"/>
  <c r="J3571" i="1"/>
  <c r="J3562" i="1"/>
  <c r="J3553" i="1"/>
  <c r="J3544" i="1"/>
  <c r="J3534" i="1"/>
  <c r="J3515" i="1"/>
  <c r="J3495" i="1"/>
  <c r="J3485" i="1"/>
  <c r="J3466" i="1"/>
  <c r="J3456" i="1"/>
  <c r="J3436" i="1"/>
  <c r="J3426" i="1"/>
  <c r="J3414" i="1"/>
  <c r="J3404" i="1"/>
  <c r="J3394" i="1"/>
  <c r="J3382" i="1"/>
  <c r="J3372" i="1"/>
  <c r="J3362" i="1"/>
  <c r="J3350" i="1"/>
  <c r="J3340" i="1"/>
  <c r="J3330" i="1"/>
  <c r="J3318" i="1"/>
  <c r="J3308" i="1"/>
  <c r="J3298" i="1"/>
  <c r="J3285" i="1"/>
  <c r="J3251" i="1"/>
  <c r="J3144" i="1"/>
  <c r="J3130" i="1"/>
  <c r="J3075" i="1"/>
  <c r="J3057" i="1"/>
  <c r="J3042" i="1"/>
  <c r="J2988" i="1"/>
  <c r="J2894" i="1"/>
  <c r="J2806" i="1"/>
  <c r="J2714" i="1"/>
  <c r="J3543" i="1"/>
  <c r="J3524" i="1"/>
  <c r="J3505" i="1"/>
  <c r="J3494" i="1"/>
  <c r="J3475" i="1"/>
  <c r="J3455" i="1"/>
  <c r="J3445" i="1"/>
  <c r="J3274" i="1"/>
  <c r="J3261" i="1"/>
  <c r="J3237" i="1"/>
  <c r="J3226" i="1"/>
  <c r="J3212" i="1"/>
  <c r="J3198" i="1"/>
  <c r="J3187" i="1"/>
  <c r="J3173" i="1"/>
  <c r="J3160" i="1"/>
  <c r="J3112" i="1"/>
  <c r="J3094" i="1"/>
  <c r="J3038" i="1"/>
  <c r="J3016" i="1"/>
  <c r="J2987" i="1"/>
  <c r="J2958" i="1"/>
  <c r="J2926" i="1"/>
  <c r="J2893" i="1"/>
  <c r="J2803" i="1"/>
  <c r="J2713" i="1"/>
  <c r="J3846" i="1"/>
  <c r="J3830" i="1"/>
  <c r="J3806" i="1"/>
  <c r="J3798" i="1"/>
  <c r="J3782" i="1"/>
  <c r="J3774" i="1"/>
  <c r="J3766" i="1"/>
  <c r="J3758" i="1"/>
  <c r="J3750" i="1"/>
  <c r="J3742" i="1"/>
  <c r="J3734" i="1"/>
  <c r="J3726" i="1"/>
  <c r="J3718" i="1"/>
  <c r="J3710" i="1"/>
  <c r="J3702" i="1"/>
  <c r="J3694" i="1"/>
  <c r="J3686" i="1"/>
  <c r="J3678" i="1"/>
  <c r="J3670" i="1"/>
  <c r="J3654" i="1"/>
  <c r="J3646" i="1"/>
  <c r="J3638" i="1"/>
  <c r="J3630" i="1"/>
  <c r="J3622" i="1"/>
  <c r="J3614" i="1"/>
  <c r="J3606" i="1"/>
  <c r="J3597" i="1"/>
  <c r="J3588" i="1"/>
  <c r="J3579" i="1"/>
  <c r="J3570" i="1"/>
  <c r="J3561" i="1"/>
  <c r="J3552" i="1"/>
  <c r="J3542" i="1"/>
  <c r="J3533" i="1"/>
  <c r="J3514" i="1"/>
  <c r="J3504" i="1"/>
  <c r="J3484" i="1"/>
  <c r="J3465" i="1"/>
  <c r="J3454" i="1"/>
  <c r="J3435" i="1"/>
  <c r="J3425" i="1"/>
  <c r="J3413" i="1"/>
  <c r="J3403" i="1"/>
  <c r="J3393" i="1"/>
  <c r="J3381" i="1"/>
  <c r="J3371" i="1"/>
  <c r="J3361" i="1"/>
  <c r="J3349" i="1"/>
  <c r="J3339" i="1"/>
  <c r="J3329" i="1"/>
  <c r="J3317" i="1"/>
  <c r="J3307" i="1"/>
  <c r="J3297" i="1"/>
  <c r="J3284" i="1"/>
  <c r="J3250" i="1"/>
  <c r="J3172" i="1"/>
  <c r="J3143" i="1"/>
  <c r="J3126" i="1"/>
  <c r="J3093" i="1"/>
  <c r="J3074" i="1"/>
  <c r="J3056" i="1"/>
  <c r="J3037" i="1"/>
  <c r="J2957" i="1"/>
  <c r="J2925" i="1"/>
  <c r="J2883" i="1"/>
  <c r="J2848" i="1"/>
  <c r="J2698" i="1"/>
  <c r="J3862" i="1"/>
  <c r="J3854" i="1"/>
  <c r="J3838" i="1"/>
  <c r="J3822" i="1"/>
  <c r="J3814" i="1"/>
  <c r="J3790" i="1"/>
  <c r="J3662" i="1"/>
  <c r="J3551" i="1"/>
  <c r="J3523" i="1"/>
  <c r="J3503" i="1"/>
  <c r="J3493" i="1"/>
  <c r="I3753" i="1"/>
  <c r="K3753" i="1" s="1"/>
  <c r="I3786" i="1"/>
  <c r="K3786" i="1" s="1"/>
  <c r="I3578" i="1"/>
  <c r="K3578" i="1" s="1"/>
  <c r="I3221" i="1"/>
  <c r="K3221" i="1" s="1"/>
  <c r="I3825" i="1"/>
  <c r="K3825" i="1" s="1"/>
  <c r="I3746" i="1"/>
  <c r="K3746" i="1" s="1"/>
  <c r="I3665" i="1"/>
  <c r="K3665" i="1" s="1"/>
  <c r="I3618" i="1"/>
  <c r="K3618" i="1" s="1"/>
  <c r="I3537" i="1"/>
  <c r="K3537" i="1" s="1"/>
  <c r="I3479" i="1"/>
  <c r="K3479" i="1" s="1"/>
  <c r="I3420" i="1"/>
  <c r="K3420" i="1" s="1"/>
  <c r="I3341" i="1"/>
  <c r="K3341" i="1" s="1"/>
  <c r="I3204" i="1"/>
  <c r="K3204" i="1" s="1"/>
  <c r="I2980" i="1"/>
  <c r="K2980" i="1" s="1"/>
  <c r="I3545" i="1"/>
  <c r="K3545" i="1" s="1"/>
  <c r="I3666" i="1"/>
  <c r="K3666" i="1" s="1"/>
  <c r="I3706" i="1"/>
  <c r="K3706" i="1" s="1"/>
  <c r="I3356" i="1"/>
  <c r="K3356" i="1" s="1"/>
  <c r="I3858" i="1"/>
  <c r="K3858" i="1" s="1"/>
  <c r="I3818" i="1"/>
  <c r="K3818" i="1" s="1"/>
  <c r="I3785" i="1"/>
  <c r="K3785" i="1" s="1"/>
  <c r="I3705" i="1"/>
  <c r="K3705" i="1" s="1"/>
  <c r="I3658" i="1"/>
  <c r="K3658" i="1" s="1"/>
  <c r="I3577" i="1"/>
  <c r="K3577" i="1" s="1"/>
  <c r="I3530" i="1"/>
  <c r="K3530" i="1" s="1"/>
  <c r="I3478" i="1"/>
  <c r="K3478" i="1" s="1"/>
  <c r="I3203" i="1"/>
  <c r="K3203" i="1" s="1"/>
  <c r="I2979" i="1"/>
  <c r="K2979" i="1" s="1"/>
  <c r="I3831" i="1"/>
  <c r="K3831" i="1" s="1"/>
  <c r="I3793" i="1"/>
  <c r="K3793" i="1" s="1"/>
  <c r="I3673" i="1"/>
  <c r="K3673" i="1" s="1"/>
  <c r="I3626" i="1"/>
  <c r="K3626" i="1" s="1"/>
  <c r="I3052" i="1"/>
  <c r="K3052" i="1" s="1"/>
  <c r="I3751" i="1"/>
  <c r="K3751" i="1" s="1"/>
  <c r="I3625" i="1"/>
  <c r="K3625" i="1" s="1"/>
  <c r="I3490" i="1"/>
  <c r="K3490" i="1" s="1"/>
  <c r="I3020" i="1"/>
  <c r="K3020" i="1" s="1"/>
  <c r="I3783" i="1"/>
  <c r="K3783" i="1" s="1"/>
  <c r="I3745" i="1"/>
  <c r="K3745" i="1" s="1"/>
  <c r="I3698" i="1"/>
  <c r="K3698" i="1" s="1"/>
  <c r="I3617" i="1"/>
  <c r="K3617" i="1" s="1"/>
  <c r="I3570" i="1"/>
  <c r="K3570" i="1" s="1"/>
  <c r="I3477" i="1"/>
  <c r="K3477" i="1" s="1"/>
  <c r="I3410" i="1"/>
  <c r="K3410" i="1" s="1"/>
  <c r="I3325" i="1"/>
  <c r="K3325" i="1" s="1"/>
  <c r="I3181" i="1"/>
  <c r="K3181" i="1" s="1"/>
  <c r="I2924" i="1"/>
  <c r="K2924" i="1" s="1"/>
  <c r="I3857" i="1"/>
  <c r="K3857" i="1" s="1"/>
  <c r="I3817" i="1"/>
  <c r="K3817" i="1" s="1"/>
  <c r="I3778" i="1"/>
  <c r="K3778" i="1" s="1"/>
  <c r="I3738" i="1"/>
  <c r="K3738" i="1" s="1"/>
  <c r="I3657" i="1"/>
  <c r="K3657" i="1" s="1"/>
  <c r="I3610" i="1"/>
  <c r="K3610" i="1" s="1"/>
  <c r="I3529" i="1"/>
  <c r="K3529" i="1" s="1"/>
  <c r="I3409" i="1"/>
  <c r="K3409" i="1" s="1"/>
  <c r="I2923" i="1"/>
  <c r="K2923" i="1" s="1"/>
  <c r="I3850" i="1"/>
  <c r="K3850" i="1" s="1"/>
  <c r="I3815" i="1"/>
  <c r="K3815" i="1" s="1"/>
  <c r="I3697" i="1"/>
  <c r="K3697" i="1" s="1"/>
  <c r="I3650" i="1"/>
  <c r="K3650" i="1" s="1"/>
  <c r="I3569" i="1"/>
  <c r="K3569" i="1" s="1"/>
  <c r="I3522" i="1"/>
  <c r="K3522" i="1" s="1"/>
  <c r="I3467" i="1"/>
  <c r="K3467" i="1" s="1"/>
  <c r="I3408" i="1"/>
  <c r="K3408" i="1" s="1"/>
  <c r="I3309" i="1"/>
  <c r="K3309" i="1" s="1"/>
  <c r="I3162" i="1"/>
  <c r="K3162" i="1" s="1"/>
  <c r="I2851" i="1"/>
  <c r="K2851" i="1" s="1"/>
  <c r="I3242" i="1"/>
  <c r="K3242" i="1" s="1"/>
  <c r="I3810" i="1"/>
  <c r="K3810" i="1" s="1"/>
  <c r="I3777" i="1"/>
  <c r="K3777" i="1" s="1"/>
  <c r="I3737" i="1"/>
  <c r="K3737" i="1" s="1"/>
  <c r="I3690" i="1"/>
  <c r="K3690" i="1" s="1"/>
  <c r="I3609" i="1"/>
  <c r="K3609" i="1" s="1"/>
  <c r="I3562" i="1"/>
  <c r="K3562" i="1" s="1"/>
  <c r="I3397" i="1"/>
  <c r="K3397" i="1" s="1"/>
  <c r="I3161" i="1"/>
  <c r="K3161" i="1" s="1"/>
  <c r="I2850" i="1"/>
  <c r="K2850" i="1" s="1"/>
  <c r="I3826" i="1"/>
  <c r="K3826" i="1" s="1"/>
  <c r="I3849" i="1"/>
  <c r="K3849" i="1" s="1"/>
  <c r="I3770" i="1"/>
  <c r="K3770" i="1" s="1"/>
  <c r="I3730" i="1"/>
  <c r="K3730" i="1" s="1"/>
  <c r="I3649" i="1"/>
  <c r="K3649" i="1" s="1"/>
  <c r="I3602" i="1"/>
  <c r="K3602" i="1" s="1"/>
  <c r="I3521" i="1"/>
  <c r="K3521" i="1" s="1"/>
  <c r="I3456" i="1"/>
  <c r="K3456" i="1" s="1"/>
  <c r="I3293" i="1"/>
  <c r="K3293" i="1" s="1"/>
  <c r="I3140" i="1"/>
  <c r="K3140" i="1" s="1"/>
  <c r="I2766" i="1"/>
  <c r="K2766" i="1" s="1"/>
  <c r="I3431" i="1"/>
  <c r="K3431" i="1" s="1"/>
  <c r="I3842" i="1"/>
  <c r="K3842" i="1" s="1"/>
  <c r="I3809" i="1"/>
  <c r="K3809" i="1" s="1"/>
  <c r="I3689" i="1"/>
  <c r="K3689" i="1" s="1"/>
  <c r="I3642" i="1"/>
  <c r="K3642" i="1" s="1"/>
  <c r="I3561" i="1"/>
  <c r="K3561" i="1" s="1"/>
  <c r="I3514" i="1"/>
  <c r="K3514" i="1" s="1"/>
  <c r="I3455" i="1"/>
  <c r="K3455" i="1" s="1"/>
  <c r="I3396" i="1"/>
  <c r="K3396" i="1" s="1"/>
  <c r="I3139" i="1"/>
  <c r="K3139" i="1" s="1"/>
  <c r="I3432" i="1"/>
  <c r="K3432" i="1" s="1"/>
  <c r="I3585" i="1"/>
  <c r="K3585" i="1" s="1"/>
  <c r="I3802" i="1"/>
  <c r="K3802" i="1" s="1"/>
  <c r="I3769" i="1"/>
  <c r="K3769" i="1" s="1"/>
  <c r="I3729" i="1"/>
  <c r="K3729" i="1" s="1"/>
  <c r="I3682" i="1"/>
  <c r="K3682" i="1" s="1"/>
  <c r="I3601" i="1"/>
  <c r="K3601" i="1" s="1"/>
  <c r="I3554" i="1"/>
  <c r="K3554" i="1" s="1"/>
  <c r="I3513" i="1"/>
  <c r="K3513" i="1" s="1"/>
  <c r="I3454" i="1"/>
  <c r="K3454" i="1" s="1"/>
  <c r="I3277" i="1"/>
  <c r="K3277" i="1" s="1"/>
  <c r="I3491" i="1"/>
  <c r="K3491" i="1" s="1"/>
  <c r="I3225" i="1"/>
  <c r="K3225" i="1" s="1"/>
  <c r="I3841" i="1"/>
  <c r="K3841" i="1" s="1"/>
  <c r="I3762" i="1"/>
  <c r="K3762" i="1" s="1"/>
  <c r="I3722" i="1"/>
  <c r="K3722" i="1" s="1"/>
  <c r="I3641" i="1"/>
  <c r="K3641" i="1" s="1"/>
  <c r="I3594" i="1"/>
  <c r="K3594" i="1" s="1"/>
  <c r="I3512" i="1"/>
  <c r="K3512" i="1" s="1"/>
  <c r="I3444" i="1"/>
  <c r="K3444" i="1" s="1"/>
  <c r="I3386" i="1"/>
  <c r="K3386" i="1" s="1"/>
  <c r="I3116" i="1"/>
  <c r="K3116" i="1" s="1"/>
  <c r="I2661" i="1"/>
  <c r="K2661" i="1" s="1"/>
  <c r="I3791" i="1"/>
  <c r="K3791" i="1" s="1"/>
  <c r="I3834" i="1"/>
  <c r="K3834" i="1" s="1"/>
  <c r="I3801" i="1"/>
  <c r="K3801" i="1" s="1"/>
  <c r="I3681" i="1"/>
  <c r="K3681" i="1" s="1"/>
  <c r="I3634" i="1"/>
  <c r="K3634" i="1" s="1"/>
  <c r="I3553" i="1"/>
  <c r="K3553" i="1" s="1"/>
  <c r="I3502" i="1"/>
  <c r="K3502" i="1" s="1"/>
  <c r="I3385" i="1"/>
  <c r="K3385" i="1" s="1"/>
  <c r="I3260" i="1"/>
  <c r="K3260" i="1" s="1"/>
  <c r="I2653" i="1"/>
  <c r="K2653" i="1" s="1"/>
  <c r="I3538" i="1"/>
  <c r="K3538" i="1" s="1"/>
  <c r="I3794" i="1"/>
  <c r="K3794" i="1" s="1"/>
  <c r="I3761" i="1"/>
  <c r="K3761" i="1" s="1"/>
  <c r="I3721" i="1"/>
  <c r="K3721" i="1" s="1"/>
  <c r="I3674" i="1"/>
  <c r="K3674" i="1" s="1"/>
  <c r="I3593" i="1"/>
  <c r="K3593" i="1" s="1"/>
  <c r="I3546" i="1"/>
  <c r="K3546" i="1" s="1"/>
  <c r="I3501" i="1"/>
  <c r="K3501" i="1" s="1"/>
  <c r="I3443" i="1"/>
  <c r="K3443" i="1" s="1"/>
  <c r="I3084" i="1"/>
  <c r="K3084" i="1" s="1"/>
  <c r="I2533" i="1"/>
  <c r="K2533" i="1" s="1"/>
  <c r="I3713" i="1"/>
  <c r="K3713" i="1" s="1"/>
  <c r="I3833" i="1"/>
  <c r="K3833" i="1" s="1"/>
  <c r="I3754" i="1"/>
  <c r="K3754" i="1" s="1"/>
  <c r="I3714" i="1"/>
  <c r="K3714" i="1" s="1"/>
  <c r="I3633" i="1"/>
  <c r="K3633" i="1" s="1"/>
  <c r="I3586" i="1"/>
  <c r="K3586" i="1" s="1"/>
  <c r="I3433" i="1"/>
  <c r="K3433" i="1" s="1"/>
  <c r="I3371" i="1"/>
  <c r="K3371" i="1" s="1"/>
  <c r="I3243" i="1"/>
  <c r="K3243" i="1" s="1"/>
  <c r="I2490" i="1"/>
  <c r="K2490" i="1" s="1"/>
  <c r="I3340" i="1"/>
  <c r="K3340" i="1" s="1"/>
  <c r="I3324" i="1"/>
  <c r="K3324" i="1" s="1"/>
  <c r="I3308" i="1"/>
  <c r="K3308" i="1" s="1"/>
  <c r="I3276" i="1"/>
  <c r="K3276" i="1" s="1"/>
  <c r="I3259" i="1"/>
  <c r="K3259" i="1" s="1"/>
  <c r="I3241" i="1"/>
  <c r="K3241" i="1" s="1"/>
  <c r="I3202" i="1"/>
  <c r="K3202" i="1" s="1"/>
  <c r="I3180" i="1"/>
  <c r="K3180" i="1" s="1"/>
  <c r="I3157" i="1"/>
  <c r="K3157" i="1" s="1"/>
  <c r="I3138" i="1"/>
  <c r="K3138" i="1" s="1"/>
  <c r="I3114" i="1"/>
  <c r="K3114" i="1" s="1"/>
  <c r="I3082" i="1"/>
  <c r="K3082" i="1" s="1"/>
  <c r="I3050" i="1"/>
  <c r="K3050" i="1" s="1"/>
  <c r="I3018" i="1"/>
  <c r="K3018" i="1" s="1"/>
  <c r="I2975" i="1"/>
  <c r="K2975" i="1" s="1"/>
  <c r="I2845" i="1"/>
  <c r="K2845" i="1" s="1"/>
  <c r="I3511" i="1"/>
  <c r="K3511" i="1" s="1"/>
  <c r="I3500" i="1"/>
  <c r="K3500" i="1" s="1"/>
  <c r="I3489" i="1"/>
  <c r="K3489" i="1" s="1"/>
  <c r="I3466" i="1"/>
  <c r="K3466" i="1" s="1"/>
  <c r="I3453" i="1"/>
  <c r="K3453" i="1" s="1"/>
  <c r="I3430" i="1"/>
  <c r="K3430" i="1" s="1"/>
  <c r="I3419" i="1"/>
  <c r="K3419" i="1" s="1"/>
  <c r="I3407" i="1"/>
  <c r="K3407" i="1" s="1"/>
  <c r="I3382" i="1"/>
  <c r="K3382" i="1" s="1"/>
  <c r="I3370" i="1"/>
  <c r="K3370" i="1" s="1"/>
  <c r="I3355" i="1"/>
  <c r="K3355" i="1" s="1"/>
  <c r="I3258" i="1"/>
  <c r="K3258" i="1" s="1"/>
  <c r="I3237" i="1"/>
  <c r="K3237" i="1" s="1"/>
  <c r="I3220" i="1"/>
  <c r="K3220" i="1" s="1"/>
  <c r="I3201" i="1"/>
  <c r="K3201" i="1" s="1"/>
  <c r="I3179" i="1"/>
  <c r="K3179" i="1" s="1"/>
  <c r="I3137" i="1"/>
  <c r="K3137" i="1" s="1"/>
  <c r="I3109" i="1"/>
  <c r="K3109" i="1" s="1"/>
  <c r="I3077" i="1"/>
  <c r="K3077" i="1" s="1"/>
  <c r="I3045" i="1"/>
  <c r="K3045" i="1" s="1"/>
  <c r="I3013" i="1"/>
  <c r="K3013" i="1" s="1"/>
  <c r="I2967" i="1"/>
  <c r="K2967" i="1" s="1"/>
  <c r="I2907" i="1"/>
  <c r="K2907" i="1" s="1"/>
  <c r="I2834" i="1"/>
  <c r="K2834" i="1" s="1"/>
  <c r="I2742" i="1"/>
  <c r="K2742" i="1" s="1"/>
  <c r="I2630" i="1"/>
  <c r="K2630" i="1" s="1"/>
  <c r="I2480" i="1"/>
  <c r="K2480" i="1" s="1"/>
  <c r="I3292" i="1"/>
  <c r="K3292" i="1" s="1"/>
  <c r="I2758" i="1"/>
  <c r="K2758" i="1" s="1"/>
  <c r="I3856" i="1"/>
  <c r="K3856" i="1" s="1"/>
  <c r="I3848" i="1"/>
  <c r="K3848" i="1" s="1"/>
  <c r="I3840" i="1"/>
  <c r="K3840" i="1" s="1"/>
  <c r="I3832" i="1"/>
  <c r="K3832" i="1" s="1"/>
  <c r="I3824" i="1"/>
  <c r="K3824" i="1" s="1"/>
  <c r="I3816" i="1"/>
  <c r="K3816" i="1" s="1"/>
  <c r="I3808" i="1"/>
  <c r="K3808" i="1" s="1"/>
  <c r="I3800" i="1"/>
  <c r="K3800" i="1" s="1"/>
  <c r="I3792" i="1"/>
  <c r="K3792" i="1" s="1"/>
  <c r="I3784" i="1"/>
  <c r="K3784" i="1" s="1"/>
  <c r="I3776" i="1"/>
  <c r="K3776" i="1" s="1"/>
  <c r="I3768" i="1"/>
  <c r="K3768" i="1" s="1"/>
  <c r="I3760" i="1"/>
  <c r="K3760" i="1" s="1"/>
  <c r="I3752" i="1"/>
  <c r="K3752" i="1" s="1"/>
  <c r="I3744" i="1"/>
  <c r="K3744" i="1" s="1"/>
  <c r="I3736" i="1"/>
  <c r="K3736" i="1" s="1"/>
  <c r="I3728" i="1"/>
  <c r="K3728" i="1" s="1"/>
  <c r="I3720" i="1"/>
  <c r="K3720" i="1" s="1"/>
  <c r="I3712" i="1"/>
  <c r="K3712" i="1" s="1"/>
  <c r="I3704" i="1"/>
  <c r="K3704" i="1" s="1"/>
  <c r="I3696" i="1"/>
  <c r="K3696" i="1" s="1"/>
  <c r="I3688" i="1"/>
  <c r="K3688" i="1" s="1"/>
  <c r="I3680" i="1"/>
  <c r="K3680" i="1" s="1"/>
  <c r="I3672" i="1"/>
  <c r="K3672" i="1" s="1"/>
  <c r="I3664" i="1"/>
  <c r="K3664" i="1" s="1"/>
  <c r="I3656" i="1"/>
  <c r="K3656" i="1" s="1"/>
  <c r="I3648" i="1"/>
  <c r="K3648" i="1" s="1"/>
  <c r="I3640" i="1"/>
  <c r="K3640" i="1" s="1"/>
  <c r="I3632" i="1"/>
  <c r="K3632" i="1" s="1"/>
  <c r="I3624" i="1"/>
  <c r="K3624" i="1" s="1"/>
  <c r="I3616" i="1"/>
  <c r="K3616" i="1" s="1"/>
  <c r="I3608" i="1"/>
  <c r="K3608" i="1" s="1"/>
  <c r="I3600" i="1"/>
  <c r="K3600" i="1" s="1"/>
  <c r="I3592" i="1"/>
  <c r="K3592" i="1" s="1"/>
  <c r="I3584" i="1"/>
  <c r="K3584" i="1" s="1"/>
  <c r="I3576" i="1"/>
  <c r="K3576" i="1" s="1"/>
  <c r="I3568" i="1"/>
  <c r="K3568" i="1" s="1"/>
  <c r="I3560" i="1"/>
  <c r="K3560" i="1" s="1"/>
  <c r="I3552" i="1"/>
  <c r="K3552" i="1" s="1"/>
  <c r="I3544" i="1"/>
  <c r="K3544" i="1" s="1"/>
  <c r="I3536" i="1"/>
  <c r="K3536" i="1" s="1"/>
  <c r="I3528" i="1"/>
  <c r="K3528" i="1" s="1"/>
  <c r="I3520" i="1"/>
  <c r="K3520" i="1" s="1"/>
  <c r="I3488" i="1"/>
  <c r="K3488" i="1" s="1"/>
  <c r="I3476" i="1"/>
  <c r="K3476" i="1" s="1"/>
  <c r="I3465" i="1"/>
  <c r="K3465" i="1" s="1"/>
  <c r="I3442" i="1"/>
  <c r="K3442" i="1" s="1"/>
  <c r="I3429" i="1"/>
  <c r="K3429" i="1" s="1"/>
  <c r="I3406" i="1"/>
  <c r="K3406" i="1" s="1"/>
  <c r="I3395" i="1"/>
  <c r="K3395" i="1" s="1"/>
  <c r="I3381" i="1"/>
  <c r="K3381" i="1" s="1"/>
  <c r="I3369" i="1"/>
  <c r="K3369" i="1" s="1"/>
  <c r="I3339" i="1"/>
  <c r="K3339" i="1" s="1"/>
  <c r="I3323" i="1"/>
  <c r="K3323" i="1" s="1"/>
  <c r="I3307" i="1"/>
  <c r="K3307" i="1" s="1"/>
  <c r="I3291" i="1"/>
  <c r="K3291" i="1" s="1"/>
  <c r="I3275" i="1"/>
  <c r="K3275" i="1" s="1"/>
  <c r="I3257" i="1"/>
  <c r="K3257" i="1" s="1"/>
  <c r="I3197" i="1"/>
  <c r="K3197" i="1" s="1"/>
  <c r="I3178" i="1"/>
  <c r="K3178" i="1" s="1"/>
  <c r="I3156" i="1"/>
  <c r="K3156" i="1" s="1"/>
  <c r="I3133" i="1"/>
  <c r="K3133" i="1" s="1"/>
  <c r="I2966" i="1"/>
  <c r="K2966" i="1" s="1"/>
  <c r="I2906" i="1"/>
  <c r="K2906" i="1" s="1"/>
  <c r="I2831" i="1"/>
  <c r="K2831" i="1" s="1"/>
  <c r="I2416" i="1"/>
  <c r="K2416" i="1" s="1"/>
  <c r="I3510" i="1"/>
  <c r="K3510" i="1" s="1"/>
  <c r="I3499" i="1"/>
  <c r="K3499" i="1" s="1"/>
  <c r="I3487" i="1"/>
  <c r="K3487" i="1" s="1"/>
  <c r="I3464" i="1"/>
  <c r="K3464" i="1" s="1"/>
  <c r="I3452" i="1"/>
  <c r="K3452" i="1" s="1"/>
  <c r="I3441" i="1"/>
  <c r="K3441" i="1" s="1"/>
  <c r="I3418" i="1"/>
  <c r="K3418" i="1" s="1"/>
  <c r="I3405" i="1"/>
  <c r="K3405" i="1" s="1"/>
  <c r="I3366" i="1"/>
  <c r="K3366" i="1" s="1"/>
  <c r="I3354" i="1"/>
  <c r="K3354" i="1" s="1"/>
  <c r="I3274" i="1"/>
  <c r="K3274" i="1" s="1"/>
  <c r="I3253" i="1"/>
  <c r="K3253" i="1" s="1"/>
  <c r="I3236" i="1"/>
  <c r="K3236" i="1" s="1"/>
  <c r="I3219" i="1"/>
  <c r="K3219" i="1" s="1"/>
  <c r="I3177" i="1"/>
  <c r="K3177" i="1" s="1"/>
  <c r="I3155" i="1"/>
  <c r="K3155" i="1" s="1"/>
  <c r="I3108" i="1"/>
  <c r="K3108" i="1" s="1"/>
  <c r="I3076" i="1"/>
  <c r="K3076" i="1" s="1"/>
  <c r="I3044" i="1"/>
  <c r="K3044" i="1" s="1"/>
  <c r="I3012" i="1"/>
  <c r="K3012" i="1" s="1"/>
  <c r="I2903" i="1"/>
  <c r="K2903" i="1" s="1"/>
  <c r="I2830" i="1"/>
  <c r="K2830" i="1" s="1"/>
  <c r="I2741" i="1"/>
  <c r="K2741" i="1" s="1"/>
  <c r="I2629" i="1"/>
  <c r="K2629" i="1" s="1"/>
  <c r="I2401" i="1"/>
  <c r="K2401" i="1" s="1"/>
  <c r="I3855" i="1"/>
  <c r="K3855" i="1" s="1"/>
  <c r="I3839" i="1"/>
  <c r="K3839" i="1" s="1"/>
  <c r="I3807" i="1"/>
  <c r="K3807" i="1" s="1"/>
  <c r="I3775" i="1"/>
  <c r="K3775" i="1" s="1"/>
  <c r="I3759" i="1"/>
  <c r="K3759" i="1" s="1"/>
  <c r="I3735" i="1"/>
  <c r="K3735" i="1" s="1"/>
  <c r="I3727" i="1"/>
  <c r="K3727" i="1" s="1"/>
  <c r="I3719" i="1"/>
  <c r="K3719" i="1" s="1"/>
  <c r="I3703" i="1"/>
  <c r="K3703" i="1" s="1"/>
  <c r="I3695" i="1"/>
  <c r="K3695" i="1" s="1"/>
  <c r="I3687" i="1"/>
  <c r="K3687" i="1" s="1"/>
  <c r="I3671" i="1"/>
  <c r="K3671" i="1" s="1"/>
  <c r="I3663" i="1"/>
  <c r="K3663" i="1" s="1"/>
  <c r="I3655" i="1"/>
  <c r="K3655" i="1" s="1"/>
  <c r="I3647" i="1"/>
  <c r="K3647" i="1" s="1"/>
  <c r="I3639" i="1"/>
  <c r="K3639" i="1" s="1"/>
  <c r="I3631" i="1"/>
  <c r="K3631" i="1" s="1"/>
  <c r="I3623" i="1"/>
  <c r="K3623" i="1" s="1"/>
  <c r="I3615" i="1"/>
  <c r="K3615" i="1" s="1"/>
  <c r="I3607" i="1"/>
  <c r="K3607" i="1" s="1"/>
  <c r="I3599" i="1"/>
  <c r="K3599" i="1" s="1"/>
  <c r="I3591" i="1"/>
  <c r="K3591" i="1" s="1"/>
  <c r="I3583" i="1"/>
  <c r="K3583" i="1" s="1"/>
  <c r="I3575" i="1"/>
  <c r="K3575" i="1" s="1"/>
  <c r="I3559" i="1"/>
  <c r="K3559" i="1" s="1"/>
  <c r="I3551" i="1"/>
  <c r="K3551" i="1" s="1"/>
  <c r="I3543" i="1"/>
  <c r="K3543" i="1" s="1"/>
  <c r="I3535" i="1"/>
  <c r="K3535" i="1" s="1"/>
  <c r="I3527" i="1"/>
  <c r="K3527" i="1" s="1"/>
  <c r="I3519" i="1"/>
  <c r="K3519" i="1" s="1"/>
  <c r="I3509" i="1"/>
  <c r="K3509" i="1" s="1"/>
  <c r="I3486" i="1"/>
  <c r="K3486" i="1" s="1"/>
  <c r="I3475" i="1"/>
  <c r="K3475" i="1" s="1"/>
  <c r="I3463" i="1"/>
  <c r="K3463" i="1" s="1"/>
  <c r="I3440" i="1"/>
  <c r="K3440" i="1" s="1"/>
  <c r="I3428" i="1"/>
  <c r="K3428" i="1" s="1"/>
  <c r="I3417" i="1"/>
  <c r="K3417" i="1" s="1"/>
  <c r="I3394" i="1"/>
  <c r="K3394" i="1" s="1"/>
  <c r="I3380" i="1"/>
  <c r="K3380" i="1" s="1"/>
  <c r="I3365" i="1"/>
  <c r="K3365" i="1" s="1"/>
  <c r="I3353" i="1"/>
  <c r="K3353" i="1" s="1"/>
  <c r="I3338" i="1"/>
  <c r="K3338" i="1" s="1"/>
  <c r="I3322" i="1"/>
  <c r="K3322" i="1" s="1"/>
  <c r="I3306" i="1"/>
  <c r="K3306" i="1" s="1"/>
  <c r="I3290" i="1"/>
  <c r="K3290" i="1" s="1"/>
  <c r="I3273" i="1"/>
  <c r="K3273" i="1" s="1"/>
  <c r="I3218" i="1"/>
  <c r="K3218" i="1" s="1"/>
  <c r="I3196" i="1"/>
  <c r="K3196" i="1" s="1"/>
  <c r="I3173" i="1"/>
  <c r="K3173" i="1" s="1"/>
  <c r="I3154" i="1"/>
  <c r="K3154" i="1" s="1"/>
  <c r="I3132" i="1"/>
  <c r="K3132" i="1" s="1"/>
  <c r="I3106" i="1"/>
  <c r="K3106" i="1" s="1"/>
  <c r="I3074" i="1"/>
  <c r="K3074" i="1" s="1"/>
  <c r="I3042" i="1"/>
  <c r="K3042" i="1" s="1"/>
  <c r="I3010" i="1"/>
  <c r="K3010" i="1" s="1"/>
  <c r="I2963" i="1"/>
  <c r="K2963" i="1" s="1"/>
  <c r="I2900" i="1"/>
  <c r="K2900" i="1" s="1"/>
  <c r="I2827" i="1"/>
  <c r="K2827" i="1" s="1"/>
  <c r="I2621" i="1"/>
  <c r="K2621" i="1" s="1"/>
  <c r="I3847" i="1"/>
  <c r="K3847" i="1" s="1"/>
  <c r="I3823" i="1"/>
  <c r="K3823" i="1" s="1"/>
  <c r="I3799" i="1"/>
  <c r="K3799" i="1" s="1"/>
  <c r="I3767" i="1"/>
  <c r="K3767" i="1" s="1"/>
  <c r="I3743" i="1"/>
  <c r="K3743" i="1" s="1"/>
  <c r="I3711" i="1"/>
  <c r="K3711" i="1" s="1"/>
  <c r="I3567" i="1"/>
  <c r="K3567" i="1" s="1"/>
  <c r="I3498" i="1"/>
  <c r="K3498" i="1" s="1"/>
  <c r="I3485" i="1"/>
  <c r="K3485" i="1" s="1"/>
  <c r="I3462" i="1"/>
  <c r="K3462" i="1" s="1"/>
  <c r="I3451" i="1"/>
  <c r="K3451" i="1" s="1"/>
  <c r="I3439" i="1"/>
  <c r="K3439" i="1" s="1"/>
  <c r="I3416" i="1"/>
  <c r="K3416" i="1" s="1"/>
  <c r="I3404" i="1"/>
  <c r="K3404" i="1" s="1"/>
  <c r="I3393" i="1"/>
  <c r="K3393" i="1" s="1"/>
  <c r="I3350" i="1"/>
  <c r="K3350" i="1" s="1"/>
  <c r="I3337" i="1"/>
  <c r="K3337" i="1" s="1"/>
  <c r="I3321" i="1"/>
  <c r="K3321" i="1" s="1"/>
  <c r="I3305" i="1"/>
  <c r="K3305" i="1" s="1"/>
  <c r="I3289" i="1"/>
  <c r="K3289" i="1" s="1"/>
  <c r="I3269" i="1"/>
  <c r="K3269" i="1" s="1"/>
  <c r="I3252" i="1"/>
  <c r="K3252" i="1" s="1"/>
  <c r="I3235" i="1"/>
  <c r="K3235" i="1" s="1"/>
  <c r="I3217" i="1"/>
  <c r="K3217" i="1" s="1"/>
  <c r="I3195" i="1"/>
  <c r="K3195" i="1" s="1"/>
  <c r="I3153" i="1"/>
  <c r="K3153" i="1" s="1"/>
  <c r="I3131" i="1"/>
  <c r="K3131" i="1" s="1"/>
  <c r="I3101" i="1"/>
  <c r="K3101" i="1" s="1"/>
  <c r="I3069" i="1"/>
  <c r="K3069" i="1" s="1"/>
  <c r="I3037" i="1"/>
  <c r="K3037" i="1" s="1"/>
  <c r="I3005" i="1"/>
  <c r="K3005" i="1" s="1"/>
  <c r="I2954" i="1"/>
  <c r="K2954" i="1" s="1"/>
  <c r="I2887" i="1"/>
  <c r="K2887" i="1" s="1"/>
  <c r="I2813" i="1"/>
  <c r="K2813" i="1" s="1"/>
  <c r="I2598" i="1"/>
  <c r="K2598" i="1" s="1"/>
  <c r="I2314" i="1"/>
  <c r="K2314" i="1" s="1"/>
  <c r="I3679" i="1"/>
  <c r="K3679" i="1" s="1"/>
  <c r="I3862" i="1"/>
  <c r="K3862" i="1" s="1"/>
  <c r="I3854" i="1"/>
  <c r="K3854" i="1" s="1"/>
  <c r="I3846" i="1"/>
  <c r="K3846" i="1" s="1"/>
  <c r="I3838" i="1"/>
  <c r="K3838" i="1" s="1"/>
  <c r="I3830" i="1"/>
  <c r="K3830" i="1" s="1"/>
  <c r="I3822" i="1"/>
  <c r="K3822" i="1" s="1"/>
  <c r="I3814" i="1"/>
  <c r="K3814" i="1" s="1"/>
  <c r="I3806" i="1"/>
  <c r="K3806" i="1" s="1"/>
  <c r="I3798" i="1"/>
  <c r="K3798" i="1" s="1"/>
  <c r="I3790" i="1"/>
  <c r="K3790" i="1" s="1"/>
  <c r="I3782" i="1"/>
  <c r="K3782" i="1" s="1"/>
  <c r="I3774" i="1"/>
  <c r="K3774" i="1" s="1"/>
  <c r="I3766" i="1"/>
  <c r="K3766" i="1" s="1"/>
  <c r="I3758" i="1"/>
  <c r="K3758" i="1" s="1"/>
  <c r="I3750" i="1"/>
  <c r="K3750" i="1" s="1"/>
  <c r="I3742" i="1"/>
  <c r="K3742" i="1" s="1"/>
  <c r="I3734" i="1"/>
  <c r="K3734" i="1" s="1"/>
  <c r="I3726" i="1"/>
  <c r="K3726" i="1" s="1"/>
  <c r="I3718" i="1"/>
  <c r="K3718" i="1" s="1"/>
  <c r="I3710" i="1"/>
  <c r="K3710" i="1" s="1"/>
  <c r="I3702" i="1"/>
  <c r="K3702" i="1" s="1"/>
  <c r="I3694" i="1"/>
  <c r="K3694" i="1" s="1"/>
  <c r="I3686" i="1"/>
  <c r="K3686" i="1" s="1"/>
  <c r="I3678" i="1"/>
  <c r="K3678" i="1" s="1"/>
  <c r="I3670" i="1"/>
  <c r="K3670" i="1" s="1"/>
  <c r="I3662" i="1"/>
  <c r="K3662" i="1" s="1"/>
  <c r="I3654" i="1"/>
  <c r="K3654" i="1" s="1"/>
  <c r="I3646" i="1"/>
  <c r="K3646" i="1" s="1"/>
  <c r="I3638" i="1"/>
  <c r="K3638" i="1" s="1"/>
  <c r="I3630" i="1"/>
  <c r="K3630" i="1" s="1"/>
  <c r="I3622" i="1"/>
  <c r="K3622" i="1" s="1"/>
  <c r="I3614" i="1"/>
  <c r="K3614" i="1" s="1"/>
  <c r="I3606" i="1"/>
  <c r="K3606" i="1" s="1"/>
  <c r="I3598" i="1"/>
  <c r="K3598" i="1" s="1"/>
  <c r="I3590" i="1"/>
  <c r="K3590" i="1" s="1"/>
  <c r="I3582" i="1"/>
  <c r="K3582" i="1" s="1"/>
  <c r="I3574" i="1"/>
  <c r="K3574" i="1" s="1"/>
  <c r="I3566" i="1"/>
  <c r="K3566" i="1" s="1"/>
  <c r="I3558" i="1"/>
  <c r="K3558" i="1" s="1"/>
  <c r="I3550" i="1"/>
  <c r="K3550" i="1" s="1"/>
  <c r="I3542" i="1"/>
  <c r="K3542" i="1" s="1"/>
  <c r="I3534" i="1"/>
  <c r="K3534" i="1" s="1"/>
  <c r="I3526" i="1"/>
  <c r="K3526" i="1" s="1"/>
  <c r="I3518" i="1"/>
  <c r="K3518" i="1" s="1"/>
  <c r="I3508" i="1"/>
  <c r="K3508" i="1" s="1"/>
  <c r="I3497" i="1"/>
  <c r="K3497" i="1" s="1"/>
  <c r="I3474" i="1"/>
  <c r="K3474" i="1" s="1"/>
  <c r="I3461" i="1"/>
  <c r="K3461" i="1" s="1"/>
  <c r="I3438" i="1"/>
  <c r="K3438" i="1" s="1"/>
  <c r="I3427" i="1"/>
  <c r="K3427" i="1" s="1"/>
  <c r="I3415" i="1"/>
  <c r="K3415" i="1" s="1"/>
  <c r="I3392" i="1"/>
  <c r="K3392" i="1" s="1"/>
  <c r="I3379" i="1"/>
  <c r="K3379" i="1" s="1"/>
  <c r="I3364" i="1"/>
  <c r="K3364" i="1" s="1"/>
  <c r="I3349" i="1"/>
  <c r="K3349" i="1" s="1"/>
  <c r="I3333" i="1"/>
  <c r="K3333" i="1" s="1"/>
  <c r="I3317" i="1"/>
  <c r="K3317" i="1" s="1"/>
  <c r="I3301" i="1"/>
  <c r="K3301" i="1" s="1"/>
  <c r="I3285" i="1"/>
  <c r="K3285" i="1" s="1"/>
  <c r="I3234" i="1"/>
  <c r="K3234" i="1" s="1"/>
  <c r="I3213" i="1"/>
  <c r="K3213" i="1" s="1"/>
  <c r="I3194" i="1"/>
  <c r="K3194" i="1" s="1"/>
  <c r="I3172" i="1"/>
  <c r="K3172" i="1" s="1"/>
  <c r="I3149" i="1"/>
  <c r="K3149" i="1" s="1"/>
  <c r="I3130" i="1"/>
  <c r="K3130" i="1" s="1"/>
  <c r="I2953" i="1"/>
  <c r="K2953" i="1" s="1"/>
  <c r="I2886" i="1"/>
  <c r="K2886" i="1" s="1"/>
  <c r="I2812" i="1"/>
  <c r="K2812" i="1" s="1"/>
  <c r="I2717" i="1"/>
  <c r="K2717" i="1" s="1"/>
  <c r="I2313" i="1"/>
  <c r="K2313" i="1" s="1"/>
  <c r="I3496" i="1"/>
  <c r="K3496" i="1" s="1"/>
  <c r="I3484" i="1"/>
  <c r="K3484" i="1" s="1"/>
  <c r="I3473" i="1"/>
  <c r="K3473" i="1" s="1"/>
  <c r="I3450" i="1"/>
  <c r="K3450" i="1" s="1"/>
  <c r="I3437" i="1"/>
  <c r="K3437" i="1" s="1"/>
  <c r="I3414" i="1"/>
  <c r="K3414" i="1" s="1"/>
  <c r="I3403" i="1"/>
  <c r="K3403" i="1" s="1"/>
  <c r="I3391" i="1"/>
  <c r="K3391" i="1" s="1"/>
  <c r="I3268" i="1"/>
  <c r="K3268" i="1" s="1"/>
  <c r="I3251" i="1"/>
  <c r="K3251" i="1" s="1"/>
  <c r="I3233" i="1"/>
  <c r="K3233" i="1" s="1"/>
  <c r="I3193" i="1"/>
  <c r="K3193" i="1" s="1"/>
  <c r="I3171" i="1"/>
  <c r="K3171" i="1" s="1"/>
  <c r="I3129" i="1"/>
  <c r="K3129" i="1" s="1"/>
  <c r="I3100" i="1"/>
  <c r="K3100" i="1" s="1"/>
  <c r="I3068" i="1"/>
  <c r="K3068" i="1" s="1"/>
  <c r="I3036" i="1"/>
  <c r="K3036" i="1" s="1"/>
  <c r="I3004" i="1"/>
  <c r="K3004" i="1" s="1"/>
  <c r="I2952" i="1"/>
  <c r="K2952" i="1" s="1"/>
  <c r="I2811" i="1"/>
  <c r="K2811" i="1" s="1"/>
  <c r="I2715" i="1"/>
  <c r="K2715" i="1" s="1"/>
  <c r="I2597" i="1"/>
  <c r="K2597" i="1" s="1"/>
  <c r="I3861" i="1"/>
  <c r="K3861" i="1" s="1"/>
  <c r="I3853" i="1"/>
  <c r="K3853" i="1" s="1"/>
  <c r="I3845" i="1"/>
  <c r="K3845" i="1" s="1"/>
  <c r="I3837" i="1"/>
  <c r="K3837" i="1" s="1"/>
  <c r="I3829" i="1"/>
  <c r="K3829" i="1" s="1"/>
  <c r="I3821" i="1"/>
  <c r="K3821" i="1" s="1"/>
  <c r="I3813" i="1"/>
  <c r="K3813" i="1" s="1"/>
  <c r="I3805" i="1"/>
  <c r="K3805" i="1" s="1"/>
  <c r="I3797" i="1"/>
  <c r="K3797" i="1" s="1"/>
  <c r="I3789" i="1"/>
  <c r="K3789" i="1" s="1"/>
  <c r="I3781" i="1"/>
  <c r="K3781" i="1" s="1"/>
  <c r="I3773" i="1"/>
  <c r="K3773" i="1" s="1"/>
  <c r="I3765" i="1"/>
  <c r="K3765" i="1" s="1"/>
  <c r="I3757" i="1"/>
  <c r="K3757" i="1" s="1"/>
  <c r="I3749" i="1"/>
  <c r="K3749" i="1" s="1"/>
  <c r="I3741" i="1"/>
  <c r="K3741" i="1" s="1"/>
  <c r="I3733" i="1"/>
  <c r="K3733" i="1" s="1"/>
  <c r="I3725" i="1"/>
  <c r="K3725" i="1" s="1"/>
  <c r="I3717" i="1"/>
  <c r="K3717" i="1" s="1"/>
  <c r="I3709" i="1"/>
  <c r="K3709" i="1" s="1"/>
  <c r="I3701" i="1"/>
  <c r="K3701" i="1" s="1"/>
  <c r="I3693" i="1"/>
  <c r="K3693" i="1" s="1"/>
  <c r="I3685" i="1"/>
  <c r="K3685" i="1" s="1"/>
  <c r="I3677" i="1"/>
  <c r="K3677" i="1" s="1"/>
  <c r="I3669" i="1"/>
  <c r="K3669" i="1" s="1"/>
  <c r="I3661" i="1"/>
  <c r="K3661" i="1" s="1"/>
  <c r="I3653" i="1"/>
  <c r="K3653" i="1" s="1"/>
  <c r="I3645" i="1"/>
  <c r="K3645" i="1" s="1"/>
  <c r="I3637" i="1"/>
  <c r="K3637" i="1" s="1"/>
  <c r="I3629" i="1"/>
  <c r="K3629" i="1" s="1"/>
  <c r="I3621" i="1"/>
  <c r="K3621" i="1" s="1"/>
  <c r="I3613" i="1"/>
  <c r="K3613" i="1" s="1"/>
  <c r="I3605" i="1"/>
  <c r="K3605" i="1" s="1"/>
  <c r="I3597" i="1"/>
  <c r="K3597" i="1" s="1"/>
  <c r="I3589" i="1"/>
  <c r="K3589" i="1" s="1"/>
  <c r="I3581" i="1"/>
  <c r="K3581" i="1" s="1"/>
  <c r="I3573" i="1"/>
  <c r="K3573" i="1" s="1"/>
  <c r="I3565" i="1"/>
  <c r="K3565" i="1" s="1"/>
  <c r="I3557" i="1"/>
  <c r="K3557" i="1" s="1"/>
  <c r="I3549" i="1"/>
  <c r="K3549" i="1" s="1"/>
  <c r="I3541" i="1"/>
  <c r="K3541" i="1" s="1"/>
  <c r="I3533" i="1"/>
  <c r="K3533" i="1" s="1"/>
  <c r="I3525" i="1"/>
  <c r="K3525" i="1" s="1"/>
  <c r="I3517" i="1"/>
  <c r="K3517" i="1" s="1"/>
  <c r="I3507" i="1"/>
  <c r="K3507" i="1" s="1"/>
  <c r="I3495" i="1"/>
  <c r="K3495" i="1" s="1"/>
  <c r="I3472" i="1"/>
  <c r="K3472" i="1" s="1"/>
  <c r="I3460" i="1"/>
  <c r="K3460" i="1" s="1"/>
  <c r="I3449" i="1"/>
  <c r="K3449" i="1" s="1"/>
  <c r="I3426" i="1"/>
  <c r="K3426" i="1" s="1"/>
  <c r="I3413" i="1"/>
  <c r="K3413" i="1" s="1"/>
  <c r="I3390" i="1"/>
  <c r="K3390" i="1" s="1"/>
  <c r="I3378" i="1"/>
  <c r="K3378" i="1" s="1"/>
  <c r="I3363" i="1"/>
  <c r="K3363" i="1" s="1"/>
  <c r="I3348" i="1"/>
  <c r="K3348" i="1" s="1"/>
  <c r="I3332" i="1"/>
  <c r="K3332" i="1" s="1"/>
  <c r="I3316" i="1"/>
  <c r="K3316" i="1" s="1"/>
  <c r="I3300" i="1"/>
  <c r="K3300" i="1" s="1"/>
  <c r="I3284" i="1"/>
  <c r="K3284" i="1" s="1"/>
  <c r="I3250" i="1"/>
  <c r="K3250" i="1" s="1"/>
  <c r="I3229" i="1"/>
  <c r="K3229" i="1" s="1"/>
  <c r="I3212" i="1"/>
  <c r="K3212" i="1" s="1"/>
  <c r="I3189" i="1"/>
  <c r="K3189" i="1" s="1"/>
  <c r="I3170" i="1"/>
  <c r="K3170" i="1" s="1"/>
  <c r="I3148" i="1"/>
  <c r="K3148" i="1" s="1"/>
  <c r="I3125" i="1"/>
  <c r="K3125" i="1" s="1"/>
  <c r="I3098" i="1"/>
  <c r="K3098" i="1" s="1"/>
  <c r="I3066" i="1"/>
  <c r="K3066" i="1" s="1"/>
  <c r="I3034" i="1"/>
  <c r="K3034" i="1" s="1"/>
  <c r="I3001" i="1"/>
  <c r="K3001" i="1" s="1"/>
  <c r="I2949" i="1"/>
  <c r="K2949" i="1" s="1"/>
  <c r="I2882" i="1"/>
  <c r="K2882" i="1" s="1"/>
  <c r="I2805" i="1"/>
  <c r="K2805" i="1" s="1"/>
  <c r="I2709" i="1"/>
  <c r="K2709" i="1" s="1"/>
  <c r="I2589" i="1"/>
  <c r="K2589" i="1" s="1"/>
  <c r="I2223" i="1"/>
  <c r="K2223" i="1" s="1"/>
  <c r="I3494" i="1"/>
  <c r="K3494" i="1" s="1"/>
  <c r="I3483" i="1"/>
  <c r="K3483" i="1" s="1"/>
  <c r="I3471" i="1"/>
  <c r="K3471" i="1" s="1"/>
  <c r="I3448" i="1"/>
  <c r="K3448" i="1" s="1"/>
  <c r="I3436" i="1"/>
  <c r="K3436" i="1" s="1"/>
  <c r="I3425" i="1"/>
  <c r="K3425" i="1" s="1"/>
  <c r="I3402" i="1"/>
  <c r="K3402" i="1" s="1"/>
  <c r="I3389" i="1"/>
  <c r="K3389" i="1" s="1"/>
  <c r="I3377" i="1"/>
  <c r="K3377" i="1" s="1"/>
  <c r="I3267" i="1"/>
  <c r="K3267" i="1" s="1"/>
  <c r="I3249" i="1"/>
  <c r="K3249" i="1" s="1"/>
  <c r="I3211" i="1"/>
  <c r="K3211" i="1" s="1"/>
  <c r="I3169" i="1"/>
  <c r="K3169" i="1" s="1"/>
  <c r="I3147" i="1"/>
  <c r="K3147" i="1" s="1"/>
  <c r="I3093" i="1"/>
  <c r="K3093" i="1" s="1"/>
  <c r="I3061" i="1"/>
  <c r="K3061" i="1" s="1"/>
  <c r="I3029" i="1"/>
  <c r="K3029" i="1" s="1"/>
  <c r="I2993" i="1"/>
  <c r="K2993" i="1" s="1"/>
  <c r="I2940" i="1"/>
  <c r="K2940" i="1" s="1"/>
  <c r="I2790" i="1"/>
  <c r="K2790" i="1" s="1"/>
  <c r="I2693" i="1"/>
  <c r="K2693" i="1" s="1"/>
  <c r="I2566" i="1"/>
  <c r="K2566" i="1" s="1"/>
  <c r="I2219" i="1"/>
  <c r="K2219" i="1" s="1"/>
  <c r="I3860" i="1"/>
  <c r="K3860" i="1" s="1"/>
  <c r="I3852" i="1"/>
  <c r="K3852" i="1" s="1"/>
  <c r="I3844" i="1"/>
  <c r="K3844" i="1" s="1"/>
  <c r="I3836" i="1"/>
  <c r="K3836" i="1" s="1"/>
  <c r="I3828" i="1"/>
  <c r="K3828" i="1" s="1"/>
  <c r="I3820" i="1"/>
  <c r="K3820" i="1" s="1"/>
  <c r="I3812" i="1"/>
  <c r="K3812" i="1" s="1"/>
  <c r="I3804" i="1"/>
  <c r="K3804" i="1" s="1"/>
  <c r="I3796" i="1"/>
  <c r="K3796" i="1" s="1"/>
  <c r="I3788" i="1"/>
  <c r="K3788" i="1" s="1"/>
  <c r="I3780" i="1"/>
  <c r="K3780" i="1" s="1"/>
  <c r="I3772" i="1"/>
  <c r="K3772" i="1" s="1"/>
  <c r="I3764" i="1"/>
  <c r="K3764" i="1" s="1"/>
  <c r="I3756" i="1"/>
  <c r="K3756" i="1" s="1"/>
  <c r="I3748" i="1"/>
  <c r="K3748" i="1" s="1"/>
  <c r="I3740" i="1"/>
  <c r="K3740" i="1" s="1"/>
  <c r="I3732" i="1"/>
  <c r="K3732" i="1" s="1"/>
  <c r="I3724" i="1"/>
  <c r="K3724" i="1" s="1"/>
  <c r="I3716" i="1"/>
  <c r="K3716" i="1" s="1"/>
  <c r="I3708" i="1"/>
  <c r="K3708" i="1" s="1"/>
  <c r="I3700" i="1"/>
  <c r="K3700" i="1" s="1"/>
  <c r="I3692" i="1"/>
  <c r="K3692" i="1" s="1"/>
  <c r="I3684" i="1"/>
  <c r="K3684" i="1" s="1"/>
  <c r="I3676" i="1"/>
  <c r="K3676" i="1" s="1"/>
  <c r="I3668" i="1"/>
  <c r="K3668" i="1" s="1"/>
  <c r="I3660" i="1"/>
  <c r="K3660" i="1" s="1"/>
  <c r="I3652" i="1"/>
  <c r="K3652" i="1" s="1"/>
  <c r="I3644" i="1"/>
  <c r="K3644" i="1" s="1"/>
  <c r="I3636" i="1"/>
  <c r="K3636" i="1" s="1"/>
  <c r="I3628" i="1"/>
  <c r="K3628" i="1" s="1"/>
  <c r="I3620" i="1"/>
  <c r="K3620" i="1" s="1"/>
  <c r="I3612" i="1"/>
  <c r="K3612" i="1" s="1"/>
  <c r="I3604" i="1"/>
  <c r="K3604" i="1" s="1"/>
  <c r="I3596" i="1"/>
  <c r="K3596" i="1" s="1"/>
  <c r="I3588" i="1"/>
  <c r="K3588" i="1" s="1"/>
  <c r="I3580" i="1"/>
  <c r="K3580" i="1" s="1"/>
  <c r="I3572" i="1"/>
  <c r="K3572" i="1" s="1"/>
  <c r="I3564" i="1"/>
  <c r="K3564" i="1" s="1"/>
  <c r="I3556" i="1"/>
  <c r="K3556" i="1" s="1"/>
  <c r="I3548" i="1"/>
  <c r="K3548" i="1" s="1"/>
  <c r="I3540" i="1"/>
  <c r="K3540" i="1" s="1"/>
  <c r="I3532" i="1"/>
  <c r="K3532" i="1" s="1"/>
  <c r="I3524" i="1"/>
  <c r="K3524" i="1" s="1"/>
  <c r="I3516" i="1"/>
  <c r="K3516" i="1" s="1"/>
  <c r="I3506" i="1"/>
  <c r="K3506" i="1" s="1"/>
  <c r="I3493" i="1"/>
  <c r="K3493" i="1" s="1"/>
  <c r="I3470" i="1"/>
  <c r="K3470" i="1" s="1"/>
  <c r="I3459" i="1"/>
  <c r="K3459" i="1" s="1"/>
  <c r="I3447" i="1"/>
  <c r="K3447" i="1" s="1"/>
  <c r="I3424" i="1"/>
  <c r="K3424" i="1" s="1"/>
  <c r="I3412" i="1"/>
  <c r="K3412" i="1" s="1"/>
  <c r="I3401" i="1"/>
  <c r="K3401" i="1" s="1"/>
  <c r="I3374" i="1"/>
  <c r="K3374" i="1" s="1"/>
  <c r="I3362" i="1"/>
  <c r="K3362" i="1" s="1"/>
  <c r="I3347" i="1"/>
  <c r="K3347" i="1" s="1"/>
  <c r="I3331" i="1"/>
  <c r="K3331" i="1" s="1"/>
  <c r="I3315" i="1"/>
  <c r="K3315" i="1" s="1"/>
  <c r="I3299" i="1"/>
  <c r="K3299" i="1" s="1"/>
  <c r="I3283" i="1"/>
  <c r="K3283" i="1" s="1"/>
  <c r="I3266" i="1"/>
  <c r="K3266" i="1" s="1"/>
  <c r="I3245" i="1"/>
  <c r="K3245" i="1" s="1"/>
  <c r="I3228" i="1"/>
  <c r="K3228" i="1" s="1"/>
  <c r="I3210" i="1"/>
  <c r="K3210" i="1" s="1"/>
  <c r="I3188" i="1"/>
  <c r="K3188" i="1" s="1"/>
  <c r="I3165" i="1"/>
  <c r="K3165" i="1" s="1"/>
  <c r="I3146" i="1"/>
  <c r="K3146" i="1" s="1"/>
  <c r="I3124" i="1"/>
  <c r="K3124" i="1" s="1"/>
  <c r="I2992" i="1"/>
  <c r="K2992" i="1" s="1"/>
  <c r="I2939" i="1"/>
  <c r="K2939" i="1" s="1"/>
  <c r="I2869" i="1"/>
  <c r="K2869" i="1" s="1"/>
  <c r="I2691" i="1"/>
  <c r="K2691" i="1" s="1"/>
  <c r="I3505" i="1"/>
  <c r="K3505" i="1" s="1"/>
  <c r="I3482" i="1"/>
  <c r="K3482" i="1" s="1"/>
  <c r="I3469" i="1"/>
  <c r="K3469" i="1" s="1"/>
  <c r="I3446" i="1"/>
  <c r="K3446" i="1" s="1"/>
  <c r="I3435" i="1"/>
  <c r="K3435" i="1" s="1"/>
  <c r="I3423" i="1"/>
  <c r="K3423" i="1" s="1"/>
  <c r="I3400" i="1"/>
  <c r="K3400" i="1" s="1"/>
  <c r="I3388" i="1"/>
  <c r="K3388" i="1" s="1"/>
  <c r="I3373" i="1"/>
  <c r="K3373" i="1" s="1"/>
  <c r="I3361" i="1"/>
  <c r="K3361" i="1" s="1"/>
  <c r="I3265" i="1"/>
  <c r="K3265" i="1" s="1"/>
  <c r="I3209" i="1"/>
  <c r="K3209" i="1" s="1"/>
  <c r="I3187" i="1"/>
  <c r="K3187" i="1" s="1"/>
  <c r="I3145" i="1"/>
  <c r="K3145" i="1" s="1"/>
  <c r="I3123" i="1"/>
  <c r="K3123" i="1" s="1"/>
  <c r="I3092" i="1"/>
  <c r="K3092" i="1" s="1"/>
  <c r="I3060" i="1"/>
  <c r="K3060" i="1" s="1"/>
  <c r="I3028" i="1"/>
  <c r="K3028" i="1" s="1"/>
  <c r="I2991" i="1"/>
  <c r="K2991" i="1" s="1"/>
  <c r="I2938" i="1"/>
  <c r="K2938" i="1" s="1"/>
  <c r="I2868" i="1"/>
  <c r="K2868" i="1" s="1"/>
  <c r="I2789" i="1"/>
  <c r="K2789" i="1" s="1"/>
  <c r="I2690" i="1"/>
  <c r="K2690" i="1" s="1"/>
  <c r="I2565" i="1"/>
  <c r="K2565" i="1" s="1"/>
  <c r="I2027" i="1"/>
  <c r="K2027" i="1" s="1"/>
  <c r="I3859" i="1"/>
  <c r="K3859" i="1" s="1"/>
  <c r="I3851" i="1"/>
  <c r="K3851" i="1" s="1"/>
  <c r="I3843" i="1"/>
  <c r="K3843" i="1" s="1"/>
  <c r="I3835" i="1"/>
  <c r="K3835" i="1" s="1"/>
  <c r="I3827" i="1"/>
  <c r="K3827" i="1" s="1"/>
  <c r="I3819" i="1"/>
  <c r="K3819" i="1" s="1"/>
  <c r="I3811" i="1"/>
  <c r="K3811" i="1" s="1"/>
  <c r="I3803" i="1"/>
  <c r="K3803" i="1" s="1"/>
  <c r="I3795" i="1"/>
  <c r="K3795" i="1" s="1"/>
  <c r="I3787" i="1"/>
  <c r="K3787" i="1" s="1"/>
  <c r="I3779" i="1"/>
  <c r="K3779" i="1" s="1"/>
  <c r="I3771" i="1"/>
  <c r="K3771" i="1" s="1"/>
  <c r="I3763" i="1"/>
  <c r="K3763" i="1" s="1"/>
  <c r="I3755" i="1"/>
  <c r="K3755" i="1" s="1"/>
  <c r="I3747" i="1"/>
  <c r="K3747" i="1" s="1"/>
  <c r="I3739" i="1"/>
  <c r="K3739" i="1" s="1"/>
  <c r="I3731" i="1"/>
  <c r="K3731" i="1" s="1"/>
  <c r="I3723" i="1"/>
  <c r="K3723" i="1" s="1"/>
  <c r="I3715" i="1"/>
  <c r="K3715" i="1" s="1"/>
  <c r="I3707" i="1"/>
  <c r="K3707" i="1" s="1"/>
  <c r="I3699" i="1"/>
  <c r="K3699" i="1" s="1"/>
  <c r="I3691" i="1"/>
  <c r="K3691" i="1" s="1"/>
  <c r="I3683" i="1"/>
  <c r="K3683" i="1" s="1"/>
  <c r="I3675" i="1"/>
  <c r="K3675" i="1" s="1"/>
  <c r="I3667" i="1"/>
  <c r="K3667" i="1" s="1"/>
  <c r="I3659" i="1"/>
  <c r="K3659" i="1" s="1"/>
  <c r="I3651" i="1"/>
  <c r="K3651" i="1" s="1"/>
  <c r="I3643" i="1"/>
  <c r="K3643" i="1" s="1"/>
  <c r="I3635" i="1"/>
  <c r="K3635" i="1" s="1"/>
  <c r="I3627" i="1"/>
  <c r="K3627" i="1" s="1"/>
  <c r="I3619" i="1"/>
  <c r="K3619" i="1" s="1"/>
  <c r="I3611" i="1"/>
  <c r="K3611" i="1" s="1"/>
  <c r="I3603" i="1"/>
  <c r="K3603" i="1" s="1"/>
  <c r="I3595" i="1"/>
  <c r="K3595" i="1" s="1"/>
  <c r="I3587" i="1"/>
  <c r="K3587" i="1" s="1"/>
  <c r="I3579" i="1"/>
  <c r="K3579" i="1" s="1"/>
  <c r="I3571" i="1"/>
  <c r="K3571" i="1" s="1"/>
  <c r="I3563" i="1"/>
  <c r="K3563" i="1" s="1"/>
  <c r="I3555" i="1"/>
  <c r="K3555" i="1" s="1"/>
  <c r="I3547" i="1"/>
  <c r="K3547" i="1" s="1"/>
  <c r="I3539" i="1"/>
  <c r="K3539" i="1" s="1"/>
  <c r="I3531" i="1"/>
  <c r="K3531" i="1" s="1"/>
  <c r="I3523" i="1"/>
  <c r="K3523" i="1" s="1"/>
  <c r="I3515" i="1"/>
  <c r="K3515" i="1" s="1"/>
  <c r="I3504" i="1"/>
  <c r="K3504" i="1" s="1"/>
  <c r="I3492" i="1"/>
  <c r="K3492" i="1" s="1"/>
  <c r="I3481" i="1"/>
  <c r="K3481" i="1" s="1"/>
  <c r="I3458" i="1"/>
  <c r="K3458" i="1" s="1"/>
  <c r="I3445" i="1"/>
  <c r="K3445" i="1" s="1"/>
  <c r="I3422" i="1"/>
  <c r="K3422" i="1" s="1"/>
  <c r="I3411" i="1"/>
  <c r="K3411" i="1" s="1"/>
  <c r="I3399" i="1"/>
  <c r="K3399" i="1" s="1"/>
  <c r="I3358" i="1"/>
  <c r="K3358" i="1" s="1"/>
  <c r="I3346" i="1"/>
  <c r="K3346" i="1" s="1"/>
  <c r="I3330" i="1"/>
  <c r="K3330" i="1" s="1"/>
  <c r="I3314" i="1"/>
  <c r="K3314" i="1" s="1"/>
  <c r="I3298" i="1"/>
  <c r="K3298" i="1" s="1"/>
  <c r="I3282" i="1"/>
  <c r="K3282" i="1" s="1"/>
  <c r="I3261" i="1"/>
  <c r="K3261" i="1" s="1"/>
  <c r="I3244" i="1"/>
  <c r="K3244" i="1" s="1"/>
  <c r="I3227" i="1"/>
  <c r="K3227" i="1" s="1"/>
  <c r="I3205" i="1"/>
  <c r="K3205" i="1" s="1"/>
  <c r="I3186" i="1"/>
  <c r="K3186" i="1" s="1"/>
  <c r="I3164" i="1"/>
  <c r="K3164" i="1" s="1"/>
  <c r="I3141" i="1"/>
  <c r="K3141" i="1" s="1"/>
  <c r="I3122" i="1"/>
  <c r="K3122" i="1" s="1"/>
  <c r="I3090" i="1"/>
  <c r="K3090" i="1" s="1"/>
  <c r="I3058" i="1"/>
  <c r="K3058" i="1" s="1"/>
  <c r="I3026" i="1"/>
  <c r="K3026" i="1" s="1"/>
  <c r="I2934" i="1"/>
  <c r="K2934" i="1" s="1"/>
  <c r="I2862" i="1"/>
  <c r="K2862" i="1" s="1"/>
  <c r="I2782" i="1"/>
  <c r="K2782" i="1" s="1"/>
  <c r="I2683" i="1"/>
  <c r="K2683" i="1" s="1"/>
  <c r="I2534" i="1"/>
  <c r="K2534" i="1" s="1"/>
  <c r="I1974" i="1"/>
  <c r="K1974" i="1" s="1"/>
  <c r="I3503" i="1"/>
  <c r="K3503" i="1" s="1"/>
  <c r="I3480" i="1"/>
  <c r="K3480" i="1" s="1"/>
  <c r="I3468" i="1"/>
  <c r="K3468" i="1" s="1"/>
  <c r="I3457" i="1"/>
  <c r="K3457" i="1" s="1"/>
  <c r="I3434" i="1"/>
  <c r="K3434" i="1" s="1"/>
  <c r="I3421" i="1"/>
  <c r="K3421" i="1" s="1"/>
  <c r="I3398" i="1"/>
  <c r="K3398" i="1" s="1"/>
  <c r="I3387" i="1"/>
  <c r="K3387" i="1" s="1"/>
  <c r="I3372" i="1"/>
  <c r="K3372" i="1" s="1"/>
  <c r="I3357" i="1"/>
  <c r="K3357" i="1" s="1"/>
  <c r="I3345" i="1"/>
  <c r="K3345" i="1" s="1"/>
  <c r="I3329" i="1"/>
  <c r="K3329" i="1" s="1"/>
  <c r="I3313" i="1"/>
  <c r="K3313" i="1" s="1"/>
  <c r="I3297" i="1"/>
  <c r="K3297" i="1" s="1"/>
  <c r="I3281" i="1"/>
  <c r="K3281" i="1" s="1"/>
  <c r="I3226" i="1"/>
  <c r="K3226" i="1" s="1"/>
  <c r="I3185" i="1"/>
  <c r="K3185" i="1" s="1"/>
  <c r="I3163" i="1"/>
  <c r="K3163" i="1" s="1"/>
  <c r="I3117" i="1"/>
  <c r="K3117" i="1" s="1"/>
  <c r="I3085" i="1"/>
  <c r="K3085" i="1" s="1"/>
  <c r="I3053" i="1"/>
  <c r="K3053" i="1" s="1"/>
  <c r="I3021" i="1"/>
  <c r="K3021" i="1" s="1"/>
  <c r="I2925" i="1"/>
  <c r="K2925" i="1" s="1"/>
  <c r="I2852" i="1"/>
  <c r="K2852" i="1" s="1"/>
  <c r="I2770" i="1"/>
  <c r="K2770" i="1" s="1"/>
  <c r="I2662" i="1"/>
  <c r="K2662" i="1" s="1"/>
  <c r="I1973" i="1"/>
  <c r="K1973" i="1" s="1"/>
  <c r="I2990" i="1"/>
  <c r="K2990" i="1" s="1"/>
  <c r="I2978" i="1"/>
  <c r="K2978" i="1" s="1"/>
  <c r="I2965" i="1"/>
  <c r="K2965" i="1" s="1"/>
  <c r="I2951" i="1"/>
  <c r="K2951" i="1" s="1"/>
  <c r="I2937" i="1"/>
  <c r="K2937" i="1" s="1"/>
  <c r="I2922" i="1"/>
  <c r="K2922" i="1" s="1"/>
  <c r="I2902" i="1"/>
  <c r="K2902" i="1" s="1"/>
  <c r="I2885" i="1"/>
  <c r="K2885" i="1" s="1"/>
  <c r="I2867" i="1"/>
  <c r="K2867" i="1" s="1"/>
  <c r="I2847" i="1"/>
  <c r="K2847" i="1" s="1"/>
  <c r="I2810" i="1"/>
  <c r="K2810" i="1" s="1"/>
  <c r="I2788" i="1"/>
  <c r="K2788" i="1" s="1"/>
  <c r="I2765" i="1"/>
  <c r="K2765" i="1" s="1"/>
  <c r="I2739" i="1"/>
  <c r="K2739" i="1" s="1"/>
  <c r="I2714" i="1"/>
  <c r="K2714" i="1" s="1"/>
  <c r="I2686" i="1"/>
  <c r="K2686" i="1" s="1"/>
  <c r="I2659" i="1"/>
  <c r="K2659" i="1" s="1"/>
  <c r="I2627" i="1"/>
  <c r="K2627" i="1" s="1"/>
  <c r="I2595" i="1"/>
  <c r="K2595" i="1" s="1"/>
  <c r="I2563" i="1"/>
  <c r="K2563" i="1" s="1"/>
  <c r="I2531" i="1"/>
  <c r="K2531" i="1" s="1"/>
  <c r="I2479" i="1"/>
  <c r="K2479" i="1" s="1"/>
  <c r="I2400" i="1"/>
  <c r="K2400" i="1" s="1"/>
  <c r="I2199" i="1"/>
  <c r="K2199" i="1" s="1"/>
  <c r="I1964" i="1"/>
  <c r="K1964" i="1" s="1"/>
  <c r="I3115" i="1"/>
  <c r="K3115" i="1" s="1"/>
  <c r="I3107" i="1"/>
  <c r="K3107" i="1" s="1"/>
  <c r="I3099" i="1"/>
  <c r="K3099" i="1" s="1"/>
  <c r="I3091" i="1"/>
  <c r="K3091" i="1" s="1"/>
  <c r="I3083" i="1"/>
  <c r="K3083" i="1" s="1"/>
  <c r="I3075" i="1"/>
  <c r="K3075" i="1" s="1"/>
  <c r="I3067" i="1"/>
  <c r="K3067" i="1" s="1"/>
  <c r="I3059" i="1"/>
  <c r="K3059" i="1" s="1"/>
  <c r="I3051" i="1"/>
  <c r="K3051" i="1" s="1"/>
  <c r="I3043" i="1"/>
  <c r="K3043" i="1" s="1"/>
  <c r="I3035" i="1"/>
  <c r="K3035" i="1" s="1"/>
  <c r="I3027" i="1"/>
  <c r="K3027" i="1" s="1"/>
  <c r="I3019" i="1"/>
  <c r="K3019" i="1" s="1"/>
  <c r="I3011" i="1"/>
  <c r="K3011" i="1" s="1"/>
  <c r="I3003" i="1"/>
  <c r="K3003" i="1" s="1"/>
  <c r="I2977" i="1"/>
  <c r="K2977" i="1" s="1"/>
  <c r="I2950" i="1"/>
  <c r="K2950" i="1" s="1"/>
  <c r="I2936" i="1"/>
  <c r="K2936" i="1" s="1"/>
  <c r="I2919" i="1"/>
  <c r="K2919" i="1" s="1"/>
  <c r="I2884" i="1"/>
  <c r="K2884" i="1" s="1"/>
  <c r="I2866" i="1"/>
  <c r="K2866" i="1" s="1"/>
  <c r="I2846" i="1"/>
  <c r="K2846" i="1" s="1"/>
  <c r="I2829" i="1"/>
  <c r="K2829" i="1" s="1"/>
  <c r="I2806" i="1"/>
  <c r="K2806" i="1" s="1"/>
  <c r="I2787" i="1"/>
  <c r="K2787" i="1" s="1"/>
  <c r="I2763" i="1"/>
  <c r="K2763" i="1" s="1"/>
  <c r="I2738" i="1"/>
  <c r="K2738" i="1" s="1"/>
  <c r="I2710" i="1"/>
  <c r="K2710" i="1" s="1"/>
  <c r="I2654" i="1"/>
  <c r="K2654" i="1" s="1"/>
  <c r="I2622" i="1"/>
  <c r="K2622" i="1" s="1"/>
  <c r="I2590" i="1"/>
  <c r="K2590" i="1" s="1"/>
  <c r="I2558" i="1"/>
  <c r="K2558" i="1" s="1"/>
  <c r="I2526" i="1"/>
  <c r="K2526" i="1" s="1"/>
  <c r="I2476" i="1"/>
  <c r="K2476" i="1" s="1"/>
  <c r="I2385" i="1"/>
  <c r="K2385" i="1" s="1"/>
  <c r="I2296" i="1"/>
  <c r="K2296" i="1" s="1"/>
  <c r="I2195" i="1"/>
  <c r="K2195" i="1" s="1"/>
  <c r="I3002" i="1"/>
  <c r="K3002" i="1" s="1"/>
  <c r="I2989" i="1"/>
  <c r="K2989" i="1" s="1"/>
  <c r="I2976" i="1"/>
  <c r="K2976" i="1" s="1"/>
  <c r="I2964" i="1"/>
  <c r="K2964" i="1" s="1"/>
  <c r="I2935" i="1"/>
  <c r="K2935" i="1" s="1"/>
  <c r="I2918" i="1"/>
  <c r="K2918" i="1" s="1"/>
  <c r="I2901" i="1"/>
  <c r="K2901" i="1" s="1"/>
  <c r="I2883" i="1"/>
  <c r="K2883" i="1" s="1"/>
  <c r="I2863" i="1"/>
  <c r="K2863" i="1" s="1"/>
  <c r="I2828" i="1"/>
  <c r="K2828" i="1" s="1"/>
  <c r="I2786" i="1"/>
  <c r="K2786" i="1" s="1"/>
  <c r="I2762" i="1"/>
  <c r="K2762" i="1" s="1"/>
  <c r="I2734" i="1"/>
  <c r="K2734" i="1" s="1"/>
  <c r="I2685" i="1"/>
  <c r="K2685" i="1" s="1"/>
  <c r="I2525" i="1"/>
  <c r="K2525" i="1" s="1"/>
  <c r="I2465" i="1"/>
  <c r="K2465" i="1" s="1"/>
  <c r="I2295" i="1"/>
  <c r="K2295" i="1" s="1"/>
  <c r="I2170" i="1"/>
  <c r="K2170" i="1" s="1"/>
  <c r="I2557" i="1"/>
  <c r="K2557" i="1" s="1"/>
  <c r="I2524" i="1"/>
  <c r="K2524" i="1" s="1"/>
  <c r="I2384" i="1"/>
  <c r="K2384" i="1" s="1"/>
  <c r="I2279" i="1"/>
  <c r="K2279" i="1" s="1"/>
  <c r="I1899" i="1"/>
  <c r="K1899" i="1" s="1"/>
  <c r="I3000" i="1"/>
  <c r="K3000" i="1" s="1"/>
  <c r="I2988" i="1"/>
  <c r="K2988" i="1" s="1"/>
  <c r="I2974" i="1"/>
  <c r="K2974" i="1" s="1"/>
  <c r="I2962" i="1"/>
  <c r="K2962" i="1" s="1"/>
  <c r="I2948" i="1"/>
  <c r="K2948" i="1" s="1"/>
  <c r="I2917" i="1"/>
  <c r="K2917" i="1" s="1"/>
  <c r="I2899" i="1"/>
  <c r="K2899" i="1" s="1"/>
  <c r="I2879" i="1"/>
  <c r="K2879" i="1" s="1"/>
  <c r="I2844" i="1"/>
  <c r="K2844" i="1" s="1"/>
  <c r="I2826" i="1"/>
  <c r="K2826" i="1" s="1"/>
  <c r="I2804" i="1"/>
  <c r="K2804" i="1" s="1"/>
  <c r="I2733" i="1"/>
  <c r="K2733" i="1" s="1"/>
  <c r="I2707" i="1"/>
  <c r="K2707" i="1" s="1"/>
  <c r="I2682" i="1"/>
  <c r="K2682" i="1" s="1"/>
  <c r="I2651" i="1"/>
  <c r="K2651" i="1" s="1"/>
  <c r="I2619" i="1"/>
  <c r="K2619" i="1" s="1"/>
  <c r="I2587" i="1"/>
  <c r="K2587" i="1" s="1"/>
  <c r="I2555" i="1"/>
  <c r="K2555" i="1" s="1"/>
  <c r="I2464" i="1"/>
  <c r="K2464" i="1" s="1"/>
  <c r="I2369" i="1"/>
  <c r="K2369" i="1" s="1"/>
  <c r="I2275" i="1"/>
  <c r="K2275" i="1" s="1"/>
  <c r="I2163" i="1"/>
  <c r="K2163" i="1" s="1"/>
  <c r="I1821" i="1"/>
  <c r="K1821" i="1" s="1"/>
  <c r="I3121" i="1"/>
  <c r="K3121" i="1" s="1"/>
  <c r="I3113" i="1"/>
  <c r="K3113" i="1" s="1"/>
  <c r="I3105" i="1"/>
  <c r="K3105" i="1" s="1"/>
  <c r="I3097" i="1"/>
  <c r="K3097" i="1" s="1"/>
  <c r="I3089" i="1"/>
  <c r="K3089" i="1" s="1"/>
  <c r="I3081" i="1"/>
  <c r="K3081" i="1" s="1"/>
  <c r="I3073" i="1"/>
  <c r="K3073" i="1" s="1"/>
  <c r="I3065" i="1"/>
  <c r="K3065" i="1" s="1"/>
  <c r="I3057" i="1"/>
  <c r="K3057" i="1" s="1"/>
  <c r="I3049" i="1"/>
  <c r="K3049" i="1" s="1"/>
  <c r="I3041" i="1"/>
  <c r="K3041" i="1" s="1"/>
  <c r="I3033" i="1"/>
  <c r="K3033" i="1" s="1"/>
  <c r="I3025" i="1"/>
  <c r="K3025" i="1" s="1"/>
  <c r="I3017" i="1"/>
  <c r="K3017" i="1" s="1"/>
  <c r="I3009" i="1"/>
  <c r="K3009" i="1" s="1"/>
  <c r="I2999" i="1"/>
  <c r="K2999" i="1" s="1"/>
  <c r="I2987" i="1"/>
  <c r="K2987" i="1" s="1"/>
  <c r="I2961" i="1"/>
  <c r="K2961" i="1" s="1"/>
  <c r="I2947" i="1"/>
  <c r="K2947" i="1" s="1"/>
  <c r="I2933" i="1"/>
  <c r="K2933" i="1" s="1"/>
  <c r="I2916" i="1"/>
  <c r="K2916" i="1" s="1"/>
  <c r="I2898" i="1"/>
  <c r="K2898" i="1" s="1"/>
  <c r="I2878" i="1"/>
  <c r="K2878" i="1" s="1"/>
  <c r="I2861" i="1"/>
  <c r="K2861" i="1" s="1"/>
  <c r="I2843" i="1"/>
  <c r="K2843" i="1" s="1"/>
  <c r="I2822" i="1"/>
  <c r="K2822" i="1" s="1"/>
  <c r="I2803" i="1"/>
  <c r="K2803" i="1" s="1"/>
  <c r="I2781" i="1"/>
  <c r="K2781" i="1" s="1"/>
  <c r="I2757" i="1"/>
  <c r="K2757" i="1" s="1"/>
  <c r="I2731" i="1"/>
  <c r="K2731" i="1" s="1"/>
  <c r="I2706" i="1"/>
  <c r="K2706" i="1" s="1"/>
  <c r="I2678" i="1"/>
  <c r="K2678" i="1" s="1"/>
  <c r="I2646" i="1"/>
  <c r="K2646" i="1" s="1"/>
  <c r="I2614" i="1"/>
  <c r="K2614" i="1" s="1"/>
  <c r="I2582" i="1"/>
  <c r="K2582" i="1" s="1"/>
  <c r="I2550" i="1"/>
  <c r="K2550" i="1" s="1"/>
  <c r="I2514" i="1"/>
  <c r="K2514" i="1" s="1"/>
  <c r="I2449" i="1"/>
  <c r="K2449" i="1" s="1"/>
  <c r="I2998" i="1"/>
  <c r="K2998" i="1" s="1"/>
  <c r="I2986" i="1"/>
  <c r="K2986" i="1" s="1"/>
  <c r="I2973" i="1"/>
  <c r="K2973" i="1" s="1"/>
  <c r="I2960" i="1"/>
  <c r="K2960" i="1" s="1"/>
  <c r="I2946" i="1"/>
  <c r="K2946" i="1" s="1"/>
  <c r="I2932" i="1"/>
  <c r="K2932" i="1" s="1"/>
  <c r="I2915" i="1"/>
  <c r="K2915" i="1" s="1"/>
  <c r="I2895" i="1"/>
  <c r="K2895" i="1" s="1"/>
  <c r="I2860" i="1"/>
  <c r="K2860" i="1" s="1"/>
  <c r="I2842" i="1"/>
  <c r="K2842" i="1" s="1"/>
  <c r="I2802" i="1"/>
  <c r="K2802" i="1" s="1"/>
  <c r="I2780" i="1"/>
  <c r="K2780" i="1" s="1"/>
  <c r="I2755" i="1"/>
  <c r="K2755" i="1" s="1"/>
  <c r="I2730" i="1"/>
  <c r="K2730" i="1" s="1"/>
  <c r="I2702" i="1"/>
  <c r="K2702" i="1" s="1"/>
  <c r="I2368" i="1"/>
  <c r="K2368" i="1" s="1"/>
  <c r="I2130" i="1"/>
  <c r="K2130" i="1" s="1"/>
  <c r="I3384" i="1"/>
  <c r="K3384" i="1" s="1"/>
  <c r="I3376" i="1"/>
  <c r="K3376" i="1" s="1"/>
  <c r="I3368" i="1"/>
  <c r="K3368" i="1" s="1"/>
  <c r="I3360" i="1"/>
  <c r="K3360" i="1" s="1"/>
  <c r="I3352" i="1"/>
  <c r="K3352" i="1" s="1"/>
  <c r="I3344" i="1"/>
  <c r="K3344" i="1" s="1"/>
  <c r="I3336" i="1"/>
  <c r="K3336" i="1" s="1"/>
  <c r="I3328" i="1"/>
  <c r="K3328" i="1" s="1"/>
  <c r="I3320" i="1"/>
  <c r="K3320" i="1" s="1"/>
  <c r="I3312" i="1"/>
  <c r="K3312" i="1" s="1"/>
  <c r="I3304" i="1"/>
  <c r="K3304" i="1" s="1"/>
  <c r="I3296" i="1"/>
  <c r="K3296" i="1" s="1"/>
  <c r="I3288" i="1"/>
  <c r="K3288" i="1" s="1"/>
  <c r="I3280" i="1"/>
  <c r="K3280" i="1" s="1"/>
  <c r="I3272" i="1"/>
  <c r="K3272" i="1" s="1"/>
  <c r="I3264" i="1"/>
  <c r="K3264" i="1" s="1"/>
  <c r="I3256" i="1"/>
  <c r="K3256" i="1" s="1"/>
  <c r="I3248" i="1"/>
  <c r="K3248" i="1" s="1"/>
  <c r="I3240" i="1"/>
  <c r="K3240" i="1" s="1"/>
  <c r="I3232" i="1"/>
  <c r="K3232" i="1" s="1"/>
  <c r="I3224" i="1"/>
  <c r="K3224" i="1" s="1"/>
  <c r="I3216" i="1"/>
  <c r="K3216" i="1" s="1"/>
  <c r="I3208" i="1"/>
  <c r="K3208" i="1" s="1"/>
  <c r="I3200" i="1"/>
  <c r="K3200" i="1" s="1"/>
  <c r="I3192" i="1"/>
  <c r="K3192" i="1" s="1"/>
  <c r="I3184" i="1"/>
  <c r="K3184" i="1" s="1"/>
  <c r="I3176" i="1"/>
  <c r="K3176" i="1" s="1"/>
  <c r="I3168" i="1"/>
  <c r="K3168" i="1" s="1"/>
  <c r="I3160" i="1"/>
  <c r="K3160" i="1" s="1"/>
  <c r="I3152" i="1"/>
  <c r="K3152" i="1" s="1"/>
  <c r="I3144" i="1"/>
  <c r="K3144" i="1" s="1"/>
  <c r="I3136" i="1"/>
  <c r="K3136" i="1" s="1"/>
  <c r="I3128" i="1"/>
  <c r="K3128" i="1" s="1"/>
  <c r="I3120" i="1"/>
  <c r="K3120" i="1" s="1"/>
  <c r="I3112" i="1"/>
  <c r="K3112" i="1" s="1"/>
  <c r="I3104" i="1"/>
  <c r="K3104" i="1" s="1"/>
  <c r="I3096" i="1"/>
  <c r="K3096" i="1" s="1"/>
  <c r="I3088" i="1"/>
  <c r="K3088" i="1" s="1"/>
  <c r="I3080" i="1"/>
  <c r="K3080" i="1" s="1"/>
  <c r="I3072" i="1"/>
  <c r="K3072" i="1" s="1"/>
  <c r="I3064" i="1"/>
  <c r="K3064" i="1" s="1"/>
  <c r="I3056" i="1"/>
  <c r="K3056" i="1" s="1"/>
  <c r="I3048" i="1"/>
  <c r="K3048" i="1" s="1"/>
  <c r="I3040" i="1"/>
  <c r="K3040" i="1" s="1"/>
  <c r="I3032" i="1"/>
  <c r="K3032" i="1" s="1"/>
  <c r="I3024" i="1"/>
  <c r="K3024" i="1" s="1"/>
  <c r="I3016" i="1"/>
  <c r="K3016" i="1" s="1"/>
  <c r="I3008" i="1"/>
  <c r="K3008" i="1" s="1"/>
  <c r="I2985" i="1"/>
  <c r="K2985" i="1" s="1"/>
  <c r="I2959" i="1"/>
  <c r="K2959" i="1" s="1"/>
  <c r="I2945" i="1"/>
  <c r="K2945" i="1" s="1"/>
  <c r="I2931" i="1"/>
  <c r="K2931" i="1" s="1"/>
  <c r="I2914" i="1"/>
  <c r="K2914" i="1" s="1"/>
  <c r="I2894" i="1"/>
  <c r="K2894" i="1" s="1"/>
  <c r="I2877" i="1"/>
  <c r="K2877" i="1" s="1"/>
  <c r="I2859" i="1"/>
  <c r="K2859" i="1" s="1"/>
  <c r="I2839" i="1"/>
  <c r="K2839" i="1" s="1"/>
  <c r="I2821" i="1"/>
  <c r="K2821" i="1" s="1"/>
  <c r="I2798" i="1"/>
  <c r="K2798" i="1" s="1"/>
  <c r="I2779" i="1"/>
  <c r="K2779" i="1" s="1"/>
  <c r="I2754" i="1"/>
  <c r="K2754" i="1" s="1"/>
  <c r="I2726" i="1"/>
  <c r="K2726" i="1" s="1"/>
  <c r="I2677" i="1"/>
  <c r="K2677" i="1" s="1"/>
  <c r="I2645" i="1"/>
  <c r="K2645" i="1" s="1"/>
  <c r="I2613" i="1"/>
  <c r="K2613" i="1" s="1"/>
  <c r="I2549" i="1"/>
  <c r="K2549" i="1" s="1"/>
  <c r="I2513" i="1"/>
  <c r="K2513" i="1" s="1"/>
  <c r="I2448" i="1"/>
  <c r="K2448" i="1" s="1"/>
  <c r="I2352" i="1"/>
  <c r="K2352" i="1" s="1"/>
  <c r="I2258" i="1"/>
  <c r="K2258" i="1" s="1"/>
  <c r="I2123" i="1"/>
  <c r="K2123" i="1" s="1"/>
  <c r="I1726" i="1"/>
  <c r="K1726" i="1" s="1"/>
  <c r="I2997" i="1"/>
  <c r="K2997" i="1" s="1"/>
  <c r="I2984" i="1"/>
  <c r="K2984" i="1" s="1"/>
  <c r="I2972" i="1"/>
  <c r="K2972" i="1" s="1"/>
  <c r="I2958" i="1"/>
  <c r="K2958" i="1" s="1"/>
  <c r="I2944" i="1"/>
  <c r="K2944" i="1" s="1"/>
  <c r="I2930" i="1"/>
  <c r="K2930" i="1" s="1"/>
  <c r="I2911" i="1"/>
  <c r="K2911" i="1" s="1"/>
  <c r="I2876" i="1"/>
  <c r="K2876" i="1" s="1"/>
  <c r="I2858" i="1"/>
  <c r="K2858" i="1" s="1"/>
  <c r="I2838" i="1"/>
  <c r="K2838" i="1" s="1"/>
  <c r="I2820" i="1"/>
  <c r="K2820" i="1" s="1"/>
  <c r="I2778" i="1"/>
  <c r="K2778" i="1" s="1"/>
  <c r="I2750" i="1"/>
  <c r="K2750" i="1" s="1"/>
  <c r="I2701" i="1"/>
  <c r="K2701" i="1" s="1"/>
  <c r="I2675" i="1"/>
  <c r="K2675" i="1" s="1"/>
  <c r="I2643" i="1"/>
  <c r="K2643" i="1" s="1"/>
  <c r="I2611" i="1"/>
  <c r="K2611" i="1" s="1"/>
  <c r="I2579" i="1"/>
  <c r="K2579" i="1" s="1"/>
  <c r="I2547" i="1"/>
  <c r="K2547" i="1" s="1"/>
  <c r="I2510" i="1"/>
  <c r="K2510" i="1" s="1"/>
  <c r="I2433" i="1"/>
  <c r="K2433" i="1" s="1"/>
  <c r="I2351" i="1"/>
  <c r="K2351" i="1" s="1"/>
  <c r="I2257" i="1"/>
  <c r="K2257" i="1" s="1"/>
  <c r="I3383" i="1"/>
  <c r="K3383" i="1" s="1"/>
  <c r="I3375" i="1"/>
  <c r="K3375" i="1" s="1"/>
  <c r="I3367" i="1"/>
  <c r="K3367" i="1" s="1"/>
  <c r="I3359" i="1"/>
  <c r="K3359" i="1" s="1"/>
  <c r="I3351" i="1"/>
  <c r="K3351" i="1" s="1"/>
  <c r="I3343" i="1"/>
  <c r="K3343" i="1" s="1"/>
  <c r="I3335" i="1"/>
  <c r="K3335" i="1" s="1"/>
  <c r="I3327" i="1"/>
  <c r="K3327" i="1" s="1"/>
  <c r="I3319" i="1"/>
  <c r="K3319" i="1" s="1"/>
  <c r="I3311" i="1"/>
  <c r="K3311" i="1" s="1"/>
  <c r="I3303" i="1"/>
  <c r="K3303" i="1" s="1"/>
  <c r="I3295" i="1"/>
  <c r="K3295" i="1" s="1"/>
  <c r="I3287" i="1"/>
  <c r="K3287" i="1" s="1"/>
  <c r="I3279" i="1"/>
  <c r="K3279" i="1" s="1"/>
  <c r="I3271" i="1"/>
  <c r="K3271" i="1" s="1"/>
  <c r="I3263" i="1"/>
  <c r="K3263" i="1" s="1"/>
  <c r="I3255" i="1"/>
  <c r="K3255" i="1" s="1"/>
  <c r="I3247" i="1"/>
  <c r="K3247" i="1" s="1"/>
  <c r="I3239" i="1"/>
  <c r="K3239" i="1" s="1"/>
  <c r="I3231" i="1"/>
  <c r="K3231" i="1" s="1"/>
  <c r="I3223" i="1"/>
  <c r="K3223" i="1" s="1"/>
  <c r="I3215" i="1"/>
  <c r="K3215" i="1" s="1"/>
  <c r="I3207" i="1"/>
  <c r="K3207" i="1" s="1"/>
  <c r="I3199" i="1"/>
  <c r="K3199" i="1" s="1"/>
  <c r="I3191" i="1"/>
  <c r="K3191" i="1" s="1"/>
  <c r="I3183" i="1"/>
  <c r="K3183" i="1" s="1"/>
  <c r="I3175" i="1"/>
  <c r="K3175" i="1" s="1"/>
  <c r="I3167" i="1"/>
  <c r="K3167" i="1" s="1"/>
  <c r="I3159" i="1"/>
  <c r="K3159" i="1" s="1"/>
  <c r="I3151" i="1"/>
  <c r="K3151" i="1" s="1"/>
  <c r="I3143" i="1"/>
  <c r="K3143" i="1" s="1"/>
  <c r="I3135" i="1"/>
  <c r="K3135" i="1" s="1"/>
  <c r="I3127" i="1"/>
  <c r="K3127" i="1" s="1"/>
  <c r="I3119" i="1"/>
  <c r="K3119" i="1" s="1"/>
  <c r="I3111" i="1"/>
  <c r="K3111" i="1" s="1"/>
  <c r="I3103" i="1"/>
  <c r="K3103" i="1" s="1"/>
  <c r="I3095" i="1"/>
  <c r="K3095" i="1" s="1"/>
  <c r="I3087" i="1"/>
  <c r="K3087" i="1" s="1"/>
  <c r="I3079" i="1"/>
  <c r="K3079" i="1" s="1"/>
  <c r="I3071" i="1"/>
  <c r="K3071" i="1" s="1"/>
  <c r="I3063" i="1"/>
  <c r="K3063" i="1" s="1"/>
  <c r="I3055" i="1"/>
  <c r="K3055" i="1" s="1"/>
  <c r="I3047" i="1"/>
  <c r="K3047" i="1" s="1"/>
  <c r="I3039" i="1"/>
  <c r="K3039" i="1" s="1"/>
  <c r="I3031" i="1"/>
  <c r="K3031" i="1" s="1"/>
  <c r="I3023" i="1"/>
  <c r="K3023" i="1" s="1"/>
  <c r="I3015" i="1"/>
  <c r="K3015" i="1" s="1"/>
  <c r="I3007" i="1"/>
  <c r="K3007" i="1" s="1"/>
  <c r="I2983" i="1"/>
  <c r="K2983" i="1" s="1"/>
  <c r="I2971" i="1"/>
  <c r="K2971" i="1" s="1"/>
  <c r="I2943" i="1"/>
  <c r="K2943" i="1" s="1"/>
  <c r="I2929" i="1"/>
  <c r="K2929" i="1" s="1"/>
  <c r="I2910" i="1"/>
  <c r="K2910" i="1" s="1"/>
  <c r="I2893" i="1"/>
  <c r="K2893" i="1" s="1"/>
  <c r="I2875" i="1"/>
  <c r="K2875" i="1" s="1"/>
  <c r="I2855" i="1"/>
  <c r="K2855" i="1" s="1"/>
  <c r="I2819" i="1"/>
  <c r="K2819" i="1" s="1"/>
  <c r="I2797" i="1"/>
  <c r="K2797" i="1" s="1"/>
  <c r="I2774" i="1"/>
  <c r="K2774" i="1" s="1"/>
  <c r="I2725" i="1"/>
  <c r="K2725" i="1" s="1"/>
  <c r="I2699" i="1"/>
  <c r="K2699" i="1" s="1"/>
  <c r="I2670" i="1"/>
  <c r="K2670" i="1" s="1"/>
  <c r="I2638" i="1"/>
  <c r="K2638" i="1" s="1"/>
  <c r="I2606" i="1"/>
  <c r="K2606" i="1" s="1"/>
  <c r="I2574" i="1"/>
  <c r="K2574" i="1" s="1"/>
  <c r="I2542" i="1"/>
  <c r="K2542" i="1" s="1"/>
  <c r="I2503" i="1"/>
  <c r="K2503" i="1" s="1"/>
  <c r="I2347" i="1"/>
  <c r="K2347" i="1" s="1"/>
  <c r="I2241" i="1"/>
  <c r="K2241" i="1" s="1"/>
  <c r="I2079" i="1"/>
  <c r="K2079" i="1" s="1"/>
  <c r="I1704" i="1"/>
  <c r="K1704" i="1" s="1"/>
  <c r="I2996" i="1"/>
  <c r="K2996" i="1" s="1"/>
  <c r="I2982" i="1"/>
  <c r="K2982" i="1" s="1"/>
  <c r="I2970" i="1"/>
  <c r="K2970" i="1" s="1"/>
  <c r="I2957" i="1"/>
  <c r="K2957" i="1" s="1"/>
  <c r="I2942" i="1"/>
  <c r="K2942" i="1" s="1"/>
  <c r="I2927" i="1"/>
  <c r="K2927" i="1" s="1"/>
  <c r="I2892" i="1"/>
  <c r="K2892" i="1" s="1"/>
  <c r="I2874" i="1"/>
  <c r="K2874" i="1" s="1"/>
  <c r="I2854" i="1"/>
  <c r="K2854" i="1" s="1"/>
  <c r="I2837" i="1"/>
  <c r="K2837" i="1" s="1"/>
  <c r="I2818" i="1"/>
  <c r="K2818" i="1" s="1"/>
  <c r="I2796" i="1"/>
  <c r="K2796" i="1" s="1"/>
  <c r="I2749" i="1"/>
  <c r="K2749" i="1" s="1"/>
  <c r="I2723" i="1"/>
  <c r="K2723" i="1" s="1"/>
  <c r="I2698" i="1"/>
  <c r="K2698" i="1" s="1"/>
  <c r="I2502" i="1"/>
  <c r="K2502" i="1" s="1"/>
  <c r="I2432" i="1"/>
  <c r="K2432" i="1" s="1"/>
  <c r="I2331" i="1"/>
  <c r="K2331" i="1" s="1"/>
  <c r="I3342" i="1"/>
  <c r="K3342" i="1" s="1"/>
  <c r="I3334" i="1"/>
  <c r="K3334" i="1" s="1"/>
  <c r="I3326" i="1"/>
  <c r="K3326" i="1" s="1"/>
  <c r="I3318" i="1"/>
  <c r="K3318" i="1" s="1"/>
  <c r="I3310" i="1"/>
  <c r="K3310" i="1" s="1"/>
  <c r="I3302" i="1"/>
  <c r="K3302" i="1" s="1"/>
  <c r="I3294" i="1"/>
  <c r="K3294" i="1" s="1"/>
  <c r="I3286" i="1"/>
  <c r="K3286" i="1" s="1"/>
  <c r="I3278" i="1"/>
  <c r="K3278" i="1" s="1"/>
  <c r="I3270" i="1"/>
  <c r="K3270" i="1" s="1"/>
  <c r="I3262" i="1"/>
  <c r="K3262" i="1" s="1"/>
  <c r="I3254" i="1"/>
  <c r="K3254" i="1" s="1"/>
  <c r="I3246" i="1"/>
  <c r="K3246" i="1" s="1"/>
  <c r="I3238" i="1"/>
  <c r="K3238" i="1" s="1"/>
  <c r="I3230" i="1"/>
  <c r="K3230" i="1" s="1"/>
  <c r="I3222" i="1"/>
  <c r="K3222" i="1" s="1"/>
  <c r="I3214" i="1"/>
  <c r="K3214" i="1" s="1"/>
  <c r="I3206" i="1"/>
  <c r="K3206" i="1" s="1"/>
  <c r="I3198" i="1"/>
  <c r="K3198" i="1" s="1"/>
  <c r="I3190" i="1"/>
  <c r="K3190" i="1" s="1"/>
  <c r="I3182" i="1"/>
  <c r="K3182" i="1" s="1"/>
  <c r="I3174" i="1"/>
  <c r="K3174" i="1" s="1"/>
  <c r="I3166" i="1"/>
  <c r="K3166" i="1" s="1"/>
  <c r="I3158" i="1"/>
  <c r="K3158" i="1" s="1"/>
  <c r="I3150" i="1"/>
  <c r="K3150" i="1" s="1"/>
  <c r="I3142" i="1"/>
  <c r="K3142" i="1" s="1"/>
  <c r="I3134" i="1"/>
  <c r="K3134" i="1" s="1"/>
  <c r="I3126" i="1"/>
  <c r="K3126" i="1" s="1"/>
  <c r="I3118" i="1"/>
  <c r="K3118" i="1" s="1"/>
  <c r="I3110" i="1"/>
  <c r="K3110" i="1" s="1"/>
  <c r="I3102" i="1"/>
  <c r="K3102" i="1" s="1"/>
  <c r="I3094" i="1"/>
  <c r="K3094" i="1" s="1"/>
  <c r="I3086" i="1"/>
  <c r="K3086" i="1" s="1"/>
  <c r="I3078" i="1"/>
  <c r="K3078" i="1" s="1"/>
  <c r="I3070" i="1"/>
  <c r="K3070" i="1" s="1"/>
  <c r="I3062" i="1"/>
  <c r="K3062" i="1" s="1"/>
  <c r="I3054" i="1"/>
  <c r="K3054" i="1" s="1"/>
  <c r="I3046" i="1"/>
  <c r="K3046" i="1" s="1"/>
  <c r="I3038" i="1"/>
  <c r="K3038" i="1" s="1"/>
  <c r="I3030" i="1"/>
  <c r="K3030" i="1" s="1"/>
  <c r="I3022" i="1"/>
  <c r="K3022" i="1" s="1"/>
  <c r="I3014" i="1"/>
  <c r="K3014" i="1" s="1"/>
  <c r="I3006" i="1"/>
  <c r="K3006" i="1" s="1"/>
  <c r="I2995" i="1"/>
  <c r="K2995" i="1" s="1"/>
  <c r="I2969" i="1"/>
  <c r="K2969" i="1" s="1"/>
  <c r="I2956" i="1"/>
  <c r="K2956" i="1" s="1"/>
  <c r="I2926" i="1"/>
  <c r="K2926" i="1" s="1"/>
  <c r="I2909" i="1"/>
  <c r="K2909" i="1" s="1"/>
  <c r="I2891" i="1"/>
  <c r="K2891" i="1" s="1"/>
  <c r="I2871" i="1"/>
  <c r="K2871" i="1" s="1"/>
  <c r="I2836" i="1"/>
  <c r="K2836" i="1" s="1"/>
  <c r="I2814" i="1"/>
  <c r="K2814" i="1" s="1"/>
  <c r="I2795" i="1"/>
  <c r="K2795" i="1" s="1"/>
  <c r="I2773" i="1"/>
  <c r="K2773" i="1" s="1"/>
  <c r="I2747" i="1"/>
  <c r="K2747" i="1" s="1"/>
  <c r="I2722" i="1"/>
  <c r="K2722" i="1" s="1"/>
  <c r="I2694" i="1"/>
  <c r="K2694" i="1" s="1"/>
  <c r="I2669" i="1"/>
  <c r="K2669" i="1" s="1"/>
  <c r="I2637" i="1"/>
  <c r="K2637" i="1" s="1"/>
  <c r="I2605" i="1"/>
  <c r="K2605" i="1" s="1"/>
  <c r="I2573" i="1"/>
  <c r="K2573" i="1" s="1"/>
  <c r="I2541" i="1"/>
  <c r="K2541" i="1" s="1"/>
  <c r="I2501" i="1"/>
  <c r="K2501" i="1" s="1"/>
  <c r="I2417" i="1"/>
  <c r="K2417" i="1" s="1"/>
  <c r="I2240" i="1"/>
  <c r="K2240" i="1" s="1"/>
  <c r="I2028" i="1"/>
  <c r="K2028" i="1" s="1"/>
  <c r="I1519" i="1"/>
  <c r="K1519" i="1" s="1"/>
  <c r="I2994" i="1"/>
  <c r="K2994" i="1" s="1"/>
  <c r="I2981" i="1"/>
  <c r="K2981" i="1" s="1"/>
  <c r="I2968" i="1"/>
  <c r="K2968" i="1" s="1"/>
  <c r="I2955" i="1"/>
  <c r="K2955" i="1" s="1"/>
  <c r="I2941" i="1"/>
  <c r="K2941" i="1" s="1"/>
  <c r="I2908" i="1"/>
  <c r="K2908" i="1" s="1"/>
  <c r="I2890" i="1"/>
  <c r="K2890" i="1" s="1"/>
  <c r="I2870" i="1"/>
  <c r="K2870" i="1" s="1"/>
  <c r="I2853" i="1"/>
  <c r="K2853" i="1" s="1"/>
  <c r="I2835" i="1"/>
  <c r="K2835" i="1" s="1"/>
  <c r="I2794" i="1"/>
  <c r="K2794" i="1" s="1"/>
  <c r="I2771" i="1"/>
  <c r="K2771" i="1" s="1"/>
  <c r="I2746" i="1"/>
  <c r="K2746" i="1" s="1"/>
  <c r="I2718" i="1"/>
  <c r="K2718" i="1" s="1"/>
  <c r="I2667" i="1"/>
  <c r="K2667" i="1" s="1"/>
  <c r="I2635" i="1"/>
  <c r="K2635" i="1" s="1"/>
  <c r="I2603" i="1"/>
  <c r="K2603" i="1" s="1"/>
  <c r="I2571" i="1"/>
  <c r="K2571" i="1" s="1"/>
  <c r="I2539" i="1"/>
  <c r="K2539" i="1" s="1"/>
  <c r="I2330" i="1"/>
  <c r="K2330" i="1" s="1"/>
  <c r="I2224" i="1"/>
  <c r="K2224" i="1" s="1"/>
  <c r="I2523" i="1"/>
  <c r="K2523" i="1" s="1"/>
  <c r="I2500" i="1"/>
  <c r="K2500" i="1" s="1"/>
  <c r="I2489" i="1"/>
  <c r="K2489" i="1" s="1"/>
  <c r="I2475" i="1"/>
  <c r="K2475" i="1" s="1"/>
  <c r="I2463" i="1"/>
  <c r="K2463" i="1" s="1"/>
  <c r="I2447" i="1"/>
  <c r="K2447" i="1" s="1"/>
  <c r="I2431" i="1"/>
  <c r="K2431" i="1" s="1"/>
  <c r="I2415" i="1"/>
  <c r="K2415" i="1" s="1"/>
  <c r="I2399" i="1"/>
  <c r="K2399" i="1" s="1"/>
  <c r="I2383" i="1"/>
  <c r="K2383" i="1" s="1"/>
  <c r="I2367" i="1"/>
  <c r="K2367" i="1" s="1"/>
  <c r="I2329" i="1"/>
  <c r="K2329" i="1" s="1"/>
  <c r="I2312" i="1"/>
  <c r="K2312" i="1" s="1"/>
  <c r="I2291" i="1"/>
  <c r="K2291" i="1" s="1"/>
  <c r="I2274" i="1"/>
  <c r="K2274" i="1" s="1"/>
  <c r="I2239" i="1"/>
  <c r="K2239" i="1" s="1"/>
  <c r="I2078" i="1"/>
  <c r="K2078" i="1" s="1"/>
  <c r="I1963" i="1"/>
  <c r="K1963" i="1" s="1"/>
  <c r="I1510" i="1"/>
  <c r="K1510" i="1" s="1"/>
  <c r="I2772" i="1"/>
  <c r="K2772" i="1" s="1"/>
  <c r="I2764" i="1"/>
  <c r="K2764" i="1" s="1"/>
  <c r="I2756" i="1"/>
  <c r="K2756" i="1" s="1"/>
  <c r="I2748" i="1"/>
  <c r="K2748" i="1" s="1"/>
  <c r="I2740" i="1"/>
  <c r="K2740" i="1" s="1"/>
  <c r="I2732" i="1"/>
  <c r="K2732" i="1" s="1"/>
  <c r="I2724" i="1"/>
  <c r="K2724" i="1" s="1"/>
  <c r="I2716" i="1"/>
  <c r="K2716" i="1" s="1"/>
  <c r="I2708" i="1"/>
  <c r="K2708" i="1" s="1"/>
  <c r="I2700" i="1"/>
  <c r="K2700" i="1" s="1"/>
  <c r="I2692" i="1"/>
  <c r="K2692" i="1" s="1"/>
  <c r="I2684" i="1"/>
  <c r="K2684" i="1" s="1"/>
  <c r="I2676" i="1"/>
  <c r="K2676" i="1" s="1"/>
  <c r="I2668" i="1"/>
  <c r="K2668" i="1" s="1"/>
  <c r="I2660" i="1"/>
  <c r="K2660" i="1" s="1"/>
  <c r="I2652" i="1"/>
  <c r="K2652" i="1" s="1"/>
  <c r="I2644" i="1"/>
  <c r="K2644" i="1" s="1"/>
  <c r="I2636" i="1"/>
  <c r="K2636" i="1" s="1"/>
  <c r="I2628" i="1"/>
  <c r="K2628" i="1" s="1"/>
  <c r="I2620" i="1"/>
  <c r="K2620" i="1" s="1"/>
  <c r="I2612" i="1"/>
  <c r="K2612" i="1" s="1"/>
  <c r="I2604" i="1"/>
  <c r="K2604" i="1" s="1"/>
  <c r="I2596" i="1"/>
  <c r="K2596" i="1" s="1"/>
  <c r="I2588" i="1"/>
  <c r="K2588" i="1" s="1"/>
  <c r="I2580" i="1"/>
  <c r="K2580" i="1" s="1"/>
  <c r="I2572" i="1"/>
  <c r="K2572" i="1" s="1"/>
  <c r="I2564" i="1"/>
  <c r="K2564" i="1" s="1"/>
  <c r="I2556" i="1"/>
  <c r="K2556" i="1" s="1"/>
  <c r="I2548" i="1"/>
  <c r="K2548" i="1" s="1"/>
  <c r="I2540" i="1"/>
  <c r="K2540" i="1" s="1"/>
  <c r="I2532" i="1"/>
  <c r="K2532" i="1" s="1"/>
  <c r="I2512" i="1"/>
  <c r="K2512" i="1" s="1"/>
  <c r="I2499" i="1"/>
  <c r="K2499" i="1" s="1"/>
  <c r="I2459" i="1"/>
  <c r="K2459" i="1" s="1"/>
  <c r="I2443" i="1"/>
  <c r="K2443" i="1" s="1"/>
  <c r="I2427" i="1"/>
  <c r="K2427" i="1" s="1"/>
  <c r="I2411" i="1"/>
  <c r="K2411" i="1" s="1"/>
  <c r="I2395" i="1"/>
  <c r="K2395" i="1" s="1"/>
  <c r="I2379" i="1"/>
  <c r="K2379" i="1" s="1"/>
  <c r="I2363" i="1"/>
  <c r="K2363" i="1" s="1"/>
  <c r="I2346" i="1"/>
  <c r="K2346" i="1" s="1"/>
  <c r="I2311" i="1"/>
  <c r="K2311" i="1" s="1"/>
  <c r="I2273" i="1"/>
  <c r="K2273" i="1" s="1"/>
  <c r="I2256" i="1"/>
  <c r="K2256" i="1" s="1"/>
  <c r="I2235" i="1"/>
  <c r="K2235" i="1" s="1"/>
  <c r="I2218" i="1"/>
  <c r="K2218" i="1" s="1"/>
  <c r="I2194" i="1"/>
  <c r="K2194" i="1" s="1"/>
  <c r="I2162" i="1"/>
  <c r="K2162" i="1" s="1"/>
  <c r="I2122" i="1"/>
  <c r="K2122" i="1" s="1"/>
  <c r="I2069" i="1"/>
  <c r="K2069" i="1" s="1"/>
  <c r="I2016" i="1"/>
  <c r="K2016" i="1" s="1"/>
  <c r="I1962" i="1"/>
  <c r="K1962" i="1" s="1"/>
  <c r="I1885" i="1"/>
  <c r="K1885" i="1" s="1"/>
  <c r="I1467" i="1"/>
  <c r="K1467" i="1" s="1"/>
  <c r="I2522" i="1"/>
  <c r="K2522" i="1" s="1"/>
  <c r="I2511" i="1"/>
  <c r="K2511" i="1" s="1"/>
  <c r="I2488" i="1"/>
  <c r="K2488" i="1" s="1"/>
  <c r="I2474" i="1"/>
  <c r="K2474" i="1" s="1"/>
  <c r="I2345" i="1"/>
  <c r="K2345" i="1" s="1"/>
  <c r="I2328" i="1"/>
  <c r="K2328" i="1" s="1"/>
  <c r="I2307" i="1"/>
  <c r="K2307" i="1" s="1"/>
  <c r="I2290" i="1"/>
  <c r="K2290" i="1" s="1"/>
  <c r="I2255" i="1"/>
  <c r="K2255" i="1" s="1"/>
  <c r="I2115" i="1"/>
  <c r="K2115" i="1" s="1"/>
  <c r="I1800" i="1"/>
  <c r="K1800" i="1" s="1"/>
  <c r="I2498" i="1"/>
  <c r="K2498" i="1" s="1"/>
  <c r="I2487" i="1"/>
  <c r="K2487" i="1" s="1"/>
  <c r="I2458" i="1"/>
  <c r="K2458" i="1" s="1"/>
  <c r="I2442" i="1"/>
  <c r="K2442" i="1" s="1"/>
  <c r="I2426" i="1"/>
  <c r="K2426" i="1" s="1"/>
  <c r="I2410" i="1"/>
  <c r="K2410" i="1" s="1"/>
  <c r="I2394" i="1"/>
  <c r="K2394" i="1" s="1"/>
  <c r="I2378" i="1"/>
  <c r="K2378" i="1" s="1"/>
  <c r="I2362" i="1"/>
  <c r="K2362" i="1" s="1"/>
  <c r="I2327" i="1"/>
  <c r="K2327" i="1" s="1"/>
  <c r="I2289" i="1"/>
  <c r="K2289" i="1" s="1"/>
  <c r="I2272" i="1"/>
  <c r="K2272" i="1" s="1"/>
  <c r="I2251" i="1"/>
  <c r="K2251" i="1" s="1"/>
  <c r="I2234" i="1"/>
  <c r="K2234" i="1" s="1"/>
  <c r="I2216" i="1"/>
  <c r="K2216" i="1" s="1"/>
  <c r="I2187" i="1"/>
  <c r="K2187" i="1" s="1"/>
  <c r="I2155" i="1"/>
  <c r="K2155" i="1" s="1"/>
  <c r="I2068" i="1"/>
  <c r="K2068" i="1" s="1"/>
  <c r="I1951" i="1"/>
  <c r="K1951" i="1" s="1"/>
  <c r="I1784" i="1"/>
  <c r="K1784" i="1" s="1"/>
  <c r="I1678" i="1"/>
  <c r="K1678" i="1" s="1"/>
  <c r="I1456" i="1"/>
  <c r="K1456" i="1" s="1"/>
  <c r="I2521" i="1"/>
  <c r="K2521" i="1" s="1"/>
  <c r="I2509" i="1"/>
  <c r="K2509" i="1" s="1"/>
  <c r="I2486" i="1"/>
  <c r="K2486" i="1" s="1"/>
  <c r="I2473" i="1"/>
  <c r="K2473" i="1" s="1"/>
  <c r="I2361" i="1"/>
  <c r="K2361" i="1" s="1"/>
  <c r="I2344" i="1"/>
  <c r="K2344" i="1" s="1"/>
  <c r="I2323" i="1"/>
  <c r="K2323" i="1" s="1"/>
  <c r="I2306" i="1"/>
  <c r="K2306" i="1" s="1"/>
  <c r="I2271" i="1"/>
  <c r="K2271" i="1" s="1"/>
  <c r="I2233" i="1"/>
  <c r="K2233" i="1" s="1"/>
  <c r="I2215" i="1"/>
  <c r="K2215" i="1" s="1"/>
  <c r="I2114" i="1"/>
  <c r="K2114" i="1" s="1"/>
  <c r="I2006" i="1"/>
  <c r="K2006" i="1" s="1"/>
  <c r="I1869" i="1"/>
  <c r="K1869" i="1" s="1"/>
  <c r="I1677" i="1"/>
  <c r="K1677" i="1" s="1"/>
  <c r="I2674" i="1"/>
  <c r="K2674" i="1" s="1"/>
  <c r="I2666" i="1"/>
  <c r="K2666" i="1" s="1"/>
  <c r="I2658" i="1"/>
  <c r="K2658" i="1" s="1"/>
  <c r="I2650" i="1"/>
  <c r="K2650" i="1" s="1"/>
  <c r="I2642" i="1"/>
  <c r="K2642" i="1" s="1"/>
  <c r="I2634" i="1"/>
  <c r="K2634" i="1" s="1"/>
  <c r="I2626" i="1"/>
  <c r="K2626" i="1" s="1"/>
  <c r="I2618" i="1"/>
  <c r="K2618" i="1" s="1"/>
  <c r="I2610" i="1"/>
  <c r="K2610" i="1" s="1"/>
  <c r="I2602" i="1"/>
  <c r="K2602" i="1" s="1"/>
  <c r="I2594" i="1"/>
  <c r="K2594" i="1" s="1"/>
  <c r="I2586" i="1"/>
  <c r="K2586" i="1" s="1"/>
  <c r="I2578" i="1"/>
  <c r="K2578" i="1" s="1"/>
  <c r="I2570" i="1"/>
  <c r="K2570" i="1" s="1"/>
  <c r="I2562" i="1"/>
  <c r="K2562" i="1" s="1"/>
  <c r="I2554" i="1"/>
  <c r="K2554" i="1" s="1"/>
  <c r="I2546" i="1"/>
  <c r="K2546" i="1" s="1"/>
  <c r="I2538" i="1"/>
  <c r="K2538" i="1" s="1"/>
  <c r="I2530" i="1"/>
  <c r="K2530" i="1" s="1"/>
  <c r="I2508" i="1"/>
  <c r="K2508" i="1" s="1"/>
  <c r="I2497" i="1"/>
  <c r="K2497" i="1" s="1"/>
  <c r="I2485" i="1"/>
  <c r="K2485" i="1" s="1"/>
  <c r="I2457" i="1"/>
  <c r="K2457" i="1" s="1"/>
  <c r="I2441" i="1"/>
  <c r="K2441" i="1" s="1"/>
  <c r="I2425" i="1"/>
  <c r="K2425" i="1" s="1"/>
  <c r="I2409" i="1"/>
  <c r="K2409" i="1" s="1"/>
  <c r="I2393" i="1"/>
  <c r="K2393" i="1" s="1"/>
  <c r="I2377" i="1"/>
  <c r="K2377" i="1" s="1"/>
  <c r="I2343" i="1"/>
  <c r="K2343" i="1" s="1"/>
  <c r="I2305" i="1"/>
  <c r="K2305" i="1" s="1"/>
  <c r="I2288" i="1"/>
  <c r="K2288" i="1" s="1"/>
  <c r="I2267" i="1"/>
  <c r="K2267" i="1" s="1"/>
  <c r="I2250" i="1"/>
  <c r="K2250" i="1" s="1"/>
  <c r="I2211" i="1"/>
  <c r="K2211" i="1" s="1"/>
  <c r="I2186" i="1"/>
  <c r="K2186" i="1" s="1"/>
  <c r="I2154" i="1"/>
  <c r="K2154" i="1" s="1"/>
  <c r="I2107" i="1"/>
  <c r="K2107" i="1" s="1"/>
  <c r="I2059" i="1"/>
  <c r="K2059" i="1" s="1"/>
  <c r="I2005" i="1"/>
  <c r="K2005" i="1" s="1"/>
  <c r="I1783" i="1"/>
  <c r="K1783" i="1" s="1"/>
  <c r="I1650" i="1"/>
  <c r="K1650" i="1" s="1"/>
  <c r="I1385" i="1"/>
  <c r="K1385" i="1" s="1"/>
  <c r="I2520" i="1"/>
  <c r="K2520" i="1" s="1"/>
  <c r="I2507" i="1"/>
  <c r="K2507" i="1" s="1"/>
  <c r="I2484" i="1"/>
  <c r="K2484" i="1" s="1"/>
  <c r="I2472" i="1"/>
  <c r="K2472" i="1" s="1"/>
  <c r="I2360" i="1"/>
  <c r="K2360" i="1" s="1"/>
  <c r="I2339" i="1"/>
  <c r="K2339" i="1" s="1"/>
  <c r="I2322" i="1"/>
  <c r="K2322" i="1" s="1"/>
  <c r="I2287" i="1"/>
  <c r="K2287" i="1" s="1"/>
  <c r="I2249" i="1"/>
  <c r="K2249" i="1" s="1"/>
  <c r="I2232" i="1"/>
  <c r="K2232" i="1" s="1"/>
  <c r="I2147" i="1"/>
  <c r="K2147" i="1" s="1"/>
  <c r="I2058" i="1"/>
  <c r="K2058" i="1" s="1"/>
  <c r="I1996" i="1"/>
  <c r="K1996" i="1" s="1"/>
  <c r="I1940" i="1"/>
  <c r="K1940" i="1" s="1"/>
  <c r="I1767" i="1"/>
  <c r="K1767" i="1" s="1"/>
  <c r="I1649" i="1"/>
  <c r="K1649" i="1" s="1"/>
  <c r="I2921" i="1"/>
  <c r="K2921" i="1" s="1"/>
  <c r="I2913" i="1"/>
  <c r="K2913" i="1" s="1"/>
  <c r="I2905" i="1"/>
  <c r="K2905" i="1" s="1"/>
  <c r="I2897" i="1"/>
  <c r="K2897" i="1" s="1"/>
  <c r="I2889" i="1"/>
  <c r="K2889" i="1" s="1"/>
  <c r="I2881" i="1"/>
  <c r="K2881" i="1" s="1"/>
  <c r="I2873" i="1"/>
  <c r="K2873" i="1" s="1"/>
  <c r="I2865" i="1"/>
  <c r="K2865" i="1" s="1"/>
  <c r="I2857" i="1"/>
  <c r="K2857" i="1" s="1"/>
  <c r="I2849" i="1"/>
  <c r="K2849" i="1" s="1"/>
  <c r="I2841" i="1"/>
  <c r="K2841" i="1" s="1"/>
  <c r="I2833" i="1"/>
  <c r="K2833" i="1" s="1"/>
  <c r="I2825" i="1"/>
  <c r="K2825" i="1" s="1"/>
  <c r="I2817" i="1"/>
  <c r="K2817" i="1" s="1"/>
  <c r="I2809" i="1"/>
  <c r="K2809" i="1" s="1"/>
  <c r="I2801" i="1"/>
  <c r="K2801" i="1" s="1"/>
  <c r="I2793" i="1"/>
  <c r="K2793" i="1" s="1"/>
  <c r="I2785" i="1"/>
  <c r="K2785" i="1" s="1"/>
  <c r="I2777" i="1"/>
  <c r="K2777" i="1" s="1"/>
  <c r="I2769" i="1"/>
  <c r="K2769" i="1" s="1"/>
  <c r="I2761" i="1"/>
  <c r="K2761" i="1" s="1"/>
  <c r="I2753" i="1"/>
  <c r="K2753" i="1" s="1"/>
  <c r="I2745" i="1"/>
  <c r="K2745" i="1" s="1"/>
  <c r="I2737" i="1"/>
  <c r="K2737" i="1" s="1"/>
  <c r="I2729" i="1"/>
  <c r="K2729" i="1" s="1"/>
  <c r="I2721" i="1"/>
  <c r="K2721" i="1" s="1"/>
  <c r="I2713" i="1"/>
  <c r="K2713" i="1" s="1"/>
  <c r="I2705" i="1"/>
  <c r="K2705" i="1" s="1"/>
  <c r="I2697" i="1"/>
  <c r="K2697" i="1" s="1"/>
  <c r="I2689" i="1"/>
  <c r="K2689" i="1" s="1"/>
  <c r="I2681" i="1"/>
  <c r="K2681" i="1" s="1"/>
  <c r="I2673" i="1"/>
  <c r="K2673" i="1" s="1"/>
  <c r="I2665" i="1"/>
  <c r="K2665" i="1" s="1"/>
  <c r="I2657" i="1"/>
  <c r="K2657" i="1" s="1"/>
  <c r="I2649" i="1"/>
  <c r="K2649" i="1" s="1"/>
  <c r="I2641" i="1"/>
  <c r="K2641" i="1" s="1"/>
  <c r="I2633" i="1"/>
  <c r="K2633" i="1" s="1"/>
  <c r="I2625" i="1"/>
  <c r="K2625" i="1" s="1"/>
  <c r="I2617" i="1"/>
  <c r="K2617" i="1" s="1"/>
  <c r="I2609" i="1"/>
  <c r="K2609" i="1" s="1"/>
  <c r="I2601" i="1"/>
  <c r="K2601" i="1" s="1"/>
  <c r="I2593" i="1"/>
  <c r="K2593" i="1" s="1"/>
  <c r="I2585" i="1"/>
  <c r="K2585" i="1" s="1"/>
  <c r="I2577" i="1"/>
  <c r="K2577" i="1" s="1"/>
  <c r="I2569" i="1"/>
  <c r="K2569" i="1" s="1"/>
  <c r="I2561" i="1"/>
  <c r="K2561" i="1" s="1"/>
  <c r="I2553" i="1"/>
  <c r="K2553" i="1" s="1"/>
  <c r="I2545" i="1"/>
  <c r="K2545" i="1" s="1"/>
  <c r="I2537" i="1"/>
  <c r="K2537" i="1" s="1"/>
  <c r="I2529" i="1"/>
  <c r="K2529" i="1" s="1"/>
  <c r="I2519" i="1"/>
  <c r="K2519" i="1" s="1"/>
  <c r="I2496" i="1"/>
  <c r="K2496" i="1" s="1"/>
  <c r="I2483" i="1"/>
  <c r="K2483" i="1" s="1"/>
  <c r="I2471" i="1"/>
  <c r="K2471" i="1" s="1"/>
  <c r="I2456" i="1"/>
  <c r="K2456" i="1" s="1"/>
  <c r="I2440" i="1"/>
  <c r="K2440" i="1" s="1"/>
  <c r="I2424" i="1"/>
  <c r="K2424" i="1" s="1"/>
  <c r="I2408" i="1"/>
  <c r="K2408" i="1" s="1"/>
  <c r="I2392" i="1"/>
  <c r="K2392" i="1" s="1"/>
  <c r="I2376" i="1"/>
  <c r="K2376" i="1" s="1"/>
  <c r="I2359" i="1"/>
  <c r="K2359" i="1" s="1"/>
  <c r="I2321" i="1"/>
  <c r="K2321" i="1" s="1"/>
  <c r="I2304" i="1"/>
  <c r="K2304" i="1" s="1"/>
  <c r="I2283" i="1"/>
  <c r="K2283" i="1" s="1"/>
  <c r="I2266" i="1"/>
  <c r="K2266" i="1" s="1"/>
  <c r="I2231" i="1"/>
  <c r="K2231" i="1" s="1"/>
  <c r="I2210" i="1"/>
  <c r="K2210" i="1" s="1"/>
  <c r="I2179" i="1"/>
  <c r="K2179" i="1" s="1"/>
  <c r="I2106" i="1"/>
  <c r="K2106" i="1" s="1"/>
  <c r="I1939" i="1"/>
  <c r="K1939" i="1" s="1"/>
  <c r="I1853" i="1"/>
  <c r="K1853" i="1" s="1"/>
  <c r="I2518" i="1"/>
  <c r="K2518" i="1" s="1"/>
  <c r="I2506" i="1"/>
  <c r="K2506" i="1" s="1"/>
  <c r="I2495" i="1"/>
  <c r="K2495" i="1" s="1"/>
  <c r="I2468" i="1"/>
  <c r="K2468" i="1" s="1"/>
  <c r="I2455" i="1"/>
  <c r="K2455" i="1" s="1"/>
  <c r="I2439" i="1"/>
  <c r="K2439" i="1" s="1"/>
  <c r="I2423" i="1"/>
  <c r="K2423" i="1" s="1"/>
  <c r="I2407" i="1"/>
  <c r="K2407" i="1" s="1"/>
  <c r="I2391" i="1"/>
  <c r="K2391" i="1" s="1"/>
  <c r="I2375" i="1"/>
  <c r="K2375" i="1" s="1"/>
  <c r="I2355" i="1"/>
  <c r="K2355" i="1" s="1"/>
  <c r="I2338" i="1"/>
  <c r="K2338" i="1" s="1"/>
  <c r="I2303" i="1"/>
  <c r="K2303" i="1" s="1"/>
  <c r="I2265" i="1"/>
  <c r="K2265" i="1" s="1"/>
  <c r="I2248" i="1"/>
  <c r="K2248" i="1" s="1"/>
  <c r="I2227" i="1"/>
  <c r="K2227" i="1" s="1"/>
  <c r="I2146" i="1"/>
  <c r="K2146" i="1" s="1"/>
  <c r="I2099" i="1"/>
  <c r="K2099" i="1" s="1"/>
  <c r="I2048" i="1"/>
  <c r="K2048" i="1" s="1"/>
  <c r="I1995" i="1"/>
  <c r="K1995" i="1" s="1"/>
  <c r="I1927" i="1"/>
  <c r="K1927" i="1" s="1"/>
  <c r="I1766" i="1"/>
  <c r="K1766" i="1" s="1"/>
  <c r="I1622" i="1"/>
  <c r="K1622" i="1" s="1"/>
  <c r="I1307" i="1"/>
  <c r="K1307" i="1" s="1"/>
  <c r="I2928" i="1"/>
  <c r="K2928" i="1" s="1"/>
  <c r="I2920" i="1"/>
  <c r="K2920" i="1" s="1"/>
  <c r="I2912" i="1"/>
  <c r="K2912" i="1" s="1"/>
  <c r="I2904" i="1"/>
  <c r="K2904" i="1" s="1"/>
  <c r="I2896" i="1"/>
  <c r="K2896" i="1" s="1"/>
  <c r="I2888" i="1"/>
  <c r="K2888" i="1" s="1"/>
  <c r="I2880" i="1"/>
  <c r="K2880" i="1" s="1"/>
  <c r="I2872" i="1"/>
  <c r="K2872" i="1" s="1"/>
  <c r="I2864" i="1"/>
  <c r="K2864" i="1" s="1"/>
  <c r="I2856" i="1"/>
  <c r="K2856" i="1" s="1"/>
  <c r="I2848" i="1"/>
  <c r="K2848" i="1" s="1"/>
  <c r="I2840" i="1"/>
  <c r="K2840" i="1" s="1"/>
  <c r="I2832" i="1"/>
  <c r="K2832" i="1" s="1"/>
  <c r="I2824" i="1"/>
  <c r="K2824" i="1" s="1"/>
  <c r="I2816" i="1"/>
  <c r="K2816" i="1" s="1"/>
  <c r="I2808" i="1"/>
  <c r="K2808" i="1" s="1"/>
  <c r="I2800" i="1"/>
  <c r="K2800" i="1" s="1"/>
  <c r="I2792" i="1"/>
  <c r="K2792" i="1" s="1"/>
  <c r="I2784" i="1"/>
  <c r="K2784" i="1" s="1"/>
  <c r="I2776" i="1"/>
  <c r="K2776" i="1" s="1"/>
  <c r="I2768" i="1"/>
  <c r="K2768" i="1" s="1"/>
  <c r="I2760" i="1"/>
  <c r="K2760" i="1" s="1"/>
  <c r="I2752" i="1"/>
  <c r="K2752" i="1" s="1"/>
  <c r="I2744" i="1"/>
  <c r="K2744" i="1" s="1"/>
  <c r="I2736" i="1"/>
  <c r="K2736" i="1" s="1"/>
  <c r="I2728" i="1"/>
  <c r="K2728" i="1" s="1"/>
  <c r="I2720" i="1"/>
  <c r="K2720" i="1" s="1"/>
  <c r="I2712" i="1"/>
  <c r="K2712" i="1" s="1"/>
  <c r="I2704" i="1"/>
  <c r="K2704" i="1" s="1"/>
  <c r="I2696" i="1"/>
  <c r="K2696" i="1" s="1"/>
  <c r="I2688" i="1"/>
  <c r="K2688" i="1" s="1"/>
  <c r="I2680" i="1"/>
  <c r="K2680" i="1" s="1"/>
  <c r="I2672" i="1"/>
  <c r="K2672" i="1" s="1"/>
  <c r="I2664" i="1"/>
  <c r="K2664" i="1" s="1"/>
  <c r="I2656" i="1"/>
  <c r="K2656" i="1" s="1"/>
  <c r="I2648" i="1"/>
  <c r="K2648" i="1" s="1"/>
  <c r="I2640" i="1"/>
  <c r="K2640" i="1" s="1"/>
  <c r="I2632" i="1"/>
  <c r="K2632" i="1" s="1"/>
  <c r="I2624" i="1"/>
  <c r="K2624" i="1" s="1"/>
  <c r="I2616" i="1"/>
  <c r="K2616" i="1" s="1"/>
  <c r="I2608" i="1"/>
  <c r="K2608" i="1" s="1"/>
  <c r="I2600" i="1"/>
  <c r="K2600" i="1" s="1"/>
  <c r="I2592" i="1"/>
  <c r="K2592" i="1" s="1"/>
  <c r="I2584" i="1"/>
  <c r="K2584" i="1" s="1"/>
  <c r="I2576" i="1"/>
  <c r="K2576" i="1" s="1"/>
  <c r="I2568" i="1"/>
  <c r="K2568" i="1" s="1"/>
  <c r="I2560" i="1"/>
  <c r="K2560" i="1" s="1"/>
  <c r="I2552" i="1"/>
  <c r="K2552" i="1" s="1"/>
  <c r="I2544" i="1"/>
  <c r="K2544" i="1" s="1"/>
  <c r="I2536" i="1"/>
  <c r="K2536" i="1" s="1"/>
  <c r="I2528" i="1"/>
  <c r="K2528" i="1" s="1"/>
  <c r="I2517" i="1"/>
  <c r="K2517" i="1" s="1"/>
  <c r="I2494" i="1"/>
  <c r="K2494" i="1" s="1"/>
  <c r="I2482" i="1"/>
  <c r="K2482" i="1" s="1"/>
  <c r="I2467" i="1"/>
  <c r="K2467" i="1" s="1"/>
  <c r="I2451" i="1"/>
  <c r="K2451" i="1" s="1"/>
  <c r="I2435" i="1"/>
  <c r="K2435" i="1" s="1"/>
  <c r="I2419" i="1"/>
  <c r="K2419" i="1" s="1"/>
  <c r="I2403" i="1"/>
  <c r="K2403" i="1" s="1"/>
  <c r="I2387" i="1"/>
  <c r="K2387" i="1" s="1"/>
  <c r="I2371" i="1"/>
  <c r="K2371" i="1" s="1"/>
  <c r="I2337" i="1"/>
  <c r="K2337" i="1" s="1"/>
  <c r="I2320" i="1"/>
  <c r="K2320" i="1" s="1"/>
  <c r="I2299" i="1"/>
  <c r="K2299" i="1" s="1"/>
  <c r="I2282" i="1"/>
  <c r="K2282" i="1" s="1"/>
  <c r="I2247" i="1"/>
  <c r="K2247" i="1" s="1"/>
  <c r="I2207" i="1"/>
  <c r="K2207" i="1" s="1"/>
  <c r="I2178" i="1"/>
  <c r="K2178" i="1" s="1"/>
  <c r="I2139" i="1"/>
  <c r="K2139" i="1" s="1"/>
  <c r="I2098" i="1"/>
  <c r="K2098" i="1" s="1"/>
  <c r="I1615" i="1"/>
  <c r="K1615" i="1" s="1"/>
  <c r="I2516" i="1"/>
  <c r="K2516" i="1" s="1"/>
  <c r="I2505" i="1"/>
  <c r="K2505" i="1" s="1"/>
  <c r="I2493" i="1"/>
  <c r="K2493" i="1" s="1"/>
  <c r="I2354" i="1"/>
  <c r="K2354" i="1" s="1"/>
  <c r="I2319" i="1"/>
  <c r="K2319" i="1" s="1"/>
  <c r="I2281" i="1"/>
  <c r="K2281" i="1" s="1"/>
  <c r="I2264" i="1"/>
  <c r="K2264" i="1" s="1"/>
  <c r="I2243" i="1"/>
  <c r="K2243" i="1" s="1"/>
  <c r="I2226" i="1"/>
  <c r="K2226" i="1" s="1"/>
  <c r="I2203" i="1"/>
  <c r="K2203" i="1" s="1"/>
  <c r="I2097" i="1"/>
  <c r="K2097" i="1" s="1"/>
  <c r="I1984" i="1"/>
  <c r="K1984" i="1" s="1"/>
  <c r="I1926" i="1"/>
  <c r="K1926" i="1" s="1"/>
  <c r="I1837" i="1"/>
  <c r="K1837" i="1" s="1"/>
  <c r="I2823" i="1"/>
  <c r="K2823" i="1" s="1"/>
  <c r="I2815" i="1"/>
  <c r="K2815" i="1" s="1"/>
  <c r="I2807" i="1"/>
  <c r="K2807" i="1" s="1"/>
  <c r="I2799" i="1"/>
  <c r="K2799" i="1" s="1"/>
  <c r="I2791" i="1"/>
  <c r="K2791" i="1" s="1"/>
  <c r="I2783" i="1"/>
  <c r="K2783" i="1" s="1"/>
  <c r="I2775" i="1"/>
  <c r="K2775" i="1" s="1"/>
  <c r="I2767" i="1"/>
  <c r="K2767" i="1" s="1"/>
  <c r="I2759" i="1"/>
  <c r="K2759" i="1" s="1"/>
  <c r="I2751" i="1"/>
  <c r="K2751" i="1" s="1"/>
  <c r="I2743" i="1"/>
  <c r="K2743" i="1" s="1"/>
  <c r="I2735" i="1"/>
  <c r="K2735" i="1" s="1"/>
  <c r="I2727" i="1"/>
  <c r="K2727" i="1" s="1"/>
  <c r="I2719" i="1"/>
  <c r="K2719" i="1" s="1"/>
  <c r="I2711" i="1"/>
  <c r="K2711" i="1" s="1"/>
  <c r="I2703" i="1"/>
  <c r="K2703" i="1" s="1"/>
  <c r="I2695" i="1"/>
  <c r="K2695" i="1" s="1"/>
  <c r="I2687" i="1"/>
  <c r="K2687" i="1" s="1"/>
  <c r="I2679" i="1"/>
  <c r="K2679" i="1" s="1"/>
  <c r="I2671" i="1"/>
  <c r="K2671" i="1" s="1"/>
  <c r="I2663" i="1"/>
  <c r="K2663" i="1" s="1"/>
  <c r="I2655" i="1"/>
  <c r="K2655" i="1" s="1"/>
  <c r="I2647" i="1"/>
  <c r="K2647" i="1" s="1"/>
  <c r="I2639" i="1"/>
  <c r="K2639" i="1" s="1"/>
  <c r="I2631" i="1"/>
  <c r="K2631" i="1" s="1"/>
  <c r="I2623" i="1"/>
  <c r="K2623" i="1" s="1"/>
  <c r="I2615" i="1"/>
  <c r="K2615" i="1" s="1"/>
  <c r="I2607" i="1"/>
  <c r="K2607" i="1" s="1"/>
  <c r="I2599" i="1"/>
  <c r="K2599" i="1" s="1"/>
  <c r="I2591" i="1"/>
  <c r="K2591" i="1" s="1"/>
  <c r="I2583" i="1"/>
  <c r="K2583" i="1" s="1"/>
  <c r="I2575" i="1"/>
  <c r="K2575" i="1" s="1"/>
  <c r="I2567" i="1"/>
  <c r="K2567" i="1" s="1"/>
  <c r="I2559" i="1"/>
  <c r="K2559" i="1" s="1"/>
  <c r="I2551" i="1"/>
  <c r="K2551" i="1" s="1"/>
  <c r="I2543" i="1"/>
  <c r="K2543" i="1" s="1"/>
  <c r="I2535" i="1"/>
  <c r="K2535" i="1" s="1"/>
  <c r="I2527" i="1"/>
  <c r="K2527" i="1" s="1"/>
  <c r="I2515" i="1"/>
  <c r="K2515" i="1" s="1"/>
  <c r="I2492" i="1"/>
  <c r="K2492" i="1" s="1"/>
  <c r="I2481" i="1"/>
  <c r="K2481" i="1" s="1"/>
  <c r="I2466" i="1"/>
  <c r="K2466" i="1" s="1"/>
  <c r="I2450" i="1"/>
  <c r="K2450" i="1" s="1"/>
  <c r="I2434" i="1"/>
  <c r="K2434" i="1" s="1"/>
  <c r="I2418" i="1"/>
  <c r="K2418" i="1" s="1"/>
  <c r="I2402" i="1"/>
  <c r="K2402" i="1" s="1"/>
  <c r="I2386" i="1"/>
  <c r="K2386" i="1" s="1"/>
  <c r="I2370" i="1"/>
  <c r="K2370" i="1" s="1"/>
  <c r="I2353" i="1"/>
  <c r="K2353" i="1" s="1"/>
  <c r="I2336" i="1"/>
  <c r="K2336" i="1" s="1"/>
  <c r="I2315" i="1"/>
  <c r="K2315" i="1" s="1"/>
  <c r="I2298" i="1"/>
  <c r="K2298" i="1" s="1"/>
  <c r="I2263" i="1"/>
  <c r="K2263" i="1" s="1"/>
  <c r="I2225" i="1"/>
  <c r="K2225" i="1" s="1"/>
  <c r="I2171" i="1"/>
  <c r="K2171" i="1" s="1"/>
  <c r="I2138" i="1"/>
  <c r="K2138" i="1" s="1"/>
  <c r="I2038" i="1"/>
  <c r="K2038" i="1" s="1"/>
  <c r="I1744" i="1"/>
  <c r="K1744" i="1" s="1"/>
  <c r="I1107" i="1"/>
  <c r="K1107" i="1" s="1"/>
  <c r="I2504" i="1"/>
  <c r="K2504" i="1" s="1"/>
  <c r="I2491" i="1"/>
  <c r="K2491" i="1" s="1"/>
  <c r="I2335" i="1"/>
  <c r="K2335" i="1" s="1"/>
  <c r="I2297" i="1"/>
  <c r="K2297" i="1" s="1"/>
  <c r="I2280" i="1"/>
  <c r="K2280" i="1" s="1"/>
  <c r="I2259" i="1"/>
  <c r="K2259" i="1" s="1"/>
  <c r="I2242" i="1"/>
  <c r="K2242" i="1" s="1"/>
  <c r="I2202" i="1"/>
  <c r="K2202" i="1" s="1"/>
  <c r="I2131" i="1"/>
  <c r="K2131" i="1" s="1"/>
  <c r="I2088" i="1"/>
  <c r="K2088" i="1" s="1"/>
  <c r="I2037" i="1"/>
  <c r="K2037" i="1" s="1"/>
  <c r="I1912" i="1"/>
  <c r="K1912" i="1" s="1"/>
  <c r="I1568" i="1"/>
  <c r="K1568" i="1" s="1"/>
  <c r="I1103" i="1"/>
  <c r="K1103" i="1" s="1"/>
  <c r="I2087" i="1"/>
  <c r="K2087" i="1" s="1"/>
  <c r="I2077" i="1"/>
  <c r="K2077" i="1" s="1"/>
  <c r="I2057" i="1"/>
  <c r="K2057" i="1" s="1"/>
  <c r="I2047" i="1"/>
  <c r="K2047" i="1" s="1"/>
  <c r="I2026" i="1"/>
  <c r="K2026" i="1" s="1"/>
  <c r="I2015" i="1"/>
  <c r="K2015" i="1" s="1"/>
  <c r="I1994" i="1"/>
  <c r="K1994" i="1" s="1"/>
  <c r="I1983" i="1"/>
  <c r="K1983" i="1" s="1"/>
  <c r="I1950" i="1"/>
  <c r="K1950" i="1" s="1"/>
  <c r="I1925" i="1"/>
  <c r="K1925" i="1" s="1"/>
  <c r="I1911" i="1"/>
  <c r="K1911" i="1" s="1"/>
  <c r="I1896" i="1"/>
  <c r="K1896" i="1" s="1"/>
  <c r="I1880" i="1"/>
  <c r="K1880" i="1" s="1"/>
  <c r="I1864" i="1"/>
  <c r="K1864" i="1" s="1"/>
  <c r="I1848" i="1"/>
  <c r="K1848" i="1" s="1"/>
  <c r="I1832" i="1"/>
  <c r="K1832" i="1" s="1"/>
  <c r="I1816" i="1"/>
  <c r="K1816" i="1" s="1"/>
  <c r="I1702" i="1"/>
  <c r="K1702" i="1" s="1"/>
  <c r="I1642" i="1"/>
  <c r="K1642" i="1" s="1"/>
  <c r="I1614" i="1"/>
  <c r="K1614" i="1" s="1"/>
  <c r="I1559" i="1"/>
  <c r="K1559" i="1" s="1"/>
  <c r="I1286" i="1"/>
  <c r="K1286" i="1" s="1"/>
  <c r="I2217" i="1"/>
  <c r="K2217" i="1" s="1"/>
  <c r="I2209" i="1"/>
  <c r="K2209" i="1" s="1"/>
  <c r="I2201" i="1"/>
  <c r="K2201" i="1" s="1"/>
  <c r="I2193" i="1"/>
  <c r="K2193" i="1" s="1"/>
  <c r="I2185" i="1"/>
  <c r="K2185" i="1" s="1"/>
  <c r="I2177" i="1"/>
  <c r="K2177" i="1" s="1"/>
  <c r="I2169" i="1"/>
  <c r="K2169" i="1" s="1"/>
  <c r="I2161" i="1"/>
  <c r="K2161" i="1" s="1"/>
  <c r="I2153" i="1"/>
  <c r="K2153" i="1" s="1"/>
  <c r="I2145" i="1"/>
  <c r="K2145" i="1" s="1"/>
  <c r="I2137" i="1"/>
  <c r="K2137" i="1" s="1"/>
  <c r="I2129" i="1"/>
  <c r="K2129" i="1" s="1"/>
  <c r="I2121" i="1"/>
  <c r="K2121" i="1" s="1"/>
  <c r="I2113" i="1"/>
  <c r="K2113" i="1" s="1"/>
  <c r="I2105" i="1"/>
  <c r="K2105" i="1" s="1"/>
  <c r="I2096" i="1"/>
  <c r="K2096" i="1" s="1"/>
  <c r="I2067" i="1"/>
  <c r="K2067" i="1" s="1"/>
  <c r="I2036" i="1"/>
  <c r="K2036" i="1" s="1"/>
  <c r="I2004" i="1"/>
  <c r="K2004" i="1" s="1"/>
  <c r="I1972" i="1"/>
  <c r="K1972" i="1" s="1"/>
  <c r="I1960" i="1"/>
  <c r="K1960" i="1" s="1"/>
  <c r="I1949" i="1"/>
  <c r="K1949" i="1" s="1"/>
  <c r="I1936" i="1"/>
  <c r="K1936" i="1" s="1"/>
  <c r="I1799" i="1"/>
  <c r="K1799" i="1" s="1"/>
  <c r="I1782" i="1"/>
  <c r="K1782" i="1" s="1"/>
  <c r="I1720" i="1"/>
  <c r="K1720" i="1" s="1"/>
  <c r="I1670" i="1"/>
  <c r="K1670" i="1" s="1"/>
  <c r="I1606" i="1"/>
  <c r="K1606" i="1" s="1"/>
  <c r="I1509" i="1"/>
  <c r="K1509" i="1" s="1"/>
  <c r="I1444" i="1"/>
  <c r="K1444" i="1" s="1"/>
  <c r="I1372" i="1"/>
  <c r="K1372" i="1" s="1"/>
  <c r="I1285" i="1"/>
  <c r="K1285" i="1" s="1"/>
  <c r="I2086" i="1"/>
  <c r="K2086" i="1" s="1"/>
  <c r="I2076" i="1"/>
  <c r="K2076" i="1" s="1"/>
  <c r="I2066" i="1"/>
  <c r="K2066" i="1" s="1"/>
  <c r="I2056" i="1"/>
  <c r="K2056" i="1" s="1"/>
  <c r="I2046" i="1"/>
  <c r="K2046" i="1" s="1"/>
  <c r="I2024" i="1"/>
  <c r="K2024" i="1" s="1"/>
  <c r="I2014" i="1"/>
  <c r="K2014" i="1" s="1"/>
  <c r="I1992" i="1"/>
  <c r="K1992" i="1" s="1"/>
  <c r="I1982" i="1"/>
  <c r="K1982" i="1" s="1"/>
  <c r="I1924" i="1"/>
  <c r="K1924" i="1" s="1"/>
  <c r="I1910" i="1"/>
  <c r="K1910" i="1" s="1"/>
  <c r="I1895" i="1"/>
  <c r="K1895" i="1" s="1"/>
  <c r="I1879" i="1"/>
  <c r="K1879" i="1" s="1"/>
  <c r="I1863" i="1"/>
  <c r="K1863" i="1" s="1"/>
  <c r="I1847" i="1"/>
  <c r="K1847" i="1" s="1"/>
  <c r="I1831" i="1"/>
  <c r="K1831" i="1" s="1"/>
  <c r="I1815" i="1"/>
  <c r="K1815" i="1" s="1"/>
  <c r="I1760" i="1"/>
  <c r="K1760" i="1" s="1"/>
  <c r="I1742" i="1"/>
  <c r="K1742" i="1" s="1"/>
  <c r="I1641" i="1"/>
  <c r="K1641" i="1" s="1"/>
  <c r="I1558" i="1"/>
  <c r="K1558" i="1" s="1"/>
  <c r="I1259" i="1"/>
  <c r="K1259" i="1" s="1"/>
  <c r="I2208" i="1"/>
  <c r="K2208" i="1" s="1"/>
  <c r="I2200" i="1"/>
  <c r="K2200" i="1" s="1"/>
  <c r="I2192" i="1"/>
  <c r="K2192" i="1" s="1"/>
  <c r="I2184" i="1"/>
  <c r="K2184" i="1" s="1"/>
  <c r="I2176" i="1"/>
  <c r="K2176" i="1" s="1"/>
  <c r="I2168" i="1"/>
  <c r="K2168" i="1" s="1"/>
  <c r="I2160" i="1"/>
  <c r="K2160" i="1" s="1"/>
  <c r="I2152" i="1"/>
  <c r="K2152" i="1" s="1"/>
  <c r="I2144" i="1"/>
  <c r="K2144" i="1" s="1"/>
  <c r="I2136" i="1"/>
  <c r="K2136" i="1" s="1"/>
  <c r="I2128" i="1"/>
  <c r="K2128" i="1" s="1"/>
  <c r="I2120" i="1"/>
  <c r="K2120" i="1" s="1"/>
  <c r="I2112" i="1"/>
  <c r="K2112" i="1" s="1"/>
  <c r="I2104" i="1"/>
  <c r="K2104" i="1" s="1"/>
  <c r="I2095" i="1"/>
  <c r="K2095" i="1" s="1"/>
  <c r="I2085" i="1"/>
  <c r="K2085" i="1" s="1"/>
  <c r="I2065" i="1"/>
  <c r="K2065" i="1" s="1"/>
  <c r="I2045" i="1"/>
  <c r="K2045" i="1" s="1"/>
  <c r="I2035" i="1"/>
  <c r="K2035" i="1" s="1"/>
  <c r="I2013" i="1"/>
  <c r="K2013" i="1" s="1"/>
  <c r="I2003" i="1"/>
  <c r="K2003" i="1" s="1"/>
  <c r="I1981" i="1"/>
  <c r="K1981" i="1" s="1"/>
  <c r="I1971" i="1"/>
  <c r="K1971" i="1" s="1"/>
  <c r="I1959" i="1"/>
  <c r="K1959" i="1" s="1"/>
  <c r="I1948" i="1"/>
  <c r="K1948" i="1" s="1"/>
  <c r="I1935" i="1"/>
  <c r="K1935" i="1" s="1"/>
  <c r="I1923" i="1"/>
  <c r="K1923" i="1" s="1"/>
  <c r="I1909" i="1"/>
  <c r="K1909" i="1" s="1"/>
  <c r="I1798" i="1"/>
  <c r="K1798" i="1" s="1"/>
  <c r="I1696" i="1"/>
  <c r="K1696" i="1" s="1"/>
  <c r="I1669" i="1"/>
  <c r="K1669" i="1" s="1"/>
  <c r="I1640" i="1"/>
  <c r="K1640" i="1" s="1"/>
  <c r="I1605" i="1"/>
  <c r="K1605" i="1" s="1"/>
  <c r="I1500" i="1"/>
  <c r="K1500" i="1" s="1"/>
  <c r="I1441" i="1"/>
  <c r="K1441" i="1" s="1"/>
  <c r="I1359" i="1"/>
  <c r="K1359" i="1" s="1"/>
  <c r="I1027" i="1"/>
  <c r="K1027" i="1" s="1"/>
  <c r="I2075" i="1"/>
  <c r="K2075" i="1" s="1"/>
  <c r="I2055" i="1"/>
  <c r="K2055" i="1" s="1"/>
  <c r="I2034" i="1"/>
  <c r="K2034" i="1" s="1"/>
  <c r="I2023" i="1"/>
  <c r="K2023" i="1" s="1"/>
  <c r="I2002" i="1"/>
  <c r="K2002" i="1" s="1"/>
  <c r="I1991" i="1"/>
  <c r="K1991" i="1" s="1"/>
  <c r="I1970" i="1"/>
  <c r="K1970" i="1" s="1"/>
  <c r="I1947" i="1"/>
  <c r="K1947" i="1" s="1"/>
  <c r="I1894" i="1"/>
  <c r="K1894" i="1" s="1"/>
  <c r="I1878" i="1"/>
  <c r="K1878" i="1" s="1"/>
  <c r="I1862" i="1"/>
  <c r="K1862" i="1" s="1"/>
  <c r="I1846" i="1"/>
  <c r="K1846" i="1" s="1"/>
  <c r="I1830" i="1"/>
  <c r="K1830" i="1" s="1"/>
  <c r="I1814" i="1"/>
  <c r="K1814" i="1" s="1"/>
  <c r="I1776" i="1"/>
  <c r="K1776" i="1" s="1"/>
  <c r="I1759" i="1"/>
  <c r="K1759" i="1" s="1"/>
  <c r="I1718" i="1"/>
  <c r="K1718" i="1" s="1"/>
  <c r="I1668" i="1"/>
  <c r="K1668" i="1" s="1"/>
  <c r="I1597" i="1"/>
  <c r="K1597" i="1" s="1"/>
  <c r="I1549" i="1"/>
  <c r="K1549" i="1" s="1"/>
  <c r="I1499" i="1"/>
  <c r="K1499" i="1" s="1"/>
  <c r="I1430" i="1"/>
  <c r="K1430" i="1" s="1"/>
  <c r="I1358" i="1"/>
  <c r="K1358" i="1" s="1"/>
  <c r="I1258" i="1"/>
  <c r="K1258" i="1" s="1"/>
  <c r="I2191" i="1"/>
  <c r="K2191" i="1" s="1"/>
  <c r="I2183" i="1"/>
  <c r="K2183" i="1" s="1"/>
  <c r="I2175" i="1"/>
  <c r="K2175" i="1" s="1"/>
  <c r="I2167" i="1"/>
  <c r="K2167" i="1" s="1"/>
  <c r="I2159" i="1"/>
  <c r="K2159" i="1" s="1"/>
  <c r="I2151" i="1"/>
  <c r="K2151" i="1" s="1"/>
  <c r="I2143" i="1"/>
  <c r="K2143" i="1" s="1"/>
  <c r="I2135" i="1"/>
  <c r="K2135" i="1" s="1"/>
  <c r="I2127" i="1"/>
  <c r="K2127" i="1" s="1"/>
  <c r="I2119" i="1"/>
  <c r="K2119" i="1" s="1"/>
  <c r="I2111" i="1"/>
  <c r="K2111" i="1" s="1"/>
  <c r="I2103" i="1"/>
  <c r="K2103" i="1" s="1"/>
  <c r="I2094" i="1"/>
  <c r="K2094" i="1" s="1"/>
  <c r="I2084" i="1"/>
  <c r="K2084" i="1" s="1"/>
  <c r="I2074" i="1"/>
  <c r="K2074" i="1" s="1"/>
  <c r="I2064" i="1"/>
  <c r="K2064" i="1" s="1"/>
  <c r="I2044" i="1"/>
  <c r="K2044" i="1" s="1"/>
  <c r="I2012" i="1"/>
  <c r="K2012" i="1" s="1"/>
  <c r="I1980" i="1"/>
  <c r="K1980" i="1" s="1"/>
  <c r="I1958" i="1"/>
  <c r="K1958" i="1" s="1"/>
  <c r="I1946" i="1"/>
  <c r="K1946" i="1" s="1"/>
  <c r="I1934" i="1"/>
  <c r="K1934" i="1" s="1"/>
  <c r="I1920" i="1"/>
  <c r="K1920" i="1" s="1"/>
  <c r="I1907" i="1"/>
  <c r="K1907" i="1" s="1"/>
  <c r="I1893" i="1"/>
  <c r="K1893" i="1" s="1"/>
  <c r="I1877" i="1"/>
  <c r="K1877" i="1" s="1"/>
  <c r="I1861" i="1"/>
  <c r="K1861" i="1" s="1"/>
  <c r="I1845" i="1"/>
  <c r="K1845" i="1" s="1"/>
  <c r="I1829" i="1"/>
  <c r="K1829" i="1" s="1"/>
  <c r="I1813" i="1"/>
  <c r="K1813" i="1" s="1"/>
  <c r="I1736" i="1"/>
  <c r="K1736" i="1" s="1"/>
  <c r="I1667" i="1"/>
  <c r="K1667" i="1" s="1"/>
  <c r="I1633" i="1"/>
  <c r="K1633" i="1" s="1"/>
  <c r="I1235" i="1"/>
  <c r="K1235" i="1" s="1"/>
  <c r="I2093" i="1"/>
  <c r="K2093" i="1" s="1"/>
  <c r="I2073" i="1"/>
  <c r="K2073" i="1" s="1"/>
  <c r="I2054" i="1"/>
  <c r="K2054" i="1" s="1"/>
  <c r="I2032" i="1"/>
  <c r="K2032" i="1" s="1"/>
  <c r="I2022" i="1"/>
  <c r="K2022" i="1" s="1"/>
  <c r="I2000" i="1"/>
  <c r="K2000" i="1" s="1"/>
  <c r="I1990" i="1"/>
  <c r="K1990" i="1" s="1"/>
  <c r="I1968" i="1"/>
  <c r="K1968" i="1" s="1"/>
  <c r="I1957" i="1"/>
  <c r="K1957" i="1" s="1"/>
  <c r="I1933" i="1"/>
  <c r="K1933" i="1" s="1"/>
  <c r="I1792" i="1"/>
  <c r="K1792" i="1" s="1"/>
  <c r="I1775" i="1"/>
  <c r="K1775" i="1" s="1"/>
  <c r="I1758" i="1"/>
  <c r="K1758" i="1" s="1"/>
  <c r="I1694" i="1"/>
  <c r="K1694" i="1" s="1"/>
  <c r="I1661" i="1"/>
  <c r="K1661" i="1" s="1"/>
  <c r="I1596" i="1"/>
  <c r="K1596" i="1" s="1"/>
  <c r="I1540" i="1"/>
  <c r="K1540" i="1" s="1"/>
  <c r="I1489" i="1"/>
  <c r="K1489" i="1" s="1"/>
  <c r="I1428" i="1"/>
  <c r="K1428" i="1" s="1"/>
  <c r="I1344" i="1"/>
  <c r="K1344" i="1" s="1"/>
  <c r="I1232" i="1"/>
  <c r="K1232" i="1" s="1"/>
  <c r="I2478" i="1"/>
  <c r="K2478" i="1" s="1"/>
  <c r="I2470" i="1"/>
  <c r="K2470" i="1" s="1"/>
  <c r="I2462" i="1"/>
  <c r="K2462" i="1" s="1"/>
  <c r="I2454" i="1"/>
  <c r="K2454" i="1" s="1"/>
  <c r="I2446" i="1"/>
  <c r="K2446" i="1" s="1"/>
  <c r="I2438" i="1"/>
  <c r="K2438" i="1" s="1"/>
  <c r="I2430" i="1"/>
  <c r="K2430" i="1" s="1"/>
  <c r="I2422" i="1"/>
  <c r="K2422" i="1" s="1"/>
  <c r="I2414" i="1"/>
  <c r="K2414" i="1" s="1"/>
  <c r="I2406" i="1"/>
  <c r="K2406" i="1" s="1"/>
  <c r="I2398" i="1"/>
  <c r="K2398" i="1" s="1"/>
  <c r="I2390" i="1"/>
  <c r="K2390" i="1" s="1"/>
  <c r="I2382" i="1"/>
  <c r="K2382" i="1" s="1"/>
  <c r="I2374" i="1"/>
  <c r="K2374" i="1" s="1"/>
  <c r="I2366" i="1"/>
  <c r="K2366" i="1" s="1"/>
  <c r="I2358" i="1"/>
  <c r="K2358" i="1" s="1"/>
  <c r="I2350" i="1"/>
  <c r="K2350" i="1" s="1"/>
  <c r="I2342" i="1"/>
  <c r="K2342" i="1" s="1"/>
  <c r="I2334" i="1"/>
  <c r="K2334" i="1" s="1"/>
  <c r="I2326" i="1"/>
  <c r="K2326" i="1" s="1"/>
  <c r="I2318" i="1"/>
  <c r="K2318" i="1" s="1"/>
  <c r="I2310" i="1"/>
  <c r="K2310" i="1" s="1"/>
  <c r="I2302" i="1"/>
  <c r="K2302" i="1" s="1"/>
  <c r="I2294" i="1"/>
  <c r="K2294" i="1" s="1"/>
  <c r="I2286" i="1"/>
  <c r="K2286" i="1" s="1"/>
  <c r="I2278" i="1"/>
  <c r="K2278" i="1" s="1"/>
  <c r="I2270" i="1"/>
  <c r="K2270" i="1" s="1"/>
  <c r="I2262" i="1"/>
  <c r="K2262" i="1" s="1"/>
  <c r="I2254" i="1"/>
  <c r="K2254" i="1" s="1"/>
  <c r="I2246" i="1"/>
  <c r="K2246" i="1" s="1"/>
  <c r="I2238" i="1"/>
  <c r="K2238" i="1" s="1"/>
  <c r="I2230" i="1"/>
  <c r="K2230" i="1" s="1"/>
  <c r="I2222" i="1"/>
  <c r="K2222" i="1" s="1"/>
  <c r="I2214" i="1"/>
  <c r="K2214" i="1" s="1"/>
  <c r="I2206" i="1"/>
  <c r="K2206" i="1" s="1"/>
  <c r="I2198" i="1"/>
  <c r="K2198" i="1" s="1"/>
  <c r="I2190" i="1"/>
  <c r="K2190" i="1" s="1"/>
  <c r="I2182" i="1"/>
  <c r="K2182" i="1" s="1"/>
  <c r="I2174" i="1"/>
  <c r="K2174" i="1" s="1"/>
  <c r="I2166" i="1"/>
  <c r="K2166" i="1" s="1"/>
  <c r="I2158" i="1"/>
  <c r="K2158" i="1" s="1"/>
  <c r="I2150" i="1"/>
  <c r="K2150" i="1" s="1"/>
  <c r="I2142" i="1"/>
  <c r="K2142" i="1" s="1"/>
  <c r="I2134" i="1"/>
  <c r="K2134" i="1" s="1"/>
  <c r="I2126" i="1"/>
  <c r="K2126" i="1" s="1"/>
  <c r="I2118" i="1"/>
  <c r="K2118" i="1" s="1"/>
  <c r="I2110" i="1"/>
  <c r="K2110" i="1" s="1"/>
  <c r="I2102" i="1"/>
  <c r="K2102" i="1" s="1"/>
  <c r="I2083" i="1"/>
  <c r="K2083" i="1" s="1"/>
  <c r="I2063" i="1"/>
  <c r="K2063" i="1" s="1"/>
  <c r="I2053" i="1"/>
  <c r="K2053" i="1" s="1"/>
  <c r="I2043" i="1"/>
  <c r="K2043" i="1" s="1"/>
  <c r="I2021" i="1"/>
  <c r="K2021" i="1" s="1"/>
  <c r="I2011" i="1"/>
  <c r="K2011" i="1" s="1"/>
  <c r="I1989" i="1"/>
  <c r="K1989" i="1" s="1"/>
  <c r="I1979" i="1"/>
  <c r="K1979" i="1" s="1"/>
  <c r="I1944" i="1"/>
  <c r="K1944" i="1" s="1"/>
  <c r="I1919" i="1"/>
  <c r="K1919" i="1" s="1"/>
  <c r="I1904" i="1"/>
  <c r="K1904" i="1" s="1"/>
  <c r="I1712" i="1"/>
  <c r="K1712" i="1" s="1"/>
  <c r="I1688" i="1"/>
  <c r="K1688" i="1" s="1"/>
  <c r="I1632" i="1"/>
  <c r="K1632" i="1" s="1"/>
  <c r="I1588" i="1"/>
  <c r="K1588" i="1" s="1"/>
  <c r="I1539" i="1"/>
  <c r="K1539" i="1" s="1"/>
  <c r="I2092" i="1"/>
  <c r="K2092" i="1" s="1"/>
  <c r="I2082" i="1"/>
  <c r="K2082" i="1" s="1"/>
  <c r="I2072" i="1"/>
  <c r="K2072" i="1" s="1"/>
  <c r="I2042" i="1"/>
  <c r="K2042" i="1" s="1"/>
  <c r="I2031" i="1"/>
  <c r="K2031" i="1" s="1"/>
  <c r="I2010" i="1"/>
  <c r="K2010" i="1" s="1"/>
  <c r="I1999" i="1"/>
  <c r="K1999" i="1" s="1"/>
  <c r="I1978" i="1"/>
  <c r="K1978" i="1" s="1"/>
  <c r="I1967" i="1"/>
  <c r="K1967" i="1" s="1"/>
  <c r="I1956" i="1"/>
  <c r="K1956" i="1" s="1"/>
  <c r="I1932" i="1"/>
  <c r="K1932" i="1" s="1"/>
  <c r="I1888" i="1"/>
  <c r="K1888" i="1" s="1"/>
  <c r="I1872" i="1"/>
  <c r="K1872" i="1" s="1"/>
  <c r="I1856" i="1"/>
  <c r="K1856" i="1" s="1"/>
  <c r="I1840" i="1"/>
  <c r="K1840" i="1" s="1"/>
  <c r="I1824" i="1"/>
  <c r="K1824" i="1" s="1"/>
  <c r="I1808" i="1"/>
  <c r="K1808" i="1" s="1"/>
  <c r="I1791" i="1"/>
  <c r="K1791" i="1" s="1"/>
  <c r="I1774" i="1"/>
  <c r="K1774" i="1" s="1"/>
  <c r="I1734" i="1"/>
  <c r="K1734" i="1" s="1"/>
  <c r="I1660" i="1"/>
  <c r="K1660" i="1" s="1"/>
  <c r="I1631" i="1"/>
  <c r="K1631" i="1" s="1"/>
  <c r="I1587" i="1"/>
  <c r="K1587" i="1" s="1"/>
  <c r="I1415" i="1"/>
  <c r="K1415" i="1" s="1"/>
  <c r="I1343" i="1"/>
  <c r="K1343" i="1" s="1"/>
  <c r="I1204" i="1"/>
  <c r="K1204" i="1" s="1"/>
  <c r="I2477" i="1"/>
  <c r="K2477" i="1" s="1"/>
  <c r="I2469" i="1"/>
  <c r="K2469" i="1" s="1"/>
  <c r="I2461" i="1"/>
  <c r="K2461" i="1" s="1"/>
  <c r="I2453" i="1"/>
  <c r="K2453" i="1" s="1"/>
  <c r="I2445" i="1"/>
  <c r="K2445" i="1" s="1"/>
  <c r="I2437" i="1"/>
  <c r="K2437" i="1" s="1"/>
  <c r="I2429" i="1"/>
  <c r="K2429" i="1" s="1"/>
  <c r="I2421" i="1"/>
  <c r="K2421" i="1" s="1"/>
  <c r="I2413" i="1"/>
  <c r="K2413" i="1" s="1"/>
  <c r="I2405" i="1"/>
  <c r="K2405" i="1" s="1"/>
  <c r="I2397" i="1"/>
  <c r="K2397" i="1" s="1"/>
  <c r="I2389" i="1"/>
  <c r="K2389" i="1" s="1"/>
  <c r="I2381" i="1"/>
  <c r="K2381" i="1" s="1"/>
  <c r="I2373" i="1"/>
  <c r="K2373" i="1" s="1"/>
  <c r="I2365" i="1"/>
  <c r="K2365" i="1" s="1"/>
  <c r="I2357" i="1"/>
  <c r="K2357" i="1" s="1"/>
  <c r="I2349" i="1"/>
  <c r="K2349" i="1" s="1"/>
  <c r="I2341" i="1"/>
  <c r="K2341" i="1" s="1"/>
  <c r="I2333" i="1"/>
  <c r="K2333" i="1" s="1"/>
  <c r="I2325" i="1"/>
  <c r="K2325" i="1" s="1"/>
  <c r="I2317" i="1"/>
  <c r="K2317" i="1" s="1"/>
  <c r="I2309" i="1"/>
  <c r="K2309" i="1" s="1"/>
  <c r="I2301" i="1"/>
  <c r="K2301" i="1" s="1"/>
  <c r="I2293" i="1"/>
  <c r="K2293" i="1" s="1"/>
  <c r="I2285" i="1"/>
  <c r="K2285" i="1" s="1"/>
  <c r="I2277" i="1"/>
  <c r="K2277" i="1" s="1"/>
  <c r="I2269" i="1"/>
  <c r="K2269" i="1" s="1"/>
  <c r="I2261" i="1"/>
  <c r="K2261" i="1" s="1"/>
  <c r="I2253" i="1"/>
  <c r="K2253" i="1" s="1"/>
  <c r="I2245" i="1"/>
  <c r="K2245" i="1" s="1"/>
  <c r="I2237" i="1"/>
  <c r="K2237" i="1" s="1"/>
  <c r="I2229" i="1"/>
  <c r="K2229" i="1" s="1"/>
  <c r="I2221" i="1"/>
  <c r="K2221" i="1" s="1"/>
  <c r="I2213" i="1"/>
  <c r="K2213" i="1" s="1"/>
  <c r="I2205" i="1"/>
  <c r="K2205" i="1" s="1"/>
  <c r="I2197" i="1"/>
  <c r="K2197" i="1" s="1"/>
  <c r="I2189" i="1"/>
  <c r="K2189" i="1" s="1"/>
  <c r="I2181" i="1"/>
  <c r="K2181" i="1" s="1"/>
  <c r="I2173" i="1"/>
  <c r="K2173" i="1" s="1"/>
  <c r="I2165" i="1"/>
  <c r="K2165" i="1" s="1"/>
  <c r="I2157" i="1"/>
  <c r="K2157" i="1" s="1"/>
  <c r="I2149" i="1"/>
  <c r="K2149" i="1" s="1"/>
  <c r="I2141" i="1"/>
  <c r="K2141" i="1" s="1"/>
  <c r="I2133" i="1"/>
  <c r="K2133" i="1" s="1"/>
  <c r="I2125" i="1"/>
  <c r="K2125" i="1" s="1"/>
  <c r="I2117" i="1"/>
  <c r="K2117" i="1" s="1"/>
  <c r="I2109" i="1"/>
  <c r="K2109" i="1" s="1"/>
  <c r="I2101" i="1"/>
  <c r="K2101" i="1" s="1"/>
  <c r="I2081" i="1"/>
  <c r="K2081" i="1" s="1"/>
  <c r="I2062" i="1"/>
  <c r="K2062" i="1" s="1"/>
  <c r="I2052" i="1"/>
  <c r="K2052" i="1" s="1"/>
  <c r="I2020" i="1"/>
  <c r="K2020" i="1" s="1"/>
  <c r="I1988" i="1"/>
  <c r="K1988" i="1" s="1"/>
  <c r="I1955" i="1"/>
  <c r="K1955" i="1" s="1"/>
  <c r="I1943" i="1"/>
  <c r="K1943" i="1" s="1"/>
  <c r="I1931" i="1"/>
  <c r="K1931" i="1" s="1"/>
  <c r="I1918" i="1"/>
  <c r="K1918" i="1" s="1"/>
  <c r="I1903" i="1"/>
  <c r="K1903" i="1" s="1"/>
  <c r="I1752" i="1"/>
  <c r="K1752" i="1" s="1"/>
  <c r="I1687" i="1"/>
  <c r="K1687" i="1" s="1"/>
  <c r="I1658" i="1"/>
  <c r="K1658" i="1" s="1"/>
  <c r="I1586" i="1"/>
  <c r="K1586" i="1" s="1"/>
  <c r="I1529" i="1"/>
  <c r="K1529" i="1" s="1"/>
  <c r="I1479" i="1"/>
  <c r="K1479" i="1" s="1"/>
  <c r="I1414" i="1"/>
  <c r="K1414" i="1" s="1"/>
  <c r="I1203" i="1"/>
  <c r="K1203" i="1" s="1"/>
  <c r="I847" i="1"/>
  <c r="K847" i="1" s="1"/>
  <c r="I2091" i="1"/>
  <c r="K2091" i="1" s="1"/>
  <c r="I2071" i="1"/>
  <c r="K2071" i="1" s="1"/>
  <c r="I2061" i="1"/>
  <c r="K2061" i="1" s="1"/>
  <c r="I2040" i="1"/>
  <c r="K2040" i="1" s="1"/>
  <c r="I2030" i="1"/>
  <c r="K2030" i="1" s="1"/>
  <c r="I2008" i="1"/>
  <c r="K2008" i="1" s="1"/>
  <c r="I1998" i="1"/>
  <c r="K1998" i="1" s="1"/>
  <c r="I1976" i="1"/>
  <c r="K1976" i="1" s="1"/>
  <c r="I1966" i="1"/>
  <c r="K1966" i="1" s="1"/>
  <c r="I1954" i="1"/>
  <c r="K1954" i="1" s="1"/>
  <c r="I1917" i="1"/>
  <c r="K1917" i="1" s="1"/>
  <c r="I1887" i="1"/>
  <c r="K1887" i="1" s="1"/>
  <c r="I1871" i="1"/>
  <c r="K1871" i="1" s="1"/>
  <c r="I1855" i="1"/>
  <c r="K1855" i="1" s="1"/>
  <c r="I1839" i="1"/>
  <c r="K1839" i="1" s="1"/>
  <c r="I1823" i="1"/>
  <c r="K1823" i="1" s="1"/>
  <c r="I1807" i="1"/>
  <c r="K1807" i="1" s="1"/>
  <c r="I1790" i="1"/>
  <c r="K1790" i="1" s="1"/>
  <c r="I1710" i="1"/>
  <c r="K1710" i="1" s="1"/>
  <c r="I1686" i="1"/>
  <c r="K1686" i="1" s="1"/>
  <c r="I1624" i="1"/>
  <c r="K1624" i="1" s="1"/>
  <c r="I1578" i="1"/>
  <c r="K1578" i="1" s="1"/>
  <c r="I1478" i="1"/>
  <c r="K1478" i="1" s="1"/>
  <c r="I1326" i="1"/>
  <c r="K1326" i="1" s="1"/>
  <c r="I734" i="1"/>
  <c r="K734" i="1" s="1"/>
  <c r="I2460" i="1"/>
  <c r="K2460" i="1" s="1"/>
  <c r="I2452" i="1"/>
  <c r="K2452" i="1" s="1"/>
  <c r="I2444" i="1"/>
  <c r="K2444" i="1" s="1"/>
  <c r="I2436" i="1"/>
  <c r="K2436" i="1" s="1"/>
  <c r="I2428" i="1"/>
  <c r="K2428" i="1" s="1"/>
  <c r="I2420" i="1"/>
  <c r="K2420" i="1" s="1"/>
  <c r="I2412" i="1"/>
  <c r="K2412" i="1" s="1"/>
  <c r="I2404" i="1"/>
  <c r="K2404" i="1" s="1"/>
  <c r="I2396" i="1"/>
  <c r="K2396" i="1" s="1"/>
  <c r="I2388" i="1"/>
  <c r="K2388" i="1" s="1"/>
  <c r="I2380" i="1"/>
  <c r="K2380" i="1" s="1"/>
  <c r="I2372" i="1"/>
  <c r="K2372" i="1" s="1"/>
  <c r="I2364" i="1"/>
  <c r="K2364" i="1" s="1"/>
  <c r="I2356" i="1"/>
  <c r="K2356" i="1" s="1"/>
  <c r="I2348" i="1"/>
  <c r="K2348" i="1" s="1"/>
  <c r="I2340" i="1"/>
  <c r="K2340" i="1" s="1"/>
  <c r="I2332" i="1"/>
  <c r="K2332" i="1" s="1"/>
  <c r="I2324" i="1"/>
  <c r="K2324" i="1" s="1"/>
  <c r="I2316" i="1"/>
  <c r="K2316" i="1" s="1"/>
  <c r="I2308" i="1"/>
  <c r="K2308" i="1" s="1"/>
  <c r="I2300" i="1"/>
  <c r="K2300" i="1" s="1"/>
  <c r="I2292" i="1"/>
  <c r="K2292" i="1" s="1"/>
  <c r="I2284" i="1"/>
  <c r="K2284" i="1" s="1"/>
  <c r="I2276" i="1"/>
  <c r="K2276" i="1" s="1"/>
  <c r="I2268" i="1"/>
  <c r="K2268" i="1" s="1"/>
  <c r="I2260" i="1"/>
  <c r="K2260" i="1" s="1"/>
  <c r="I2252" i="1"/>
  <c r="K2252" i="1" s="1"/>
  <c r="I2244" i="1"/>
  <c r="K2244" i="1" s="1"/>
  <c r="I2236" i="1"/>
  <c r="K2236" i="1" s="1"/>
  <c r="I2228" i="1"/>
  <c r="K2228" i="1" s="1"/>
  <c r="I2220" i="1"/>
  <c r="K2220" i="1" s="1"/>
  <c r="I2212" i="1"/>
  <c r="K2212" i="1" s="1"/>
  <c r="I2204" i="1"/>
  <c r="K2204" i="1" s="1"/>
  <c r="I2196" i="1"/>
  <c r="K2196" i="1" s="1"/>
  <c r="I2188" i="1"/>
  <c r="K2188" i="1" s="1"/>
  <c r="I2180" i="1"/>
  <c r="K2180" i="1" s="1"/>
  <c r="I2172" i="1"/>
  <c r="K2172" i="1" s="1"/>
  <c r="I2164" i="1"/>
  <c r="K2164" i="1" s="1"/>
  <c r="I2156" i="1"/>
  <c r="K2156" i="1" s="1"/>
  <c r="I2148" i="1"/>
  <c r="K2148" i="1" s="1"/>
  <c r="I2140" i="1"/>
  <c r="K2140" i="1" s="1"/>
  <c r="I2132" i="1"/>
  <c r="K2132" i="1" s="1"/>
  <c r="I2124" i="1"/>
  <c r="K2124" i="1" s="1"/>
  <c r="I2116" i="1"/>
  <c r="K2116" i="1" s="1"/>
  <c r="I2108" i="1"/>
  <c r="K2108" i="1" s="1"/>
  <c r="I2100" i="1"/>
  <c r="K2100" i="1" s="1"/>
  <c r="I2090" i="1"/>
  <c r="K2090" i="1" s="1"/>
  <c r="I2080" i="1"/>
  <c r="K2080" i="1" s="1"/>
  <c r="I2051" i="1"/>
  <c r="K2051" i="1" s="1"/>
  <c r="I2029" i="1"/>
  <c r="K2029" i="1" s="1"/>
  <c r="I2019" i="1"/>
  <c r="K2019" i="1" s="1"/>
  <c r="I1997" i="1"/>
  <c r="K1997" i="1" s="1"/>
  <c r="I1987" i="1"/>
  <c r="K1987" i="1" s="1"/>
  <c r="I1965" i="1"/>
  <c r="K1965" i="1" s="1"/>
  <c r="I1942" i="1"/>
  <c r="K1942" i="1" s="1"/>
  <c r="I1928" i="1"/>
  <c r="K1928" i="1" s="1"/>
  <c r="I1902" i="1"/>
  <c r="K1902" i="1" s="1"/>
  <c r="I1768" i="1"/>
  <c r="K1768" i="1" s="1"/>
  <c r="I1728" i="1"/>
  <c r="K1728" i="1" s="1"/>
  <c r="I1652" i="1"/>
  <c r="K1652" i="1" s="1"/>
  <c r="I1528" i="1"/>
  <c r="K1528" i="1" s="1"/>
  <c r="I1469" i="1"/>
  <c r="K1469" i="1" s="1"/>
  <c r="I1400" i="1"/>
  <c r="K1400" i="1" s="1"/>
  <c r="I711" i="1"/>
  <c r="K711" i="1" s="1"/>
  <c r="I2089" i="1"/>
  <c r="K2089" i="1" s="1"/>
  <c r="I2070" i="1"/>
  <c r="K2070" i="1" s="1"/>
  <c r="I2060" i="1"/>
  <c r="K2060" i="1" s="1"/>
  <c r="I2050" i="1"/>
  <c r="K2050" i="1" s="1"/>
  <c r="I2039" i="1"/>
  <c r="K2039" i="1" s="1"/>
  <c r="I2018" i="1"/>
  <c r="K2018" i="1" s="1"/>
  <c r="I2007" i="1"/>
  <c r="K2007" i="1" s="1"/>
  <c r="I1986" i="1"/>
  <c r="K1986" i="1" s="1"/>
  <c r="I1975" i="1"/>
  <c r="K1975" i="1" s="1"/>
  <c r="I1952" i="1"/>
  <c r="K1952" i="1" s="1"/>
  <c r="I1941" i="1"/>
  <c r="K1941" i="1" s="1"/>
  <c r="I1915" i="1"/>
  <c r="K1915" i="1" s="1"/>
  <c r="I1901" i="1"/>
  <c r="K1901" i="1" s="1"/>
  <c r="I1886" i="1"/>
  <c r="K1886" i="1" s="1"/>
  <c r="I1870" i="1"/>
  <c r="K1870" i="1" s="1"/>
  <c r="I1854" i="1"/>
  <c r="K1854" i="1" s="1"/>
  <c r="I1838" i="1"/>
  <c r="K1838" i="1" s="1"/>
  <c r="I1822" i="1"/>
  <c r="K1822" i="1" s="1"/>
  <c r="I1806" i="1"/>
  <c r="K1806" i="1" s="1"/>
  <c r="I1750" i="1"/>
  <c r="K1750" i="1" s="1"/>
  <c r="I1679" i="1"/>
  <c r="K1679" i="1" s="1"/>
  <c r="I1651" i="1"/>
  <c r="K1651" i="1" s="1"/>
  <c r="I1623" i="1"/>
  <c r="K1623" i="1" s="1"/>
  <c r="I1577" i="1"/>
  <c r="K1577" i="1" s="1"/>
  <c r="I1468" i="1"/>
  <c r="K1468" i="1" s="1"/>
  <c r="I1308" i="1"/>
  <c r="K1308" i="1" s="1"/>
  <c r="I1157" i="1"/>
  <c r="K1157" i="1" s="1"/>
  <c r="I710" i="1"/>
  <c r="K710" i="1" s="1"/>
  <c r="I1751" i="1"/>
  <c r="K1751" i="1" s="1"/>
  <c r="I1743" i="1"/>
  <c r="K1743" i="1" s="1"/>
  <c r="I1735" i="1"/>
  <c r="K1735" i="1" s="1"/>
  <c r="I1727" i="1"/>
  <c r="K1727" i="1" s="1"/>
  <c r="I1719" i="1"/>
  <c r="K1719" i="1" s="1"/>
  <c r="I1711" i="1"/>
  <c r="K1711" i="1" s="1"/>
  <c r="I1703" i="1"/>
  <c r="K1703" i="1" s="1"/>
  <c r="I1695" i="1"/>
  <c r="K1695" i="1" s="1"/>
  <c r="I1659" i="1"/>
  <c r="K1659" i="1" s="1"/>
  <c r="I1595" i="1"/>
  <c r="K1595" i="1" s="1"/>
  <c r="I1567" i="1"/>
  <c r="K1567" i="1" s="1"/>
  <c r="I1548" i="1"/>
  <c r="K1548" i="1" s="1"/>
  <c r="I1537" i="1"/>
  <c r="K1537" i="1" s="1"/>
  <c r="I1518" i="1"/>
  <c r="K1518" i="1" s="1"/>
  <c r="I1488" i="1"/>
  <c r="K1488" i="1" s="1"/>
  <c r="I1455" i="1"/>
  <c r="K1455" i="1" s="1"/>
  <c r="I1399" i="1"/>
  <c r="K1399" i="1" s="1"/>
  <c r="I1384" i="1"/>
  <c r="K1384" i="1" s="1"/>
  <c r="I1369" i="1"/>
  <c r="K1369" i="1" s="1"/>
  <c r="I1356" i="1"/>
  <c r="K1356" i="1" s="1"/>
  <c r="I1342" i="1"/>
  <c r="K1342" i="1" s="1"/>
  <c r="I1325" i="1"/>
  <c r="K1325" i="1" s="1"/>
  <c r="I1257" i="1"/>
  <c r="K1257" i="1" s="1"/>
  <c r="I1227" i="1"/>
  <c r="K1227" i="1" s="1"/>
  <c r="I1195" i="1"/>
  <c r="K1195" i="1" s="1"/>
  <c r="I1156" i="1"/>
  <c r="K1156" i="1" s="1"/>
  <c r="I1093" i="1"/>
  <c r="K1093" i="1" s="1"/>
  <c r="I1026" i="1"/>
  <c r="K1026" i="1" s="1"/>
  <c r="I843" i="1"/>
  <c r="K843" i="1" s="1"/>
  <c r="I702" i="1"/>
  <c r="K702" i="1" s="1"/>
  <c r="I1613" i="1"/>
  <c r="K1613" i="1" s="1"/>
  <c r="I1604" i="1"/>
  <c r="K1604" i="1" s="1"/>
  <c r="I1594" i="1"/>
  <c r="K1594" i="1" s="1"/>
  <c r="I1585" i="1"/>
  <c r="K1585" i="1" s="1"/>
  <c r="I1576" i="1"/>
  <c r="K1576" i="1" s="1"/>
  <c r="I1557" i="1"/>
  <c r="K1557" i="1" s="1"/>
  <c r="I1547" i="1"/>
  <c r="K1547" i="1" s="1"/>
  <c r="I1527" i="1"/>
  <c r="K1527" i="1" s="1"/>
  <c r="I1508" i="1"/>
  <c r="K1508" i="1" s="1"/>
  <c r="I1497" i="1"/>
  <c r="K1497" i="1" s="1"/>
  <c r="I1477" i="1"/>
  <c r="K1477" i="1" s="1"/>
  <c r="I1465" i="1"/>
  <c r="K1465" i="1" s="1"/>
  <c r="I1454" i="1"/>
  <c r="K1454" i="1" s="1"/>
  <c r="I1440" i="1"/>
  <c r="K1440" i="1" s="1"/>
  <c r="I1425" i="1"/>
  <c r="K1425" i="1" s="1"/>
  <c r="I1412" i="1"/>
  <c r="K1412" i="1" s="1"/>
  <c r="I1398" i="1"/>
  <c r="K1398" i="1" s="1"/>
  <c r="I1305" i="1"/>
  <c r="K1305" i="1" s="1"/>
  <c r="I1278" i="1"/>
  <c r="K1278" i="1" s="1"/>
  <c r="I1255" i="1"/>
  <c r="K1255" i="1" s="1"/>
  <c r="I1146" i="1"/>
  <c r="K1146" i="1" s="1"/>
  <c r="I1092" i="1"/>
  <c r="K1092" i="1" s="1"/>
  <c r="I1015" i="1"/>
  <c r="K1015" i="1" s="1"/>
  <c r="I841" i="1"/>
  <c r="K841" i="1" s="1"/>
  <c r="I1603" i="1"/>
  <c r="K1603" i="1" s="1"/>
  <c r="I1566" i="1"/>
  <c r="K1566" i="1" s="1"/>
  <c r="I1536" i="1"/>
  <c r="K1536" i="1" s="1"/>
  <c r="I1517" i="1"/>
  <c r="K1517" i="1" s="1"/>
  <c r="I1507" i="1"/>
  <c r="K1507" i="1" s="1"/>
  <c r="I1487" i="1"/>
  <c r="K1487" i="1" s="1"/>
  <c r="I1383" i="1"/>
  <c r="K1383" i="1" s="1"/>
  <c r="I1368" i="1"/>
  <c r="K1368" i="1" s="1"/>
  <c r="I1353" i="1"/>
  <c r="K1353" i="1" s="1"/>
  <c r="I1340" i="1"/>
  <c r="K1340" i="1" s="1"/>
  <c r="I1303" i="1"/>
  <c r="K1303" i="1" s="1"/>
  <c r="I1226" i="1"/>
  <c r="K1226" i="1" s="1"/>
  <c r="I1194" i="1"/>
  <c r="K1194" i="1" s="1"/>
  <c r="I1143" i="1"/>
  <c r="K1143" i="1" s="1"/>
  <c r="I1082" i="1"/>
  <c r="K1082" i="1" s="1"/>
  <c r="I1012" i="1"/>
  <c r="K1012" i="1" s="1"/>
  <c r="I822" i="1"/>
  <c r="K822" i="1" s="1"/>
  <c r="I663" i="1"/>
  <c r="K663" i="1" s="1"/>
  <c r="I1685" i="1"/>
  <c r="K1685" i="1" s="1"/>
  <c r="I1676" i="1"/>
  <c r="K1676" i="1" s="1"/>
  <c r="I1666" i="1"/>
  <c r="K1666" i="1" s="1"/>
  <c r="I1657" i="1"/>
  <c r="K1657" i="1" s="1"/>
  <c r="I1648" i="1"/>
  <c r="K1648" i="1" s="1"/>
  <c r="I1639" i="1"/>
  <c r="K1639" i="1" s="1"/>
  <c r="I1630" i="1"/>
  <c r="K1630" i="1" s="1"/>
  <c r="I1621" i="1"/>
  <c r="K1621" i="1" s="1"/>
  <c r="I1612" i="1"/>
  <c r="K1612" i="1" s="1"/>
  <c r="I1602" i="1"/>
  <c r="K1602" i="1" s="1"/>
  <c r="I1593" i="1"/>
  <c r="K1593" i="1" s="1"/>
  <c r="I1584" i="1"/>
  <c r="K1584" i="1" s="1"/>
  <c r="I1575" i="1"/>
  <c r="K1575" i="1" s="1"/>
  <c r="I1556" i="1"/>
  <c r="K1556" i="1" s="1"/>
  <c r="I1545" i="1"/>
  <c r="K1545" i="1" s="1"/>
  <c r="I1526" i="1"/>
  <c r="K1526" i="1" s="1"/>
  <c r="I1496" i="1"/>
  <c r="K1496" i="1" s="1"/>
  <c r="I1486" i="1"/>
  <c r="K1486" i="1" s="1"/>
  <c r="I1476" i="1"/>
  <c r="K1476" i="1" s="1"/>
  <c r="I1464" i="1"/>
  <c r="K1464" i="1" s="1"/>
  <c r="I1453" i="1"/>
  <c r="K1453" i="1" s="1"/>
  <c r="I1439" i="1"/>
  <c r="K1439" i="1" s="1"/>
  <c r="I1424" i="1"/>
  <c r="K1424" i="1" s="1"/>
  <c r="I1409" i="1"/>
  <c r="K1409" i="1" s="1"/>
  <c r="I1396" i="1"/>
  <c r="K1396" i="1" s="1"/>
  <c r="I1382" i="1"/>
  <c r="K1382" i="1" s="1"/>
  <c r="I1323" i="1"/>
  <c r="K1323" i="1" s="1"/>
  <c r="I1277" i="1"/>
  <c r="K1277" i="1" s="1"/>
  <c r="I1248" i="1"/>
  <c r="K1248" i="1" s="1"/>
  <c r="I1223" i="1"/>
  <c r="K1223" i="1" s="1"/>
  <c r="I1191" i="1"/>
  <c r="K1191" i="1" s="1"/>
  <c r="I1079" i="1"/>
  <c r="K1079" i="1" s="1"/>
  <c r="I1011" i="1"/>
  <c r="K1011" i="1" s="1"/>
  <c r="I652" i="1"/>
  <c r="K652" i="1" s="1"/>
  <c r="I1805" i="1"/>
  <c r="K1805" i="1" s="1"/>
  <c r="I1797" i="1"/>
  <c r="K1797" i="1" s="1"/>
  <c r="I1789" i="1"/>
  <c r="K1789" i="1" s="1"/>
  <c r="I1781" i="1"/>
  <c r="K1781" i="1" s="1"/>
  <c r="I1773" i="1"/>
  <c r="K1773" i="1" s="1"/>
  <c r="I1765" i="1"/>
  <c r="K1765" i="1" s="1"/>
  <c r="I1757" i="1"/>
  <c r="K1757" i="1" s="1"/>
  <c r="I1749" i="1"/>
  <c r="K1749" i="1" s="1"/>
  <c r="I1741" i="1"/>
  <c r="K1741" i="1" s="1"/>
  <c r="I1733" i="1"/>
  <c r="K1733" i="1" s="1"/>
  <c r="I1725" i="1"/>
  <c r="K1725" i="1" s="1"/>
  <c r="I1717" i="1"/>
  <c r="K1717" i="1" s="1"/>
  <c r="I1709" i="1"/>
  <c r="K1709" i="1" s="1"/>
  <c r="I1701" i="1"/>
  <c r="K1701" i="1" s="1"/>
  <c r="I1693" i="1"/>
  <c r="K1693" i="1" s="1"/>
  <c r="I1675" i="1"/>
  <c r="K1675" i="1" s="1"/>
  <c r="I1611" i="1"/>
  <c r="K1611" i="1" s="1"/>
  <c r="I1565" i="1"/>
  <c r="K1565" i="1" s="1"/>
  <c r="I1555" i="1"/>
  <c r="K1555" i="1" s="1"/>
  <c r="I1535" i="1"/>
  <c r="K1535" i="1" s="1"/>
  <c r="I1516" i="1"/>
  <c r="K1516" i="1" s="1"/>
  <c r="I1505" i="1"/>
  <c r="K1505" i="1" s="1"/>
  <c r="I1475" i="1"/>
  <c r="K1475" i="1" s="1"/>
  <c r="I1452" i="1"/>
  <c r="K1452" i="1" s="1"/>
  <c r="I1438" i="1"/>
  <c r="K1438" i="1" s="1"/>
  <c r="I1367" i="1"/>
  <c r="K1367" i="1" s="1"/>
  <c r="I1352" i="1"/>
  <c r="K1352" i="1" s="1"/>
  <c r="I1337" i="1"/>
  <c r="K1337" i="1" s="1"/>
  <c r="I1321" i="1"/>
  <c r="K1321" i="1" s="1"/>
  <c r="I1247" i="1"/>
  <c r="K1247" i="1" s="1"/>
  <c r="I1142" i="1"/>
  <c r="K1142" i="1" s="1"/>
  <c r="I1078" i="1"/>
  <c r="K1078" i="1" s="1"/>
  <c r="I1001" i="1"/>
  <c r="K1001" i="1" s="1"/>
  <c r="I820" i="1"/>
  <c r="K820" i="1" s="1"/>
  <c r="I612" i="1"/>
  <c r="K612" i="1" s="1"/>
  <c r="I1684" i="1"/>
  <c r="K1684" i="1" s="1"/>
  <c r="I1674" i="1"/>
  <c r="K1674" i="1" s="1"/>
  <c r="I1665" i="1"/>
  <c r="K1665" i="1" s="1"/>
  <c r="I1656" i="1"/>
  <c r="K1656" i="1" s="1"/>
  <c r="I1647" i="1"/>
  <c r="K1647" i="1" s="1"/>
  <c r="I1638" i="1"/>
  <c r="K1638" i="1" s="1"/>
  <c r="I1629" i="1"/>
  <c r="K1629" i="1" s="1"/>
  <c r="I1620" i="1"/>
  <c r="K1620" i="1" s="1"/>
  <c r="I1610" i="1"/>
  <c r="K1610" i="1" s="1"/>
  <c r="I1601" i="1"/>
  <c r="K1601" i="1" s="1"/>
  <c r="I1592" i="1"/>
  <c r="K1592" i="1" s="1"/>
  <c r="I1583" i="1"/>
  <c r="K1583" i="1" s="1"/>
  <c r="I1574" i="1"/>
  <c r="K1574" i="1" s="1"/>
  <c r="I1544" i="1"/>
  <c r="K1544" i="1" s="1"/>
  <c r="I1525" i="1"/>
  <c r="K1525" i="1" s="1"/>
  <c r="I1515" i="1"/>
  <c r="K1515" i="1" s="1"/>
  <c r="I1495" i="1"/>
  <c r="K1495" i="1" s="1"/>
  <c r="I1485" i="1"/>
  <c r="K1485" i="1" s="1"/>
  <c r="I1463" i="1"/>
  <c r="K1463" i="1" s="1"/>
  <c r="I1423" i="1"/>
  <c r="K1423" i="1" s="1"/>
  <c r="I1408" i="1"/>
  <c r="K1408" i="1" s="1"/>
  <c r="I1393" i="1"/>
  <c r="K1393" i="1" s="1"/>
  <c r="I1380" i="1"/>
  <c r="K1380" i="1" s="1"/>
  <c r="I1366" i="1"/>
  <c r="K1366" i="1" s="1"/>
  <c r="I1336" i="1"/>
  <c r="K1336" i="1" s="1"/>
  <c r="I1298" i="1"/>
  <c r="K1298" i="1" s="1"/>
  <c r="I1216" i="1"/>
  <c r="K1216" i="1" s="1"/>
  <c r="I1182" i="1"/>
  <c r="K1182" i="1" s="1"/>
  <c r="I1000" i="1"/>
  <c r="K1000" i="1" s="1"/>
  <c r="I799" i="1"/>
  <c r="K799" i="1" s="1"/>
  <c r="I611" i="1"/>
  <c r="K611" i="1" s="1"/>
  <c r="I1916" i="1"/>
  <c r="K1916" i="1" s="1"/>
  <c r="I1908" i="1"/>
  <c r="K1908" i="1" s="1"/>
  <c r="I1900" i="1"/>
  <c r="K1900" i="1" s="1"/>
  <c r="I1892" i="1"/>
  <c r="K1892" i="1" s="1"/>
  <c r="I1884" i="1"/>
  <c r="K1884" i="1" s="1"/>
  <c r="I1876" i="1"/>
  <c r="K1876" i="1" s="1"/>
  <c r="I1868" i="1"/>
  <c r="K1868" i="1" s="1"/>
  <c r="I1860" i="1"/>
  <c r="K1860" i="1" s="1"/>
  <c r="I1852" i="1"/>
  <c r="K1852" i="1" s="1"/>
  <c r="I1844" i="1"/>
  <c r="K1844" i="1" s="1"/>
  <c r="I1836" i="1"/>
  <c r="K1836" i="1" s="1"/>
  <c r="I1828" i="1"/>
  <c r="K1828" i="1" s="1"/>
  <c r="I1820" i="1"/>
  <c r="K1820" i="1" s="1"/>
  <c r="I1812" i="1"/>
  <c r="K1812" i="1" s="1"/>
  <c r="I1804" i="1"/>
  <c r="K1804" i="1" s="1"/>
  <c r="I1796" i="1"/>
  <c r="K1796" i="1" s="1"/>
  <c r="I1788" i="1"/>
  <c r="K1788" i="1" s="1"/>
  <c r="I1780" i="1"/>
  <c r="K1780" i="1" s="1"/>
  <c r="I1772" i="1"/>
  <c r="K1772" i="1" s="1"/>
  <c r="I1764" i="1"/>
  <c r="K1764" i="1" s="1"/>
  <c r="I1756" i="1"/>
  <c r="K1756" i="1" s="1"/>
  <c r="I1748" i="1"/>
  <c r="K1748" i="1" s="1"/>
  <c r="I1740" i="1"/>
  <c r="K1740" i="1" s="1"/>
  <c r="I1732" i="1"/>
  <c r="K1732" i="1" s="1"/>
  <c r="I1724" i="1"/>
  <c r="K1724" i="1" s="1"/>
  <c r="I1716" i="1"/>
  <c r="K1716" i="1" s="1"/>
  <c r="I1708" i="1"/>
  <c r="K1708" i="1" s="1"/>
  <c r="I1700" i="1"/>
  <c r="K1700" i="1" s="1"/>
  <c r="I1692" i="1"/>
  <c r="K1692" i="1" s="1"/>
  <c r="I1683" i="1"/>
  <c r="K1683" i="1" s="1"/>
  <c r="I1619" i="1"/>
  <c r="K1619" i="1" s="1"/>
  <c r="I1564" i="1"/>
  <c r="K1564" i="1" s="1"/>
  <c r="I1553" i="1"/>
  <c r="K1553" i="1" s="1"/>
  <c r="I1534" i="1"/>
  <c r="K1534" i="1" s="1"/>
  <c r="I1504" i="1"/>
  <c r="K1504" i="1" s="1"/>
  <c r="I1473" i="1"/>
  <c r="K1473" i="1" s="1"/>
  <c r="I1462" i="1"/>
  <c r="K1462" i="1" s="1"/>
  <c r="I1449" i="1"/>
  <c r="K1449" i="1" s="1"/>
  <c r="I1436" i="1"/>
  <c r="K1436" i="1" s="1"/>
  <c r="I1422" i="1"/>
  <c r="K1422" i="1" s="1"/>
  <c r="I1351" i="1"/>
  <c r="K1351" i="1" s="1"/>
  <c r="I1335" i="1"/>
  <c r="K1335" i="1" s="1"/>
  <c r="I1317" i="1"/>
  <c r="K1317" i="1" s="1"/>
  <c r="I1297" i="1"/>
  <c r="K1297" i="1" s="1"/>
  <c r="I1274" i="1"/>
  <c r="K1274" i="1" s="1"/>
  <c r="I1246" i="1"/>
  <c r="K1246" i="1" s="1"/>
  <c r="I1215" i="1"/>
  <c r="K1215" i="1" s="1"/>
  <c r="I1132" i="1"/>
  <c r="K1132" i="1" s="1"/>
  <c r="I1068" i="1"/>
  <c r="K1068" i="1" s="1"/>
  <c r="I999" i="1"/>
  <c r="K999" i="1" s="1"/>
  <c r="I793" i="1"/>
  <c r="K793" i="1" s="1"/>
  <c r="I598" i="1"/>
  <c r="K598" i="1" s="1"/>
  <c r="I1682" i="1"/>
  <c r="K1682" i="1" s="1"/>
  <c r="I1673" i="1"/>
  <c r="K1673" i="1" s="1"/>
  <c r="I1664" i="1"/>
  <c r="K1664" i="1" s="1"/>
  <c r="I1655" i="1"/>
  <c r="K1655" i="1" s="1"/>
  <c r="I1646" i="1"/>
  <c r="K1646" i="1" s="1"/>
  <c r="I1637" i="1"/>
  <c r="K1637" i="1" s="1"/>
  <c r="I1628" i="1"/>
  <c r="K1628" i="1" s="1"/>
  <c r="I1618" i="1"/>
  <c r="K1618" i="1" s="1"/>
  <c r="I1609" i="1"/>
  <c r="K1609" i="1" s="1"/>
  <c r="I1600" i="1"/>
  <c r="K1600" i="1" s="1"/>
  <c r="I1591" i="1"/>
  <c r="K1591" i="1" s="1"/>
  <c r="I1582" i="1"/>
  <c r="K1582" i="1" s="1"/>
  <c r="I1573" i="1"/>
  <c r="K1573" i="1" s="1"/>
  <c r="I1563" i="1"/>
  <c r="K1563" i="1" s="1"/>
  <c r="I1543" i="1"/>
  <c r="K1543" i="1" s="1"/>
  <c r="I1524" i="1"/>
  <c r="K1524" i="1" s="1"/>
  <c r="I1513" i="1"/>
  <c r="K1513" i="1" s="1"/>
  <c r="I1494" i="1"/>
  <c r="K1494" i="1" s="1"/>
  <c r="I1484" i="1"/>
  <c r="K1484" i="1" s="1"/>
  <c r="I1407" i="1"/>
  <c r="K1407" i="1" s="1"/>
  <c r="I1392" i="1"/>
  <c r="K1392" i="1" s="1"/>
  <c r="I1377" i="1"/>
  <c r="K1377" i="1" s="1"/>
  <c r="I1364" i="1"/>
  <c r="K1364" i="1" s="1"/>
  <c r="I1350" i="1"/>
  <c r="K1350" i="1" s="1"/>
  <c r="I1296" i="1"/>
  <c r="K1296" i="1" s="1"/>
  <c r="I1245" i="1"/>
  <c r="K1245" i="1" s="1"/>
  <c r="I1181" i="1"/>
  <c r="K1181" i="1" s="1"/>
  <c r="I1067" i="1"/>
  <c r="K1067" i="1" s="1"/>
  <c r="I986" i="1"/>
  <c r="K986" i="1" s="1"/>
  <c r="I532" i="1"/>
  <c r="K532" i="1" s="1"/>
  <c r="I1891" i="1"/>
  <c r="K1891" i="1" s="1"/>
  <c r="I1883" i="1"/>
  <c r="K1883" i="1" s="1"/>
  <c r="I1875" i="1"/>
  <c r="K1875" i="1" s="1"/>
  <c r="I1867" i="1"/>
  <c r="K1867" i="1" s="1"/>
  <c r="I1859" i="1"/>
  <c r="K1859" i="1" s="1"/>
  <c r="I1851" i="1"/>
  <c r="K1851" i="1" s="1"/>
  <c r="I1843" i="1"/>
  <c r="K1843" i="1" s="1"/>
  <c r="I1835" i="1"/>
  <c r="K1835" i="1" s="1"/>
  <c r="I1827" i="1"/>
  <c r="K1827" i="1" s="1"/>
  <c r="I1819" i="1"/>
  <c r="K1819" i="1" s="1"/>
  <c r="I1811" i="1"/>
  <c r="K1811" i="1" s="1"/>
  <c r="I1803" i="1"/>
  <c r="K1803" i="1" s="1"/>
  <c r="I1795" i="1"/>
  <c r="K1795" i="1" s="1"/>
  <c r="I1787" i="1"/>
  <c r="K1787" i="1" s="1"/>
  <c r="I1779" i="1"/>
  <c r="K1779" i="1" s="1"/>
  <c r="I1771" i="1"/>
  <c r="K1771" i="1" s="1"/>
  <c r="I1763" i="1"/>
  <c r="K1763" i="1" s="1"/>
  <c r="I1755" i="1"/>
  <c r="K1755" i="1" s="1"/>
  <c r="I1747" i="1"/>
  <c r="K1747" i="1" s="1"/>
  <c r="I1739" i="1"/>
  <c r="K1739" i="1" s="1"/>
  <c r="I1731" i="1"/>
  <c r="K1731" i="1" s="1"/>
  <c r="I1723" i="1"/>
  <c r="K1723" i="1" s="1"/>
  <c r="I1715" i="1"/>
  <c r="K1715" i="1" s="1"/>
  <c r="I1707" i="1"/>
  <c r="K1707" i="1" s="1"/>
  <c r="I1699" i="1"/>
  <c r="K1699" i="1" s="1"/>
  <c r="I1691" i="1"/>
  <c r="K1691" i="1" s="1"/>
  <c r="I1627" i="1"/>
  <c r="K1627" i="1" s="1"/>
  <c r="I1552" i="1"/>
  <c r="K1552" i="1" s="1"/>
  <c r="I1533" i="1"/>
  <c r="K1533" i="1" s="1"/>
  <c r="I1523" i="1"/>
  <c r="K1523" i="1" s="1"/>
  <c r="I1503" i="1"/>
  <c r="K1503" i="1" s="1"/>
  <c r="I1483" i="1"/>
  <c r="K1483" i="1" s="1"/>
  <c r="I1472" i="1"/>
  <c r="K1472" i="1" s="1"/>
  <c r="I1461" i="1"/>
  <c r="K1461" i="1" s="1"/>
  <c r="I1448" i="1"/>
  <c r="K1448" i="1" s="1"/>
  <c r="I1433" i="1"/>
  <c r="K1433" i="1" s="1"/>
  <c r="I1420" i="1"/>
  <c r="K1420" i="1" s="1"/>
  <c r="I1406" i="1"/>
  <c r="K1406" i="1" s="1"/>
  <c r="I1334" i="1"/>
  <c r="K1334" i="1" s="1"/>
  <c r="I1316" i="1"/>
  <c r="K1316" i="1" s="1"/>
  <c r="I1268" i="1"/>
  <c r="K1268" i="1" s="1"/>
  <c r="I1214" i="1"/>
  <c r="K1214" i="1" s="1"/>
  <c r="I1180" i="1"/>
  <c r="K1180" i="1" s="1"/>
  <c r="I1131" i="1"/>
  <c r="K1131" i="1" s="1"/>
  <c r="I1054" i="1"/>
  <c r="K1054" i="1" s="1"/>
  <c r="I772" i="1"/>
  <c r="K772" i="1" s="1"/>
  <c r="I529" i="1"/>
  <c r="K529" i="1" s="1"/>
  <c r="I1690" i="1"/>
  <c r="K1690" i="1" s="1"/>
  <c r="I1681" i="1"/>
  <c r="K1681" i="1" s="1"/>
  <c r="I1672" i="1"/>
  <c r="K1672" i="1" s="1"/>
  <c r="I1663" i="1"/>
  <c r="K1663" i="1" s="1"/>
  <c r="I1654" i="1"/>
  <c r="K1654" i="1" s="1"/>
  <c r="I1645" i="1"/>
  <c r="K1645" i="1" s="1"/>
  <c r="I1636" i="1"/>
  <c r="K1636" i="1" s="1"/>
  <c r="I1626" i="1"/>
  <c r="K1626" i="1" s="1"/>
  <c r="I1617" i="1"/>
  <c r="K1617" i="1" s="1"/>
  <c r="I1608" i="1"/>
  <c r="K1608" i="1" s="1"/>
  <c r="I1599" i="1"/>
  <c r="K1599" i="1" s="1"/>
  <c r="I1590" i="1"/>
  <c r="K1590" i="1" s="1"/>
  <c r="I1581" i="1"/>
  <c r="K1581" i="1" s="1"/>
  <c r="I1572" i="1"/>
  <c r="K1572" i="1" s="1"/>
  <c r="I1561" i="1"/>
  <c r="K1561" i="1" s="1"/>
  <c r="I1542" i="1"/>
  <c r="K1542" i="1" s="1"/>
  <c r="I1512" i="1"/>
  <c r="K1512" i="1" s="1"/>
  <c r="I1493" i="1"/>
  <c r="K1493" i="1" s="1"/>
  <c r="I1460" i="1"/>
  <c r="K1460" i="1" s="1"/>
  <c r="I1391" i="1"/>
  <c r="K1391" i="1" s="1"/>
  <c r="I1376" i="1"/>
  <c r="K1376" i="1" s="1"/>
  <c r="I1361" i="1"/>
  <c r="K1361" i="1" s="1"/>
  <c r="I1348" i="1"/>
  <c r="K1348" i="1" s="1"/>
  <c r="I1333" i="1"/>
  <c r="K1333" i="1" s="1"/>
  <c r="I1213" i="1"/>
  <c r="K1213" i="1" s="1"/>
  <c r="I984" i="1"/>
  <c r="K984" i="1" s="1"/>
  <c r="I771" i="1"/>
  <c r="K771" i="1" s="1"/>
  <c r="I1938" i="1"/>
  <c r="K1938" i="1" s="1"/>
  <c r="I1930" i="1"/>
  <c r="K1930" i="1" s="1"/>
  <c r="I1922" i="1"/>
  <c r="K1922" i="1" s="1"/>
  <c r="I1914" i="1"/>
  <c r="K1914" i="1" s="1"/>
  <c r="I1906" i="1"/>
  <c r="K1906" i="1" s="1"/>
  <c r="I1898" i="1"/>
  <c r="K1898" i="1" s="1"/>
  <c r="I1890" i="1"/>
  <c r="K1890" i="1" s="1"/>
  <c r="I1882" i="1"/>
  <c r="K1882" i="1" s="1"/>
  <c r="I1874" i="1"/>
  <c r="K1874" i="1" s="1"/>
  <c r="I1866" i="1"/>
  <c r="K1866" i="1" s="1"/>
  <c r="I1858" i="1"/>
  <c r="K1858" i="1" s="1"/>
  <c r="I1850" i="1"/>
  <c r="K1850" i="1" s="1"/>
  <c r="I1842" i="1"/>
  <c r="K1842" i="1" s="1"/>
  <c r="I1834" i="1"/>
  <c r="K1834" i="1" s="1"/>
  <c r="I1826" i="1"/>
  <c r="K1826" i="1" s="1"/>
  <c r="I1818" i="1"/>
  <c r="K1818" i="1" s="1"/>
  <c r="I1810" i="1"/>
  <c r="K1810" i="1" s="1"/>
  <c r="I1802" i="1"/>
  <c r="K1802" i="1" s="1"/>
  <c r="I1794" i="1"/>
  <c r="K1794" i="1" s="1"/>
  <c r="I1786" i="1"/>
  <c r="K1786" i="1" s="1"/>
  <c r="I1778" i="1"/>
  <c r="K1778" i="1" s="1"/>
  <c r="I1770" i="1"/>
  <c r="K1770" i="1" s="1"/>
  <c r="I1762" i="1"/>
  <c r="K1762" i="1" s="1"/>
  <c r="I1754" i="1"/>
  <c r="K1754" i="1" s="1"/>
  <c r="I1746" i="1"/>
  <c r="K1746" i="1" s="1"/>
  <c r="I1738" i="1"/>
  <c r="K1738" i="1" s="1"/>
  <c r="I1730" i="1"/>
  <c r="K1730" i="1" s="1"/>
  <c r="I1722" i="1"/>
  <c r="K1722" i="1" s="1"/>
  <c r="I1714" i="1"/>
  <c r="K1714" i="1" s="1"/>
  <c r="I1706" i="1"/>
  <c r="K1706" i="1" s="1"/>
  <c r="I1698" i="1"/>
  <c r="K1698" i="1" s="1"/>
  <c r="I1635" i="1"/>
  <c r="K1635" i="1" s="1"/>
  <c r="I1571" i="1"/>
  <c r="K1571" i="1" s="1"/>
  <c r="I1551" i="1"/>
  <c r="K1551" i="1" s="1"/>
  <c r="I1532" i="1"/>
  <c r="K1532" i="1" s="1"/>
  <c r="I1521" i="1"/>
  <c r="K1521" i="1" s="1"/>
  <c r="I1502" i="1"/>
  <c r="K1502" i="1" s="1"/>
  <c r="I1481" i="1"/>
  <c r="K1481" i="1" s="1"/>
  <c r="I1471" i="1"/>
  <c r="K1471" i="1" s="1"/>
  <c r="I1459" i="1"/>
  <c r="K1459" i="1" s="1"/>
  <c r="I1447" i="1"/>
  <c r="K1447" i="1" s="1"/>
  <c r="I1432" i="1"/>
  <c r="K1432" i="1" s="1"/>
  <c r="I1417" i="1"/>
  <c r="K1417" i="1" s="1"/>
  <c r="I1404" i="1"/>
  <c r="K1404" i="1" s="1"/>
  <c r="I1390" i="1"/>
  <c r="K1390" i="1" s="1"/>
  <c r="I1315" i="1"/>
  <c r="K1315" i="1" s="1"/>
  <c r="I1293" i="1"/>
  <c r="K1293" i="1" s="1"/>
  <c r="I1267" i="1"/>
  <c r="K1267" i="1" s="1"/>
  <c r="I1237" i="1"/>
  <c r="K1237" i="1" s="1"/>
  <c r="I1171" i="1"/>
  <c r="K1171" i="1" s="1"/>
  <c r="I1118" i="1"/>
  <c r="K1118" i="1" s="1"/>
  <c r="I764" i="1"/>
  <c r="K764" i="1" s="1"/>
  <c r="I1689" i="1"/>
  <c r="K1689" i="1" s="1"/>
  <c r="I1680" i="1"/>
  <c r="K1680" i="1" s="1"/>
  <c r="I1671" i="1"/>
  <c r="K1671" i="1" s="1"/>
  <c r="I1662" i="1"/>
  <c r="K1662" i="1" s="1"/>
  <c r="I1653" i="1"/>
  <c r="K1653" i="1" s="1"/>
  <c r="I1644" i="1"/>
  <c r="K1644" i="1" s="1"/>
  <c r="I1634" i="1"/>
  <c r="K1634" i="1" s="1"/>
  <c r="I1625" i="1"/>
  <c r="K1625" i="1" s="1"/>
  <c r="I1616" i="1"/>
  <c r="K1616" i="1" s="1"/>
  <c r="I1607" i="1"/>
  <c r="K1607" i="1" s="1"/>
  <c r="I1598" i="1"/>
  <c r="K1598" i="1" s="1"/>
  <c r="I1589" i="1"/>
  <c r="K1589" i="1" s="1"/>
  <c r="I1580" i="1"/>
  <c r="K1580" i="1" s="1"/>
  <c r="I1560" i="1"/>
  <c r="K1560" i="1" s="1"/>
  <c r="I1541" i="1"/>
  <c r="K1541" i="1" s="1"/>
  <c r="I1531" i="1"/>
  <c r="K1531" i="1" s="1"/>
  <c r="I1511" i="1"/>
  <c r="K1511" i="1" s="1"/>
  <c r="I1492" i="1"/>
  <c r="K1492" i="1" s="1"/>
  <c r="I1470" i="1"/>
  <c r="K1470" i="1" s="1"/>
  <c r="I1446" i="1"/>
  <c r="K1446" i="1" s="1"/>
  <c r="I1375" i="1"/>
  <c r="K1375" i="1" s="1"/>
  <c r="I1360" i="1"/>
  <c r="K1360" i="1" s="1"/>
  <c r="I1345" i="1"/>
  <c r="K1345" i="1" s="1"/>
  <c r="I1331" i="1"/>
  <c r="K1331" i="1" s="1"/>
  <c r="I1314" i="1"/>
  <c r="K1314" i="1" s="1"/>
  <c r="I1288" i="1"/>
  <c r="K1288" i="1" s="1"/>
  <c r="I1266" i="1"/>
  <c r="K1266" i="1" s="1"/>
  <c r="I1205" i="1"/>
  <c r="K1205" i="1" s="1"/>
  <c r="I1170" i="1"/>
  <c r="K1170" i="1" s="1"/>
  <c r="I1117" i="1"/>
  <c r="K1117" i="1" s="1"/>
  <c r="I881" i="1"/>
  <c r="K881" i="1" s="1"/>
  <c r="I2049" i="1"/>
  <c r="K2049" i="1" s="1"/>
  <c r="I2041" i="1"/>
  <c r="K2041" i="1" s="1"/>
  <c r="I2033" i="1"/>
  <c r="K2033" i="1" s="1"/>
  <c r="I2025" i="1"/>
  <c r="K2025" i="1" s="1"/>
  <c r="I2017" i="1"/>
  <c r="K2017" i="1" s="1"/>
  <c r="I2009" i="1"/>
  <c r="K2009" i="1" s="1"/>
  <c r="I2001" i="1"/>
  <c r="K2001" i="1" s="1"/>
  <c r="I1993" i="1"/>
  <c r="K1993" i="1" s="1"/>
  <c r="I1985" i="1"/>
  <c r="K1985" i="1" s="1"/>
  <c r="I1977" i="1"/>
  <c r="K1977" i="1" s="1"/>
  <c r="I1969" i="1"/>
  <c r="K1969" i="1" s="1"/>
  <c r="I1961" i="1"/>
  <c r="K1961" i="1" s="1"/>
  <c r="I1953" i="1"/>
  <c r="K1953" i="1" s="1"/>
  <c r="I1945" i="1"/>
  <c r="K1945" i="1" s="1"/>
  <c r="I1937" i="1"/>
  <c r="K1937" i="1" s="1"/>
  <c r="I1929" i="1"/>
  <c r="K1929" i="1" s="1"/>
  <c r="I1921" i="1"/>
  <c r="K1921" i="1" s="1"/>
  <c r="I1913" i="1"/>
  <c r="K1913" i="1" s="1"/>
  <c r="I1905" i="1"/>
  <c r="K1905" i="1" s="1"/>
  <c r="I1897" i="1"/>
  <c r="K1897" i="1" s="1"/>
  <c r="I1889" i="1"/>
  <c r="K1889" i="1" s="1"/>
  <c r="I1881" i="1"/>
  <c r="K1881" i="1" s="1"/>
  <c r="I1873" i="1"/>
  <c r="K1873" i="1" s="1"/>
  <c r="I1865" i="1"/>
  <c r="K1865" i="1" s="1"/>
  <c r="I1857" i="1"/>
  <c r="K1857" i="1" s="1"/>
  <c r="I1849" i="1"/>
  <c r="K1849" i="1" s="1"/>
  <c r="I1841" i="1"/>
  <c r="K1841" i="1" s="1"/>
  <c r="I1833" i="1"/>
  <c r="K1833" i="1" s="1"/>
  <c r="I1825" i="1"/>
  <c r="K1825" i="1" s="1"/>
  <c r="I1817" i="1"/>
  <c r="K1817" i="1" s="1"/>
  <c r="I1809" i="1"/>
  <c r="K1809" i="1" s="1"/>
  <c r="I1801" i="1"/>
  <c r="K1801" i="1" s="1"/>
  <c r="I1793" i="1"/>
  <c r="K1793" i="1" s="1"/>
  <c r="I1785" i="1"/>
  <c r="K1785" i="1" s="1"/>
  <c r="I1777" i="1"/>
  <c r="K1777" i="1" s="1"/>
  <c r="I1769" i="1"/>
  <c r="K1769" i="1" s="1"/>
  <c r="I1761" i="1"/>
  <c r="K1761" i="1" s="1"/>
  <c r="I1753" i="1"/>
  <c r="K1753" i="1" s="1"/>
  <c r="I1745" i="1"/>
  <c r="K1745" i="1" s="1"/>
  <c r="I1737" i="1"/>
  <c r="K1737" i="1" s="1"/>
  <c r="I1729" i="1"/>
  <c r="K1729" i="1" s="1"/>
  <c r="I1721" i="1"/>
  <c r="K1721" i="1" s="1"/>
  <c r="I1713" i="1"/>
  <c r="K1713" i="1" s="1"/>
  <c r="I1705" i="1"/>
  <c r="K1705" i="1" s="1"/>
  <c r="I1697" i="1"/>
  <c r="K1697" i="1" s="1"/>
  <c r="I1643" i="1"/>
  <c r="K1643" i="1" s="1"/>
  <c r="I1579" i="1"/>
  <c r="K1579" i="1" s="1"/>
  <c r="I1569" i="1"/>
  <c r="K1569" i="1" s="1"/>
  <c r="I1550" i="1"/>
  <c r="K1550" i="1" s="1"/>
  <c r="I1520" i="1"/>
  <c r="K1520" i="1" s="1"/>
  <c r="I1501" i="1"/>
  <c r="K1501" i="1" s="1"/>
  <c r="I1491" i="1"/>
  <c r="K1491" i="1" s="1"/>
  <c r="I1480" i="1"/>
  <c r="K1480" i="1" s="1"/>
  <c r="I1457" i="1"/>
  <c r="K1457" i="1" s="1"/>
  <c r="I1431" i="1"/>
  <c r="K1431" i="1" s="1"/>
  <c r="I1416" i="1"/>
  <c r="K1416" i="1" s="1"/>
  <c r="I1401" i="1"/>
  <c r="K1401" i="1" s="1"/>
  <c r="I1388" i="1"/>
  <c r="K1388" i="1" s="1"/>
  <c r="I1374" i="1"/>
  <c r="K1374" i="1" s="1"/>
  <c r="I1327" i="1"/>
  <c r="K1327" i="1" s="1"/>
  <c r="I1313" i="1"/>
  <c r="K1313" i="1" s="1"/>
  <c r="I1287" i="1"/>
  <c r="K1287" i="1" s="1"/>
  <c r="I1263" i="1"/>
  <c r="K1263" i="1" s="1"/>
  <c r="I1236" i="1"/>
  <c r="K1236" i="1" s="1"/>
  <c r="I1167" i="1"/>
  <c r="K1167" i="1" s="1"/>
  <c r="I1042" i="1"/>
  <c r="K1042" i="1" s="1"/>
  <c r="I969" i="1"/>
  <c r="K969" i="1" s="1"/>
  <c r="I742" i="1"/>
  <c r="K742" i="1" s="1"/>
  <c r="I1106" i="1"/>
  <c r="K1106" i="1" s="1"/>
  <c r="I1053" i="1"/>
  <c r="K1053" i="1" s="1"/>
  <c r="I1041" i="1"/>
  <c r="K1041" i="1" s="1"/>
  <c r="I985" i="1"/>
  <c r="K985" i="1" s="1"/>
  <c r="I952" i="1"/>
  <c r="K952" i="1" s="1"/>
  <c r="I935" i="1"/>
  <c r="K935" i="1" s="1"/>
  <c r="I918" i="1"/>
  <c r="K918" i="1" s="1"/>
  <c r="I901" i="1"/>
  <c r="K901" i="1" s="1"/>
  <c r="I862" i="1"/>
  <c r="K862" i="1" s="1"/>
  <c r="I821" i="1"/>
  <c r="K821" i="1" s="1"/>
  <c r="I792" i="1"/>
  <c r="K792" i="1" s="1"/>
  <c r="I741" i="1"/>
  <c r="K741" i="1" s="1"/>
  <c r="I599" i="1"/>
  <c r="K599" i="1" s="1"/>
  <c r="I376" i="1"/>
  <c r="K376" i="1" s="1"/>
  <c r="I1306" i="1"/>
  <c r="K1306" i="1" s="1"/>
  <c r="I1295" i="1"/>
  <c r="K1295" i="1" s="1"/>
  <c r="I1276" i="1"/>
  <c r="K1276" i="1" s="1"/>
  <c r="I1256" i="1"/>
  <c r="K1256" i="1" s="1"/>
  <c r="I1224" i="1"/>
  <c r="K1224" i="1" s="1"/>
  <c r="I1192" i="1"/>
  <c r="K1192" i="1" s="1"/>
  <c r="I1130" i="1"/>
  <c r="K1130" i="1" s="1"/>
  <c r="I1066" i="1"/>
  <c r="K1066" i="1" s="1"/>
  <c r="I1052" i="1"/>
  <c r="K1052" i="1" s="1"/>
  <c r="I1037" i="1"/>
  <c r="K1037" i="1" s="1"/>
  <c r="I998" i="1"/>
  <c r="K998" i="1" s="1"/>
  <c r="I968" i="1"/>
  <c r="K968" i="1" s="1"/>
  <c r="I951" i="1"/>
  <c r="K951" i="1" s="1"/>
  <c r="I934" i="1"/>
  <c r="K934" i="1" s="1"/>
  <c r="I917" i="1"/>
  <c r="K917" i="1" s="1"/>
  <c r="I900" i="1"/>
  <c r="K900" i="1" s="1"/>
  <c r="I880" i="1"/>
  <c r="K880" i="1" s="1"/>
  <c r="I861" i="1"/>
  <c r="K861" i="1" s="1"/>
  <c r="I840" i="1"/>
  <c r="K840" i="1" s="1"/>
  <c r="I791" i="1"/>
  <c r="K791" i="1" s="1"/>
  <c r="I651" i="1"/>
  <c r="K651" i="1" s="1"/>
  <c r="I597" i="1"/>
  <c r="K597" i="1" s="1"/>
  <c r="I507" i="1"/>
  <c r="K507" i="1" s="1"/>
  <c r="I339" i="1"/>
  <c r="K339" i="1" s="1"/>
  <c r="I1166" i="1"/>
  <c r="K1166" i="1" s="1"/>
  <c r="I1155" i="1"/>
  <c r="K1155" i="1" s="1"/>
  <c r="I1141" i="1"/>
  <c r="K1141" i="1" s="1"/>
  <c r="I1127" i="1"/>
  <c r="K1127" i="1" s="1"/>
  <c r="I1116" i="1"/>
  <c r="K1116" i="1" s="1"/>
  <c r="I1102" i="1"/>
  <c r="K1102" i="1" s="1"/>
  <c r="I1091" i="1"/>
  <c r="K1091" i="1" s="1"/>
  <c r="I1077" i="1"/>
  <c r="K1077" i="1" s="1"/>
  <c r="I1063" i="1"/>
  <c r="K1063" i="1" s="1"/>
  <c r="I1025" i="1"/>
  <c r="K1025" i="1" s="1"/>
  <c r="I1010" i="1"/>
  <c r="K1010" i="1" s="1"/>
  <c r="I995" i="1"/>
  <c r="K995" i="1" s="1"/>
  <c r="I983" i="1"/>
  <c r="K983" i="1" s="1"/>
  <c r="I839" i="1"/>
  <c r="K839" i="1" s="1"/>
  <c r="I813" i="1"/>
  <c r="K813" i="1" s="1"/>
  <c r="I790" i="1"/>
  <c r="K790" i="1" s="1"/>
  <c r="I763" i="1"/>
  <c r="K763" i="1" s="1"/>
  <c r="I733" i="1"/>
  <c r="K733" i="1" s="1"/>
  <c r="I701" i="1"/>
  <c r="K701" i="1" s="1"/>
  <c r="I491" i="1"/>
  <c r="K491" i="1" s="1"/>
  <c r="I1324" i="1"/>
  <c r="K1324" i="1" s="1"/>
  <c r="I1304" i="1"/>
  <c r="K1304" i="1" s="1"/>
  <c r="I1294" i="1"/>
  <c r="K1294" i="1" s="1"/>
  <c r="I1275" i="1"/>
  <c r="K1275" i="1" s="1"/>
  <c r="I1265" i="1"/>
  <c r="K1265" i="1" s="1"/>
  <c r="I1154" i="1"/>
  <c r="K1154" i="1" s="1"/>
  <c r="I1090" i="1"/>
  <c r="K1090" i="1" s="1"/>
  <c r="I1051" i="1"/>
  <c r="K1051" i="1" s="1"/>
  <c r="I1036" i="1"/>
  <c r="K1036" i="1" s="1"/>
  <c r="I967" i="1"/>
  <c r="K967" i="1" s="1"/>
  <c r="I950" i="1"/>
  <c r="K950" i="1" s="1"/>
  <c r="I933" i="1"/>
  <c r="K933" i="1" s="1"/>
  <c r="I916" i="1"/>
  <c r="K916" i="1" s="1"/>
  <c r="I899" i="1"/>
  <c r="K899" i="1" s="1"/>
  <c r="I879" i="1"/>
  <c r="K879" i="1" s="1"/>
  <c r="I860" i="1"/>
  <c r="K860" i="1" s="1"/>
  <c r="I692" i="1"/>
  <c r="K692" i="1" s="1"/>
  <c r="I586" i="1"/>
  <c r="K586" i="1" s="1"/>
  <c r="I1284" i="1"/>
  <c r="K1284" i="1" s="1"/>
  <c r="I1264" i="1"/>
  <c r="K1264" i="1" s="1"/>
  <c r="I1254" i="1"/>
  <c r="K1254" i="1" s="1"/>
  <c r="I1244" i="1"/>
  <c r="K1244" i="1" s="1"/>
  <c r="I1234" i="1"/>
  <c r="K1234" i="1" s="1"/>
  <c r="I1222" i="1"/>
  <c r="K1222" i="1" s="1"/>
  <c r="I1212" i="1"/>
  <c r="K1212" i="1" s="1"/>
  <c r="I1202" i="1"/>
  <c r="K1202" i="1" s="1"/>
  <c r="I1190" i="1"/>
  <c r="K1190" i="1" s="1"/>
  <c r="I1179" i="1"/>
  <c r="K1179" i="1" s="1"/>
  <c r="I1165" i="1"/>
  <c r="K1165" i="1" s="1"/>
  <c r="I1151" i="1"/>
  <c r="K1151" i="1" s="1"/>
  <c r="I1140" i="1"/>
  <c r="K1140" i="1" s="1"/>
  <c r="I1126" i="1"/>
  <c r="K1126" i="1" s="1"/>
  <c r="I1115" i="1"/>
  <c r="K1115" i="1" s="1"/>
  <c r="I1101" i="1"/>
  <c r="K1101" i="1" s="1"/>
  <c r="I1087" i="1"/>
  <c r="K1087" i="1" s="1"/>
  <c r="I1076" i="1"/>
  <c r="K1076" i="1" s="1"/>
  <c r="I1062" i="1"/>
  <c r="K1062" i="1" s="1"/>
  <c r="I1009" i="1"/>
  <c r="K1009" i="1" s="1"/>
  <c r="I994" i="1"/>
  <c r="K994" i="1" s="1"/>
  <c r="I982" i="1"/>
  <c r="K982" i="1" s="1"/>
  <c r="I898" i="1"/>
  <c r="K898" i="1" s="1"/>
  <c r="I812" i="1"/>
  <c r="K812" i="1" s="1"/>
  <c r="I783" i="1"/>
  <c r="K783" i="1" s="1"/>
  <c r="I760" i="1"/>
  <c r="K760" i="1" s="1"/>
  <c r="I691" i="1"/>
  <c r="K691" i="1" s="1"/>
  <c r="I637" i="1"/>
  <c r="K637" i="1" s="1"/>
  <c r="I585" i="1"/>
  <c r="K585" i="1" s="1"/>
  <c r="I1200" i="1"/>
  <c r="K1200" i="1" s="1"/>
  <c r="I1178" i="1"/>
  <c r="K1178" i="1" s="1"/>
  <c r="I1114" i="1"/>
  <c r="K1114" i="1" s="1"/>
  <c r="I1035" i="1"/>
  <c r="K1035" i="1" s="1"/>
  <c r="I1020" i="1"/>
  <c r="K1020" i="1" s="1"/>
  <c r="I1008" i="1"/>
  <c r="K1008" i="1" s="1"/>
  <c r="I981" i="1"/>
  <c r="K981" i="1" s="1"/>
  <c r="I966" i="1"/>
  <c r="K966" i="1" s="1"/>
  <c r="I949" i="1"/>
  <c r="K949" i="1" s="1"/>
  <c r="I932" i="1"/>
  <c r="K932" i="1" s="1"/>
  <c r="I915" i="1"/>
  <c r="K915" i="1" s="1"/>
  <c r="I878" i="1"/>
  <c r="K878" i="1" s="1"/>
  <c r="I859" i="1"/>
  <c r="K859" i="1" s="1"/>
  <c r="I832" i="1"/>
  <c r="K832" i="1" s="1"/>
  <c r="I584" i="1"/>
  <c r="K584" i="1" s="1"/>
  <c r="I467" i="1"/>
  <c r="K467" i="1" s="1"/>
  <c r="I1445" i="1"/>
  <c r="K1445" i="1" s="1"/>
  <c r="I1437" i="1"/>
  <c r="K1437" i="1" s="1"/>
  <c r="I1429" i="1"/>
  <c r="K1429" i="1" s="1"/>
  <c r="I1421" i="1"/>
  <c r="K1421" i="1" s="1"/>
  <c r="I1413" i="1"/>
  <c r="K1413" i="1" s="1"/>
  <c r="I1405" i="1"/>
  <c r="K1405" i="1" s="1"/>
  <c r="I1397" i="1"/>
  <c r="K1397" i="1" s="1"/>
  <c r="I1389" i="1"/>
  <c r="K1389" i="1" s="1"/>
  <c r="I1381" i="1"/>
  <c r="K1381" i="1" s="1"/>
  <c r="I1373" i="1"/>
  <c r="K1373" i="1" s="1"/>
  <c r="I1365" i="1"/>
  <c r="K1365" i="1" s="1"/>
  <c r="I1357" i="1"/>
  <c r="K1357" i="1" s="1"/>
  <c r="I1349" i="1"/>
  <c r="K1349" i="1" s="1"/>
  <c r="I1341" i="1"/>
  <c r="K1341" i="1" s="1"/>
  <c r="I1332" i="1"/>
  <c r="K1332" i="1" s="1"/>
  <c r="I1312" i="1"/>
  <c r="K1312" i="1" s="1"/>
  <c r="I1302" i="1"/>
  <c r="K1302" i="1" s="1"/>
  <c r="I1283" i="1"/>
  <c r="K1283" i="1" s="1"/>
  <c r="I1273" i="1"/>
  <c r="K1273" i="1" s="1"/>
  <c r="I1253" i="1"/>
  <c r="K1253" i="1" s="1"/>
  <c r="I1243" i="1"/>
  <c r="K1243" i="1" s="1"/>
  <c r="I1231" i="1"/>
  <c r="K1231" i="1" s="1"/>
  <c r="I1221" i="1"/>
  <c r="K1221" i="1" s="1"/>
  <c r="I1211" i="1"/>
  <c r="K1211" i="1" s="1"/>
  <c r="I1199" i="1"/>
  <c r="K1199" i="1" s="1"/>
  <c r="I1189" i="1"/>
  <c r="K1189" i="1" s="1"/>
  <c r="I1175" i="1"/>
  <c r="K1175" i="1" s="1"/>
  <c r="I1164" i="1"/>
  <c r="K1164" i="1" s="1"/>
  <c r="I1150" i="1"/>
  <c r="K1150" i="1" s="1"/>
  <c r="I1139" i="1"/>
  <c r="K1139" i="1" s="1"/>
  <c r="I1125" i="1"/>
  <c r="K1125" i="1" s="1"/>
  <c r="I1111" i="1"/>
  <c r="K1111" i="1" s="1"/>
  <c r="I1100" i="1"/>
  <c r="K1100" i="1" s="1"/>
  <c r="I1086" i="1"/>
  <c r="K1086" i="1" s="1"/>
  <c r="I1075" i="1"/>
  <c r="K1075" i="1" s="1"/>
  <c r="I1061" i="1"/>
  <c r="K1061" i="1" s="1"/>
  <c r="I1046" i="1"/>
  <c r="K1046" i="1" s="1"/>
  <c r="I993" i="1"/>
  <c r="K993" i="1" s="1"/>
  <c r="I978" i="1"/>
  <c r="K978" i="1" s="1"/>
  <c r="I965" i="1"/>
  <c r="K965" i="1" s="1"/>
  <c r="I948" i="1"/>
  <c r="K948" i="1" s="1"/>
  <c r="I931" i="1"/>
  <c r="K931" i="1" s="1"/>
  <c r="I914" i="1"/>
  <c r="K914" i="1" s="1"/>
  <c r="I896" i="1"/>
  <c r="K896" i="1" s="1"/>
  <c r="I877" i="1"/>
  <c r="K877" i="1" s="1"/>
  <c r="I857" i="1"/>
  <c r="K857" i="1" s="1"/>
  <c r="I782" i="1"/>
  <c r="K782" i="1" s="1"/>
  <c r="I724" i="1"/>
  <c r="K724" i="1" s="1"/>
  <c r="I690" i="1"/>
  <c r="K690" i="1" s="1"/>
  <c r="I636" i="1"/>
  <c r="K636" i="1" s="1"/>
  <c r="I1322" i="1"/>
  <c r="K1322" i="1" s="1"/>
  <c r="I1311" i="1"/>
  <c r="K1311" i="1" s="1"/>
  <c r="I1292" i="1"/>
  <c r="K1292" i="1" s="1"/>
  <c r="I1272" i="1"/>
  <c r="K1272" i="1" s="1"/>
  <c r="I1262" i="1"/>
  <c r="K1262" i="1" s="1"/>
  <c r="I1138" i="1"/>
  <c r="K1138" i="1" s="1"/>
  <c r="I1074" i="1"/>
  <c r="K1074" i="1" s="1"/>
  <c r="I1034" i="1"/>
  <c r="K1034" i="1" s="1"/>
  <c r="I1019" i="1"/>
  <c r="K1019" i="1" s="1"/>
  <c r="I992" i="1"/>
  <c r="K992" i="1" s="1"/>
  <c r="I961" i="1"/>
  <c r="K961" i="1" s="1"/>
  <c r="I892" i="1"/>
  <c r="K892" i="1" s="1"/>
  <c r="I831" i="1"/>
  <c r="K831" i="1" s="1"/>
  <c r="I809" i="1"/>
  <c r="K809" i="1" s="1"/>
  <c r="I753" i="1"/>
  <c r="K753" i="1" s="1"/>
  <c r="I678" i="1"/>
  <c r="K678" i="1" s="1"/>
  <c r="I625" i="1"/>
  <c r="K625" i="1" s="1"/>
  <c r="I571" i="1"/>
  <c r="K571" i="1" s="1"/>
  <c r="I228" i="1"/>
  <c r="K228" i="1" s="1"/>
  <c r="I1301" i="1"/>
  <c r="K1301" i="1" s="1"/>
  <c r="I1282" i="1"/>
  <c r="K1282" i="1" s="1"/>
  <c r="I1271" i="1"/>
  <c r="K1271" i="1" s="1"/>
  <c r="I1252" i="1"/>
  <c r="K1252" i="1" s="1"/>
  <c r="I1242" i="1"/>
  <c r="K1242" i="1" s="1"/>
  <c r="I1230" i="1"/>
  <c r="K1230" i="1" s="1"/>
  <c r="I1220" i="1"/>
  <c r="K1220" i="1" s="1"/>
  <c r="I1210" i="1"/>
  <c r="K1210" i="1" s="1"/>
  <c r="I1198" i="1"/>
  <c r="K1198" i="1" s="1"/>
  <c r="I1188" i="1"/>
  <c r="K1188" i="1" s="1"/>
  <c r="I1174" i="1"/>
  <c r="K1174" i="1" s="1"/>
  <c r="I1163" i="1"/>
  <c r="K1163" i="1" s="1"/>
  <c r="I1149" i="1"/>
  <c r="K1149" i="1" s="1"/>
  <c r="I1135" i="1"/>
  <c r="K1135" i="1" s="1"/>
  <c r="I1124" i="1"/>
  <c r="K1124" i="1" s="1"/>
  <c r="I1110" i="1"/>
  <c r="K1110" i="1" s="1"/>
  <c r="I1099" i="1"/>
  <c r="K1099" i="1" s="1"/>
  <c r="I1085" i="1"/>
  <c r="K1085" i="1" s="1"/>
  <c r="I1071" i="1"/>
  <c r="K1071" i="1" s="1"/>
  <c r="I1060" i="1"/>
  <c r="K1060" i="1" s="1"/>
  <c r="I1045" i="1"/>
  <c r="K1045" i="1" s="1"/>
  <c r="I977" i="1"/>
  <c r="K977" i="1" s="1"/>
  <c r="I960" i="1"/>
  <c r="K960" i="1" s="1"/>
  <c r="I943" i="1"/>
  <c r="K943" i="1" s="1"/>
  <c r="I926" i="1"/>
  <c r="K926" i="1" s="1"/>
  <c r="I909" i="1"/>
  <c r="K909" i="1" s="1"/>
  <c r="I871" i="1"/>
  <c r="K871" i="1" s="1"/>
  <c r="I852" i="1"/>
  <c r="K852" i="1" s="1"/>
  <c r="I752" i="1"/>
  <c r="K752" i="1" s="1"/>
  <c r="I723" i="1"/>
  <c r="K723" i="1" s="1"/>
  <c r="I440" i="1"/>
  <c r="K440" i="1" s="1"/>
  <c r="I215" i="1"/>
  <c r="K215" i="1" s="1"/>
  <c r="I1320" i="1"/>
  <c r="K1320" i="1" s="1"/>
  <c r="I1310" i="1"/>
  <c r="K1310" i="1" s="1"/>
  <c r="I1291" i="1"/>
  <c r="K1291" i="1" s="1"/>
  <c r="I1281" i="1"/>
  <c r="K1281" i="1" s="1"/>
  <c r="I1261" i="1"/>
  <c r="K1261" i="1" s="1"/>
  <c r="I1240" i="1"/>
  <c r="K1240" i="1" s="1"/>
  <c r="I1208" i="1"/>
  <c r="K1208" i="1" s="1"/>
  <c r="I1162" i="1"/>
  <c r="K1162" i="1" s="1"/>
  <c r="I1098" i="1"/>
  <c r="K1098" i="1" s="1"/>
  <c r="I1032" i="1"/>
  <c r="K1032" i="1" s="1"/>
  <c r="I1018" i="1"/>
  <c r="K1018" i="1" s="1"/>
  <c r="I1003" i="1"/>
  <c r="K1003" i="1" s="1"/>
  <c r="I991" i="1"/>
  <c r="K991" i="1" s="1"/>
  <c r="I976" i="1"/>
  <c r="K976" i="1" s="1"/>
  <c r="I891" i="1"/>
  <c r="K891" i="1" s="1"/>
  <c r="I803" i="1"/>
  <c r="K803" i="1" s="1"/>
  <c r="I780" i="1"/>
  <c r="K780" i="1" s="1"/>
  <c r="I720" i="1"/>
  <c r="K720" i="1" s="1"/>
  <c r="I676" i="1"/>
  <c r="K676" i="1" s="1"/>
  <c r="I624" i="1"/>
  <c r="K624" i="1" s="1"/>
  <c r="I552" i="1"/>
  <c r="K552" i="1" s="1"/>
  <c r="I214" i="1"/>
  <c r="K214" i="1" s="1"/>
  <c r="I1451" i="1"/>
  <c r="K1451" i="1" s="1"/>
  <c r="I1443" i="1"/>
  <c r="K1443" i="1" s="1"/>
  <c r="I1435" i="1"/>
  <c r="K1435" i="1" s="1"/>
  <c r="I1427" i="1"/>
  <c r="K1427" i="1" s="1"/>
  <c r="I1419" i="1"/>
  <c r="K1419" i="1" s="1"/>
  <c r="I1411" i="1"/>
  <c r="K1411" i="1" s="1"/>
  <c r="I1403" i="1"/>
  <c r="K1403" i="1" s="1"/>
  <c r="I1395" i="1"/>
  <c r="K1395" i="1" s="1"/>
  <c r="I1387" i="1"/>
  <c r="K1387" i="1" s="1"/>
  <c r="I1379" i="1"/>
  <c r="K1379" i="1" s="1"/>
  <c r="I1371" i="1"/>
  <c r="K1371" i="1" s="1"/>
  <c r="I1363" i="1"/>
  <c r="K1363" i="1" s="1"/>
  <c r="I1355" i="1"/>
  <c r="K1355" i="1" s="1"/>
  <c r="I1347" i="1"/>
  <c r="K1347" i="1" s="1"/>
  <c r="I1339" i="1"/>
  <c r="K1339" i="1" s="1"/>
  <c r="I1330" i="1"/>
  <c r="K1330" i="1" s="1"/>
  <c r="I1319" i="1"/>
  <c r="K1319" i="1" s="1"/>
  <c r="I1300" i="1"/>
  <c r="K1300" i="1" s="1"/>
  <c r="I1280" i="1"/>
  <c r="K1280" i="1" s="1"/>
  <c r="I1270" i="1"/>
  <c r="K1270" i="1" s="1"/>
  <c r="I1251" i="1"/>
  <c r="K1251" i="1" s="1"/>
  <c r="I1239" i="1"/>
  <c r="K1239" i="1" s="1"/>
  <c r="I1229" i="1"/>
  <c r="K1229" i="1" s="1"/>
  <c r="I1219" i="1"/>
  <c r="K1219" i="1" s="1"/>
  <c r="I1207" i="1"/>
  <c r="K1207" i="1" s="1"/>
  <c r="I1197" i="1"/>
  <c r="K1197" i="1" s="1"/>
  <c r="I1187" i="1"/>
  <c r="K1187" i="1" s="1"/>
  <c r="I1173" i="1"/>
  <c r="K1173" i="1" s="1"/>
  <c r="I1159" i="1"/>
  <c r="K1159" i="1" s="1"/>
  <c r="I1148" i="1"/>
  <c r="K1148" i="1" s="1"/>
  <c r="I1134" i="1"/>
  <c r="K1134" i="1" s="1"/>
  <c r="I1123" i="1"/>
  <c r="K1123" i="1" s="1"/>
  <c r="I1109" i="1"/>
  <c r="K1109" i="1" s="1"/>
  <c r="I1095" i="1"/>
  <c r="K1095" i="1" s="1"/>
  <c r="I1084" i="1"/>
  <c r="K1084" i="1" s="1"/>
  <c r="I1070" i="1"/>
  <c r="K1070" i="1" s="1"/>
  <c r="I1059" i="1"/>
  <c r="K1059" i="1" s="1"/>
  <c r="I1044" i="1"/>
  <c r="K1044" i="1" s="1"/>
  <c r="I1029" i="1"/>
  <c r="K1029" i="1" s="1"/>
  <c r="I959" i="1"/>
  <c r="K959" i="1" s="1"/>
  <c r="I942" i="1"/>
  <c r="K942" i="1" s="1"/>
  <c r="I925" i="1"/>
  <c r="K925" i="1" s="1"/>
  <c r="I908" i="1"/>
  <c r="K908" i="1" s="1"/>
  <c r="I870" i="1"/>
  <c r="K870" i="1" s="1"/>
  <c r="I851" i="1"/>
  <c r="K851" i="1" s="1"/>
  <c r="I829" i="1"/>
  <c r="K829" i="1" s="1"/>
  <c r="I713" i="1"/>
  <c r="K713" i="1" s="1"/>
  <c r="I675" i="1"/>
  <c r="K675" i="1" s="1"/>
  <c r="I437" i="1"/>
  <c r="K437" i="1" s="1"/>
  <c r="I150" i="1"/>
  <c r="K150" i="1" s="1"/>
  <c r="I1329" i="1"/>
  <c r="K1329" i="1" s="1"/>
  <c r="I1309" i="1"/>
  <c r="K1309" i="1" s="1"/>
  <c r="I1290" i="1"/>
  <c r="K1290" i="1" s="1"/>
  <c r="I1279" i="1"/>
  <c r="K1279" i="1" s="1"/>
  <c r="I1260" i="1"/>
  <c r="K1260" i="1" s="1"/>
  <c r="I1186" i="1"/>
  <c r="K1186" i="1" s="1"/>
  <c r="I1122" i="1"/>
  <c r="K1122" i="1" s="1"/>
  <c r="I1058" i="1"/>
  <c r="K1058" i="1" s="1"/>
  <c r="I1017" i="1"/>
  <c r="K1017" i="1" s="1"/>
  <c r="I1002" i="1"/>
  <c r="K1002" i="1" s="1"/>
  <c r="I975" i="1"/>
  <c r="K975" i="1" s="1"/>
  <c r="I889" i="1"/>
  <c r="K889" i="1" s="1"/>
  <c r="I849" i="1"/>
  <c r="K849" i="1" s="1"/>
  <c r="I828" i="1"/>
  <c r="K828" i="1" s="1"/>
  <c r="I801" i="1"/>
  <c r="K801" i="1" s="1"/>
  <c r="I773" i="1"/>
  <c r="K773" i="1" s="1"/>
  <c r="I712" i="1"/>
  <c r="K712" i="1" s="1"/>
  <c r="I613" i="1"/>
  <c r="K613" i="1" s="1"/>
  <c r="I414" i="1"/>
  <c r="K414" i="1" s="1"/>
  <c r="I134" i="1"/>
  <c r="K134" i="1" s="1"/>
  <c r="I1570" i="1"/>
  <c r="K1570" i="1" s="1"/>
  <c r="I1562" i="1"/>
  <c r="K1562" i="1" s="1"/>
  <c r="I1554" i="1"/>
  <c r="K1554" i="1" s="1"/>
  <c r="I1546" i="1"/>
  <c r="K1546" i="1" s="1"/>
  <c r="I1538" i="1"/>
  <c r="K1538" i="1" s="1"/>
  <c r="I1530" i="1"/>
  <c r="K1530" i="1" s="1"/>
  <c r="I1522" i="1"/>
  <c r="K1522" i="1" s="1"/>
  <c r="I1514" i="1"/>
  <c r="K1514" i="1" s="1"/>
  <c r="I1506" i="1"/>
  <c r="K1506" i="1" s="1"/>
  <c r="I1498" i="1"/>
  <c r="K1498" i="1" s="1"/>
  <c r="I1490" i="1"/>
  <c r="K1490" i="1" s="1"/>
  <c r="I1482" i="1"/>
  <c r="K1482" i="1" s="1"/>
  <c r="I1474" i="1"/>
  <c r="K1474" i="1" s="1"/>
  <c r="I1466" i="1"/>
  <c r="K1466" i="1" s="1"/>
  <c r="I1458" i="1"/>
  <c r="K1458" i="1" s="1"/>
  <c r="I1450" i="1"/>
  <c r="K1450" i="1" s="1"/>
  <c r="I1442" i="1"/>
  <c r="K1442" i="1" s="1"/>
  <c r="I1434" i="1"/>
  <c r="K1434" i="1" s="1"/>
  <c r="I1426" i="1"/>
  <c r="K1426" i="1" s="1"/>
  <c r="I1418" i="1"/>
  <c r="K1418" i="1" s="1"/>
  <c r="I1410" i="1"/>
  <c r="K1410" i="1" s="1"/>
  <c r="I1402" i="1"/>
  <c r="K1402" i="1" s="1"/>
  <c r="I1394" i="1"/>
  <c r="K1394" i="1" s="1"/>
  <c r="I1386" i="1"/>
  <c r="K1386" i="1" s="1"/>
  <c r="I1378" i="1"/>
  <c r="K1378" i="1" s="1"/>
  <c r="I1370" i="1"/>
  <c r="K1370" i="1" s="1"/>
  <c r="I1362" i="1"/>
  <c r="K1362" i="1" s="1"/>
  <c r="I1354" i="1"/>
  <c r="K1354" i="1" s="1"/>
  <c r="I1346" i="1"/>
  <c r="K1346" i="1" s="1"/>
  <c r="I1338" i="1"/>
  <c r="K1338" i="1" s="1"/>
  <c r="I1328" i="1"/>
  <c r="K1328" i="1" s="1"/>
  <c r="I1318" i="1"/>
  <c r="K1318" i="1" s="1"/>
  <c r="I1299" i="1"/>
  <c r="K1299" i="1" s="1"/>
  <c r="I1289" i="1"/>
  <c r="K1289" i="1" s="1"/>
  <c r="I1269" i="1"/>
  <c r="K1269" i="1" s="1"/>
  <c r="I1250" i="1"/>
  <c r="K1250" i="1" s="1"/>
  <c r="I1238" i="1"/>
  <c r="K1238" i="1" s="1"/>
  <c r="I1228" i="1"/>
  <c r="K1228" i="1" s="1"/>
  <c r="I1218" i="1"/>
  <c r="K1218" i="1" s="1"/>
  <c r="I1206" i="1"/>
  <c r="K1206" i="1" s="1"/>
  <c r="I1196" i="1"/>
  <c r="K1196" i="1" s="1"/>
  <c r="I1183" i="1"/>
  <c r="K1183" i="1" s="1"/>
  <c r="I1172" i="1"/>
  <c r="K1172" i="1" s="1"/>
  <c r="I1158" i="1"/>
  <c r="K1158" i="1" s="1"/>
  <c r="I1147" i="1"/>
  <c r="K1147" i="1" s="1"/>
  <c r="I1133" i="1"/>
  <c r="K1133" i="1" s="1"/>
  <c r="I1119" i="1"/>
  <c r="K1119" i="1" s="1"/>
  <c r="I1108" i="1"/>
  <c r="K1108" i="1" s="1"/>
  <c r="I1094" i="1"/>
  <c r="K1094" i="1" s="1"/>
  <c r="I1083" i="1"/>
  <c r="K1083" i="1" s="1"/>
  <c r="I1069" i="1"/>
  <c r="K1069" i="1" s="1"/>
  <c r="I1043" i="1"/>
  <c r="K1043" i="1" s="1"/>
  <c r="I1028" i="1"/>
  <c r="K1028" i="1" s="1"/>
  <c r="I1016" i="1"/>
  <c r="K1016" i="1" s="1"/>
  <c r="I958" i="1"/>
  <c r="K958" i="1" s="1"/>
  <c r="I941" i="1"/>
  <c r="K941" i="1" s="1"/>
  <c r="I924" i="1"/>
  <c r="K924" i="1" s="1"/>
  <c r="I907" i="1"/>
  <c r="K907" i="1" s="1"/>
  <c r="I888" i="1"/>
  <c r="K888" i="1" s="1"/>
  <c r="I869" i="1"/>
  <c r="K869" i="1" s="1"/>
  <c r="I848" i="1"/>
  <c r="K848" i="1" s="1"/>
  <c r="I743" i="1"/>
  <c r="K743" i="1" s="1"/>
  <c r="I664" i="1"/>
  <c r="K664" i="1" s="1"/>
  <c r="I412" i="1"/>
  <c r="K412" i="1" s="1"/>
  <c r="I567" i="1"/>
  <c r="K567" i="1" s="1"/>
  <c r="I551" i="1"/>
  <c r="K551" i="1" s="1"/>
  <c r="I531" i="1"/>
  <c r="K531" i="1" s="1"/>
  <c r="I508" i="1"/>
  <c r="K508" i="1" s="1"/>
  <c r="I464" i="1"/>
  <c r="K464" i="1" s="1"/>
  <c r="I439" i="1"/>
  <c r="K439" i="1" s="1"/>
  <c r="I405" i="1"/>
  <c r="K405" i="1" s="1"/>
  <c r="I373" i="1"/>
  <c r="K373" i="1" s="1"/>
  <c r="I327" i="1"/>
  <c r="K327" i="1" s="1"/>
  <c r="I271" i="1"/>
  <c r="K271" i="1" s="1"/>
  <c r="I132" i="1"/>
  <c r="K132" i="1" s="1"/>
  <c r="I830" i="1"/>
  <c r="K830" i="1" s="1"/>
  <c r="I811" i="1"/>
  <c r="K811" i="1" s="1"/>
  <c r="I800" i="1"/>
  <c r="K800" i="1" s="1"/>
  <c r="I781" i="1"/>
  <c r="K781" i="1" s="1"/>
  <c r="I761" i="1"/>
  <c r="K761" i="1" s="1"/>
  <c r="I751" i="1"/>
  <c r="K751" i="1" s="1"/>
  <c r="I732" i="1"/>
  <c r="K732" i="1" s="1"/>
  <c r="I721" i="1"/>
  <c r="K721" i="1" s="1"/>
  <c r="I648" i="1"/>
  <c r="K648" i="1" s="1"/>
  <c r="I635" i="1"/>
  <c r="K635" i="1" s="1"/>
  <c r="I623" i="1"/>
  <c r="K623" i="1" s="1"/>
  <c r="I596" i="1"/>
  <c r="K596" i="1" s="1"/>
  <c r="I566" i="1"/>
  <c r="K566" i="1" s="1"/>
  <c r="I550" i="1"/>
  <c r="K550" i="1" s="1"/>
  <c r="I404" i="1"/>
  <c r="K404" i="1" s="1"/>
  <c r="I366" i="1"/>
  <c r="K366" i="1" s="1"/>
  <c r="I326" i="1"/>
  <c r="K326" i="1" s="1"/>
  <c r="I270" i="1"/>
  <c r="K270" i="1" s="1"/>
  <c r="I213" i="1"/>
  <c r="K213" i="1" s="1"/>
  <c r="I700" i="1"/>
  <c r="K700" i="1" s="1"/>
  <c r="I674" i="1"/>
  <c r="K674" i="1" s="1"/>
  <c r="I662" i="1"/>
  <c r="K662" i="1" s="1"/>
  <c r="I647" i="1"/>
  <c r="K647" i="1" s="1"/>
  <c r="I595" i="1"/>
  <c r="K595" i="1" s="1"/>
  <c r="I583" i="1"/>
  <c r="K583" i="1" s="1"/>
  <c r="I565" i="1"/>
  <c r="K565" i="1" s="1"/>
  <c r="I528" i="1"/>
  <c r="K528" i="1" s="1"/>
  <c r="I504" i="1"/>
  <c r="K504" i="1" s="1"/>
  <c r="I480" i="1"/>
  <c r="K480" i="1" s="1"/>
  <c r="I430" i="1"/>
  <c r="K430" i="1" s="1"/>
  <c r="I403" i="1"/>
  <c r="K403" i="1" s="1"/>
  <c r="I365" i="1"/>
  <c r="K365" i="1" s="1"/>
  <c r="I316" i="1"/>
  <c r="K316" i="1" s="1"/>
  <c r="I199" i="1"/>
  <c r="K199" i="1" s="1"/>
  <c r="I112" i="1"/>
  <c r="K112" i="1" s="1"/>
  <c r="I750" i="1"/>
  <c r="K750" i="1" s="1"/>
  <c r="I731" i="1"/>
  <c r="K731" i="1" s="1"/>
  <c r="I686" i="1"/>
  <c r="K686" i="1" s="1"/>
  <c r="I673" i="1"/>
  <c r="K673" i="1" s="1"/>
  <c r="I661" i="1"/>
  <c r="K661" i="1" s="1"/>
  <c r="I634" i="1"/>
  <c r="K634" i="1" s="1"/>
  <c r="I622" i="1"/>
  <c r="K622" i="1" s="1"/>
  <c r="I607" i="1"/>
  <c r="K607" i="1" s="1"/>
  <c r="I455" i="1"/>
  <c r="K455" i="1" s="1"/>
  <c r="I429" i="1"/>
  <c r="K429" i="1" s="1"/>
  <c r="I400" i="1"/>
  <c r="K400" i="1" s="1"/>
  <c r="I256" i="1"/>
  <c r="K256" i="1" s="1"/>
  <c r="I974" i="1"/>
  <c r="K974" i="1" s="1"/>
  <c r="I957" i="1"/>
  <c r="K957" i="1" s="1"/>
  <c r="I940" i="1"/>
  <c r="K940" i="1" s="1"/>
  <c r="I923" i="1"/>
  <c r="K923" i="1" s="1"/>
  <c r="I906" i="1"/>
  <c r="K906" i="1" s="1"/>
  <c r="I897" i="1"/>
  <c r="K897" i="1" s="1"/>
  <c r="I887" i="1"/>
  <c r="K887" i="1" s="1"/>
  <c r="I868" i="1"/>
  <c r="K868" i="1" s="1"/>
  <c r="I838" i="1"/>
  <c r="K838" i="1" s="1"/>
  <c r="I819" i="1"/>
  <c r="K819" i="1" s="1"/>
  <c r="I808" i="1"/>
  <c r="K808" i="1" s="1"/>
  <c r="I789" i="1"/>
  <c r="K789" i="1" s="1"/>
  <c r="I769" i="1"/>
  <c r="K769" i="1" s="1"/>
  <c r="I759" i="1"/>
  <c r="K759" i="1" s="1"/>
  <c r="I740" i="1"/>
  <c r="K740" i="1" s="1"/>
  <c r="I719" i="1"/>
  <c r="K719" i="1" s="1"/>
  <c r="I709" i="1"/>
  <c r="K709" i="1" s="1"/>
  <c r="I699" i="1"/>
  <c r="K699" i="1" s="1"/>
  <c r="I685" i="1"/>
  <c r="K685" i="1" s="1"/>
  <c r="I646" i="1"/>
  <c r="K646" i="1" s="1"/>
  <c r="I633" i="1"/>
  <c r="K633" i="1" s="1"/>
  <c r="I621" i="1"/>
  <c r="K621" i="1" s="1"/>
  <c r="I594" i="1"/>
  <c r="K594" i="1" s="1"/>
  <c r="I582" i="1"/>
  <c r="K582" i="1" s="1"/>
  <c r="I564" i="1"/>
  <c r="K564" i="1" s="1"/>
  <c r="I543" i="1"/>
  <c r="K543" i="1" s="1"/>
  <c r="I503" i="1"/>
  <c r="K503" i="1" s="1"/>
  <c r="I479" i="1"/>
  <c r="K479" i="1" s="1"/>
  <c r="I312" i="1"/>
  <c r="K312" i="1" s="1"/>
  <c r="I198" i="1"/>
  <c r="K198" i="1" s="1"/>
  <c r="I798" i="1"/>
  <c r="K798" i="1" s="1"/>
  <c r="I779" i="1"/>
  <c r="K779" i="1" s="1"/>
  <c r="I768" i="1"/>
  <c r="K768" i="1" s="1"/>
  <c r="I749" i="1"/>
  <c r="K749" i="1" s="1"/>
  <c r="I729" i="1"/>
  <c r="K729" i="1" s="1"/>
  <c r="I697" i="1"/>
  <c r="K697" i="1" s="1"/>
  <c r="I672" i="1"/>
  <c r="K672" i="1" s="1"/>
  <c r="I658" i="1"/>
  <c r="K658" i="1" s="1"/>
  <c r="I645" i="1"/>
  <c r="K645" i="1" s="1"/>
  <c r="I606" i="1"/>
  <c r="K606" i="1" s="1"/>
  <c r="I593" i="1"/>
  <c r="K593" i="1" s="1"/>
  <c r="I577" i="1"/>
  <c r="K577" i="1" s="1"/>
  <c r="I563" i="1"/>
  <c r="K563" i="1" s="1"/>
  <c r="I525" i="1"/>
  <c r="K525" i="1" s="1"/>
  <c r="I454" i="1"/>
  <c r="K454" i="1" s="1"/>
  <c r="I428" i="1"/>
  <c r="K428" i="1" s="1"/>
  <c r="I255" i="1"/>
  <c r="K255" i="1" s="1"/>
  <c r="I183" i="1"/>
  <c r="K183" i="1" s="1"/>
  <c r="I94" i="1"/>
  <c r="K94" i="1" s="1"/>
  <c r="I1050" i="1"/>
  <c r="K1050" i="1" s="1"/>
  <c r="I1033" i="1"/>
  <c r="K1033" i="1" s="1"/>
  <c r="I1024" i="1"/>
  <c r="K1024" i="1" s="1"/>
  <c r="I1007" i="1"/>
  <c r="K1007" i="1" s="1"/>
  <c r="I990" i="1"/>
  <c r="K990" i="1" s="1"/>
  <c r="I973" i="1"/>
  <c r="K973" i="1" s="1"/>
  <c r="I956" i="1"/>
  <c r="K956" i="1" s="1"/>
  <c r="I939" i="1"/>
  <c r="K939" i="1" s="1"/>
  <c r="I922" i="1"/>
  <c r="K922" i="1" s="1"/>
  <c r="I905" i="1"/>
  <c r="K905" i="1" s="1"/>
  <c r="I886" i="1"/>
  <c r="K886" i="1" s="1"/>
  <c r="I867" i="1"/>
  <c r="K867" i="1" s="1"/>
  <c r="I856" i="1"/>
  <c r="K856" i="1" s="1"/>
  <c r="I837" i="1"/>
  <c r="K837" i="1" s="1"/>
  <c r="I817" i="1"/>
  <c r="K817" i="1" s="1"/>
  <c r="I807" i="1"/>
  <c r="K807" i="1" s="1"/>
  <c r="I788" i="1"/>
  <c r="K788" i="1" s="1"/>
  <c r="I758" i="1"/>
  <c r="K758" i="1" s="1"/>
  <c r="I739" i="1"/>
  <c r="K739" i="1" s="1"/>
  <c r="I728" i="1"/>
  <c r="K728" i="1" s="1"/>
  <c r="I718" i="1"/>
  <c r="K718" i="1" s="1"/>
  <c r="I708" i="1"/>
  <c r="K708" i="1" s="1"/>
  <c r="I696" i="1"/>
  <c r="K696" i="1" s="1"/>
  <c r="I684" i="1"/>
  <c r="K684" i="1" s="1"/>
  <c r="I632" i="1"/>
  <c r="K632" i="1" s="1"/>
  <c r="I617" i="1"/>
  <c r="K617" i="1" s="1"/>
  <c r="I605" i="1"/>
  <c r="K605" i="1" s="1"/>
  <c r="I561" i="1"/>
  <c r="K561" i="1" s="1"/>
  <c r="I542" i="1"/>
  <c r="K542" i="1" s="1"/>
  <c r="I501" i="1"/>
  <c r="K501" i="1" s="1"/>
  <c r="I478" i="1"/>
  <c r="K478" i="1" s="1"/>
  <c r="I453" i="1"/>
  <c r="K453" i="1" s="1"/>
  <c r="I427" i="1"/>
  <c r="K427" i="1" s="1"/>
  <c r="I391" i="1"/>
  <c r="K391" i="1" s="1"/>
  <c r="I352" i="1"/>
  <c r="K352" i="1" s="1"/>
  <c r="I301" i="1"/>
  <c r="K301" i="1" s="1"/>
  <c r="I964" i="1"/>
  <c r="K964" i="1" s="1"/>
  <c r="I947" i="1"/>
  <c r="K947" i="1" s="1"/>
  <c r="I930" i="1"/>
  <c r="K930" i="1" s="1"/>
  <c r="I913" i="1"/>
  <c r="K913" i="1" s="1"/>
  <c r="I904" i="1"/>
  <c r="K904" i="1" s="1"/>
  <c r="I895" i="1"/>
  <c r="K895" i="1" s="1"/>
  <c r="I876" i="1"/>
  <c r="K876" i="1" s="1"/>
  <c r="I846" i="1"/>
  <c r="K846" i="1" s="1"/>
  <c r="I827" i="1"/>
  <c r="K827" i="1" s="1"/>
  <c r="I816" i="1"/>
  <c r="K816" i="1" s="1"/>
  <c r="I797" i="1"/>
  <c r="K797" i="1" s="1"/>
  <c r="I777" i="1"/>
  <c r="K777" i="1" s="1"/>
  <c r="I767" i="1"/>
  <c r="K767" i="1" s="1"/>
  <c r="I748" i="1"/>
  <c r="K748" i="1" s="1"/>
  <c r="I683" i="1"/>
  <c r="K683" i="1" s="1"/>
  <c r="I671" i="1"/>
  <c r="K671" i="1" s="1"/>
  <c r="I656" i="1"/>
  <c r="K656" i="1" s="1"/>
  <c r="I644" i="1"/>
  <c r="K644" i="1" s="1"/>
  <c r="I592" i="1"/>
  <c r="K592" i="1" s="1"/>
  <c r="I576" i="1"/>
  <c r="K576" i="1" s="1"/>
  <c r="I541" i="1"/>
  <c r="K541" i="1" s="1"/>
  <c r="I519" i="1"/>
  <c r="K519" i="1" s="1"/>
  <c r="I500" i="1"/>
  <c r="K500" i="1" s="1"/>
  <c r="I477" i="1"/>
  <c r="K477" i="1" s="1"/>
  <c r="I244" i="1"/>
  <c r="K244" i="1" s="1"/>
  <c r="I182" i="1"/>
  <c r="K182" i="1" s="1"/>
  <c r="I1049" i="1"/>
  <c r="K1049" i="1" s="1"/>
  <c r="I1040" i="1"/>
  <c r="K1040" i="1" s="1"/>
  <c r="I1023" i="1"/>
  <c r="K1023" i="1" s="1"/>
  <c r="I1006" i="1"/>
  <c r="K1006" i="1" s="1"/>
  <c r="I989" i="1"/>
  <c r="K989" i="1" s="1"/>
  <c r="I972" i="1"/>
  <c r="K972" i="1" s="1"/>
  <c r="I955" i="1"/>
  <c r="K955" i="1" s="1"/>
  <c r="I938" i="1"/>
  <c r="K938" i="1" s="1"/>
  <c r="I921" i="1"/>
  <c r="K921" i="1" s="1"/>
  <c r="I912" i="1"/>
  <c r="K912" i="1" s="1"/>
  <c r="I885" i="1"/>
  <c r="K885" i="1" s="1"/>
  <c r="I865" i="1"/>
  <c r="K865" i="1" s="1"/>
  <c r="I855" i="1"/>
  <c r="K855" i="1" s="1"/>
  <c r="I836" i="1"/>
  <c r="K836" i="1" s="1"/>
  <c r="I806" i="1"/>
  <c r="K806" i="1" s="1"/>
  <c r="I787" i="1"/>
  <c r="K787" i="1" s="1"/>
  <c r="I776" i="1"/>
  <c r="K776" i="1" s="1"/>
  <c r="I757" i="1"/>
  <c r="K757" i="1" s="1"/>
  <c r="I737" i="1"/>
  <c r="K737" i="1" s="1"/>
  <c r="I727" i="1"/>
  <c r="K727" i="1" s="1"/>
  <c r="I717" i="1"/>
  <c r="K717" i="1" s="1"/>
  <c r="I707" i="1"/>
  <c r="K707" i="1" s="1"/>
  <c r="I695" i="1"/>
  <c r="K695" i="1" s="1"/>
  <c r="I643" i="1"/>
  <c r="K643" i="1" s="1"/>
  <c r="I631" i="1"/>
  <c r="K631" i="1" s="1"/>
  <c r="I616" i="1"/>
  <c r="K616" i="1" s="1"/>
  <c r="I604" i="1"/>
  <c r="K604" i="1" s="1"/>
  <c r="I476" i="1"/>
  <c r="K476" i="1" s="1"/>
  <c r="I452" i="1"/>
  <c r="K452" i="1" s="1"/>
  <c r="I390" i="1"/>
  <c r="K390" i="1" s="1"/>
  <c r="I351" i="1"/>
  <c r="K351" i="1" s="1"/>
  <c r="I300" i="1"/>
  <c r="K300" i="1" s="1"/>
  <c r="I167" i="1"/>
  <c r="K167" i="1" s="1"/>
  <c r="I71" i="1"/>
  <c r="K71" i="1" s="1"/>
  <c r="I1249" i="1"/>
  <c r="K1249" i="1" s="1"/>
  <c r="I1241" i="1"/>
  <c r="K1241" i="1" s="1"/>
  <c r="I1233" i="1"/>
  <c r="K1233" i="1" s="1"/>
  <c r="I1225" i="1"/>
  <c r="K1225" i="1" s="1"/>
  <c r="I1217" i="1"/>
  <c r="K1217" i="1" s="1"/>
  <c r="I1209" i="1"/>
  <c r="K1209" i="1" s="1"/>
  <c r="I1201" i="1"/>
  <c r="K1201" i="1" s="1"/>
  <c r="I1193" i="1"/>
  <c r="K1193" i="1" s="1"/>
  <c r="I1185" i="1"/>
  <c r="K1185" i="1" s="1"/>
  <c r="I1177" i="1"/>
  <c r="K1177" i="1" s="1"/>
  <c r="I1169" i="1"/>
  <c r="K1169" i="1" s="1"/>
  <c r="I1161" i="1"/>
  <c r="K1161" i="1" s="1"/>
  <c r="I1153" i="1"/>
  <c r="K1153" i="1" s="1"/>
  <c r="I1145" i="1"/>
  <c r="K1145" i="1" s="1"/>
  <c r="I1137" i="1"/>
  <c r="K1137" i="1" s="1"/>
  <c r="I1129" i="1"/>
  <c r="K1129" i="1" s="1"/>
  <c r="I1121" i="1"/>
  <c r="K1121" i="1" s="1"/>
  <c r="I1113" i="1"/>
  <c r="K1113" i="1" s="1"/>
  <c r="I1105" i="1"/>
  <c r="K1105" i="1" s="1"/>
  <c r="I1097" i="1"/>
  <c r="K1097" i="1" s="1"/>
  <c r="I1089" i="1"/>
  <c r="K1089" i="1" s="1"/>
  <c r="I1081" i="1"/>
  <c r="K1081" i="1" s="1"/>
  <c r="I1073" i="1"/>
  <c r="K1073" i="1" s="1"/>
  <c r="I1065" i="1"/>
  <c r="K1065" i="1" s="1"/>
  <c r="I1057" i="1"/>
  <c r="K1057" i="1" s="1"/>
  <c r="I1048" i="1"/>
  <c r="K1048" i="1" s="1"/>
  <c r="I1031" i="1"/>
  <c r="K1031" i="1" s="1"/>
  <c r="I1014" i="1"/>
  <c r="K1014" i="1" s="1"/>
  <c r="I997" i="1"/>
  <c r="K997" i="1" s="1"/>
  <c r="I980" i="1"/>
  <c r="K980" i="1" s="1"/>
  <c r="I963" i="1"/>
  <c r="K963" i="1" s="1"/>
  <c r="I946" i="1"/>
  <c r="K946" i="1" s="1"/>
  <c r="I929" i="1"/>
  <c r="K929" i="1" s="1"/>
  <c r="I920" i="1"/>
  <c r="K920" i="1" s="1"/>
  <c r="I903" i="1"/>
  <c r="K903" i="1" s="1"/>
  <c r="I894" i="1"/>
  <c r="K894" i="1" s="1"/>
  <c r="I875" i="1"/>
  <c r="K875" i="1" s="1"/>
  <c r="I864" i="1"/>
  <c r="K864" i="1" s="1"/>
  <c r="I845" i="1"/>
  <c r="K845" i="1" s="1"/>
  <c r="I825" i="1"/>
  <c r="K825" i="1" s="1"/>
  <c r="I815" i="1"/>
  <c r="K815" i="1" s="1"/>
  <c r="I796" i="1"/>
  <c r="K796" i="1" s="1"/>
  <c r="I766" i="1"/>
  <c r="K766" i="1" s="1"/>
  <c r="I747" i="1"/>
  <c r="K747" i="1" s="1"/>
  <c r="I736" i="1"/>
  <c r="K736" i="1" s="1"/>
  <c r="I705" i="1"/>
  <c r="K705" i="1" s="1"/>
  <c r="I682" i="1"/>
  <c r="K682" i="1" s="1"/>
  <c r="I668" i="1"/>
  <c r="K668" i="1" s="1"/>
  <c r="I655" i="1"/>
  <c r="K655" i="1" s="1"/>
  <c r="I603" i="1"/>
  <c r="K603" i="1" s="1"/>
  <c r="I589" i="1"/>
  <c r="K589" i="1" s="1"/>
  <c r="I575" i="1"/>
  <c r="K575" i="1" s="1"/>
  <c r="I556" i="1"/>
  <c r="K556" i="1" s="1"/>
  <c r="I540" i="1"/>
  <c r="K540" i="1" s="1"/>
  <c r="I518" i="1"/>
  <c r="K518" i="1" s="1"/>
  <c r="I494" i="1"/>
  <c r="K494" i="1" s="1"/>
  <c r="I416" i="1"/>
  <c r="K416" i="1" s="1"/>
  <c r="I348" i="1"/>
  <c r="K348" i="1" s="1"/>
  <c r="I240" i="1"/>
  <c r="K240" i="1" s="1"/>
  <c r="I1056" i="1"/>
  <c r="K1056" i="1" s="1"/>
  <c r="I1039" i="1"/>
  <c r="K1039" i="1" s="1"/>
  <c r="I1022" i="1"/>
  <c r="K1022" i="1" s="1"/>
  <c r="I1005" i="1"/>
  <c r="K1005" i="1" s="1"/>
  <c r="I988" i="1"/>
  <c r="K988" i="1" s="1"/>
  <c r="I971" i="1"/>
  <c r="K971" i="1" s="1"/>
  <c r="I954" i="1"/>
  <c r="K954" i="1" s="1"/>
  <c r="I937" i="1"/>
  <c r="K937" i="1" s="1"/>
  <c r="I928" i="1"/>
  <c r="K928" i="1" s="1"/>
  <c r="I911" i="1"/>
  <c r="K911" i="1" s="1"/>
  <c r="I884" i="1"/>
  <c r="K884" i="1" s="1"/>
  <c r="I854" i="1"/>
  <c r="K854" i="1" s="1"/>
  <c r="I835" i="1"/>
  <c r="K835" i="1" s="1"/>
  <c r="I824" i="1"/>
  <c r="K824" i="1" s="1"/>
  <c r="I805" i="1"/>
  <c r="K805" i="1" s="1"/>
  <c r="I785" i="1"/>
  <c r="K785" i="1" s="1"/>
  <c r="I775" i="1"/>
  <c r="K775" i="1" s="1"/>
  <c r="I756" i="1"/>
  <c r="K756" i="1" s="1"/>
  <c r="I726" i="1"/>
  <c r="K726" i="1" s="1"/>
  <c r="I716" i="1"/>
  <c r="K716" i="1" s="1"/>
  <c r="I704" i="1"/>
  <c r="K704" i="1" s="1"/>
  <c r="I694" i="1"/>
  <c r="K694" i="1" s="1"/>
  <c r="I681" i="1"/>
  <c r="K681" i="1" s="1"/>
  <c r="I642" i="1"/>
  <c r="K642" i="1" s="1"/>
  <c r="I627" i="1"/>
  <c r="K627" i="1" s="1"/>
  <c r="I615" i="1"/>
  <c r="K615" i="1" s="1"/>
  <c r="I588" i="1"/>
  <c r="K588" i="1" s="1"/>
  <c r="I555" i="1"/>
  <c r="K555" i="1" s="1"/>
  <c r="I539" i="1"/>
  <c r="K539" i="1" s="1"/>
  <c r="I517" i="1"/>
  <c r="K517" i="1" s="1"/>
  <c r="I493" i="1"/>
  <c r="K493" i="1" s="1"/>
  <c r="I469" i="1"/>
  <c r="K469" i="1" s="1"/>
  <c r="I444" i="1"/>
  <c r="K444" i="1" s="1"/>
  <c r="I341" i="1"/>
  <c r="K341" i="1" s="1"/>
  <c r="I230" i="1"/>
  <c r="K230" i="1" s="1"/>
  <c r="I166" i="1"/>
  <c r="K166" i="1" s="1"/>
  <c r="I1184" i="1"/>
  <c r="K1184" i="1" s="1"/>
  <c r="I1176" i="1"/>
  <c r="K1176" i="1" s="1"/>
  <c r="I1168" i="1"/>
  <c r="K1168" i="1" s="1"/>
  <c r="I1160" i="1"/>
  <c r="K1160" i="1" s="1"/>
  <c r="I1152" i="1"/>
  <c r="K1152" i="1" s="1"/>
  <c r="I1144" i="1"/>
  <c r="K1144" i="1" s="1"/>
  <c r="I1136" i="1"/>
  <c r="K1136" i="1" s="1"/>
  <c r="I1128" i="1"/>
  <c r="K1128" i="1" s="1"/>
  <c r="I1120" i="1"/>
  <c r="K1120" i="1" s="1"/>
  <c r="I1112" i="1"/>
  <c r="K1112" i="1" s="1"/>
  <c r="I1104" i="1"/>
  <c r="K1104" i="1" s="1"/>
  <c r="I1096" i="1"/>
  <c r="K1096" i="1" s="1"/>
  <c r="I1088" i="1"/>
  <c r="K1088" i="1" s="1"/>
  <c r="I1080" i="1"/>
  <c r="K1080" i="1" s="1"/>
  <c r="I1072" i="1"/>
  <c r="K1072" i="1" s="1"/>
  <c r="I1064" i="1"/>
  <c r="K1064" i="1" s="1"/>
  <c r="I1047" i="1"/>
  <c r="K1047" i="1" s="1"/>
  <c r="I1030" i="1"/>
  <c r="K1030" i="1" s="1"/>
  <c r="I1013" i="1"/>
  <c r="K1013" i="1" s="1"/>
  <c r="I996" i="1"/>
  <c r="K996" i="1" s="1"/>
  <c r="I979" i="1"/>
  <c r="K979" i="1" s="1"/>
  <c r="I962" i="1"/>
  <c r="K962" i="1" s="1"/>
  <c r="I945" i="1"/>
  <c r="K945" i="1" s="1"/>
  <c r="I936" i="1"/>
  <c r="K936" i="1" s="1"/>
  <c r="I919" i="1"/>
  <c r="K919" i="1" s="1"/>
  <c r="I902" i="1"/>
  <c r="K902" i="1" s="1"/>
  <c r="I893" i="1"/>
  <c r="K893" i="1" s="1"/>
  <c r="I873" i="1"/>
  <c r="K873" i="1" s="1"/>
  <c r="I863" i="1"/>
  <c r="K863" i="1" s="1"/>
  <c r="I844" i="1"/>
  <c r="K844" i="1" s="1"/>
  <c r="I814" i="1"/>
  <c r="K814" i="1" s="1"/>
  <c r="I795" i="1"/>
  <c r="K795" i="1" s="1"/>
  <c r="I784" i="1"/>
  <c r="K784" i="1" s="1"/>
  <c r="I765" i="1"/>
  <c r="K765" i="1" s="1"/>
  <c r="I745" i="1"/>
  <c r="K745" i="1" s="1"/>
  <c r="I735" i="1"/>
  <c r="K735" i="1" s="1"/>
  <c r="I693" i="1"/>
  <c r="K693" i="1" s="1"/>
  <c r="I666" i="1"/>
  <c r="K666" i="1" s="1"/>
  <c r="I654" i="1"/>
  <c r="K654" i="1" s="1"/>
  <c r="I641" i="1"/>
  <c r="K641" i="1" s="1"/>
  <c r="I602" i="1"/>
  <c r="K602" i="1" s="1"/>
  <c r="I587" i="1"/>
  <c r="K587" i="1" s="1"/>
  <c r="I574" i="1"/>
  <c r="K574" i="1" s="1"/>
  <c r="I553" i="1"/>
  <c r="K553" i="1" s="1"/>
  <c r="I537" i="1"/>
  <c r="K537" i="1" s="1"/>
  <c r="I443" i="1"/>
  <c r="K443" i="1" s="1"/>
  <c r="I415" i="1"/>
  <c r="K415" i="1" s="1"/>
  <c r="I380" i="1"/>
  <c r="K380" i="1" s="1"/>
  <c r="I286" i="1"/>
  <c r="K286" i="1" s="1"/>
  <c r="I229" i="1"/>
  <c r="K229" i="1" s="1"/>
  <c r="I151" i="1"/>
  <c r="K151" i="1" s="1"/>
  <c r="I48" i="1"/>
  <c r="K48" i="1" s="1"/>
  <c r="I1055" i="1"/>
  <c r="K1055" i="1" s="1"/>
  <c r="I1038" i="1"/>
  <c r="K1038" i="1" s="1"/>
  <c r="I1021" i="1"/>
  <c r="K1021" i="1" s="1"/>
  <c r="I1004" i="1"/>
  <c r="K1004" i="1" s="1"/>
  <c r="I987" i="1"/>
  <c r="K987" i="1" s="1"/>
  <c r="I970" i="1"/>
  <c r="K970" i="1" s="1"/>
  <c r="I953" i="1"/>
  <c r="K953" i="1" s="1"/>
  <c r="I944" i="1"/>
  <c r="K944" i="1" s="1"/>
  <c r="I927" i="1"/>
  <c r="K927" i="1" s="1"/>
  <c r="I910" i="1"/>
  <c r="K910" i="1" s="1"/>
  <c r="I883" i="1"/>
  <c r="K883" i="1" s="1"/>
  <c r="I872" i="1"/>
  <c r="K872" i="1" s="1"/>
  <c r="I853" i="1"/>
  <c r="K853" i="1" s="1"/>
  <c r="I833" i="1"/>
  <c r="K833" i="1" s="1"/>
  <c r="I823" i="1"/>
  <c r="K823" i="1" s="1"/>
  <c r="I804" i="1"/>
  <c r="K804" i="1" s="1"/>
  <c r="I774" i="1"/>
  <c r="K774" i="1" s="1"/>
  <c r="I755" i="1"/>
  <c r="K755" i="1" s="1"/>
  <c r="I744" i="1"/>
  <c r="K744" i="1" s="1"/>
  <c r="I725" i="1"/>
  <c r="K725" i="1" s="1"/>
  <c r="I715" i="1"/>
  <c r="K715" i="1" s="1"/>
  <c r="I703" i="1"/>
  <c r="K703" i="1" s="1"/>
  <c r="I680" i="1"/>
  <c r="K680" i="1" s="1"/>
  <c r="I665" i="1"/>
  <c r="K665" i="1" s="1"/>
  <c r="I653" i="1"/>
  <c r="K653" i="1" s="1"/>
  <c r="I626" i="1"/>
  <c r="K626" i="1" s="1"/>
  <c r="I614" i="1"/>
  <c r="K614" i="1" s="1"/>
  <c r="I601" i="1"/>
  <c r="K601" i="1" s="1"/>
  <c r="I573" i="1"/>
  <c r="K573" i="1" s="1"/>
  <c r="I536" i="1"/>
  <c r="K536" i="1" s="1"/>
  <c r="I516" i="1"/>
  <c r="K516" i="1" s="1"/>
  <c r="I492" i="1"/>
  <c r="K492" i="1" s="1"/>
  <c r="I468" i="1"/>
  <c r="K468" i="1" s="1"/>
  <c r="I379" i="1"/>
  <c r="K379" i="1" s="1"/>
  <c r="I340" i="1"/>
  <c r="K340" i="1" s="1"/>
  <c r="I285" i="1"/>
  <c r="K285" i="1" s="1"/>
  <c r="I197" i="1"/>
  <c r="K197" i="1" s="1"/>
  <c r="I181" i="1"/>
  <c r="K181" i="1" s="1"/>
  <c r="I165" i="1"/>
  <c r="K165" i="1" s="1"/>
  <c r="I148" i="1"/>
  <c r="K148" i="1" s="1"/>
  <c r="I128" i="1"/>
  <c r="K128" i="1" s="1"/>
  <c r="I111" i="1"/>
  <c r="K111" i="1" s="1"/>
  <c r="I88" i="1"/>
  <c r="K88" i="1" s="1"/>
  <c r="I70" i="1"/>
  <c r="K70" i="1" s="1"/>
  <c r="I47" i="1"/>
  <c r="K47" i="1" s="1"/>
  <c r="I389" i="1"/>
  <c r="K389" i="1" s="1"/>
  <c r="I364" i="1"/>
  <c r="K364" i="1" s="1"/>
  <c r="I325" i="1"/>
  <c r="K325" i="1" s="1"/>
  <c r="I311" i="1"/>
  <c r="K311" i="1" s="1"/>
  <c r="I296" i="1"/>
  <c r="K296" i="1" s="1"/>
  <c r="I284" i="1"/>
  <c r="K284" i="1" s="1"/>
  <c r="I269" i="1"/>
  <c r="K269" i="1" s="1"/>
  <c r="I212" i="1"/>
  <c r="K212" i="1" s="1"/>
  <c r="I196" i="1"/>
  <c r="K196" i="1" s="1"/>
  <c r="I180" i="1"/>
  <c r="K180" i="1" s="1"/>
  <c r="I164" i="1"/>
  <c r="K164" i="1" s="1"/>
  <c r="I375" i="1"/>
  <c r="K375" i="1" s="1"/>
  <c r="I363" i="1"/>
  <c r="K363" i="1" s="1"/>
  <c r="I350" i="1"/>
  <c r="K350" i="1" s="1"/>
  <c r="I336" i="1"/>
  <c r="K336" i="1" s="1"/>
  <c r="I254" i="1"/>
  <c r="K254" i="1" s="1"/>
  <c r="I239" i="1"/>
  <c r="K239" i="1" s="1"/>
  <c r="I224" i="1"/>
  <c r="K224" i="1" s="1"/>
  <c r="I144" i="1"/>
  <c r="K144" i="1" s="1"/>
  <c r="I127" i="1"/>
  <c r="K127" i="1" s="1"/>
  <c r="I110" i="1"/>
  <c r="K110" i="1" s="1"/>
  <c r="I87" i="1"/>
  <c r="K87" i="1" s="1"/>
  <c r="I64" i="1"/>
  <c r="K64" i="1" s="1"/>
  <c r="I413" i="1"/>
  <c r="K413" i="1" s="1"/>
  <c r="I388" i="1"/>
  <c r="K388" i="1" s="1"/>
  <c r="I349" i="1"/>
  <c r="K349" i="1" s="1"/>
  <c r="I324" i="1"/>
  <c r="K324" i="1" s="1"/>
  <c r="I310" i="1"/>
  <c r="K310" i="1" s="1"/>
  <c r="I295" i="1"/>
  <c r="K295" i="1" s="1"/>
  <c r="I280" i="1"/>
  <c r="K280" i="1" s="1"/>
  <c r="I268" i="1"/>
  <c r="K268" i="1" s="1"/>
  <c r="I253" i="1"/>
  <c r="K253" i="1" s="1"/>
  <c r="I208" i="1"/>
  <c r="K208" i="1" s="1"/>
  <c r="I192" i="1"/>
  <c r="K192" i="1" s="1"/>
  <c r="I176" i="1"/>
  <c r="K176" i="1" s="1"/>
  <c r="I160" i="1"/>
  <c r="K160" i="1" s="1"/>
  <c r="I40" i="1"/>
  <c r="K40" i="1" s="1"/>
  <c r="I527" i="1"/>
  <c r="K527" i="1" s="1"/>
  <c r="I515" i="1"/>
  <c r="K515" i="1" s="1"/>
  <c r="I502" i="1"/>
  <c r="K502" i="1" s="1"/>
  <c r="I488" i="1"/>
  <c r="K488" i="1" s="1"/>
  <c r="I463" i="1"/>
  <c r="K463" i="1" s="1"/>
  <c r="I451" i="1"/>
  <c r="K451" i="1" s="1"/>
  <c r="I438" i="1"/>
  <c r="K438" i="1" s="1"/>
  <c r="I424" i="1"/>
  <c r="K424" i="1" s="1"/>
  <c r="I399" i="1"/>
  <c r="K399" i="1" s="1"/>
  <c r="I387" i="1"/>
  <c r="K387" i="1" s="1"/>
  <c r="I374" i="1"/>
  <c r="K374" i="1" s="1"/>
  <c r="I360" i="1"/>
  <c r="K360" i="1" s="1"/>
  <c r="I335" i="1"/>
  <c r="K335" i="1" s="1"/>
  <c r="I323" i="1"/>
  <c r="K323" i="1" s="1"/>
  <c r="I309" i="1"/>
  <c r="K309" i="1" s="1"/>
  <c r="I238" i="1"/>
  <c r="K238" i="1" s="1"/>
  <c r="I223" i="1"/>
  <c r="K223" i="1" s="1"/>
  <c r="I143" i="1"/>
  <c r="K143" i="1" s="1"/>
  <c r="I126" i="1"/>
  <c r="K126" i="1" s="1"/>
  <c r="I104" i="1"/>
  <c r="K104" i="1" s="1"/>
  <c r="I86" i="1"/>
  <c r="K86" i="1" s="1"/>
  <c r="I63" i="1"/>
  <c r="K63" i="1" s="1"/>
  <c r="I39" i="1"/>
  <c r="K39" i="1" s="1"/>
  <c r="I294" i="1"/>
  <c r="K294" i="1" s="1"/>
  <c r="I279" i="1"/>
  <c r="K279" i="1" s="1"/>
  <c r="I264" i="1"/>
  <c r="K264" i="1" s="1"/>
  <c r="I252" i="1"/>
  <c r="K252" i="1" s="1"/>
  <c r="I237" i="1"/>
  <c r="K237" i="1" s="1"/>
  <c r="I207" i="1"/>
  <c r="K207" i="1" s="1"/>
  <c r="I191" i="1"/>
  <c r="K191" i="1" s="1"/>
  <c r="I175" i="1"/>
  <c r="K175" i="1" s="1"/>
  <c r="I159" i="1"/>
  <c r="K159" i="1" s="1"/>
  <c r="I124" i="1"/>
  <c r="K124" i="1" s="1"/>
  <c r="I572" i="1"/>
  <c r="K572" i="1" s="1"/>
  <c r="I560" i="1"/>
  <c r="K560" i="1" s="1"/>
  <c r="I549" i="1"/>
  <c r="K549" i="1" s="1"/>
  <c r="I526" i="1"/>
  <c r="K526" i="1" s="1"/>
  <c r="I512" i="1"/>
  <c r="K512" i="1" s="1"/>
  <c r="I487" i="1"/>
  <c r="K487" i="1" s="1"/>
  <c r="I475" i="1"/>
  <c r="K475" i="1" s="1"/>
  <c r="I462" i="1"/>
  <c r="K462" i="1" s="1"/>
  <c r="I448" i="1"/>
  <c r="K448" i="1" s="1"/>
  <c r="I423" i="1"/>
  <c r="K423" i="1" s="1"/>
  <c r="I411" i="1"/>
  <c r="K411" i="1" s="1"/>
  <c r="I398" i="1"/>
  <c r="I384" i="1"/>
  <c r="I359" i="1"/>
  <c r="I347" i="1"/>
  <c r="I334" i="1"/>
  <c r="I320" i="1"/>
  <c r="I308" i="1"/>
  <c r="I293" i="1"/>
  <c r="I222" i="1"/>
  <c r="I142" i="1"/>
  <c r="I103" i="1"/>
  <c r="I80" i="1"/>
  <c r="I62" i="1"/>
  <c r="I461" i="1"/>
  <c r="I436" i="1"/>
  <c r="I397" i="1"/>
  <c r="I372" i="1"/>
  <c r="I333" i="1"/>
  <c r="I278" i="1"/>
  <c r="I263" i="1"/>
  <c r="I248" i="1"/>
  <c r="I236" i="1"/>
  <c r="I221" i="1"/>
  <c r="I206" i="1"/>
  <c r="I190" i="1"/>
  <c r="I174" i="1"/>
  <c r="I158" i="1"/>
  <c r="I140" i="1"/>
  <c r="I120" i="1"/>
  <c r="I32" i="1"/>
  <c r="I689" i="1"/>
  <c r="I670" i="1"/>
  <c r="I660" i="1"/>
  <c r="I650" i="1"/>
  <c r="I640" i="1"/>
  <c r="I591" i="1"/>
  <c r="I581" i="1"/>
  <c r="I559" i="1"/>
  <c r="I548" i="1"/>
  <c r="I511" i="1"/>
  <c r="I499" i="1"/>
  <c r="I486" i="1"/>
  <c r="I472" i="1"/>
  <c r="I447" i="1"/>
  <c r="I435" i="1"/>
  <c r="I422" i="1"/>
  <c r="I408" i="1"/>
  <c r="I383" i="1"/>
  <c r="I371" i="1"/>
  <c r="I358" i="1"/>
  <c r="I344" i="1"/>
  <c r="I319" i="1"/>
  <c r="I304" i="1"/>
  <c r="I292" i="1"/>
  <c r="I277" i="1"/>
  <c r="I205" i="1"/>
  <c r="I189" i="1"/>
  <c r="I173" i="1"/>
  <c r="I157" i="1"/>
  <c r="I102" i="1"/>
  <c r="I79" i="1"/>
  <c r="I56" i="1"/>
  <c r="I31" i="1"/>
  <c r="I890" i="1"/>
  <c r="I882" i="1"/>
  <c r="I874" i="1"/>
  <c r="I866" i="1"/>
  <c r="I858" i="1"/>
  <c r="I850" i="1"/>
  <c r="I842" i="1"/>
  <c r="I834" i="1"/>
  <c r="I826" i="1"/>
  <c r="I818" i="1"/>
  <c r="I810" i="1"/>
  <c r="I802" i="1"/>
  <c r="I794" i="1"/>
  <c r="I786" i="1"/>
  <c r="I778" i="1"/>
  <c r="I770" i="1"/>
  <c r="I762" i="1"/>
  <c r="I754" i="1"/>
  <c r="I746" i="1"/>
  <c r="I738" i="1"/>
  <c r="I730" i="1"/>
  <c r="I722" i="1"/>
  <c r="I714" i="1"/>
  <c r="I706" i="1"/>
  <c r="I698" i="1"/>
  <c r="I679" i="1"/>
  <c r="I669" i="1"/>
  <c r="I659" i="1"/>
  <c r="I649" i="1"/>
  <c r="I630" i="1"/>
  <c r="I620" i="1"/>
  <c r="I610" i="1"/>
  <c r="I600" i="1"/>
  <c r="I569" i="1"/>
  <c r="I547" i="1"/>
  <c r="I535" i="1"/>
  <c r="I524" i="1"/>
  <c r="I485" i="1"/>
  <c r="I460" i="1"/>
  <c r="I421" i="1"/>
  <c r="I396" i="1"/>
  <c r="I357" i="1"/>
  <c r="I332" i="1"/>
  <c r="I262" i="1"/>
  <c r="I247" i="1"/>
  <c r="I232" i="1"/>
  <c r="I220" i="1"/>
  <c r="I204" i="1"/>
  <c r="I188" i="1"/>
  <c r="I172" i="1"/>
  <c r="I156" i="1"/>
  <c r="I136" i="1"/>
  <c r="I119" i="1"/>
  <c r="I688" i="1"/>
  <c r="I639" i="1"/>
  <c r="I629" i="1"/>
  <c r="I619" i="1"/>
  <c r="I609" i="1"/>
  <c r="I590" i="1"/>
  <c r="I580" i="1"/>
  <c r="I558" i="1"/>
  <c r="I545" i="1"/>
  <c r="I523" i="1"/>
  <c r="I510" i="1"/>
  <c r="I496" i="1"/>
  <c r="I471" i="1"/>
  <c r="I459" i="1"/>
  <c r="I446" i="1"/>
  <c r="I432" i="1"/>
  <c r="I407" i="1"/>
  <c r="I395" i="1"/>
  <c r="I382" i="1"/>
  <c r="I368" i="1"/>
  <c r="I343" i="1"/>
  <c r="I331" i="1"/>
  <c r="I318" i="1"/>
  <c r="I303" i="1"/>
  <c r="I288" i="1"/>
  <c r="I276" i="1"/>
  <c r="I261" i="1"/>
  <c r="I96" i="1"/>
  <c r="I78" i="1"/>
  <c r="I55" i="1"/>
  <c r="I579" i="1"/>
  <c r="I568" i="1"/>
  <c r="I557" i="1"/>
  <c r="I534" i="1"/>
  <c r="I509" i="1"/>
  <c r="I484" i="1"/>
  <c r="I445" i="1"/>
  <c r="I420" i="1"/>
  <c r="I381" i="1"/>
  <c r="I356" i="1"/>
  <c r="I317" i="1"/>
  <c r="I246" i="1"/>
  <c r="I231" i="1"/>
  <c r="I216" i="1"/>
  <c r="I200" i="1"/>
  <c r="I184" i="1"/>
  <c r="I168" i="1"/>
  <c r="I152" i="1"/>
  <c r="I135" i="1"/>
  <c r="I118" i="1"/>
  <c r="I24" i="1"/>
  <c r="I687" i="1"/>
  <c r="I677" i="1"/>
  <c r="I667" i="1"/>
  <c r="I657" i="1"/>
  <c r="I638" i="1"/>
  <c r="I628" i="1"/>
  <c r="I618" i="1"/>
  <c r="I608" i="1"/>
  <c r="I544" i="1"/>
  <c r="I533" i="1"/>
  <c r="I520" i="1"/>
  <c r="I495" i="1"/>
  <c r="I483" i="1"/>
  <c r="I470" i="1"/>
  <c r="I456" i="1"/>
  <c r="I431" i="1"/>
  <c r="I419" i="1"/>
  <c r="I406" i="1"/>
  <c r="I392" i="1"/>
  <c r="I367" i="1"/>
  <c r="I355" i="1"/>
  <c r="I342" i="1"/>
  <c r="I328" i="1"/>
  <c r="I302" i="1"/>
  <c r="I287" i="1"/>
  <c r="I272" i="1"/>
  <c r="I260" i="1"/>
  <c r="I245" i="1"/>
  <c r="I116" i="1"/>
  <c r="I95" i="1"/>
  <c r="I72" i="1"/>
  <c r="I54" i="1"/>
  <c r="I23" i="1"/>
  <c r="I46" i="1"/>
  <c r="I38" i="1"/>
  <c r="I30" i="1"/>
  <c r="I22" i="1"/>
  <c r="I149" i="1"/>
  <c r="I141" i="1"/>
  <c r="I133" i="1"/>
  <c r="I125" i="1"/>
  <c r="I117" i="1"/>
  <c r="I109" i="1"/>
  <c r="I101" i="1"/>
  <c r="I93" i="1"/>
  <c r="I85" i="1"/>
  <c r="I77" i="1"/>
  <c r="I69" i="1"/>
  <c r="I61" i="1"/>
  <c r="I53" i="1"/>
  <c r="I45" i="1"/>
  <c r="I37" i="1"/>
  <c r="I29" i="1"/>
  <c r="I21" i="1"/>
  <c r="I108" i="1"/>
  <c r="I100" i="1"/>
  <c r="I92" i="1"/>
  <c r="I84" i="1"/>
  <c r="I76" i="1"/>
  <c r="I68" i="1"/>
  <c r="I60" i="1"/>
  <c r="I52" i="1"/>
  <c r="I44" i="1"/>
  <c r="I36" i="1"/>
  <c r="I28" i="1"/>
  <c r="I20" i="1"/>
  <c r="I315" i="1"/>
  <c r="I307" i="1"/>
  <c r="I299" i="1"/>
  <c r="I291" i="1"/>
  <c r="I283" i="1"/>
  <c r="I275" i="1"/>
  <c r="I267" i="1"/>
  <c r="I259" i="1"/>
  <c r="I251" i="1"/>
  <c r="I243" i="1"/>
  <c r="I235" i="1"/>
  <c r="I227" i="1"/>
  <c r="I219" i="1"/>
  <c r="I211" i="1"/>
  <c r="I203" i="1"/>
  <c r="I195" i="1"/>
  <c r="I187" i="1"/>
  <c r="I179" i="1"/>
  <c r="I171" i="1"/>
  <c r="I163" i="1"/>
  <c r="I155" i="1"/>
  <c r="I147" i="1"/>
  <c r="I139" i="1"/>
  <c r="I131" i="1"/>
  <c r="I123" i="1"/>
  <c r="I115" i="1"/>
  <c r="I107" i="1"/>
  <c r="I99" i="1"/>
  <c r="I91" i="1"/>
  <c r="I83" i="1"/>
  <c r="I75" i="1"/>
  <c r="I67" i="1"/>
  <c r="I59" i="1"/>
  <c r="I51" i="1"/>
  <c r="I43" i="1"/>
  <c r="I35" i="1"/>
  <c r="I27" i="1"/>
  <c r="I19" i="1"/>
  <c r="I578" i="1"/>
  <c r="I570" i="1"/>
  <c r="I562" i="1"/>
  <c r="I554" i="1"/>
  <c r="I546" i="1"/>
  <c r="I538" i="1"/>
  <c r="I530" i="1"/>
  <c r="I522" i="1"/>
  <c r="I514" i="1"/>
  <c r="I506" i="1"/>
  <c r="I498" i="1"/>
  <c r="I490" i="1"/>
  <c r="I482" i="1"/>
  <c r="I474" i="1"/>
  <c r="I466" i="1"/>
  <c r="I458" i="1"/>
  <c r="I450" i="1"/>
  <c r="I442" i="1"/>
  <c r="I434" i="1"/>
  <c r="I426" i="1"/>
  <c r="I418" i="1"/>
  <c r="I410" i="1"/>
  <c r="I402" i="1"/>
  <c r="I394" i="1"/>
  <c r="I386" i="1"/>
  <c r="I378" i="1"/>
  <c r="I370" i="1"/>
  <c r="I362" i="1"/>
  <c r="I354" i="1"/>
  <c r="I346" i="1"/>
  <c r="I338" i="1"/>
  <c r="I330" i="1"/>
  <c r="I322" i="1"/>
  <c r="I314" i="1"/>
  <c r="I306" i="1"/>
  <c r="I298" i="1"/>
  <c r="I290" i="1"/>
  <c r="I282" i="1"/>
  <c r="I274" i="1"/>
  <c r="I266" i="1"/>
  <c r="I258" i="1"/>
  <c r="I250" i="1"/>
  <c r="I242" i="1"/>
  <c r="I234" i="1"/>
  <c r="I226" i="1"/>
  <c r="I218" i="1"/>
  <c r="I210" i="1"/>
  <c r="I202" i="1"/>
  <c r="I194" i="1"/>
  <c r="I186" i="1"/>
  <c r="I178" i="1"/>
  <c r="I170" i="1"/>
  <c r="I162" i="1"/>
  <c r="I154" i="1"/>
  <c r="I146" i="1"/>
  <c r="I138" i="1"/>
  <c r="I130" i="1"/>
  <c r="I122" i="1"/>
  <c r="I114" i="1"/>
  <c r="I106" i="1"/>
  <c r="I98" i="1"/>
  <c r="I90" i="1"/>
  <c r="I82" i="1"/>
  <c r="I74" i="1"/>
  <c r="I66" i="1"/>
  <c r="I58" i="1"/>
  <c r="I50" i="1"/>
  <c r="I42" i="1"/>
  <c r="I34" i="1"/>
  <c r="I26" i="1"/>
  <c r="I18" i="1"/>
  <c r="I521" i="1"/>
  <c r="I513" i="1"/>
  <c r="I505" i="1"/>
  <c r="I497" i="1"/>
  <c r="I489" i="1"/>
  <c r="I481" i="1"/>
  <c r="I473" i="1"/>
  <c r="I465" i="1"/>
  <c r="I457" i="1"/>
  <c r="I449" i="1"/>
  <c r="I441" i="1"/>
  <c r="I433" i="1"/>
  <c r="I425" i="1"/>
  <c r="I417" i="1"/>
  <c r="I409" i="1"/>
  <c r="I401" i="1"/>
  <c r="I393" i="1"/>
  <c r="I385" i="1"/>
  <c r="I377" i="1"/>
  <c r="I369" i="1"/>
  <c r="I361" i="1"/>
  <c r="I353" i="1"/>
  <c r="I345" i="1"/>
  <c r="I337" i="1"/>
  <c r="I329" i="1"/>
  <c r="I321" i="1"/>
  <c r="I313" i="1"/>
  <c r="I305" i="1"/>
  <c r="I297" i="1"/>
  <c r="I289" i="1"/>
  <c r="I281" i="1"/>
  <c r="I273" i="1"/>
  <c r="I265" i="1"/>
  <c r="I257" i="1"/>
  <c r="I249" i="1"/>
  <c r="I241" i="1"/>
  <c r="I233" i="1"/>
  <c r="I225" i="1"/>
  <c r="I217" i="1"/>
  <c r="I209" i="1"/>
  <c r="I201" i="1"/>
  <c r="I193" i="1"/>
  <c r="I185" i="1"/>
  <c r="I177" i="1"/>
  <c r="I169" i="1"/>
  <c r="I161" i="1"/>
  <c r="I153" i="1"/>
  <c r="I145" i="1"/>
  <c r="I137" i="1"/>
  <c r="I129" i="1"/>
  <c r="I121" i="1"/>
  <c r="I113" i="1"/>
  <c r="I105" i="1"/>
  <c r="I97" i="1"/>
  <c r="I89" i="1"/>
  <c r="I81" i="1"/>
  <c r="I73" i="1"/>
  <c r="I65" i="1"/>
  <c r="I57" i="1"/>
  <c r="I49" i="1"/>
  <c r="I41" i="1"/>
  <c r="I33" i="1"/>
  <c r="I25" i="1"/>
  <c r="I17" i="1"/>
  <c r="I16" i="1"/>
  <c r="I15" i="1"/>
  <c r="I14" i="1"/>
  <c r="I13" i="1"/>
  <c r="I12" i="1"/>
  <c r="I11" i="1"/>
  <c r="I10" i="1"/>
  <c r="I9" i="1"/>
  <c r="I8" i="1"/>
  <c r="I7" i="1"/>
  <c r="I6" i="1"/>
  <c r="I5" i="1"/>
  <c r="I4" i="1"/>
  <c r="I3" i="1"/>
  <c r="J3474" i="1"/>
  <c r="J3464" i="1"/>
  <c r="J3444" i="1"/>
  <c r="J3424" i="1"/>
  <c r="J3392" i="1"/>
  <c r="J3360" i="1"/>
  <c r="J3328" i="1"/>
  <c r="J3294" i="1"/>
  <c r="J3273" i="1"/>
  <c r="J3260" i="1"/>
  <c r="J3236" i="1"/>
  <c r="J3222" i="1"/>
  <c r="J3211" i="1"/>
  <c r="J3197" i="1"/>
  <c r="J3186" i="1"/>
  <c r="J3171" i="1"/>
  <c r="J3155" i="1"/>
  <c r="J3125" i="1"/>
  <c r="J3106" i="1"/>
  <c r="J3092" i="1"/>
  <c r="J3036" i="1"/>
  <c r="J3015" i="1"/>
  <c r="J2986" i="1"/>
  <c r="J2956" i="1"/>
  <c r="J2917" i="1"/>
  <c r="J2697" i="1"/>
  <c r="J3853" i="1"/>
  <c r="J3845" i="1"/>
  <c r="J3837" i="1"/>
  <c r="J3829" i="1"/>
  <c r="J3821" i="1"/>
  <c r="J3813" i="1"/>
  <c r="J3805" i="1"/>
  <c r="J3797" i="1"/>
  <c r="J3789" i="1"/>
  <c r="J3781" i="1"/>
  <c r="J3773" i="1"/>
  <c r="J3765" i="1"/>
  <c r="J3757" i="1"/>
  <c r="J3749" i="1"/>
  <c r="J3741" i="1"/>
  <c r="J3725" i="1"/>
  <c r="J3717" i="1"/>
  <c r="J3709" i="1"/>
  <c r="J3701" i="1"/>
  <c r="J3693" i="1"/>
  <c r="J3685" i="1"/>
  <c r="J3677" i="1"/>
  <c r="J3669" i="1"/>
  <c r="J3661" i="1"/>
  <c r="J3653" i="1"/>
  <c r="J3645" i="1"/>
  <c r="J3637" i="1"/>
  <c r="J3629" i="1"/>
  <c r="J3621" i="1"/>
  <c r="J3613" i="1"/>
  <c r="J3605" i="1"/>
  <c r="J3596" i="1"/>
  <c r="J3587" i="1"/>
  <c r="J3578" i="1"/>
  <c r="J3569" i="1"/>
  <c r="J3560" i="1"/>
  <c r="J3550" i="1"/>
  <c r="J3541" i="1"/>
  <c r="J3532" i="1"/>
  <c r="J3513" i="1"/>
  <c r="J3502" i="1"/>
  <c r="J3483" i="1"/>
  <c r="J3463" i="1"/>
  <c r="J3453" i="1"/>
  <c r="J3434" i="1"/>
  <c r="J3422" i="1"/>
  <c r="J3412" i="1"/>
  <c r="J3402" i="1"/>
  <c r="J3390" i="1"/>
  <c r="J3380" i="1"/>
  <c r="J3370" i="1"/>
  <c r="J3358" i="1"/>
  <c r="J3348" i="1"/>
  <c r="J3338" i="1"/>
  <c r="J3326" i="1"/>
  <c r="J3316" i="1"/>
  <c r="J3306" i="1"/>
  <c r="J3283" i="1"/>
  <c r="J3270" i="1"/>
  <c r="J3249" i="1"/>
  <c r="J3142" i="1"/>
  <c r="J3124" i="1"/>
  <c r="J3091" i="1"/>
  <c r="J3073" i="1"/>
  <c r="J3055" i="1"/>
  <c r="J3035" i="1"/>
  <c r="J3008" i="1"/>
  <c r="J2949" i="1"/>
  <c r="J2915" i="1"/>
  <c r="J2882" i="1"/>
  <c r="J2847" i="1"/>
  <c r="J2792" i="1"/>
  <c r="J2682" i="1"/>
  <c r="J3733" i="1"/>
  <c r="J3559" i="1"/>
  <c r="J3522" i="1"/>
  <c r="J3512" i="1"/>
  <c r="J3492" i="1"/>
  <c r="J3473" i="1"/>
  <c r="J3462" i="1"/>
  <c r="J3443" i="1"/>
  <c r="J3293" i="1"/>
  <c r="J3259" i="1"/>
  <c r="J3246" i="1"/>
  <c r="J3235" i="1"/>
  <c r="J3221" i="1"/>
  <c r="J3210" i="1"/>
  <c r="J3196" i="1"/>
  <c r="J3182" i="1"/>
  <c r="J3170" i="1"/>
  <c r="J3154" i="1"/>
  <c r="J3141" i="1"/>
  <c r="J3123" i="1"/>
  <c r="J3105" i="1"/>
  <c r="J3087" i="1"/>
  <c r="J2978" i="1"/>
  <c r="J2947" i="1"/>
  <c r="J2846" i="1"/>
  <c r="J2791" i="1"/>
  <c r="J2681" i="1"/>
  <c r="J3860" i="1"/>
  <c r="J3852" i="1"/>
  <c r="J3844" i="1"/>
  <c r="J3836" i="1"/>
  <c r="J3828" i="1"/>
  <c r="J3820" i="1"/>
  <c r="J3812" i="1"/>
  <c r="J3804" i="1"/>
  <c r="J3796" i="1"/>
  <c r="J3788" i="1"/>
  <c r="J3780" i="1"/>
  <c r="J3772" i="1"/>
  <c r="J3764" i="1"/>
  <c r="J3756" i="1"/>
  <c r="J3748" i="1"/>
  <c r="J3740" i="1"/>
  <c r="J3732" i="1"/>
  <c r="J3724" i="1"/>
  <c r="J3716" i="1"/>
  <c r="J3708" i="1"/>
  <c r="J3700" i="1"/>
  <c r="J3692" i="1"/>
  <c r="J3684" i="1"/>
  <c r="J3676" i="1"/>
  <c r="J3668" i="1"/>
  <c r="J3660" i="1"/>
  <c r="J3652" i="1"/>
  <c r="J3644" i="1"/>
  <c r="J3636" i="1"/>
  <c r="J3628" i="1"/>
  <c r="J3620" i="1"/>
  <c r="J3612" i="1"/>
  <c r="J3604" i="1"/>
  <c r="J3595" i="1"/>
  <c r="J3586" i="1"/>
  <c r="J3577" i="1"/>
  <c r="J3568" i="1"/>
  <c r="J3558" i="1"/>
  <c r="J3549" i="1"/>
  <c r="J3540" i="1"/>
  <c r="J3531" i="1"/>
  <c r="J3511" i="1"/>
  <c r="J3501" i="1"/>
  <c r="J3482" i="1"/>
  <c r="J3472" i="1"/>
  <c r="J3452" i="1"/>
  <c r="J3433" i="1"/>
  <c r="J3421" i="1"/>
  <c r="J3411" i="1"/>
  <c r="J3401" i="1"/>
  <c r="J3389" i="1"/>
  <c r="J3379" i="1"/>
  <c r="J3369" i="1"/>
  <c r="J3357" i="1"/>
  <c r="J3347" i="1"/>
  <c r="J3337" i="1"/>
  <c r="J3325" i="1"/>
  <c r="J3315" i="1"/>
  <c r="J3305" i="1"/>
  <c r="J3282" i="1"/>
  <c r="J3269" i="1"/>
  <c r="J3140" i="1"/>
  <c r="J3072" i="1"/>
  <c r="J3054" i="1"/>
  <c r="J3034" i="1"/>
  <c r="J3007" i="1"/>
  <c r="J2914" i="1"/>
  <c r="J2881" i="1"/>
  <c r="J2778" i="1"/>
  <c r="J2665" i="1"/>
  <c r="J3567" i="1"/>
  <c r="J3521" i="1"/>
  <c r="J3510" i="1"/>
  <c r="J3491" i="1"/>
  <c r="J3471" i="1"/>
  <c r="J3461" i="1"/>
  <c r="J3442" i="1"/>
  <c r="J3432" i="1"/>
  <c r="J3400" i="1"/>
  <c r="J3368" i="1"/>
  <c r="J3336" i="1"/>
  <c r="J3304" i="1"/>
  <c r="J3292" i="1"/>
  <c r="J3258" i="1"/>
  <c r="J3245" i="1"/>
  <c r="J3234" i="1"/>
  <c r="J3220" i="1"/>
  <c r="J3206" i="1"/>
  <c r="J3195" i="1"/>
  <c r="J3181" i="1"/>
  <c r="J3169" i="1"/>
  <c r="J3153" i="1"/>
  <c r="J3136" i="1"/>
  <c r="J3122" i="1"/>
  <c r="J3104" i="1"/>
  <c r="J3086" i="1"/>
  <c r="J3053" i="1"/>
  <c r="J3033" i="1"/>
  <c r="J2977" i="1"/>
  <c r="J2946" i="1"/>
  <c r="J2777" i="1"/>
  <c r="J2664" i="1"/>
  <c r="J3859" i="1"/>
  <c r="J3851" i="1"/>
  <c r="J3843" i="1"/>
  <c r="J3835" i="1"/>
  <c r="J3827" i="1"/>
  <c r="J3819" i="1"/>
  <c r="J3811" i="1"/>
  <c r="J3803" i="1"/>
  <c r="J3795" i="1"/>
  <c r="J3787" i="1"/>
  <c r="J3779" i="1"/>
  <c r="J3771" i="1"/>
  <c r="J3763" i="1"/>
  <c r="J3755" i="1"/>
  <c r="J3747" i="1"/>
  <c r="J3739" i="1"/>
  <c r="J3731" i="1"/>
  <c r="J3723" i="1"/>
  <c r="J3715" i="1"/>
  <c r="J3707" i="1"/>
  <c r="J3699" i="1"/>
  <c r="J3691" i="1"/>
  <c r="J3683" i="1"/>
  <c r="J3675" i="1"/>
  <c r="J3667" i="1"/>
  <c r="J3659" i="1"/>
  <c r="J3651" i="1"/>
  <c r="J3643" i="1"/>
  <c r="J3635" i="1"/>
  <c r="J3627" i="1"/>
  <c r="J3619" i="1"/>
  <c r="J3611" i="1"/>
  <c r="J3603" i="1"/>
  <c r="J3594" i="1"/>
  <c r="J3585" i="1"/>
  <c r="J3576" i="1"/>
  <c r="J3566" i="1"/>
  <c r="J3557" i="1"/>
  <c r="J3548" i="1"/>
  <c r="J3539" i="1"/>
  <c r="J3530" i="1"/>
  <c r="J3520" i="1"/>
  <c r="J3500" i="1"/>
  <c r="J3481" i="1"/>
  <c r="J3470" i="1"/>
  <c r="J3451" i="1"/>
  <c r="J3430" i="1"/>
  <c r="J3420" i="1"/>
  <c r="J3410" i="1"/>
  <c r="J3398" i="1"/>
  <c r="J3388" i="1"/>
  <c r="J3378" i="1"/>
  <c r="J3366" i="1"/>
  <c r="J3356" i="1"/>
  <c r="J3346" i="1"/>
  <c r="J3334" i="1"/>
  <c r="J3324" i="1"/>
  <c r="J3314" i="1"/>
  <c r="J3302" i="1"/>
  <c r="J3281" i="1"/>
  <c r="J3268" i="1"/>
  <c r="J3085" i="1"/>
  <c r="J3066" i="1"/>
  <c r="J3052" i="1"/>
  <c r="J3027" i="1"/>
  <c r="J3006" i="1"/>
  <c r="J2872" i="1"/>
  <c r="J2833" i="1"/>
  <c r="J2642" i="1"/>
  <c r="J3575" i="1"/>
  <c r="J3519" i="1"/>
  <c r="J3509" i="1"/>
  <c r="J3490" i="1"/>
  <c r="J3480" i="1"/>
  <c r="J3460" i="1"/>
  <c r="J3441" i="1"/>
  <c r="J3291" i="1"/>
  <c r="J3278" i="1"/>
  <c r="J3257" i="1"/>
  <c r="J3244" i="1"/>
  <c r="J3230" i="1"/>
  <c r="J3219" i="1"/>
  <c r="J3205" i="1"/>
  <c r="J3194" i="1"/>
  <c r="J3180" i="1"/>
  <c r="J3165" i="1"/>
  <c r="J3152" i="1"/>
  <c r="J3135" i="1"/>
  <c r="J3121" i="1"/>
  <c r="J3103" i="1"/>
  <c r="J3084" i="1"/>
  <c r="J3005" i="1"/>
  <c r="J2976" i="1"/>
  <c r="J2905" i="1"/>
  <c r="J2762" i="1"/>
  <c r="J2641" i="1"/>
  <c r="J3858" i="1"/>
  <c r="J3850" i="1"/>
  <c r="J3842" i="1"/>
  <c r="J3834" i="1"/>
  <c r="J3826" i="1"/>
  <c r="J3818" i="1"/>
  <c r="J3810" i="1"/>
  <c r="J3802" i="1"/>
  <c r="J3794" i="1"/>
  <c r="J3786" i="1"/>
  <c r="J3778" i="1"/>
  <c r="J3770" i="1"/>
  <c r="J3762" i="1"/>
  <c r="J3754" i="1"/>
  <c r="J3746" i="1"/>
  <c r="J3738" i="1"/>
  <c r="J3730" i="1"/>
  <c r="J3722" i="1"/>
  <c r="J3714" i="1"/>
  <c r="J3706" i="1"/>
  <c r="J3698" i="1"/>
  <c r="J3690" i="1"/>
  <c r="J3682" i="1"/>
  <c r="J3674" i="1"/>
  <c r="J3666" i="1"/>
  <c r="J3658" i="1"/>
  <c r="J3650" i="1"/>
  <c r="J3642" i="1"/>
  <c r="J3634" i="1"/>
  <c r="J3626" i="1"/>
  <c r="J3618" i="1"/>
  <c r="J3610" i="1"/>
  <c r="J3602" i="1"/>
  <c r="J3593" i="1"/>
  <c r="J3584" i="1"/>
  <c r="J3574" i="1"/>
  <c r="J3565" i="1"/>
  <c r="J3556" i="1"/>
  <c r="J3547" i="1"/>
  <c r="J3538" i="1"/>
  <c r="J3529" i="1"/>
  <c r="J3518" i="1"/>
  <c r="J3499" i="1"/>
  <c r="J3479" i="1"/>
  <c r="J3469" i="1"/>
  <c r="J3450" i="1"/>
  <c r="J3440" i="1"/>
  <c r="J3429" i="1"/>
  <c r="J3419" i="1"/>
  <c r="J3409" i="1"/>
  <c r="J3397" i="1"/>
  <c r="J3387" i="1"/>
  <c r="J3377" i="1"/>
  <c r="J3365" i="1"/>
  <c r="J3355" i="1"/>
  <c r="J3345" i="1"/>
  <c r="J3333" i="1"/>
  <c r="J3323" i="1"/>
  <c r="J3313" i="1"/>
  <c r="J3301" i="1"/>
  <c r="J3267" i="1"/>
  <c r="J3254" i="1"/>
  <c r="J3164" i="1"/>
  <c r="J3116" i="1"/>
  <c r="J3083" i="1"/>
  <c r="J3065" i="1"/>
  <c r="J3047" i="1"/>
  <c r="J3026" i="1"/>
  <c r="J2937" i="1"/>
  <c r="J2871" i="1"/>
  <c r="J2823" i="1"/>
  <c r="J2761" i="1"/>
  <c r="J3583" i="1"/>
  <c r="J3528" i="1"/>
  <c r="J3508" i="1"/>
  <c r="J3489" i="1"/>
  <c r="J3478" i="1"/>
  <c r="J3459" i="1"/>
  <c r="J3439" i="1"/>
  <c r="J3408" i="1"/>
  <c r="J3376" i="1"/>
  <c r="J3344" i="1"/>
  <c r="J3312" i="1"/>
  <c r="J3290" i="1"/>
  <c r="J3277" i="1"/>
  <c r="J3243" i="1"/>
  <c r="J3229" i="1"/>
  <c r="J3218" i="1"/>
  <c r="J3204" i="1"/>
  <c r="J3190" i="1"/>
  <c r="J3179" i="1"/>
  <c r="J3163" i="1"/>
  <c r="J3151" i="1"/>
  <c r="J3134" i="1"/>
  <c r="J3115" i="1"/>
  <c r="J3102" i="1"/>
  <c r="J2998" i="1"/>
  <c r="J2968" i="1"/>
  <c r="J2904" i="1"/>
  <c r="J2870" i="1"/>
  <c r="J2819" i="1"/>
  <c r="J2593" i="1"/>
  <c r="J3857" i="1"/>
  <c r="J3849" i="1"/>
  <c r="J3841" i="1"/>
  <c r="J3833" i="1"/>
  <c r="J3825" i="1"/>
  <c r="J3817" i="1"/>
  <c r="J3809" i="1"/>
  <c r="J3801" i="1"/>
  <c r="J3793" i="1"/>
  <c r="J3785" i="1"/>
  <c r="J3777" i="1"/>
  <c r="J3769" i="1"/>
  <c r="J3761" i="1"/>
  <c r="J3753" i="1"/>
  <c r="J3745" i="1"/>
  <c r="J3737" i="1"/>
  <c r="J3729" i="1"/>
  <c r="J3721" i="1"/>
  <c r="J3713" i="1"/>
  <c r="J3705" i="1"/>
  <c r="J3697" i="1"/>
  <c r="J3689" i="1"/>
  <c r="J3681" i="1"/>
  <c r="J3673" i="1"/>
  <c r="J3665" i="1"/>
  <c r="J3657" i="1"/>
  <c r="J3649" i="1"/>
  <c r="J3641" i="1"/>
  <c r="J3633" i="1"/>
  <c r="J3625" i="1"/>
  <c r="J3617" i="1"/>
  <c r="J3609" i="1"/>
  <c r="J3601" i="1"/>
  <c r="J3592" i="1"/>
  <c r="J3582" i="1"/>
  <c r="J3573" i="1"/>
  <c r="J3564" i="1"/>
  <c r="J3555" i="1"/>
  <c r="J3546" i="1"/>
  <c r="J3537" i="1"/>
  <c r="J3527" i="1"/>
  <c r="J3517" i="1"/>
  <c r="J3498" i="1"/>
  <c r="J3488" i="1"/>
  <c r="J3468" i="1"/>
  <c r="J3449" i="1"/>
  <c r="J3438" i="1"/>
  <c r="J3428" i="1"/>
  <c r="J3418" i="1"/>
  <c r="J3406" i="1"/>
  <c r="J3396" i="1"/>
  <c r="J3386" i="1"/>
  <c r="J3374" i="1"/>
  <c r="J3364" i="1"/>
  <c r="J3354" i="1"/>
  <c r="J3342" i="1"/>
  <c r="J3332" i="1"/>
  <c r="J3322" i="1"/>
  <c r="J3310" i="1"/>
  <c r="J3300" i="1"/>
  <c r="J3266" i="1"/>
  <c r="J3253" i="1"/>
  <c r="J3133" i="1"/>
  <c r="J3082" i="1"/>
  <c r="J3064" i="1"/>
  <c r="J3046" i="1"/>
  <c r="J3025" i="1"/>
  <c r="J2997" i="1"/>
  <c r="J2936" i="1"/>
  <c r="J2861" i="1"/>
  <c r="J2746" i="1"/>
  <c r="J2544" i="1"/>
  <c r="J3591" i="1"/>
  <c r="J3526" i="1"/>
  <c r="J3507" i="1"/>
  <c r="J3487" i="1"/>
  <c r="J3477" i="1"/>
  <c r="J3458" i="1"/>
  <c r="J3448" i="1"/>
  <c r="J3289" i="1"/>
  <c r="J3276" i="1"/>
  <c r="J3242" i="1"/>
  <c r="J3228" i="1"/>
  <c r="J3214" i="1"/>
  <c r="J3203" i="1"/>
  <c r="J3189" i="1"/>
  <c r="J3178" i="1"/>
  <c r="J3162" i="1"/>
  <c r="J3132" i="1"/>
  <c r="J3114" i="1"/>
  <c r="J3096" i="1"/>
  <c r="J3045" i="1"/>
  <c r="J2996" i="1"/>
  <c r="J2967" i="1"/>
  <c r="J2859" i="1"/>
  <c r="J2818" i="1"/>
  <c r="J2745" i="1"/>
  <c r="J2468" i="1"/>
  <c r="J2834" i="1"/>
  <c r="J2822" i="1"/>
  <c r="J2808" i="1"/>
  <c r="J2793" i="1"/>
  <c r="J2617" i="1"/>
  <c r="J2587" i="1"/>
  <c r="J2542" i="1"/>
  <c r="J2611" i="1"/>
  <c r="J2586" i="1"/>
  <c r="J2461" i="1"/>
  <c r="J2659" i="1"/>
  <c r="J2635" i="1"/>
  <c r="J2585" i="1"/>
  <c r="J2541" i="1"/>
  <c r="J2436" i="1"/>
  <c r="J2776" i="1"/>
  <c r="J2760" i="1"/>
  <c r="J2744" i="1"/>
  <c r="J2728" i="1"/>
  <c r="J2712" i="1"/>
  <c r="J2696" i="1"/>
  <c r="J2680" i="1"/>
  <c r="J2610" i="1"/>
  <c r="J2584" i="1"/>
  <c r="J2540" i="1"/>
  <c r="J2429" i="1"/>
  <c r="J2985" i="1"/>
  <c r="J2966" i="1"/>
  <c r="J2955" i="1"/>
  <c r="J2945" i="1"/>
  <c r="J2935" i="1"/>
  <c r="J2923" i="1"/>
  <c r="J2913" i="1"/>
  <c r="J2903" i="1"/>
  <c r="J2891" i="1"/>
  <c r="J2869" i="1"/>
  <c r="J2857" i="1"/>
  <c r="J2843" i="1"/>
  <c r="J2832" i="1"/>
  <c r="J2790" i="1"/>
  <c r="J2775" i="1"/>
  <c r="J2759" i="1"/>
  <c r="J2743" i="1"/>
  <c r="J2727" i="1"/>
  <c r="J2711" i="1"/>
  <c r="J2695" i="1"/>
  <c r="J2675" i="1"/>
  <c r="J2658" i="1"/>
  <c r="J2634" i="1"/>
  <c r="J2583" i="1"/>
  <c r="J2528" i="1"/>
  <c r="J2428" i="1"/>
  <c r="J3043" i="1"/>
  <c r="J3024" i="1"/>
  <c r="J3004" i="1"/>
  <c r="J2994" i="1"/>
  <c r="J2975" i="1"/>
  <c r="J2965" i="1"/>
  <c r="J2880" i="1"/>
  <c r="J2867" i="1"/>
  <c r="J2817" i="1"/>
  <c r="J2802" i="1"/>
  <c r="J2787" i="1"/>
  <c r="J2771" i="1"/>
  <c r="J2755" i="1"/>
  <c r="J2739" i="1"/>
  <c r="J2723" i="1"/>
  <c r="J2707" i="1"/>
  <c r="J2691" i="1"/>
  <c r="J2609" i="1"/>
  <c r="J2573" i="1"/>
  <c r="J2526" i="1"/>
  <c r="J2388" i="1"/>
  <c r="J3014" i="1"/>
  <c r="J3003" i="1"/>
  <c r="J2984" i="1"/>
  <c r="J2964" i="1"/>
  <c r="J2954" i="1"/>
  <c r="J2944" i="1"/>
  <c r="J2934" i="1"/>
  <c r="J2922" i="1"/>
  <c r="J2912" i="1"/>
  <c r="J2902" i="1"/>
  <c r="J2890" i="1"/>
  <c r="J2856" i="1"/>
  <c r="J2842" i="1"/>
  <c r="J2831" i="1"/>
  <c r="J2674" i="1"/>
  <c r="J2657" i="1"/>
  <c r="J2633" i="1"/>
  <c r="J2603" i="1"/>
  <c r="J2572" i="1"/>
  <c r="J2380" i="1"/>
  <c r="J3023" i="1"/>
  <c r="J3013" i="1"/>
  <c r="J2993" i="1"/>
  <c r="J2974" i="1"/>
  <c r="J2963" i="1"/>
  <c r="J2933" i="1"/>
  <c r="J2901" i="1"/>
  <c r="J2879" i="1"/>
  <c r="J2866" i="1"/>
  <c r="J2830" i="1"/>
  <c r="J2816" i="1"/>
  <c r="J2801" i="1"/>
  <c r="J2786" i="1"/>
  <c r="J2770" i="1"/>
  <c r="J2754" i="1"/>
  <c r="J2738" i="1"/>
  <c r="J2722" i="1"/>
  <c r="J2706" i="1"/>
  <c r="J2690" i="1"/>
  <c r="J2627" i="1"/>
  <c r="J2571" i="1"/>
  <c r="J2525" i="1"/>
  <c r="J2324" i="1"/>
  <c r="J3111" i="1"/>
  <c r="J3101" i="1"/>
  <c r="J3081" i="1"/>
  <c r="J3062" i="1"/>
  <c r="J3051" i="1"/>
  <c r="J3032" i="1"/>
  <c r="J3012" i="1"/>
  <c r="J3002" i="1"/>
  <c r="J2983" i="1"/>
  <c r="J2973" i="1"/>
  <c r="J2953" i="1"/>
  <c r="J2943" i="1"/>
  <c r="J2931" i="1"/>
  <c r="J2921" i="1"/>
  <c r="J2911" i="1"/>
  <c r="J2899" i="1"/>
  <c r="J2889" i="1"/>
  <c r="J2878" i="1"/>
  <c r="J2855" i="1"/>
  <c r="J2841" i="1"/>
  <c r="J2827" i="1"/>
  <c r="J2815" i="1"/>
  <c r="J2673" i="1"/>
  <c r="J2651" i="1"/>
  <c r="J2602" i="1"/>
  <c r="J2570" i="1"/>
  <c r="J2316" i="1"/>
  <c r="J3241" i="1"/>
  <c r="J3233" i="1"/>
  <c r="J3225" i="1"/>
  <c r="J3217" i="1"/>
  <c r="J3209" i="1"/>
  <c r="J3201" i="1"/>
  <c r="J3193" i="1"/>
  <c r="J3185" i="1"/>
  <c r="J3177" i="1"/>
  <c r="J3168" i="1"/>
  <c r="J3159" i="1"/>
  <c r="J3150" i="1"/>
  <c r="J3139" i="1"/>
  <c r="J3120" i="1"/>
  <c r="J3100" i="1"/>
  <c r="J3090" i="1"/>
  <c r="J3071" i="1"/>
  <c r="J3061" i="1"/>
  <c r="J3041" i="1"/>
  <c r="J3022" i="1"/>
  <c r="J3011" i="1"/>
  <c r="J2992" i="1"/>
  <c r="J2972" i="1"/>
  <c r="J2962" i="1"/>
  <c r="J2877" i="1"/>
  <c r="J2865" i="1"/>
  <c r="J2854" i="1"/>
  <c r="J2814" i="1"/>
  <c r="J2800" i="1"/>
  <c r="J2785" i="1"/>
  <c r="J2769" i="1"/>
  <c r="J2753" i="1"/>
  <c r="J2737" i="1"/>
  <c r="J2721" i="1"/>
  <c r="J2705" i="1"/>
  <c r="J2689" i="1"/>
  <c r="J2626" i="1"/>
  <c r="J2569" i="1"/>
  <c r="J2509" i="1"/>
  <c r="J3149" i="1"/>
  <c r="J3129" i="1"/>
  <c r="J3110" i="1"/>
  <c r="J3099" i="1"/>
  <c r="J3080" i="1"/>
  <c r="J3060" i="1"/>
  <c r="J3050" i="1"/>
  <c r="J3031" i="1"/>
  <c r="J3021" i="1"/>
  <c r="J3001" i="1"/>
  <c r="J2982" i="1"/>
  <c r="J2971" i="1"/>
  <c r="J2952" i="1"/>
  <c r="J2942" i="1"/>
  <c r="J2930" i="1"/>
  <c r="J2920" i="1"/>
  <c r="J2910" i="1"/>
  <c r="J2898" i="1"/>
  <c r="J2888" i="1"/>
  <c r="J2875" i="1"/>
  <c r="J2851" i="1"/>
  <c r="J2840" i="1"/>
  <c r="J2826" i="1"/>
  <c r="J2811" i="1"/>
  <c r="J2799" i="1"/>
  <c r="J2672" i="1"/>
  <c r="J2650" i="1"/>
  <c r="J2601" i="1"/>
  <c r="J2558" i="1"/>
  <c r="J2508" i="1"/>
  <c r="J3296" i="1"/>
  <c r="J3288" i="1"/>
  <c r="J3280" i="1"/>
  <c r="J3272" i="1"/>
  <c r="J3264" i="1"/>
  <c r="J3256" i="1"/>
  <c r="J3248" i="1"/>
  <c r="J3240" i="1"/>
  <c r="J3232" i="1"/>
  <c r="J3224" i="1"/>
  <c r="J3216" i="1"/>
  <c r="J3208" i="1"/>
  <c r="J3200" i="1"/>
  <c r="J3192" i="1"/>
  <c r="J3184" i="1"/>
  <c r="J3176" i="1"/>
  <c r="J3167" i="1"/>
  <c r="J3158" i="1"/>
  <c r="J3148" i="1"/>
  <c r="J3138" i="1"/>
  <c r="J3119" i="1"/>
  <c r="J3109" i="1"/>
  <c r="J3089" i="1"/>
  <c r="J3070" i="1"/>
  <c r="J3059" i="1"/>
  <c r="J3040" i="1"/>
  <c r="J3020" i="1"/>
  <c r="J3010" i="1"/>
  <c r="J2991" i="1"/>
  <c r="J2981" i="1"/>
  <c r="J2961" i="1"/>
  <c r="J2941" i="1"/>
  <c r="J2909" i="1"/>
  <c r="J2864" i="1"/>
  <c r="J2798" i="1"/>
  <c r="J2784" i="1"/>
  <c r="J2768" i="1"/>
  <c r="J2752" i="1"/>
  <c r="J2736" i="1"/>
  <c r="J2720" i="1"/>
  <c r="J2704" i="1"/>
  <c r="J2688" i="1"/>
  <c r="J2667" i="1"/>
  <c r="J2625" i="1"/>
  <c r="J2595" i="1"/>
  <c r="J2507" i="1"/>
  <c r="J3147" i="1"/>
  <c r="J3128" i="1"/>
  <c r="J3108" i="1"/>
  <c r="J3098" i="1"/>
  <c r="J3079" i="1"/>
  <c r="J3069" i="1"/>
  <c r="J3049" i="1"/>
  <c r="J3030" i="1"/>
  <c r="J3019" i="1"/>
  <c r="J3000" i="1"/>
  <c r="J2980" i="1"/>
  <c r="J2970" i="1"/>
  <c r="J2951" i="1"/>
  <c r="J2939" i="1"/>
  <c r="J2929" i="1"/>
  <c r="J2919" i="1"/>
  <c r="J2907" i="1"/>
  <c r="J2897" i="1"/>
  <c r="J2887" i="1"/>
  <c r="J2874" i="1"/>
  <c r="J2850" i="1"/>
  <c r="J2839" i="1"/>
  <c r="J2825" i="1"/>
  <c r="J2810" i="1"/>
  <c r="J2795" i="1"/>
  <c r="J2783" i="1"/>
  <c r="J2767" i="1"/>
  <c r="J2751" i="1"/>
  <c r="J2735" i="1"/>
  <c r="J2719" i="1"/>
  <c r="J2703" i="1"/>
  <c r="J2687" i="1"/>
  <c r="J2649" i="1"/>
  <c r="J2619" i="1"/>
  <c r="J2557" i="1"/>
  <c r="J2491" i="1"/>
  <c r="J3431" i="1"/>
  <c r="J3423" i="1"/>
  <c r="J3415" i="1"/>
  <c r="J3407" i="1"/>
  <c r="J3399" i="1"/>
  <c r="J3391" i="1"/>
  <c r="J3383" i="1"/>
  <c r="J3375" i="1"/>
  <c r="J3367" i="1"/>
  <c r="J3359" i="1"/>
  <c r="J3351" i="1"/>
  <c r="J3343" i="1"/>
  <c r="J3335" i="1"/>
  <c r="J3327" i="1"/>
  <c r="J3319" i="1"/>
  <c r="J3311" i="1"/>
  <c r="J3303" i="1"/>
  <c r="J3295" i="1"/>
  <c r="J3287" i="1"/>
  <c r="J3279" i="1"/>
  <c r="J3271" i="1"/>
  <c r="J3263" i="1"/>
  <c r="J3255" i="1"/>
  <c r="J3247" i="1"/>
  <c r="J3239" i="1"/>
  <c r="J3231" i="1"/>
  <c r="J3223" i="1"/>
  <c r="J3215" i="1"/>
  <c r="J3207" i="1"/>
  <c r="J3199" i="1"/>
  <c r="J3191" i="1"/>
  <c r="J3183" i="1"/>
  <c r="J3175" i="1"/>
  <c r="J3166" i="1"/>
  <c r="J3157" i="1"/>
  <c r="J3137" i="1"/>
  <c r="J3118" i="1"/>
  <c r="J3107" i="1"/>
  <c r="J3088" i="1"/>
  <c r="J3068" i="1"/>
  <c r="J3058" i="1"/>
  <c r="J3039" i="1"/>
  <c r="J3029" i="1"/>
  <c r="J3009" i="1"/>
  <c r="J2990" i="1"/>
  <c r="J2979" i="1"/>
  <c r="J2960" i="1"/>
  <c r="J2886" i="1"/>
  <c r="J2863" i="1"/>
  <c r="J2838" i="1"/>
  <c r="J2779" i="1"/>
  <c r="J2763" i="1"/>
  <c r="J2747" i="1"/>
  <c r="J2731" i="1"/>
  <c r="J2715" i="1"/>
  <c r="J2699" i="1"/>
  <c r="J2683" i="1"/>
  <c r="J2666" i="1"/>
  <c r="J2643" i="1"/>
  <c r="J2594" i="1"/>
  <c r="J2556" i="1"/>
  <c r="J2488" i="1"/>
  <c r="J1985" i="1"/>
  <c r="J3156" i="1"/>
  <c r="J3146" i="1"/>
  <c r="J3127" i="1"/>
  <c r="J3117" i="1"/>
  <c r="J3097" i="1"/>
  <c r="J3078" i="1"/>
  <c r="J3067" i="1"/>
  <c r="J3048" i="1"/>
  <c r="J3028" i="1"/>
  <c r="J3018" i="1"/>
  <c r="J2999" i="1"/>
  <c r="J2989" i="1"/>
  <c r="J2969" i="1"/>
  <c r="J2950" i="1"/>
  <c r="J2938" i="1"/>
  <c r="J2928" i="1"/>
  <c r="J2918" i="1"/>
  <c r="J2906" i="1"/>
  <c r="J2896" i="1"/>
  <c r="J2885" i="1"/>
  <c r="J2873" i="1"/>
  <c r="J2862" i="1"/>
  <c r="J2849" i="1"/>
  <c r="J2835" i="1"/>
  <c r="J2824" i="1"/>
  <c r="J2809" i="1"/>
  <c r="J2794" i="1"/>
  <c r="J2618" i="1"/>
  <c r="J2555" i="1"/>
  <c r="J1958" i="1"/>
  <c r="J2490" i="1"/>
  <c r="J2466" i="1"/>
  <c r="J1972" i="1"/>
  <c r="J1947" i="1"/>
  <c r="J2524" i="1"/>
  <c r="J2506" i="1"/>
  <c r="J2485" i="1"/>
  <c r="J2460" i="1"/>
  <c r="J2372" i="1"/>
  <c r="J2308" i="1"/>
  <c r="J2582" i="1"/>
  <c r="J2568" i="1"/>
  <c r="J2554" i="1"/>
  <c r="J2539" i="1"/>
  <c r="J2523" i="1"/>
  <c r="J2505" i="1"/>
  <c r="J2484" i="1"/>
  <c r="J2458" i="1"/>
  <c r="J2421" i="1"/>
  <c r="J2656" i="1"/>
  <c r="J2648" i="1"/>
  <c r="J2640" i="1"/>
  <c r="J2632" i="1"/>
  <c r="J2624" i="1"/>
  <c r="J2616" i="1"/>
  <c r="J2608" i="1"/>
  <c r="J2600" i="1"/>
  <c r="J2592" i="1"/>
  <c r="J2567" i="1"/>
  <c r="J2553" i="1"/>
  <c r="J2538" i="1"/>
  <c r="J2522" i="1"/>
  <c r="J2504" i="1"/>
  <c r="J2483" i="1"/>
  <c r="J2420" i="1"/>
  <c r="J2364" i="1"/>
  <c r="J2300" i="1"/>
  <c r="J1904" i="1"/>
  <c r="J2566" i="1"/>
  <c r="J2552" i="1"/>
  <c r="J2537" i="1"/>
  <c r="J2521" i="1"/>
  <c r="J2482" i="1"/>
  <c r="J2453" i="1"/>
  <c r="J1885" i="1"/>
  <c r="J2679" i="1"/>
  <c r="J2671" i="1"/>
  <c r="J2663" i="1"/>
  <c r="J2655" i="1"/>
  <c r="J2647" i="1"/>
  <c r="J2639" i="1"/>
  <c r="J2631" i="1"/>
  <c r="J2623" i="1"/>
  <c r="J2615" i="1"/>
  <c r="J2607" i="1"/>
  <c r="J2599" i="1"/>
  <c r="J2591" i="1"/>
  <c r="J2580" i="1"/>
  <c r="J2551" i="1"/>
  <c r="J2536" i="1"/>
  <c r="J2520" i="1"/>
  <c r="J2501" i="1"/>
  <c r="J2480" i="1"/>
  <c r="J2452" i="1"/>
  <c r="J2413" i="1"/>
  <c r="J2356" i="1"/>
  <c r="J2292" i="1"/>
  <c r="J1866" i="1"/>
  <c r="J2579" i="1"/>
  <c r="J2565" i="1"/>
  <c r="J2550" i="1"/>
  <c r="J2534" i="1"/>
  <c r="J2500" i="1"/>
  <c r="J2450" i="1"/>
  <c r="J2412" i="1"/>
  <c r="J1844" i="1"/>
  <c r="J2782" i="1"/>
  <c r="J2774" i="1"/>
  <c r="J2766" i="1"/>
  <c r="J2758" i="1"/>
  <c r="J2750" i="1"/>
  <c r="J2742" i="1"/>
  <c r="J2734" i="1"/>
  <c r="J2726" i="1"/>
  <c r="J2718" i="1"/>
  <c r="J2710" i="1"/>
  <c r="J2702" i="1"/>
  <c r="J2694" i="1"/>
  <c r="J2686" i="1"/>
  <c r="J2678" i="1"/>
  <c r="J2670" i="1"/>
  <c r="J2662" i="1"/>
  <c r="J2654" i="1"/>
  <c r="J2646" i="1"/>
  <c r="J2638" i="1"/>
  <c r="J2630" i="1"/>
  <c r="J2622" i="1"/>
  <c r="J2614" i="1"/>
  <c r="J2606" i="1"/>
  <c r="J2598" i="1"/>
  <c r="J2590" i="1"/>
  <c r="J2578" i="1"/>
  <c r="J2564" i="1"/>
  <c r="J2517" i="1"/>
  <c r="J2499" i="1"/>
  <c r="J2477" i="1"/>
  <c r="J2348" i="1"/>
  <c r="J2284" i="1"/>
  <c r="J1819" i="1"/>
  <c r="J2577" i="1"/>
  <c r="J2563" i="1"/>
  <c r="J2549" i="1"/>
  <c r="J2533" i="1"/>
  <c r="J2516" i="1"/>
  <c r="J2498" i="1"/>
  <c r="J2476" i="1"/>
  <c r="J2445" i="1"/>
  <c r="J2405" i="1"/>
  <c r="J1789" i="1"/>
  <c r="J2853" i="1"/>
  <c r="J2845" i="1"/>
  <c r="J2837" i="1"/>
  <c r="J2829" i="1"/>
  <c r="J2821" i="1"/>
  <c r="J2813" i="1"/>
  <c r="J2805" i="1"/>
  <c r="J2797" i="1"/>
  <c r="J2789" i="1"/>
  <c r="J2781" i="1"/>
  <c r="J2773" i="1"/>
  <c r="J2765" i="1"/>
  <c r="J2757" i="1"/>
  <c r="J2749" i="1"/>
  <c r="J2741" i="1"/>
  <c r="J2733" i="1"/>
  <c r="J2725" i="1"/>
  <c r="J2717" i="1"/>
  <c r="J2709" i="1"/>
  <c r="J2701" i="1"/>
  <c r="J2693" i="1"/>
  <c r="J2685" i="1"/>
  <c r="J2677" i="1"/>
  <c r="J2669" i="1"/>
  <c r="J2661" i="1"/>
  <c r="J2653" i="1"/>
  <c r="J2645" i="1"/>
  <c r="J2637" i="1"/>
  <c r="J2629" i="1"/>
  <c r="J2621" i="1"/>
  <c r="J2613" i="1"/>
  <c r="J2605" i="1"/>
  <c r="J2597" i="1"/>
  <c r="J2589" i="1"/>
  <c r="J2576" i="1"/>
  <c r="J2562" i="1"/>
  <c r="J2548" i="1"/>
  <c r="J2532" i="1"/>
  <c r="J2515" i="1"/>
  <c r="J2496" i="1"/>
  <c r="J2474" i="1"/>
  <c r="J2444" i="1"/>
  <c r="J2404" i="1"/>
  <c r="J2340" i="1"/>
  <c r="J2276" i="1"/>
  <c r="J1748" i="1"/>
  <c r="J2575" i="1"/>
  <c r="J2561" i="1"/>
  <c r="J2547" i="1"/>
  <c r="J2531" i="1"/>
  <c r="J2514" i="1"/>
  <c r="J2472" i="1"/>
  <c r="J2442" i="1"/>
  <c r="J2948" i="1"/>
  <c r="J2940" i="1"/>
  <c r="J2932" i="1"/>
  <c r="J2924" i="1"/>
  <c r="J2916" i="1"/>
  <c r="J2908" i="1"/>
  <c r="J2900" i="1"/>
  <c r="J2892" i="1"/>
  <c r="J2884" i="1"/>
  <c r="J2876" i="1"/>
  <c r="J2868" i="1"/>
  <c r="J2860" i="1"/>
  <c r="J2852" i="1"/>
  <c r="J2844" i="1"/>
  <c r="J2836" i="1"/>
  <c r="J2828" i="1"/>
  <c r="J2820" i="1"/>
  <c r="J2812" i="1"/>
  <c r="J2804" i="1"/>
  <c r="J2796" i="1"/>
  <c r="J2788" i="1"/>
  <c r="J2780" i="1"/>
  <c r="J2772" i="1"/>
  <c r="J2764" i="1"/>
  <c r="J2756" i="1"/>
  <c r="J2748" i="1"/>
  <c r="J2740" i="1"/>
  <c r="J2732" i="1"/>
  <c r="J2724" i="1"/>
  <c r="J2716" i="1"/>
  <c r="J2708" i="1"/>
  <c r="J2700" i="1"/>
  <c r="J2692" i="1"/>
  <c r="J2684" i="1"/>
  <c r="J2676" i="1"/>
  <c r="J2668" i="1"/>
  <c r="J2660" i="1"/>
  <c r="J2652" i="1"/>
  <c r="J2644" i="1"/>
  <c r="J2636" i="1"/>
  <c r="J2628" i="1"/>
  <c r="J2620" i="1"/>
  <c r="J2612" i="1"/>
  <c r="J2604" i="1"/>
  <c r="J2596" i="1"/>
  <c r="J2588" i="1"/>
  <c r="J2574" i="1"/>
  <c r="J2560" i="1"/>
  <c r="J2546" i="1"/>
  <c r="J2530" i="1"/>
  <c r="J2513" i="1"/>
  <c r="J2493" i="1"/>
  <c r="J2396" i="1"/>
  <c r="J2332" i="1"/>
  <c r="J2268" i="1"/>
  <c r="J2009" i="1"/>
  <c r="J2559" i="1"/>
  <c r="J2545" i="1"/>
  <c r="J2529" i="1"/>
  <c r="J2512" i="1"/>
  <c r="J2492" i="1"/>
  <c r="J2469" i="1"/>
  <c r="J2437" i="1"/>
  <c r="J1997" i="1"/>
  <c r="J1356" i="1"/>
  <c r="J2397" i="1"/>
  <c r="J2389" i="1"/>
  <c r="J2381" i="1"/>
  <c r="J2373" i="1"/>
  <c r="J2365" i="1"/>
  <c r="J2357" i="1"/>
  <c r="J2349" i="1"/>
  <c r="J2341" i="1"/>
  <c r="J2333" i="1"/>
  <c r="J2325" i="1"/>
  <c r="J2317" i="1"/>
  <c r="J2309" i="1"/>
  <c r="J2301" i="1"/>
  <c r="J2293" i="1"/>
  <c r="J2285" i="1"/>
  <c r="J2277" i="1"/>
  <c r="J2269" i="1"/>
  <c r="J2261" i="1"/>
  <c r="J2253" i="1"/>
  <c r="J2245" i="1"/>
  <c r="J2237" i="1"/>
  <c r="J2229" i="1"/>
  <c r="J2221" i="1"/>
  <c r="J2213" i="1"/>
  <c r="J2205" i="1"/>
  <c r="J2197" i="1"/>
  <c r="J2189" i="1"/>
  <c r="J2181" i="1"/>
  <c r="J2173" i="1"/>
  <c r="J2165" i="1"/>
  <c r="J2157" i="1"/>
  <c r="J2149" i="1"/>
  <c r="J2141" i="1"/>
  <c r="J2133" i="1"/>
  <c r="J2125" i="1"/>
  <c r="J2117" i="1"/>
  <c r="J2109" i="1"/>
  <c r="J2101" i="1"/>
  <c r="J2093" i="1"/>
  <c r="J2085" i="1"/>
  <c r="J2077" i="1"/>
  <c r="J2069" i="1"/>
  <c r="J2061" i="1"/>
  <c r="J2053" i="1"/>
  <c r="J2045" i="1"/>
  <c r="J2037" i="1"/>
  <c r="J2029" i="1"/>
  <c r="J2020" i="1"/>
  <c r="J2008" i="1"/>
  <c r="J1984" i="1"/>
  <c r="J1946" i="1"/>
  <c r="J1932" i="1"/>
  <c r="J1917" i="1"/>
  <c r="J1843" i="1"/>
  <c r="J1788" i="1"/>
  <c r="J1518" i="1"/>
  <c r="J1345" i="1"/>
  <c r="J2007" i="1"/>
  <c r="J1996" i="1"/>
  <c r="J1982" i="1"/>
  <c r="J1971" i="1"/>
  <c r="J1957" i="1"/>
  <c r="J1945" i="1"/>
  <c r="J1901" i="1"/>
  <c r="J1884" i="1"/>
  <c r="J1861" i="1"/>
  <c r="J1813" i="1"/>
  <c r="J1787" i="1"/>
  <c r="J1740" i="1"/>
  <c r="J2260" i="1"/>
  <c r="J2252" i="1"/>
  <c r="J2244" i="1"/>
  <c r="J2236" i="1"/>
  <c r="J2228" i="1"/>
  <c r="J2220" i="1"/>
  <c r="J2212" i="1"/>
  <c r="J2204" i="1"/>
  <c r="J2196" i="1"/>
  <c r="J2188" i="1"/>
  <c r="J2180" i="1"/>
  <c r="J2172" i="1"/>
  <c r="J2164" i="1"/>
  <c r="J2156" i="1"/>
  <c r="J2148" i="1"/>
  <c r="J2140" i="1"/>
  <c r="J2132" i="1"/>
  <c r="J2124" i="1"/>
  <c r="J2116" i="1"/>
  <c r="J2108" i="1"/>
  <c r="J2100" i="1"/>
  <c r="J2092" i="1"/>
  <c r="J2084" i="1"/>
  <c r="J2076" i="1"/>
  <c r="J2068" i="1"/>
  <c r="J2060" i="1"/>
  <c r="J2052" i="1"/>
  <c r="J2044" i="1"/>
  <c r="J2036" i="1"/>
  <c r="J2028" i="1"/>
  <c r="J2019" i="1"/>
  <c r="J2006" i="1"/>
  <c r="J1970" i="1"/>
  <c r="J1944" i="1"/>
  <c r="J1931" i="1"/>
  <c r="J1916" i="1"/>
  <c r="J1883" i="1"/>
  <c r="J1837" i="1"/>
  <c r="J1499" i="1"/>
  <c r="J2018" i="1"/>
  <c r="J1995" i="1"/>
  <c r="J1981" i="1"/>
  <c r="J1969" i="1"/>
  <c r="J1956" i="1"/>
  <c r="J1942" i="1"/>
  <c r="J1930" i="1"/>
  <c r="J1900" i="1"/>
  <c r="J1882" i="1"/>
  <c r="J1860" i="1"/>
  <c r="J1812" i="1"/>
  <c r="J1781" i="1"/>
  <c r="J1732" i="1"/>
  <c r="J1488" i="1"/>
  <c r="J1309" i="1"/>
  <c r="J2475" i="1"/>
  <c r="J2467" i="1"/>
  <c r="J2459" i="1"/>
  <c r="J2451" i="1"/>
  <c r="J2443" i="1"/>
  <c r="J2435" i="1"/>
  <c r="J2427" i="1"/>
  <c r="J2419" i="1"/>
  <c r="J2411" i="1"/>
  <c r="J2403" i="1"/>
  <c r="J2395" i="1"/>
  <c r="J2387" i="1"/>
  <c r="J2379" i="1"/>
  <c r="J2371" i="1"/>
  <c r="J2363" i="1"/>
  <c r="J2355" i="1"/>
  <c r="J2347" i="1"/>
  <c r="J2339" i="1"/>
  <c r="J2331" i="1"/>
  <c r="J2323" i="1"/>
  <c r="J2315" i="1"/>
  <c r="J2307" i="1"/>
  <c r="J2299" i="1"/>
  <c r="J2291" i="1"/>
  <c r="J2283" i="1"/>
  <c r="J2275" i="1"/>
  <c r="J2267" i="1"/>
  <c r="J2259" i="1"/>
  <c r="J2251" i="1"/>
  <c r="J2243" i="1"/>
  <c r="J2235" i="1"/>
  <c r="J2227" i="1"/>
  <c r="J2219" i="1"/>
  <c r="J2211" i="1"/>
  <c r="J2203" i="1"/>
  <c r="J2195" i="1"/>
  <c r="J2187" i="1"/>
  <c r="J2179" i="1"/>
  <c r="J2171" i="1"/>
  <c r="J2163" i="1"/>
  <c r="J2155" i="1"/>
  <c r="J2147" i="1"/>
  <c r="J2139" i="1"/>
  <c r="J2131" i="1"/>
  <c r="J2123" i="1"/>
  <c r="J2115" i="1"/>
  <c r="J2107" i="1"/>
  <c r="J2099" i="1"/>
  <c r="J2091" i="1"/>
  <c r="J2083" i="1"/>
  <c r="J2075" i="1"/>
  <c r="J2067" i="1"/>
  <c r="J2059" i="1"/>
  <c r="J2051" i="1"/>
  <c r="J2043" i="1"/>
  <c r="J2035" i="1"/>
  <c r="J2027" i="1"/>
  <c r="J2017" i="1"/>
  <c r="J2005" i="1"/>
  <c r="J1994" i="1"/>
  <c r="J1968" i="1"/>
  <c r="J1929" i="1"/>
  <c r="J1915" i="1"/>
  <c r="J1859" i="1"/>
  <c r="J1836" i="1"/>
  <c r="J1811" i="1"/>
  <c r="J1780" i="1"/>
  <c r="J1477" i="1"/>
  <c r="J2016" i="1"/>
  <c r="J1993" i="1"/>
  <c r="J1980" i="1"/>
  <c r="J1966" i="1"/>
  <c r="J1955" i="1"/>
  <c r="J1941" i="1"/>
  <c r="J1928" i="1"/>
  <c r="J1914" i="1"/>
  <c r="J1899" i="1"/>
  <c r="J1877" i="1"/>
  <c r="J1858" i="1"/>
  <c r="J1835" i="1"/>
  <c r="J1779" i="1"/>
  <c r="J1724" i="1"/>
  <c r="J1467" i="1"/>
  <c r="J1284" i="1"/>
  <c r="J2434" i="1"/>
  <c r="J2426" i="1"/>
  <c r="J2418" i="1"/>
  <c r="J2410" i="1"/>
  <c r="J2402" i="1"/>
  <c r="J2394" i="1"/>
  <c r="J2386" i="1"/>
  <c r="J2378" i="1"/>
  <c r="J2370" i="1"/>
  <c r="J2362" i="1"/>
  <c r="J2354" i="1"/>
  <c r="J2346" i="1"/>
  <c r="J2338" i="1"/>
  <c r="J2330" i="1"/>
  <c r="J2322" i="1"/>
  <c r="J2314" i="1"/>
  <c r="J2306" i="1"/>
  <c r="J2298" i="1"/>
  <c r="J2290" i="1"/>
  <c r="J2282" i="1"/>
  <c r="J2274" i="1"/>
  <c r="J2266" i="1"/>
  <c r="J2258" i="1"/>
  <c r="J2250" i="1"/>
  <c r="J2242" i="1"/>
  <c r="J2234" i="1"/>
  <c r="J2226" i="1"/>
  <c r="J2218" i="1"/>
  <c r="J2210" i="1"/>
  <c r="J2202" i="1"/>
  <c r="J2194" i="1"/>
  <c r="J2186" i="1"/>
  <c r="J2178" i="1"/>
  <c r="J2170" i="1"/>
  <c r="J2162" i="1"/>
  <c r="J2154" i="1"/>
  <c r="J2146" i="1"/>
  <c r="J2138" i="1"/>
  <c r="J2130" i="1"/>
  <c r="J2122" i="1"/>
  <c r="J2114" i="1"/>
  <c r="J2106" i="1"/>
  <c r="J2098" i="1"/>
  <c r="J2090" i="1"/>
  <c r="J2082" i="1"/>
  <c r="J2074" i="1"/>
  <c r="J2066" i="1"/>
  <c r="J2058" i="1"/>
  <c r="J2050" i="1"/>
  <c r="J2042" i="1"/>
  <c r="J2034" i="1"/>
  <c r="J2026" i="1"/>
  <c r="J2015" i="1"/>
  <c r="J2004" i="1"/>
  <c r="J1992" i="1"/>
  <c r="J1954" i="1"/>
  <c r="J1913" i="1"/>
  <c r="J1898" i="1"/>
  <c r="J1805" i="1"/>
  <c r="J1456" i="1"/>
  <c r="J1269" i="1"/>
  <c r="J2014" i="1"/>
  <c r="J1990" i="1"/>
  <c r="J1979" i="1"/>
  <c r="J1965" i="1"/>
  <c r="J1953" i="1"/>
  <c r="J1940" i="1"/>
  <c r="J1925" i="1"/>
  <c r="J1912" i="1"/>
  <c r="J1896" i="1"/>
  <c r="J1876" i="1"/>
  <c r="J1853" i="1"/>
  <c r="J1829" i="1"/>
  <c r="J1773" i="1"/>
  <c r="J1716" i="1"/>
  <c r="J1445" i="1"/>
  <c r="J1253" i="1"/>
  <c r="J2497" i="1"/>
  <c r="J2489" i="1"/>
  <c r="J2481" i="1"/>
  <c r="J2473" i="1"/>
  <c r="J2465" i="1"/>
  <c r="J2457" i="1"/>
  <c r="J2449" i="1"/>
  <c r="J2441" i="1"/>
  <c r="J2433" i="1"/>
  <c r="J2425" i="1"/>
  <c r="J2417" i="1"/>
  <c r="J2409" i="1"/>
  <c r="J2401" i="1"/>
  <c r="J2393" i="1"/>
  <c r="J2385" i="1"/>
  <c r="J2377" i="1"/>
  <c r="J2369" i="1"/>
  <c r="J2361" i="1"/>
  <c r="J2353" i="1"/>
  <c r="J2345" i="1"/>
  <c r="J2337" i="1"/>
  <c r="J2329" i="1"/>
  <c r="J2321" i="1"/>
  <c r="J2313" i="1"/>
  <c r="J2305" i="1"/>
  <c r="J2297" i="1"/>
  <c r="J2289" i="1"/>
  <c r="J2281" i="1"/>
  <c r="J2273" i="1"/>
  <c r="J2265" i="1"/>
  <c r="J2257" i="1"/>
  <c r="J2249" i="1"/>
  <c r="J2241" i="1"/>
  <c r="J2233" i="1"/>
  <c r="J2225" i="1"/>
  <c r="J2217" i="1"/>
  <c r="J2209" i="1"/>
  <c r="J2201" i="1"/>
  <c r="J2193" i="1"/>
  <c r="J2185" i="1"/>
  <c r="J2177" i="1"/>
  <c r="J2169" i="1"/>
  <c r="J2161" i="1"/>
  <c r="J2153" i="1"/>
  <c r="J2145" i="1"/>
  <c r="J2137" i="1"/>
  <c r="J2129" i="1"/>
  <c r="J2121" i="1"/>
  <c r="J2113" i="1"/>
  <c r="J2105" i="1"/>
  <c r="J2097" i="1"/>
  <c r="J2089" i="1"/>
  <c r="J2081" i="1"/>
  <c r="J2073" i="1"/>
  <c r="J2065" i="1"/>
  <c r="J2057" i="1"/>
  <c r="J2049" i="1"/>
  <c r="J2041" i="1"/>
  <c r="J2033" i="1"/>
  <c r="J2025" i="1"/>
  <c r="J2003" i="1"/>
  <c r="J1978" i="1"/>
  <c r="J1952" i="1"/>
  <c r="J1875" i="1"/>
  <c r="J1804" i="1"/>
  <c r="J1772" i="1"/>
  <c r="J1597" i="1"/>
  <c r="J1435" i="1"/>
  <c r="J1237" i="1"/>
  <c r="J2013" i="1"/>
  <c r="J2002" i="1"/>
  <c r="J1989" i="1"/>
  <c r="J1977" i="1"/>
  <c r="J1964" i="1"/>
  <c r="J1950" i="1"/>
  <c r="J1939" i="1"/>
  <c r="J1924" i="1"/>
  <c r="J1909" i="1"/>
  <c r="J1893" i="1"/>
  <c r="J1874" i="1"/>
  <c r="J1852" i="1"/>
  <c r="J1828" i="1"/>
  <c r="J1803" i="1"/>
  <c r="J1771" i="1"/>
  <c r="J1708" i="1"/>
  <c r="J1424" i="1"/>
  <c r="J1221" i="1"/>
  <c r="J2464" i="1"/>
  <c r="J2456" i="1"/>
  <c r="J2448" i="1"/>
  <c r="J2440" i="1"/>
  <c r="J2432" i="1"/>
  <c r="J2424" i="1"/>
  <c r="J2416" i="1"/>
  <c r="J2408" i="1"/>
  <c r="J2400" i="1"/>
  <c r="J2392" i="1"/>
  <c r="J2384" i="1"/>
  <c r="J2376" i="1"/>
  <c r="J2368" i="1"/>
  <c r="J2360" i="1"/>
  <c r="J2352" i="1"/>
  <c r="J2344" i="1"/>
  <c r="J2336" i="1"/>
  <c r="J2328" i="1"/>
  <c r="J2320" i="1"/>
  <c r="J2312" i="1"/>
  <c r="J2304" i="1"/>
  <c r="J2296" i="1"/>
  <c r="J2288" i="1"/>
  <c r="J2280" i="1"/>
  <c r="J2272" i="1"/>
  <c r="J2264" i="1"/>
  <c r="J2256" i="1"/>
  <c r="J2248" i="1"/>
  <c r="J2240" i="1"/>
  <c r="J2232" i="1"/>
  <c r="J2224" i="1"/>
  <c r="J2216" i="1"/>
  <c r="J2208" i="1"/>
  <c r="J2200" i="1"/>
  <c r="J2192" i="1"/>
  <c r="J2184" i="1"/>
  <c r="J2176" i="1"/>
  <c r="J2168" i="1"/>
  <c r="J2160" i="1"/>
  <c r="J2152" i="1"/>
  <c r="J2144" i="1"/>
  <c r="J2136" i="1"/>
  <c r="J2128" i="1"/>
  <c r="J2120" i="1"/>
  <c r="J2112" i="1"/>
  <c r="J2104" i="1"/>
  <c r="J2096" i="1"/>
  <c r="J2088" i="1"/>
  <c r="J2080" i="1"/>
  <c r="J2072" i="1"/>
  <c r="J2064" i="1"/>
  <c r="J2056" i="1"/>
  <c r="J2048" i="1"/>
  <c r="J2040" i="1"/>
  <c r="J2032" i="1"/>
  <c r="J2024" i="1"/>
  <c r="J2001" i="1"/>
  <c r="J1976" i="1"/>
  <c r="J1938" i="1"/>
  <c r="J1851" i="1"/>
  <c r="J1827" i="1"/>
  <c r="J1413" i="1"/>
  <c r="J1203" i="1"/>
  <c r="J2023" i="1"/>
  <c r="J2012" i="1"/>
  <c r="J2000" i="1"/>
  <c r="J1988" i="1"/>
  <c r="J1974" i="1"/>
  <c r="J1963" i="1"/>
  <c r="J1949" i="1"/>
  <c r="J1937" i="1"/>
  <c r="J1923" i="1"/>
  <c r="J1908" i="1"/>
  <c r="J1892" i="1"/>
  <c r="J1869" i="1"/>
  <c r="J1850" i="1"/>
  <c r="J1797" i="1"/>
  <c r="J1764" i="1"/>
  <c r="J1700" i="1"/>
  <c r="J1568" i="1"/>
  <c r="J1403" i="1"/>
  <c r="J2543" i="1"/>
  <c r="J2535" i="1"/>
  <c r="J2527" i="1"/>
  <c r="J2519" i="1"/>
  <c r="J2511" i="1"/>
  <c r="J2503" i="1"/>
  <c r="J2495" i="1"/>
  <c r="J2487" i="1"/>
  <c r="J2479" i="1"/>
  <c r="J2471" i="1"/>
  <c r="J2463" i="1"/>
  <c r="J2455" i="1"/>
  <c r="J2447" i="1"/>
  <c r="J2439" i="1"/>
  <c r="J2431" i="1"/>
  <c r="J2423" i="1"/>
  <c r="J2415" i="1"/>
  <c r="J2407" i="1"/>
  <c r="J2399" i="1"/>
  <c r="J2391" i="1"/>
  <c r="J2383" i="1"/>
  <c r="J2375" i="1"/>
  <c r="J2367" i="1"/>
  <c r="J2359" i="1"/>
  <c r="J2351" i="1"/>
  <c r="J2343" i="1"/>
  <c r="J2335" i="1"/>
  <c r="J2327" i="1"/>
  <c r="J2319" i="1"/>
  <c r="J2311" i="1"/>
  <c r="J2303" i="1"/>
  <c r="J2295" i="1"/>
  <c r="J2287" i="1"/>
  <c r="J2279" i="1"/>
  <c r="J2271" i="1"/>
  <c r="J2263" i="1"/>
  <c r="J2255" i="1"/>
  <c r="J2247" i="1"/>
  <c r="J2239" i="1"/>
  <c r="J2231" i="1"/>
  <c r="J2223" i="1"/>
  <c r="J2215" i="1"/>
  <c r="J2207" i="1"/>
  <c r="J2199" i="1"/>
  <c r="J2191" i="1"/>
  <c r="J2183" i="1"/>
  <c r="J2175" i="1"/>
  <c r="J2167" i="1"/>
  <c r="J2159" i="1"/>
  <c r="J2151" i="1"/>
  <c r="J2143" i="1"/>
  <c r="J2135" i="1"/>
  <c r="J2127" i="1"/>
  <c r="J2119" i="1"/>
  <c r="J2111" i="1"/>
  <c r="J2103" i="1"/>
  <c r="J2095" i="1"/>
  <c r="J2087" i="1"/>
  <c r="J2079" i="1"/>
  <c r="J2071" i="1"/>
  <c r="J2063" i="1"/>
  <c r="J2055" i="1"/>
  <c r="J2047" i="1"/>
  <c r="J2039" i="1"/>
  <c r="J2031" i="1"/>
  <c r="J2022" i="1"/>
  <c r="J1999" i="1"/>
  <c r="J1962" i="1"/>
  <c r="J1936" i="1"/>
  <c r="J1922" i="1"/>
  <c r="J1891" i="1"/>
  <c r="J1821" i="1"/>
  <c r="J1796" i="1"/>
  <c r="J1390" i="1"/>
  <c r="J2011" i="1"/>
  <c r="J1998" i="1"/>
  <c r="J1987" i="1"/>
  <c r="J1973" i="1"/>
  <c r="J1961" i="1"/>
  <c r="J1948" i="1"/>
  <c r="J1921" i="1"/>
  <c r="J1907" i="1"/>
  <c r="J1890" i="1"/>
  <c r="J1868" i="1"/>
  <c r="J1845" i="1"/>
  <c r="J1795" i="1"/>
  <c r="J1756" i="1"/>
  <c r="J1548" i="1"/>
  <c r="J2518" i="1"/>
  <c r="J2510" i="1"/>
  <c r="J2502" i="1"/>
  <c r="J2494" i="1"/>
  <c r="J2486" i="1"/>
  <c r="J2478" i="1"/>
  <c r="J2470" i="1"/>
  <c r="J2462" i="1"/>
  <c r="J2454" i="1"/>
  <c r="J2446" i="1"/>
  <c r="J2438" i="1"/>
  <c r="J2430" i="1"/>
  <c r="J2422" i="1"/>
  <c r="J2414" i="1"/>
  <c r="J2406" i="1"/>
  <c r="J2398" i="1"/>
  <c r="J2390" i="1"/>
  <c r="J2382" i="1"/>
  <c r="J2374" i="1"/>
  <c r="J2366" i="1"/>
  <c r="J2358" i="1"/>
  <c r="J2350" i="1"/>
  <c r="J2342" i="1"/>
  <c r="J2334" i="1"/>
  <c r="J2326" i="1"/>
  <c r="J2318" i="1"/>
  <c r="J2310" i="1"/>
  <c r="J2302" i="1"/>
  <c r="J2294" i="1"/>
  <c r="J2286" i="1"/>
  <c r="J2278" i="1"/>
  <c r="J2270" i="1"/>
  <c r="J2262" i="1"/>
  <c r="J2254" i="1"/>
  <c r="J2246" i="1"/>
  <c r="J2238" i="1"/>
  <c r="J2230" i="1"/>
  <c r="J2222" i="1"/>
  <c r="J2214" i="1"/>
  <c r="J2206" i="1"/>
  <c r="J2198" i="1"/>
  <c r="J2190" i="1"/>
  <c r="J2182" i="1"/>
  <c r="J2174" i="1"/>
  <c r="J2166" i="1"/>
  <c r="J2158" i="1"/>
  <c r="J2150" i="1"/>
  <c r="J2142" i="1"/>
  <c r="J2134" i="1"/>
  <c r="J2126" i="1"/>
  <c r="J2118" i="1"/>
  <c r="J2110" i="1"/>
  <c r="J2102" i="1"/>
  <c r="J2094" i="1"/>
  <c r="J2086" i="1"/>
  <c r="J2078" i="1"/>
  <c r="J2070" i="1"/>
  <c r="J2062" i="1"/>
  <c r="J2054" i="1"/>
  <c r="J2046" i="1"/>
  <c r="J2038" i="1"/>
  <c r="J2030" i="1"/>
  <c r="J2021" i="1"/>
  <c r="J2010" i="1"/>
  <c r="J1986" i="1"/>
  <c r="J1960" i="1"/>
  <c r="J1933" i="1"/>
  <c r="J1920" i="1"/>
  <c r="J1906" i="1"/>
  <c r="J1867" i="1"/>
  <c r="J1820" i="1"/>
  <c r="J1538" i="1"/>
  <c r="J1368" i="1"/>
  <c r="J966" i="1"/>
  <c r="J1765" i="1"/>
  <c r="J1757" i="1"/>
  <c r="J1749" i="1"/>
  <c r="J1741" i="1"/>
  <c r="J1733" i="1"/>
  <c r="J1725" i="1"/>
  <c r="J1717" i="1"/>
  <c r="J1709" i="1"/>
  <c r="J1701" i="1"/>
  <c r="J1693" i="1"/>
  <c r="J1685" i="1"/>
  <c r="J1677" i="1"/>
  <c r="J1669" i="1"/>
  <c r="J1661" i="1"/>
  <c r="J1653" i="1"/>
  <c r="J1645" i="1"/>
  <c r="J1637" i="1"/>
  <c r="J1629" i="1"/>
  <c r="J1621" i="1"/>
  <c r="J1613" i="1"/>
  <c r="J1605" i="1"/>
  <c r="J1587" i="1"/>
  <c r="J1577" i="1"/>
  <c r="J1567" i="1"/>
  <c r="J1557" i="1"/>
  <c r="J1528" i="1"/>
  <c r="J1508" i="1"/>
  <c r="J1498" i="1"/>
  <c r="J1487" i="1"/>
  <c r="J1466" i="1"/>
  <c r="J1455" i="1"/>
  <c r="J1434" i="1"/>
  <c r="J1423" i="1"/>
  <c r="J1402" i="1"/>
  <c r="J1379" i="1"/>
  <c r="J1366" i="1"/>
  <c r="J1344" i="1"/>
  <c r="J1332" i="1"/>
  <c r="J1321" i="1"/>
  <c r="J1297" i="1"/>
  <c r="J1202" i="1"/>
  <c r="J1175" i="1"/>
  <c r="J1139" i="1"/>
  <c r="J1084" i="1"/>
  <c r="J954" i="1"/>
  <c r="J1596" i="1"/>
  <c r="J1586" i="1"/>
  <c r="J1566" i="1"/>
  <c r="J1547" i="1"/>
  <c r="J1537" i="1"/>
  <c r="J1527" i="1"/>
  <c r="J1517" i="1"/>
  <c r="J1486" i="1"/>
  <c r="J1476" i="1"/>
  <c r="J1454" i="1"/>
  <c r="J1444" i="1"/>
  <c r="J1422" i="1"/>
  <c r="J1412" i="1"/>
  <c r="J1389" i="1"/>
  <c r="J1378" i="1"/>
  <c r="J1355" i="1"/>
  <c r="J1342" i="1"/>
  <c r="J1320" i="1"/>
  <c r="J1308" i="1"/>
  <c r="J1294" i="1"/>
  <c r="J1283" i="1"/>
  <c r="J1268" i="1"/>
  <c r="J1252" i="1"/>
  <c r="J1236" i="1"/>
  <c r="J1220" i="1"/>
  <c r="J1200" i="1"/>
  <c r="J942" i="1"/>
  <c r="J1692" i="1"/>
  <c r="J1684" i="1"/>
  <c r="J1676" i="1"/>
  <c r="J1668" i="1"/>
  <c r="J1660" i="1"/>
  <c r="J1652" i="1"/>
  <c r="J1644" i="1"/>
  <c r="J1636" i="1"/>
  <c r="J1628" i="1"/>
  <c r="J1620" i="1"/>
  <c r="J1612" i="1"/>
  <c r="J1604" i="1"/>
  <c r="J1576" i="1"/>
  <c r="J1556" i="1"/>
  <c r="J1546" i="1"/>
  <c r="J1526" i="1"/>
  <c r="J1507" i="1"/>
  <c r="J1497" i="1"/>
  <c r="J1465" i="1"/>
  <c r="J1433" i="1"/>
  <c r="J1401" i="1"/>
  <c r="J1365" i="1"/>
  <c r="J1354" i="1"/>
  <c r="J1331" i="1"/>
  <c r="J1318" i="1"/>
  <c r="J1282" i="1"/>
  <c r="J1167" i="1"/>
  <c r="J1131" i="1"/>
  <c r="J1075" i="1"/>
  <c r="J927" i="1"/>
  <c r="J1595" i="1"/>
  <c r="J1585" i="1"/>
  <c r="J1575" i="1"/>
  <c r="J1565" i="1"/>
  <c r="J1536" i="1"/>
  <c r="J1516" i="1"/>
  <c r="J1506" i="1"/>
  <c r="J1496" i="1"/>
  <c r="J1485" i="1"/>
  <c r="J1475" i="1"/>
  <c r="J1464" i="1"/>
  <c r="J1453" i="1"/>
  <c r="J1443" i="1"/>
  <c r="J1432" i="1"/>
  <c r="J1421" i="1"/>
  <c r="J1411" i="1"/>
  <c r="J1400" i="1"/>
  <c r="J1388" i="1"/>
  <c r="J1377" i="1"/>
  <c r="J1341" i="1"/>
  <c r="J1330" i="1"/>
  <c r="J1307" i="1"/>
  <c r="J1293" i="1"/>
  <c r="J1267" i="1"/>
  <c r="J1251" i="1"/>
  <c r="J1235" i="1"/>
  <c r="J1218" i="1"/>
  <c r="J1129" i="1"/>
  <c r="J912" i="1"/>
  <c r="J1763" i="1"/>
  <c r="J1755" i="1"/>
  <c r="J1747" i="1"/>
  <c r="J1739" i="1"/>
  <c r="J1731" i="1"/>
  <c r="J1723" i="1"/>
  <c r="J1715" i="1"/>
  <c r="J1707" i="1"/>
  <c r="J1699" i="1"/>
  <c r="J1691" i="1"/>
  <c r="J1683" i="1"/>
  <c r="J1675" i="1"/>
  <c r="J1667" i="1"/>
  <c r="J1659" i="1"/>
  <c r="J1651" i="1"/>
  <c r="J1643" i="1"/>
  <c r="J1635" i="1"/>
  <c r="J1627" i="1"/>
  <c r="J1619" i="1"/>
  <c r="J1611" i="1"/>
  <c r="J1603" i="1"/>
  <c r="J1594" i="1"/>
  <c r="J1574" i="1"/>
  <c r="J1555" i="1"/>
  <c r="J1545" i="1"/>
  <c r="J1535" i="1"/>
  <c r="J1525" i="1"/>
  <c r="J1495" i="1"/>
  <c r="J1474" i="1"/>
  <c r="J1463" i="1"/>
  <c r="J1442" i="1"/>
  <c r="J1431" i="1"/>
  <c r="J1410" i="1"/>
  <c r="J1398" i="1"/>
  <c r="J1376" i="1"/>
  <c r="J1364" i="1"/>
  <c r="J1353" i="1"/>
  <c r="J1317" i="1"/>
  <c r="J1306" i="1"/>
  <c r="J1281" i="1"/>
  <c r="J1266" i="1"/>
  <c r="J1250" i="1"/>
  <c r="J1234" i="1"/>
  <c r="J1195" i="1"/>
  <c r="J1166" i="1"/>
  <c r="J1122" i="1"/>
  <c r="J1065" i="1"/>
  <c r="J1584" i="1"/>
  <c r="J1564" i="1"/>
  <c r="J1554" i="1"/>
  <c r="J1534" i="1"/>
  <c r="J1515" i="1"/>
  <c r="J1505" i="1"/>
  <c r="J1494" i="1"/>
  <c r="J1484" i="1"/>
  <c r="J1462" i="1"/>
  <c r="J1452" i="1"/>
  <c r="J1430" i="1"/>
  <c r="J1420" i="1"/>
  <c r="J1387" i="1"/>
  <c r="J1374" i="1"/>
  <c r="J1352" i="1"/>
  <c r="J1340" i="1"/>
  <c r="J1329" i="1"/>
  <c r="J1292" i="1"/>
  <c r="J1278" i="1"/>
  <c r="J1194" i="1"/>
  <c r="J1121" i="1"/>
  <c r="J1058" i="1"/>
  <c r="J1842" i="1"/>
  <c r="J1834" i="1"/>
  <c r="J1826" i="1"/>
  <c r="J1818" i="1"/>
  <c r="J1810" i="1"/>
  <c r="J1802" i="1"/>
  <c r="J1794" i="1"/>
  <c r="J1786" i="1"/>
  <c r="J1778" i="1"/>
  <c r="J1770" i="1"/>
  <c r="J1762" i="1"/>
  <c r="J1754" i="1"/>
  <c r="J1746" i="1"/>
  <c r="J1738" i="1"/>
  <c r="J1730" i="1"/>
  <c r="J1722" i="1"/>
  <c r="J1714" i="1"/>
  <c r="J1706" i="1"/>
  <c r="J1698" i="1"/>
  <c r="J1690" i="1"/>
  <c r="J1682" i="1"/>
  <c r="J1674" i="1"/>
  <c r="J1666" i="1"/>
  <c r="J1658" i="1"/>
  <c r="J1650" i="1"/>
  <c r="J1642" i="1"/>
  <c r="J1634" i="1"/>
  <c r="J1626" i="1"/>
  <c r="J1618" i="1"/>
  <c r="J1610" i="1"/>
  <c r="J1602" i="1"/>
  <c r="J1593" i="1"/>
  <c r="J1583" i="1"/>
  <c r="J1573" i="1"/>
  <c r="J1544" i="1"/>
  <c r="J1524" i="1"/>
  <c r="J1514" i="1"/>
  <c r="J1473" i="1"/>
  <c r="J1441" i="1"/>
  <c r="J1409" i="1"/>
  <c r="J1397" i="1"/>
  <c r="J1386" i="1"/>
  <c r="J1363" i="1"/>
  <c r="J1350" i="1"/>
  <c r="J1328" i="1"/>
  <c r="J1316" i="1"/>
  <c r="J1305" i="1"/>
  <c r="J1213" i="1"/>
  <c r="J1193" i="1"/>
  <c r="J1158" i="1"/>
  <c r="J1120" i="1"/>
  <c r="J1056" i="1"/>
  <c r="J1582" i="1"/>
  <c r="J1563" i="1"/>
  <c r="J1553" i="1"/>
  <c r="J1543" i="1"/>
  <c r="J1533" i="1"/>
  <c r="J1504" i="1"/>
  <c r="J1493" i="1"/>
  <c r="J1483" i="1"/>
  <c r="J1472" i="1"/>
  <c r="J1461" i="1"/>
  <c r="J1451" i="1"/>
  <c r="J1440" i="1"/>
  <c r="J1429" i="1"/>
  <c r="J1419" i="1"/>
  <c r="J1408" i="1"/>
  <c r="J1373" i="1"/>
  <c r="J1362" i="1"/>
  <c r="J1339" i="1"/>
  <c r="J1326" i="1"/>
  <c r="J1302" i="1"/>
  <c r="J1291" i="1"/>
  <c r="J1277" i="1"/>
  <c r="J1261" i="1"/>
  <c r="J1245" i="1"/>
  <c r="J1229" i="1"/>
  <c r="J844" i="1"/>
  <c r="J1905" i="1"/>
  <c r="J1897" i="1"/>
  <c r="J1889" i="1"/>
  <c r="J1881" i="1"/>
  <c r="J1873" i="1"/>
  <c r="J1865" i="1"/>
  <c r="J1857" i="1"/>
  <c r="J1849" i="1"/>
  <c r="J1841" i="1"/>
  <c r="J1833" i="1"/>
  <c r="J1825" i="1"/>
  <c r="J1817" i="1"/>
  <c r="J1809" i="1"/>
  <c r="J1801" i="1"/>
  <c r="J1793" i="1"/>
  <c r="J1785" i="1"/>
  <c r="J1777" i="1"/>
  <c r="J1769" i="1"/>
  <c r="J1761" i="1"/>
  <c r="J1753" i="1"/>
  <c r="J1745" i="1"/>
  <c r="J1737" i="1"/>
  <c r="J1729" i="1"/>
  <c r="J1721" i="1"/>
  <c r="J1713" i="1"/>
  <c r="J1705" i="1"/>
  <c r="J1697" i="1"/>
  <c r="J1689" i="1"/>
  <c r="J1681" i="1"/>
  <c r="J1673" i="1"/>
  <c r="J1665" i="1"/>
  <c r="J1657" i="1"/>
  <c r="J1649" i="1"/>
  <c r="J1641" i="1"/>
  <c r="J1633" i="1"/>
  <c r="J1625" i="1"/>
  <c r="J1617" i="1"/>
  <c r="J1609" i="1"/>
  <c r="J1601" i="1"/>
  <c r="J1592" i="1"/>
  <c r="J1572" i="1"/>
  <c r="J1562" i="1"/>
  <c r="J1542" i="1"/>
  <c r="J1523" i="1"/>
  <c r="J1513" i="1"/>
  <c r="J1503" i="1"/>
  <c r="J1482" i="1"/>
  <c r="J1471" i="1"/>
  <c r="J1450" i="1"/>
  <c r="J1439" i="1"/>
  <c r="J1418" i="1"/>
  <c r="J1407" i="1"/>
  <c r="J1396" i="1"/>
  <c r="J1385" i="1"/>
  <c r="J1349" i="1"/>
  <c r="J1338" i="1"/>
  <c r="J1315" i="1"/>
  <c r="J1290" i="1"/>
  <c r="J1212" i="1"/>
  <c r="J1157" i="1"/>
  <c r="J1112" i="1"/>
  <c r="J1039" i="1"/>
  <c r="J1591" i="1"/>
  <c r="J1581" i="1"/>
  <c r="J1552" i="1"/>
  <c r="J1532" i="1"/>
  <c r="J1522" i="1"/>
  <c r="J1502" i="1"/>
  <c r="J1492" i="1"/>
  <c r="J1470" i="1"/>
  <c r="J1460" i="1"/>
  <c r="J1438" i="1"/>
  <c r="J1428" i="1"/>
  <c r="J1406" i="1"/>
  <c r="J1384" i="1"/>
  <c r="J1372" i="1"/>
  <c r="J1361" i="1"/>
  <c r="J1325" i="1"/>
  <c r="J1314" i="1"/>
  <c r="J1301" i="1"/>
  <c r="J1276" i="1"/>
  <c r="J1260" i="1"/>
  <c r="J1244" i="1"/>
  <c r="J1228" i="1"/>
  <c r="J1186" i="1"/>
  <c r="J1111" i="1"/>
  <c r="J1888" i="1"/>
  <c r="J1880" i="1"/>
  <c r="J1872" i="1"/>
  <c r="J1864" i="1"/>
  <c r="J1856" i="1"/>
  <c r="J1848" i="1"/>
  <c r="J1840" i="1"/>
  <c r="J1832" i="1"/>
  <c r="J1824" i="1"/>
  <c r="J1816" i="1"/>
  <c r="J1808" i="1"/>
  <c r="J1800" i="1"/>
  <c r="J1792" i="1"/>
  <c r="J1784" i="1"/>
  <c r="J1776" i="1"/>
  <c r="J1768" i="1"/>
  <c r="J1760" i="1"/>
  <c r="J1752" i="1"/>
  <c r="J1744" i="1"/>
  <c r="J1736" i="1"/>
  <c r="J1728" i="1"/>
  <c r="J1720" i="1"/>
  <c r="J1712" i="1"/>
  <c r="J1704" i="1"/>
  <c r="J1696" i="1"/>
  <c r="J1688" i="1"/>
  <c r="J1680" i="1"/>
  <c r="J1672" i="1"/>
  <c r="J1664" i="1"/>
  <c r="J1656" i="1"/>
  <c r="J1648" i="1"/>
  <c r="J1640" i="1"/>
  <c r="J1632" i="1"/>
  <c r="J1624" i="1"/>
  <c r="J1616" i="1"/>
  <c r="J1608" i="1"/>
  <c r="J1600" i="1"/>
  <c r="J1590" i="1"/>
  <c r="J1571" i="1"/>
  <c r="J1561" i="1"/>
  <c r="J1551" i="1"/>
  <c r="J1541" i="1"/>
  <c r="J1512" i="1"/>
  <c r="J1481" i="1"/>
  <c r="J1449" i="1"/>
  <c r="J1417" i="1"/>
  <c r="J1395" i="1"/>
  <c r="J1382" i="1"/>
  <c r="J1360" i="1"/>
  <c r="J1348" i="1"/>
  <c r="J1337" i="1"/>
  <c r="J1289" i="1"/>
  <c r="J1209" i="1"/>
  <c r="J1185" i="1"/>
  <c r="J1149" i="1"/>
  <c r="J1020" i="1"/>
  <c r="J780" i="1"/>
  <c r="J1580" i="1"/>
  <c r="J1570" i="1"/>
  <c r="J1550" i="1"/>
  <c r="J1531" i="1"/>
  <c r="J1521" i="1"/>
  <c r="J1511" i="1"/>
  <c r="J1501" i="1"/>
  <c r="J1491" i="1"/>
  <c r="J1480" i="1"/>
  <c r="J1469" i="1"/>
  <c r="J1459" i="1"/>
  <c r="J1448" i="1"/>
  <c r="J1437" i="1"/>
  <c r="J1427" i="1"/>
  <c r="J1416" i="1"/>
  <c r="J1405" i="1"/>
  <c r="J1394" i="1"/>
  <c r="J1371" i="1"/>
  <c r="J1358" i="1"/>
  <c r="J1336" i="1"/>
  <c r="J1324" i="1"/>
  <c r="J1313" i="1"/>
  <c r="J1300" i="1"/>
  <c r="J1286" i="1"/>
  <c r="J1275" i="1"/>
  <c r="J1259" i="1"/>
  <c r="J1243" i="1"/>
  <c r="J1227" i="1"/>
  <c r="J1103" i="1"/>
  <c r="J1010" i="1"/>
  <c r="J758" i="1"/>
  <c r="J1991" i="1"/>
  <c r="J1983" i="1"/>
  <c r="J1975" i="1"/>
  <c r="J1967" i="1"/>
  <c r="J1959" i="1"/>
  <c r="J1951" i="1"/>
  <c r="J1943" i="1"/>
  <c r="J1935" i="1"/>
  <c r="J1927" i="1"/>
  <c r="J1919" i="1"/>
  <c r="J1911" i="1"/>
  <c r="J1903" i="1"/>
  <c r="J1895" i="1"/>
  <c r="J1887" i="1"/>
  <c r="J1879" i="1"/>
  <c r="J1871" i="1"/>
  <c r="J1863" i="1"/>
  <c r="J1855" i="1"/>
  <c r="J1847" i="1"/>
  <c r="J1839" i="1"/>
  <c r="J1831" i="1"/>
  <c r="J1823" i="1"/>
  <c r="J1815" i="1"/>
  <c r="J1807" i="1"/>
  <c r="J1799" i="1"/>
  <c r="J1791" i="1"/>
  <c r="J1783" i="1"/>
  <c r="J1775" i="1"/>
  <c r="J1767" i="1"/>
  <c r="J1759" i="1"/>
  <c r="J1751" i="1"/>
  <c r="J1743" i="1"/>
  <c r="J1735" i="1"/>
  <c r="J1727" i="1"/>
  <c r="J1719" i="1"/>
  <c r="J1711" i="1"/>
  <c r="J1703" i="1"/>
  <c r="J1695" i="1"/>
  <c r="J1687" i="1"/>
  <c r="J1679" i="1"/>
  <c r="J1671" i="1"/>
  <c r="J1663" i="1"/>
  <c r="J1655" i="1"/>
  <c r="J1647" i="1"/>
  <c r="J1639" i="1"/>
  <c r="J1631" i="1"/>
  <c r="J1623" i="1"/>
  <c r="J1615" i="1"/>
  <c r="J1607" i="1"/>
  <c r="J1599" i="1"/>
  <c r="J1589" i="1"/>
  <c r="J1560" i="1"/>
  <c r="J1540" i="1"/>
  <c r="J1530" i="1"/>
  <c r="J1510" i="1"/>
  <c r="J1490" i="1"/>
  <c r="J1479" i="1"/>
  <c r="J1458" i="1"/>
  <c r="J1447" i="1"/>
  <c r="J1426" i="1"/>
  <c r="J1415" i="1"/>
  <c r="J1381" i="1"/>
  <c r="J1370" i="1"/>
  <c r="J1347" i="1"/>
  <c r="J1334" i="1"/>
  <c r="J1312" i="1"/>
  <c r="J1274" i="1"/>
  <c r="J1258" i="1"/>
  <c r="J1242" i="1"/>
  <c r="J1226" i="1"/>
  <c r="J1184" i="1"/>
  <c r="J1148" i="1"/>
  <c r="J1102" i="1"/>
  <c r="J732" i="1"/>
  <c r="J1598" i="1"/>
  <c r="J1579" i="1"/>
  <c r="J1569" i="1"/>
  <c r="J1559" i="1"/>
  <c r="J1549" i="1"/>
  <c r="J1520" i="1"/>
  <c r="J1500" i="1"/>
  <c r="J1478" i="1"/>
  <c r="J1468" i="1"/>
  <c r="J1446" i="1"/>
  <c r="J1436" i="1"/>
  <c r="J1414" i="1"/>
  <c r="J1404" i="1"/>
  <c r="J1393" i="1"/>
  <c r="J1357" i="1"/>
  <c r="J1346" i="1"/>
  <c r="J1323" i="1"/>
  <c r="J1310" i="1"/>
  <c r="J1299" i="1"/>
  <c r="J1285" i="1"/>
  <c r="J1204" i="1"/>
  <c r="J989" i="1"/>
  <c r="J695" i="1"/>
  <c r="J1934" i="1"/>
  <c r="J1926" i="1"/>
  <c r="J1918" i="1"/>
  <c r="J1910" i="1"/>
  <c r="J1902" i="1"/>
  <c r="J1894" i="1"/>
  <c r="J1886" i="1"/>
  <c r="J1878" i="1"/>
  <c r="J1870" i="1"/>
  <c r="J1862" i="1"/>
  <c r="J1854" i="1"/>
  <c r="J1846" i="1"/>
  <c r="J1838" i="1"/>
  <c r="J1830" i="1"/>
  <c r="J1822" i="1"/>
  <c r="J1814" i="1"/>
  <c r="J1806" i="1"/>
  <c r="J1798" i="1"/>
  <c r="J1790" i="1"/>
  <c r="J1782" i="1"/>
  <c r="J1774" i="1"/>
  <c r="J1766" i="1"/>
  <c r="J1758" i="1"/>
  <c r="J1750" i="1"/>
  <c r="J1742" i="1"/>
  <c r="J1734" i="1"/>
  <c r="J1726" i="1"/>
  <c r="J1718" i="1"/>
  <c r="J1710" i="1"/>
  <c r="J1702" i="1"/>
  <c r="J1694" i="1"/>
  <c r="J1686" i="1"/>
  <c r="J1678" i="1"/>
  <c r="J1670" i="1"/>
  <c r="J1662" i="1"/>
  <c r="J1654" i="1"/>
  <c r="J1646" i="1"/>
  <c r="J1638" i="1"/>
  <c r="J1630" i="1"/>
  <c r="J1622" i="1"/>
  <c r="J1614" i="1"/>
  <c r="J1606" i="1"/>
  <c r="J1588" i="1"/>
  <c r="J1578" i="1"/>
  <c r="J1558" i="1"/>
  <c r="J1539" i="1"/>
  <c r="J1529" i="1"/>
  <c r="J1519" i="1"/>
  <c r="J1509" i="1"/>
  <c r="J1489" i="1"/>
  <c r="J1457" i="1"/>
  <c r="J1425" i="1"/>
  <c r="J1392" i="1"/>
  <c r="J1380" i="1"/>
  <c r="J1369" i="1"/>
  <c r="J1333" i="1"/>
  <c r="J1322" i="1"/>
  <c r="J1298" i="1"/>
  <c r="J1176" i="1"/>
  <c r="J1140" i="1"/>
  <c r="J1093" i="1"/>
  <c r="J528" i="1"/>
  <c r="J1094" i="1"/>
  <c r="J1085" i="1"/>
  <c r="J1076" i="1"/>
  <c r="J1067" i="1"/>
  <c r="J1057" i="1"/>
  <c r="J1048" i="1"/>
  <c r="J1029" i="1"/>
  <c r="J999" i="1"/>
  <c r="J976" i="1"/>
  <c r="J965" i="1"/>
  <c r="J896" i="1"/>
  <c r="J880" i="1"/>
  <c r="J863" i="1"/>
  <c r="J840" i="1"/>
  <c r="J822" i="1"/>
  <c r="J799" i="1"/>
  <c r="J776" i="1"/>
  <c r="J756" i="1"/>
  <c r="J728" i="1"/>
  <c r="J510" i="1"/>
  <c r="J1130" i="1"/>
  <c r="J1066" i="1"/>
  <c r="J1038" i="1"/>
  <c r="J1019" i="1"/>
  <c r="J1008" i="1"/>
  <c r="J988" i="1"/>
  <c r="J952" i="1"/>
  <c r="J940" i="1"/>
  <c r="J926" i="1"/>
  <c r="J911" i="1"/>
  <c r="J820" i="1"/>
  <c r="J752" i="1"/>
  <c r="J727" i="1"/>
  <c r="J688" i="1"/>
  <c r="J492" i="1"/>
  <c r="J1047" i="1"/>
  <c r="J1028" i="1"/>
  <c r="J1018" i="1"/>
  <c r="J998" i="1"/>
  <c r="J987" i="1"/>
  <c r="J975" i="1"/>
  <c r="J964" i="1"/>
  <c r="J939" i="1"/>
  <c r="J895" i="1"/>
  <c r="J879" i="1"/>
  <c r="J862" i="1"/>
  <c r="J839" i="1"/>
  <c r="J816" i="1"/>
  <c r="J798" i="1"/>
  <c r="J775" i="1"/>
  <c r="J751" i="1"/>
  <c r="J1138" i="1"/>
  <c r="J1074" i="1"/>
  <c r="J1037" i="1"/>
  <c r="J1007" i="1"/>
  <c r="J997" i="1"/>
  <c r="J986" i="1"/>
  <c r="J963" i="1"/>
  <c r="J951" i="1"/>
  <c r="J924" i="1"/>
  <c r="J910" i="1"/>
  <c r="J860" i="1"/>
  <c r="J796" i="1"/>
  <c r="J724" i="1"/>
  <c r="J674" i="1"/>
  <c r="J455" i="1"/>
  <c r="J1219" i="1"/>
  <c r="J1211" i="1"/>
  <c r="J1201" i="1"/>
  <c r="J1192" i="1"/>
  <c r="J1183" i="1"/>
  <c r="J1174" i="1"/>
  <c r="J1165" i="1"/>
  <c r="J1156" i="1"/>
  <c r="J1147" i="1"/>
  <c r="J1137" i="1"/>
  <c r="J1128" i="1"/>
  <c r="J1119" i="1"/>
  <c r="J1110" i="1"/>
  <c r="J1101" i="1"/>
  <c r="J1092" i="1"/>
  <c r="J1083" i="1"/>
  <c r="J1073" i="1"/>
  <c r="J1064" i="1"/>
  <c r="J1055" i="1"/>
  <c r="J1046" i="1"/>
  <c r="J1027" i="1"/>
  <c r="J1016" i="1"/>
  <c r="J974" i="1"/>
  <c r="J962" i="1"/>
  <c r="J936" i="1"/>
  <c r="J923" i="1"/>
  <c r="J894" i="1"/>
  <c r="J878" i="1"/>
  <c r="J856" i="1"/>
  <c r="J838" i="1"/>
  <c r="J815" i="1"/>
  <c r="J792" i="1"/>
  <c r="J774" i="1"/>
  <c r="J750" i="1"/>
  <c r="J720" i="1"/>
  <c r="J437" i="1"/>
  <c r="J1210" i="1"/>
  <c r="J1146" i="1"/>
  <c r="J1082" i="1"/>
  <c r="J1036" i="1"/>
  <c r="J1026" i="1"/>
  <c r="J1006" i="1"/>
  <c r="J996" i="1"/>
  <c r="J984" i="1"/>
  <c r="J973" i="1"/>
  <c r="J950" i="1"/>
  <c r="J908" i="1"/>
  <c r="J836" i="1"/>
  <c r="J772" i="1"/>
  <c r="J748" i="1"/>
  <c r="J719" i="1"/>
  <c r="J660" i="1"/>
  <c r="J1191" i="1"/>
  <c r="J1182" i="1"/>
  <c r="J1173" i="1"/>
  <c r="J1164" i="1"/>
  <c r="J1155" i="1"/>
  <c r="J1145" i="1"/>
  <c r="J1136" i="1"/>
  <c r="J1127" i="1"/>
  <c r="J1118" i="1"/>
  <c r="J1109" i="1"/>
  <c r="J1100" i="1"/>
  <c r="J1091" i="1"/>
  <c r="J1081" i="1"/>
  <c r="J1072" i="1"/>
  <c r="J1063" i="1"/>
  <c r="J1054" i="1"/>
  <c r="J1045" i="1"/>
  <c r="J1015" i="1"/>
  <c r="J960" i="1"/>
  <c r="J949" i="1"/>
  <c r="J935" i="1"/>
  <c r="J920" i="1"/>
  <c r="J907" i="1"/>
  <c r="J892" i="1"/>
  <c r="J876" i="1"/>
  <c r="J855" i="1"/>
  <c r="J832" i="1"/>
  <c r="J814" i="1"/>
  <c r="J791" i="1"/>
  <c r="J768" i="1"/>
  <c r="J744" i="1"/>
  <c r="J658" i="1"/>
  <c r="J397" i="1"/>
  <c r="J1154" i="1"/>
  <c r="J1090" i="1"/>
  <c r="J1035" i="1"/>
  <c r="J1024" i="1"/>
  <c r="J1005" i="1"/>
  <c r="J995" i="1"/>
  <c r="J983" i="1"/>
  <c r="J972" i="1"/>
  <c r="J812" i="1"/>
  <c r="J743" i="1"/>
  <c r="J716" i="1"/>
  <c r="J646" i="1"/>
  <c r="J375" i="1"/>
  <c r="J1273" i="1"/>
  <c r="J1265" i="1"/>
  <c r="J1257" i="1"/>
  <c r="J1249" i="1"/>
  <c r="J1241" i="1"/>
  <c r="J1233" i="1"/>
  <c r="J1225" i="1"/>
  <c r="J1217" i="1"/>
  <c r="J1208" i="1"/>
  <c r="J1199" i="1"/>
  <c r="J1190" i="1"/>
  <c r="J1181" i="1"/>
  <c r="J1172" i="1"/>
  <c r="J1163" i="1"/>
  <c r="J1153" i="1"/>
  <c r="J1144" i="1"/>
  <c r="J1135" i="1"/>
  <c r="J1126" i="1"/>
  <c r="J1117" i="1"/>
  <c r="J1108" i="1"/>
  <c r="J1099" i="1"/>
  <c r="J1089" i="1"/>
  <c r="J1080" i="1"/>
  <c r="J1071" i="1"/>
  <c r="J1062" i="1"/>
  <c r="J1053" i="1"/>
  <c r="J1044" i="1"/>
  <c r="J1034" i="1"/>
  <c r="J1014" i="1"/>
  <c r="J994" i="1"/>
  <c r="J971" i="1"/>
  <c r="J959" i="1"/>
  <c r="J948" i="1"/>
  <c r="J934" i="1"/>
  <c r="J919" i="1"/>
  <c r="J904" i="1"/>
  <c r="J888" i="1"/>
  <c r="J872" i="1"/>
  <c r="J854" i="1"/>
  <c r="J831" i="1"/>
  <c r="J808" i="1"/>
  <c r="J790" i="1"/>
  <c r="J767" i="1"/>
  <c r="J712" i="1"/>
  <c r="J632" i="1"/>
  <c r="J1162" i="1"/>
  <c r="J1098" i="1"/>
  <c r="J1023" i="1"/>
  <c r="J1004" i="1"/>
  <c r="J982" i="1"/>
  <c r="J970" i="1"/>
  <c r="J947" i="1"/>
  <c r="J852" i="1"/>
  <c r="J788" i="1"/>
  <c r="J742" i="1"/>
  <c r="J711" i="1"/>
  <c r="J617" i="1"/>
  <c r="J333" i="1"/>
  <c r="J1304" i="1"/>
  <c r="J1296" i="1"/>
  <c r="J1288" i="1"/>
  <c r="J1280" i="1"/>
  <c r="J1272" i="1"/>
  <c r="J1264" i="1"/>
  <c r="J1256" i="1"/>
  <c r="J1248" i="1"/>
  <c r="J1240" i="1"/>
  <c r="J1232" i="1"/>
  <c r="J1224" i="1"/>
  <c r="J1216" i="1"/>
  <c r="J1207" i="1"/>
  <c r="J1198" i="1"/>
  <c r="J1189" i="1"/>
  <c r="J1180" i="1"/>
  <c r="J1171" i="1"/>
  <c r="J1161" i="1"/>
  <c r="J1152" i="1"/>
  <c r="J1143" i="1"/>
  <c r="J1134" i="1"/>
  <c r="J1125" i="1"/>
  <c r="J1116" i="1"/>
  <c r="J1107" i="1"/>
  <c r="J1097" i="1"/>
  <c r="J1088" i="1"/>
  <c r="J1079" i="1"/>
  <c r="J1070" i="1"/>
  <c r="J1061" i="1"/>
  <c r="J1052" i="1"/>
  <c r="J1043" i="1"/>
  <c r="J1032" i="1"/>
  <c r="J1013" i="1"/>
  <c r="J992" i="1"/>
  <c r="J981" i="1"/>
  <c r="J958" i="1"/>
  <c r="J932" i="1"/>
  <c r="J918" i="1"/>
  <c r="J903" i="1"/>
  <c r="J887" i="1"/>
  <c r="J871" i="1"/>
  <c r="J848" i="1"/>
  <c r="J830" i="1"/>
  <c r="J807" i="1"/>
  <c r="J784" i="1"/>
  <c r="J766" i="1"/>
  <c r="J740" i="1"/>
  <c r="J603" i="1"/>
  <c r="J303" i="1"/>
  <c r="J1170" i="1"/>
  <c r="J1106" i="1"/>
  <c r="J1042" i="1"/>
  <c r="J1022" i="1"/>
  <c r="J1003" i="1"/>
  <c r="J968" i="1"/>
  <c r="J957" i="1"/>
  <c r="J944" i="1"/>
  <c r="J931" i="1"/>
  <c r="J828" i="1"/>
  <c r="J764" i="1"/>
  <c r="J736" i="1"/>
  <c r="J704" i="1"/>
  <c r="J589" i="1"/>
  <c r="J1399" i="1"/>
  <c r="J1391" i="1"/>
  <c r="J1383" i="1"/>
  <c r="J1375" i="1"/>
  <c r="J1367" i="1"/>
  <c r="J1359" i="1"/>
  <c r="J1351" i="1"/>
  <c r="J1343" i="1"/>
  <c r="J1335" i="1"/>
  <c r="J1327" i="1"/>
  <c r="J1319" i="1"/>
  <c r="J1311" i="1"/>
  <c r="J1303" i="1"/>
  <c r="J1295" i="1"/>
  <c r="J1287" i="1"/>
  <c r="J1279" i="1"/>
  <c r="J1271" i="1"/>
  <c r="J1263" i="1"/>
  <c r="J1255" i="1"/>
  <c r="J1247" i="1"/>
  <c r="J1239" i="1"/>
  <c r="J1231" i="1"/>
  <c r="J1223" i="1"/>
  <c r="J1215" i="1"/>
  <c r="J1206" i="1"/>
  <c r="J1197" i="1"/>
  <c r="J1188" i="1"/>
  <c r="J1179" i="1"/>
  <c r="J1169" i="1"/>
  <c r="J1160" i="1"/>
  <c r="J1151" i="1"/>
  <c r="J1142" i="1"/>
  <c r="J1133" i="1"/>
  <c r="J1124" i="1"/>
  <c r="J1115" i="1"/>
  <c r="J1105" i="1"/>
  <c r="J1096" i="1"/>
  <c r="J1087" i="1"/>
  <c r="J1078" i="1"/>
  <c r="J1069" i="1"/>
  <c r="J1060" i="1"/>
  <c r="J1051" i="1"/>
  <c r="J1031" i="1"/>
  <c r="J1012" i="1"/>
  <c r="J1002" i="1"/>
  <c r="J991" i="1"/>
  <c r="J980" i="1"/>
  <c r="J916" i="1"/>
  <c r="J902" i="1"/>
  <c r="J886" i="1"/>
  <c r="J870" i="1"/>
  <c r="J847" i="1"/>
  <c r="J824" i="1"/>
  <c r="J806" i="1"/>
  <c r="J783" i="1"/>
  <c r="J760" i="1"/>
  <c r="J735" i="1"/>
  <c r="J703" i="1"/>
  <c r="J575" i="1"/>
  <c r="J1178" i="1"/>
  <c r="J1114" i="1"/>
  <c r="J1050" i="1"/>
  <c r="J1040" i="1"/>
  <c r="J1021" i="1"/>
  <c r="J979" i="1"/>
  <c r="J967" i="1"/>
  <c r="J956" i="1"/>
  <c r="J943" i="1"/>
  <c r="J928" i="1"/>
  <c r="J915" i="1"/>
  <c r="J868" i="1"/>
  <c r="J804" i="1"/>
  <c r="J759" i="1"/>
  <c r="J560" i="1"/>
  <c r="J1270" i="1"/>
  <c r="J1262" i="1"/>
  <c r="J1254" i="1"/>
  <c r="J1246" i="1"/>
  <c r="J1238" i="1"/>
  <c r="J1230" i="1"/>
  <c r="J1222" i="1"/>
  <c r="J1214" i="1"/>
  <c r="J1205" i="1"/>
  <c r="J1196" i="1"/>
  <c r="J1187" i="1"/>
  <c r="J1177" i="1"/>
  <c r="J1168" i="1"/>
  <c r="J1159" i="1"/>
  <c r="J1150" i="1"/>
  <c r="J1141" i="1"/>
  <c r="J1132" i="1"/>
  <c r="J1123" i="1"/>
  <c r="J1113" i="1"/>
  <c r="J1104" i="1"/>
  <c r="J1095" i="1"/>
  <c r="J1086" i="1"/>
  <c r="J1077" i="1"/>
  <c r="J1068" i="1"/>
  <c r="J1059" i="1"/>
  <c r="J1049" i="1"/>
  <c r="J1030" i="1"/>
  <c r="J1011" i="1"/>
  <c r="J1000" i="1"/>
  <c r="J990" i="1"/>
  <c r="J978" i="1"/>
  <c r="J955" i="1"/>
  <c r="J900" i="1"/>
  <c r="J884" i="1"/>
  <c r="J864" i="1"/>
  <c r="J846" i="1"/>
  <c r="J823" i="1"/>
  <c r="J800" i="1"/>
  <c r="J782" i="1"/>
  <c r="J734" i="1"/>
  <c r="J696" i="1"/>
  <c r="J544" i="1"/>
  <c r="J687" i="1"/>
  <c r="J673" i="1"/>
  <c r="J659" i="1"/>
  <c r="J645" i="1"/>
  <c r="J631" i="1"/>
  <c r="J602" i="1"/>
  <c r="J588" i="1"/>
  <c r="J574" i="1"/>
  <c r="J559" i="1"/>
  <c r="J543" i="1"/>
  <c r="J527" i="1"/>
  <c r="J509" i="1"/>
  <c r="J489" i="1"/>
  <c r="J472" i="1"/>
  <c r="J454" i="1"/>
  <c r="J436" i="1"/>
  <c r="J416" i="1"/>
  <c r="J393" i="1"/>
  <c r="J374" i="1"/>
  <c r="J352" i="1"/>
  <c r="J329" i="1"/>
  <c r="J256" i="1"/>
  <c r="J200" i="1"/>
  <c r="J136" i="1"/>
  <c r="J72" i="1"/>
  <c r="J644" i="1"/>
  <c r="J630" i="1"/>
  <c r="J616" i="1"/>
  <c r="J601" i="1"/>
  <c r="J587" i="1"/>
  <c r="J573" i="1"/>
  <c r="J558" i="1"/>
  <c r="J542" i="1"/>
  <c r="J526" i="1"/>
  <c r="J508" i="1"/>
  <c r="J471" i="1"/>
  <c r="J453" i="1"/>
  <c r="J433" i="1"/>
  <c r="J415" i="1"/>
  <c r="J373" i="1"/>
  <c r="J351" i="1"/>
  <c r="J296" i="1"/>
  <c r="J255" i="1"/>
  <c r="J686" i="1"/>
  <c r="J672" i="1"/>
  <c r="J657" i="1"/>
  <c r="J643" i="1"/>
  <c r="J629" i="1"/>
  <c r="J615" i="1"/>
  <c r="J586" i="1"/>
  <c r="J572" i="1"/>
  <c r="J557" i="1"/>
  <c r="J541" i="1"/>
  <c r="J525" i="1"/>
  <c r="J505" i="1"/>
  <c r="J488" i="1"/>
  <c r="J470" i="1"/>
  <c r="J452" i="1"/>
  <c r="J414" i="1"/>
  <c r="J392" i="1"/>
  <c r="J369" i="1"/>
  <c r="J350" i="1"/>
  <c r="J328" i="1"/>
  <c r="J295" i="1"/>
  <c r="J192" i="1"/>
  <c r="J128" i="1"/>
  <c r="J64" i="1"/>
  <c r="J726" i="1"/>
  <c r="J718" i="1"/>
  <c r="J710" i="1"/>
  <c r="J702" i="1"/>
  <c r="J694" i="1"/>
  <c r="J685" i="1"/>
  <c r="J671" i="1"/>
  <c r="J642" i="1"/>
  <c r="J628" i="1"/>
  <c r="J614" i="1"/>
  <c r="J600" i="1"/>
  <c r="J585" i="1"/>
  <c r="J571" i="1"/>
  <c r="J556" i="1"/>
  <c r="J540" i="1"/>
  <c r="J524" i="1"/>
  <c r="J487" i="1"/>
  <c r="J469" i="1"/>
  <c r="J449" i="1"/>
  <c r="J432" i="1"/>
  <c r="J413" i="1"/>
  <c r="J391" i="1"/>
  <c r="J349" i="1"/>
  <c r="J327" i="1"/>
  <c r="J248" i="1"/>
  <c r="J684" i="1"/>
  <c r="J670" i="1"/>
  <c r="J656" i="1"/>
  <c r="J641" i="1"/>
  <c r="J627" i="1"/>
  <c r="J613" i="1"/>
  <c r="J599" i="1"/>
  <c r="J570" i="1"/>
  <c r="J555" i="1"/>
  <c r="J539" i="1"/>
  <c r="J521" i="1"/>
  <c r="J504" i="1"/>
  <c r="J486" i="1"/>
  <c r="J468" i="1"/>
  <c r="J431" i="1"/>
  <c r="J409" i="1"/>
  <c r="J390" i="1"/>
  <c r="J368" i="1"/>
  <c r="J345" i="1"/>
  <c r="J326" i="1"/>
  <c r="J288" i="1"/>
  <c r="J247" i="1"/>
  <c r="J184" i="1"/>
  <c r="J120" i="1"/>
  <c r="J56" i="1"/>
  <c r="J941" i="1"/>
  <c r="J933" i="1"/>
  <c r="J925" i="1"/>
  <c r="J917" i="1"/>
  <c r="J909" i="1"/>
  <c r="J901" i="1"/>
  <c r="J893" i="1"/>
  <c r="J885" i="1"/>
  <c r="J877" i="1"/>
  <c r="J869" i="1"/>
  <c r="J861" i="1"/>
  <c r="J853" i="1"/>
  <c r="J845" i="1"/>
  <c r="J837" i="1"/>
  <c r="J829" i="1"/>
  <c r="J821" i="1"/>
  <c r="J813" i="1"/>
  <c r="J805" i="1"/>
  <c r="J797" i="1"/>
  <c r="J789" i="1"/>
  <c r="J781" i="1"/>
  <c r="J773" i="1"/>
  <c r="J765" i="1"/>
  <c r="J757" i="1"/>
  <c r="J749" i="1"/>
  <c r="J741" i="1"/>
  <c r="J733" i="1"/>
  <c r="J725" i="1"/>
  <c r="J717" i="1"/>
  <c r="J709" i="1"/>
  <c r="J701" i="1"/>
  <c r="J693" i="1"/>
  <c r="J683" i="1"/>
  <c r="J669" i="1"/>
  <c r="J655" i="1"/>
  <c r="J626" i="1"/>
  <c r="J612" i="1"/>
  <c r="J598" i="1"/>
  <c r="J584" i="1"/>
  <c r="J569" i="1"/>
  <c r="J553" i="1"/>
  <c r="J537" i="1"/>
  <c r="J503" i="1"/>
  <c r="J485" i="1"/>
  <c r="J465" i="1"/>
  <c r="J448" i="1"/>
  <c r="J430" i="1"/>
  <c r="J389" i="1"/>
  <c r="J367" i="1"/>
  <c r="J325" i="1"/>
  <c r="J287" i="1"/>
  <c r="J682" i="1"/>
  <c r="J668" i="1"/>
  <c r="J654" i="1"/>
  <c r="J640" i="1"/>
  <c r="J625" i="1"/>
  <c r="J611" i="1"/>
  <c r="J597" i="1"/>
  <c r="J583" i="1"/>
  <c r="J520" i="1"/>
  <c r="J502" i="1"/>
  <c r="J484" i="1"/>
  <c r="J447" i="1"/>
  <c r="J429" i="1"/>
  <c r="J408" i="1"/>
  <c r="J385" i="1"/>
  <c r="J366" i="1"/>
  <c r="J344" i="1"/>
  <c r="J240" i="1"/>
  <c r="J176" i="1"/>
  <c r="J112" i="1"/>
  <c r="J48" i="1"/>
  <c r="J708" i="1"/>
  <c r="J700" i="1"/>
  <c r="J692" i="1"/>
  <c r="J681" i="1"/>
  <c r="J667" i="1"/>
  <c r="J653" i="1"/>
  <c r="J639" i="1"/>
  <c r="J610" i="1"/>
  <c r="J596" i="1"/>
  <c r="J582" i="1"/>
  <c r="J568" i="1"/>
  <c r="J552" i="1"/>
  <c r="J536" i="1"/>
  <c r="J519" i="1"/>
  <c r="J501" i="1"/>
  <c r="J481" i="1"/>
  <c r="J464" i="1"/>
  <c r="J446" i="1"/>
  <c r="J428" i="1"/>
  <c r="J407" i="1"/>
  <c r="J365" i="1"/>
  <c r="J343" i="1"/>
  <c r="J320" i="1"/>
  <c r="J280" i="1"/>
  <c r="J666" i="1"/>
  <c r="J652" i="1"/>
  <c r="J638" i="1"/>
  <c r="J624" i="1"/>
  <c r="J609" i="1"/>
  <c r="J595" i="1"/>
  <c r="J581" i="1"/>
  <c r="J567" i="1"/>
  <c r="J551" i="1"/>
  <c r="J535" i="1"/>
  <c r="J518" i="1"/>
  <c r="J500" i="1"/>
  <c r="J463" i="1"/>
  <c r="J445" i="1"/>
  <c r="J425" i="1"/>
  <c r="J406" i="1"/>
  <c r="J384" i="1"/>
  <c r="J361" i="1"/>
  <c r="J342" i="1"/>
  <c r="J319" i="1"/>
  <c r="J279" i="1"/>
  <c r="J232" i="1"/>
  <c r="J168" i="1"/>
  <c r="J104" i="1"/>
  <c r="J40" i="1"/>
  <c r="J899" i="1"/>
  <c r="J891" i="1"/>
  <c r="J883" i="1"/>
  <c r="J875" i="1"/>
  <c r="J867" i="1"/>
  <c r="J859" i="1"/>
  <c r="J851" i="1"/>
  <c r="J843" i="1"/>
  <c r="J835" i="1"/>
  <c r="J827" i="1"/>
  <c r="J819" i="1"/>
  <c r="J811" i="1"/>
  <c r="J803" i="1"/>
  <c r="J795" i="1"/>
  <c r="J787" i="1"/>
  <c r="J779" i="1"/>
  <c r="J771" i="1"/>
  <c r="J763" i="1"/>
  <c r="J755" i="1"/>
  <c r="J747" i="1"/>
  <c r="J739" i="1"/>
  <c r="J731" i="1"/>
  <c r="J723" i="1"/>
  <c r="J715" i="1"/>
  <c r="J707" i="1"/>
  <c r="J699" i="1"/>
  <c r="J691" i="1"/>
  <c r="J680" i="1"/>
  <c r="J665" i="1"/>
  <c r="J651" i="1"/>
  <c r="J637" i="1"/>
  <c r="J623" i="1"/>
  <c r="J594" i="1"/>
  <c r="J580" i="1"/>
  <c r="J566" i="1"/>
  <c r="J550" i="1"/>
  <c r="J534" i="1"/>
  <c r="J517" i="1"/>
  <c r="J497" i="1"/>
  <c r="J480" i="1"/>
  <c r="J462" i="1"/>
  <c r="J444" i="1"/>
  <c r="J405" i="1"/>
  <c r="J383" i="1"/>
  <c r="J341" i="1"/>
  <c r="J318" i="1"/>
  <c r="J679" i="1"/>
  <c r="J650" i="1"/>
  <c r="J636" i="1"/>
  <c r="J622" i="1"/>
  <c r="J608" i="1"/>
  <c r="J593" i="1"/>
  <c r="J579" i="1"/>
  <c r="J565" i="1"/>
  <c r="J549" i="1"/>
  <c r="J533" i="1"/>
  <c r="J516" i="1"/>
  <c r="J479" i="1"/>
  <c r="J461" i="1"/>
  <c r="J441" i="1"/>
  <c r="J424" i="1"/>
  <c r="J401" i="1"/>
  <c r="J382" i="1"/>
  <c r="J360" i="1"/>
  <c r="J337" i="1"/>
  <c r="J272" i="1"/>
  <c r="J224" i="1"/>
  <c r="J160" i="1"/>
  <c r="J96" i="1"/>
  <c r="J32" i="1"/>
  <c r="J946" i="1"/>
  <c r="J938" i="1"/>
  <c r="J930" i="1"/>
  <c r="J922" i="1"/>
  <c r="J914" i="1"/>
  <c r="J906" i="1"/>
  <c r="J898" i="1"/>
  <c r="J890" i="1"/>
  <c r="J882" i="1"/>
  <c r="J874" i="1"/>
  <c r="J866" i="1"/>
  <c r="J858" i="1"/>
  <c r="J850" i="1"/>
  <c r="J842" i="1"/>
  <c r="J834" i="1"/>
  <c r="J826" i="1"/>
  <c r="J818" i="1"/>
  <c r="J810" i="1"/>
  <c r="J802" i="1"/>
  <c r="J794" i="1"/>
  <c r="J786" i="1"/>
  <c r="J778" i="1"/>
  <c r="J770" i="1"/>
  <c r="J762" i="1"/>
  <c r="J754" i="1"/>
  <c r="J746" i="1"/>
  <c r="J738" i="1"/>
  <c r="J730" i="1"/>
  <c r="J722" i="1"/>
  <c r="J714" i="1"/>
  <c r="J706" i="1"/>
  <c r="J698" i="1"/>
  <c r="J690" i="1"/>
  <c r="J678" i="1"/>
  <c r="J664" i="1"/>
  <c r="J649" i="1"/>
  <c r="J635" i="1"/>
  <c r="J621" i="1"/>
  <c r="J607" i="1"/>
  <c r="J578" i="1"/>
  <c r="J564" i="1"/>
  <c r="J548" i="1"/>
  <c r="J532" i="1"/>
  <c r="J513" i="1"/>
  <c r="J496" i="1"/>
  <c r="J478" i="1"/>
  <c r="J460" i="1"/>
  <c r="J423" i="1"/>
  <c r="J381" i="1"/>
  <c r="J359" i="1"/>
  <c r="J312" i="1"/>
  <c r="J271" i="1"/>
  <c r="J677" i="1"/>
  <c r="J663" i="1"/>
  <c r="J634" i="1"/>
  <c r="J620" i="1"/>
  <c r="J606" i="1"/>
  <c r="J592" i="1"/>
  <c r="J577" i="1"/>
  <c r="J563" i="1"/>
  <c r="J547" i="1"/>
  <c r="J531" i="1"/>
  <c r="J495" i="1"/>
  <c r="J477" i="1"/>
  <c r="J457" i="1"/>
  <c r="J440" i="1"/>
  <c r="J422" i="1"/>
  <c r="J400" i="1"/>
  <c r="J377" i="1"/>
  <c r="J358" i="1"/>
  <c r="J336" i="1"/>
  <c r="J311" i="1"/>
  <c r="J216" i="1"/>
  <c r="J152" i="1"/>
  <c r="J88" i="1"/>
  <c r="J24" i="1"/>
  <c r="J1041" i="1"/>
  <c r="J1033" i="1"/>
  <c r="J1025" i="1"/>
  <c r="J1017" i="1"/>
  <c r="J1009" i="1"/>
  <c r="J1001" i="1"/>
  <c r="J993" i="1"/>
  <c r="J985" i="1"/>
  <c r="J977" i="1"/>
  <c r="J969" i="1"/>
  <c r="J961" i="1"/>
  <c r="J953" i="1"/>
  <c r="J945" i="1"/>
  <c r="J937" i="1"/>
  <c r="J929" i="1"/>
  <c r="J921" i="1"/>
  <c r="J913" i="1"/>
  <c r="J905" i="1"/>
  <c r="J897" i="1"/>
  <c r="J889" i="1"/>
  <c r="J881" i="1"/>
  <c r="J873" i="1"/>
  <c r="J865" i="1"/>
  <c r="J857" i="1"/>
  <c r="J849" i="1"/>
  <c r="J841" i="1"/>
  <c r="J833" i="1"/>
  <c r="J825" i="1"/>
  <c r="J817" i="1"/>
  <c r="J809" i="1"/>
  <c r="J801" i="1"/>
  <c r="J793" i="1"/>
  <c r="J785" i="1"/>
  <c r="J777" i="1"/>
  <c r="J769" i="1"/>
  <c r="J761" i="1"/>
  <c r="J753" i="1"/>
  <c r="J745" i="1"/>
  <c r="J737" i="1"/>
  <c r="J729" i="1"/>
  <c r="J721" i="1"/>
  <c r="J713" i="1"/>
  <c r="J705" i="1"/>
  <c r="J697" i="1"/>
  <c r="J689" i="1"/>
  <c r="J676" i="1"/>
  <c r="J662" i="1"/>
  <c r="J648" i="1"/>
  <c r="J633" i="1"/>
  <c r="J619" i="1"/>
  <c r="J605" i="1"/>
  <c r="J591" i="1"/>
  <c r="J561" i="1"/>
  <c r="J545" i="1"/>
  <c r="J529" i="1"/>
  <c r="J512" i="1"/>
  <c r="J494" i="1"/>
  <c r="J476" i="1"/>
  <c r="J439" i="1"/>
  <c r="J421" i="1"/>
  <c r="J399" i="1"/>
  <c r="J357" i="1"/>
  <c r="J335" i="1"/>
  <c r="J264" i="1"/>
  <c r="J675" i="1"/>
  <c r="J661" i="1"/>
  <c r="J647" i="1"/>
  <c r="J618" i="1"/>
  <c r="J604" i="1"/>
  <c r="J590" i="1"/>
  <c r="J576" i="1"/>
  <c r="J511" i="1"/>
  <c r="J493" i="1"/>
  <c r="J473" i="1"/>
  <c r="J456" i="1"/>
  <c r="J438" i="1"/>
  <c r="J417" i="1"/>
  <c r="J398" i="1"/>
  <c r="J376" i="1"/>
  <c r="J353" i="1"/>
  <c r="J334" i="1"/>
  <c r="J304" i="1"/>
  <c r="J263" i="1"/>
  <c r="J208" i="1"/>
  <c r="J144" i="1"/>
  <c r="J80" i="1"/>
  <c r="J16" i="1"/>
  <c r="J239" i="1"/>
  <c r="J231" i="1"/>
  <c r="J223" i="1"/>
  <c r="J215" i="1"/>
  <c r="J207" i="1"/>
  <c r="J199" i="1"/>
  <c r="J191" i="1"/>
  <c r="J183" i="1"/>
  <c r="J175" i="1"/>
  <c r="J167" i="1"/>
  <c r="J159" i="1"/>
  <c r="J151" i="1"/>
  <c r="J143" i="1"/>
  <c r="J135" i="1"/>
  <c r="J127" i="1"/>
  <c r="J119" i="1"/>
  <c r="J111" i="1"/>
  <c r="J103" i="1"/>
  <c r="J95" i="1"/>
  <c r="J87" i="1"/>
  <c r="J79" i="1"/>
  <c r="J71" i="1"/>
  <c r="J63" i="1"/>
  <c r="J55" i="1"/>
  <c r="J47" i="1"/>
  <c r="J39" i="1"/>
  <c r="J31" i="1"/>
  <c r="J23" i="1"/>
  <c r="J15" i="1"/>
  <c r="J310" i="1"/>
  <c r="J302" i="1"/>
  <c r="J294" i="1"/>
  <c r="J286" i="1"/>
  <c r="J278" i="1"/>
  <c r="J270" i="1"/>
  <c r="J262" i="1"/>
  <c r="J254" i="1"/>
  <c r="J246" i="1"/>
  <c r="J238" i="1"/>
  <c r="J230" i="1"/>
  <c r="J222" i="1"/>
  <c r="J214" i="1"/>
  <c r="J206" i="1"/>
  <c r="J198" i="1"/>
  <c r="J190" i="1"/>
  <c r="J182" i="1"/>
  <c r="J174" i="1"/>
  <c r="J166" i="1"/>
  <c r="J158" i="1"/>
  <c r="J150" i="1"/>
  <c r="J142" i="1"/>
  <c r="J134" i="1"/>
  <c r="J126" i="1"/>
  <c r="J118" i="1"/>
  <c r="J110" i="1"/>
  <c r="J102" i="1"/>
  <c r="J94" i="1"/>
  <c r="J86" i="1"/>
  <c r="J78" i="1"/>
  <c r="J70" i="1"/>
  <c r="J62" i="1"/>
  <c r="J54" i="1"/>
  <c r="J46" i="1"/>
  <c r="J38" i="1"/>
  <c r="J30" i="1"/>
  <c r="J22" i="1"/>
  <c r="J14" i="1"/>
  <c r="J317" i="1"/>
  <c r="J309" i="1"/>
  <c r="J301" i="1"/>
  <c r="J293" i="1"/>
  <c r="J285" i="1"/>
  <c r="J277" i="1"/>
  <c r="J269" i="1"/>
  <c r="J261" i="1"/>
  <c r="J253" i="1"/>
  <c r="J245" i="1"/>
  <c r="J237" i="1"/>
  <c r="J229" i="1"/>
  <c r="J221" i="1"/>
  <c r="J213" i="1"/>
  <c r="J205" i="1"/>
  <c r="J197" i="1"/>
  <c r="J189" i="1"/>
  <c r="J181" i="1"/>
  <c r="J173" i="1"/>
  <c r="J165" i="1"/>
  <c r="J157" i="1"/>
  <c r="J149" i="1"/>
  <c r="J141" i="1"/>
  <c r="J133" i="1"/>
  <c r="J125" i="1"/>
  <c r="J117" i="1"/>
  <c r="J109" i="1"/>
  <c r="J101" i="1"/>
  <c r="J93" i="1"/>
  <c r="J85" i="1"/>
  <c r="J77" i="1"/>
  <c r="J69" i="1"/>
  <c r="J61" i="1"/>
  <c r="J53" i="1"/>
  <c r="J45" i="1"/>
  <c r="J37" i="1"/>
  <c r="J29" i="1"/>
  <c r="J21" i="1"/>
  <c r="J13" i="1"/>
  <c r="J420" i="1"/>
  <c r="J412" i="1"/>
  <c r="J404" i="1"/>
  <c r="J396" i="1"/>
  <c r="J388" i="1"/>
  <c r="J380" i="1"/>
  <c r="J372" i="1"/>
  <c r="J364" i="1"/>
  <c r="J356" i="1"/>
  <c r="J348" i="1"/>
  <c r="J340" i="1"/>
  <c r="J332" i="1"/>
  <c r="J324" i="1"/>
  <c r="J316" i="1"/>
  <c r="J308" i="1"/>
  <c r="J300" i="1"/>
  <c r="J292" i="1"/>
  <c r="J284" i="1"/>
  <c r="J276" i="1"/>
  <c r="J268" i="1"/>
  <c r="J260" i="1"/>
  <c r="J252" i="1"/>
  <c r="J244" i="1"/>
  <c r="J236" i="1"/>
  <c r="J228" i="1"/>
  <c r="J220" i="1"/>
  <c r="J212" i="1"/>
  <c r="J204" i="1"/>
  <c r="J196" i="1"/>
  <c r="J188" i="1"/>
  <c r="J180" i="1"/>
  <c r="J172" i="1"/>
  <c r="J164" i="1"/>
  <c r="J156" i="1"/>
  <c r="J148" i="1"/>
  <c r="J140" i="1"/>
  <c r="J132" i="1"/>
  <c r="J124" i="1"/>
  <c r="J116" i="1"/>
  <c r="J108" i="1"/>
  <c r="J100" i="1"/>
  <c r="J92" i="1"/>
  <c r="J84" i="1"/>
  <c r="J76" i="1"/>
  <c r="J68" i="1"/>
  <c r="J60" i="1"/>
  <c r="J52" i="1"/>
  <c r="J44" i="1"/>
  <c r="J36" i="1"/>
  <c r="J28" i="1"/>
  <c r="J20" i="1"/>
  <c r="J12" i="1"/>
  <c r="J523" i="1"/>
  <c r="J515" i="1"/>
  <c r="J507" i="1"/>
  <c r="J499" i="1"/>
  <c r="J491" i="1"/>
  <c r="J483" i="1"/>
  <c r="J475" i="1"/>
  <c r="J467" i="1"/>
  <c r="J459" i="1"/>
  <c r="J451" i="1"/>
  <c r="J443" i="1"/>
  <c r="J435" i="1"/>
  <c r="J427" i="1"/>
  <c r="J419" i="1"/>
  <c r="J411" i="1"/>
  <c r="J403" i="1"/>
  <c r="J395" i="1"/>
  <c r="J387" i="1"/>
  <c r="J379" i="1"/>
  <c r="J371" i="1"/>
  <c r="J363" i="1"/>
  <c r="J355" i="1"/>
  <c r="J347" i="1"/>
  <c r="J339" i="1"/>
  <c r="J331" i="1"/>
  <c r="J323" i="1"/>
  <c r="J315" i="1"/>
  <c r="J307" i="1"/>
  <c r="J299" i="1"/>
  <c r="J291" i="1"/>
  <c r="J283" i="1"/>
  <c r="J275" i="1"/>
  <c r="J267" i="1"/>
  <c r="J259" i="1"/>
  <c r="J251" i="1"/>
  <c r="J243" i="1"/>
  <c r="J235" i="1"/>
  <c r="J227" i="1"/>
  <c r="J219" i="1"/>
  <c r="J211" i="1"/>
  <c r="J203" i="1"/>
  <c r="J195" i="1"/>
  <c r="J187" i="1"/>
  <c r="J179" i="1"/>
  <c r="J171" i="1"/>
  <c r="J163" i="1"/>
  <c r="J155" i="1"/>
  <c r="J147" i="1"/>
  <c r="J139" i="1"/>
  <c r="J131" i="1"/>
  <c r="J123" i="1"/>
  <c r="J115" i="1"/>
  <c r="J107" i="1"/>
  <c r="J99" i="1"/>
  <c r="J91" i="1"/>
  <c r="J83" i="1"/>
  <c r="J75" i="1"/>
  <c r="J67" i="1"/>
  <c r="J59" i="1"/>
  <c r="J51" i="1"/>
  <c r="J43" i="1"/>
  <c r="J35" i="1"/>
  <c r="J27" i="1"/>
  <c r="J19" i="1"/>
  <c r="J11" i="1"/>
  <c r="J562" i="1"/>
  <c r="J554" i="1"/>
  <c r="J546" i="1"/>
  <c r="J538" i="1"/>
  <c r="J530" i="1"/>
  <c r="J522" i="1"/>
  <c r="J514" i="1"/>
  <c r="J506" i="1"/>
  <c r="J498" i="1"/>
  <c r="J490" i="1"/>
  <c r="J482" i="1"/>
  <c r="J474" i="1"/>
  <c r="J466" i="1"/>
  <c r="J458" i="1"/>
  <c r="J450" i="1"/>
  <c r="J442" i="1"/>
  <c r="J434" i="1"/>
  <c r="J426" i="1"/>
  <c r="J418" i="1"/>
  <c r="J410" i="1"/>
  <c r="J402" i="1"/>
  <c r="J394" i="1"/>
  <c r="J386" i="1"/>
  <c r="J378" i="1"/>
  <c r="J370" i="1"/>
  <c r="J362" i="1"/>
  <c r="J354" i="1"/>
  <c r="J346" i="1"/>
  <c r="J338" i="1"/>
  <c r="J330" i="1"/>
  <c r="J322" i="1"/>
  <c r="J314" i="1"/>
  <c r="J306" i="1"/>
  <c r="J298" i="1"/>
  <c r="J290" i="1"/>
  <c r="J282" i="1"/>
  <c r="J274" i="1"/>
  <c r="J266" i="1"/>
  <c r="J258" i="1"/>
  <c r="J250" i="1"/>
  <c r="J242" i="1"/>
  <c r="J234" i="1"/>
  <c r="J226" i="1"/>
  <c r="J218" i="1"/>
  <c r="J210" i="1"/>
  <c r="J202" i="1"/>
  <c r="J194" i="1"/>
  <c r="J186" i="1"/>
  <c r="J178" i="1"/>
  <c r="J170" i="1"/>
  <c r="J162" i="1"/>
  <c r="J154" i="1"/>
  <c r="J146" i="1"/>
  <c r="J138" i="1"/>
  <c r="J130" i="1"/>
  <c r="J122" i="1"/>
  <c r="J114" i="1"/>
  <c r="J106" i="1"/>
  <c r="J98" i="1"/>
  <c r="J90" i="1"/>
  <c r="J82" i="1"/>
  <c r="J74" i="1"/>
  <c r="J66" i="1"/>
  <c r="J58" i="1"/>
  <c r="J50" i="1"/>
  <c r="J42" i="1"/>
  <c r="J34" i="1"/>
  <c r="J26" i="1"/>
  <c r="J18" i="1"/>
  <c r="J10" i="1"/>
  <c r="J321" i="1"/>
  <c r="J313" i="1"/>
  <c r="J305" i="1"/>
  <c r="J297" i="1"/>
  <c r="J289" i="1"/>
  <c r="J281" i="1"/>
  <c r="J273" i="1"/>
  <c r="J265" i="1"/>
  <c r="J257" i="1"/>
  <c r="J249" i="1"/>
  <c r="J241" i="1"/>
  <c r="J233" i="1"/>
  <c r="J225" i="1"/>
  <c r="J217" i="1"/>
  <c r="J209" i="1"/>
  <c r="J201" i="1"/>
  <c r="J193" i="1"/>
  <c r="J185" i="1"/>
  <c r="J177" i="1"/>
  <c r="J169" i="1"/>
  <c r="J161" i="1"/>
  <c r="J153" i="1"/>
  <c r="J145" i="1"/>
  <c r="J137" i="1"/>
  <c r="J129" i="1"/>
  <c r="J121" i="1"/>
  <c r="J113" i="1"/>
  <c r="J105" i="1"/>
  <c r="J97" i="1"/>
  <c r="J89" i="1"/>
  <c r="J81" i="1"/>
  <c r="J73" i="1"/>
  <c r="J65" i="1"/>
  <c r="J57" i="1"/>
  <c r="J49" i="1"/>
  <c r="J41" i="1"/>
  <c r="J33" i="1"/>
  <c r="J25" i="1"/>
  <c r="J17" i="1"/>
  <c r="J9" i="1"/>
  <c r="J8" i="1"/>
  <c r="J7" i="1"/>
  <c r="J6" i="1"/>
  <c r="J5" i="1"/>
  <c r="J4" i="1"/>
  <c r="J3" i="1"/>
  <c r="J2" i="1"/>
  <c r="I2" i="1"/>
  <c r="K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<sst xmlns="http://schemas.openxmlformats.org/spreadsheetml/2006/main" count="19322" uniqueCount="11411">
  <si>
    <t>key_id</t>
  </si>
  <si>
    <t>council</t>
  </si>
  <si>
    <t>adress</t>
  </si>
  <si>
    <t>name</t>
  </si>
  <si>
    <t>description</t>
  </si>
  <si>
    <t>preservation_date</t>
  </si>
  <si>
    <t>remark</t>
  </si>
  <si>
    <t xml:space="preserve">Assens Kommune </t>
  </si>
  <si>
    <t>Alléen 5</t>
  </si>
  <si>
    <t xml:space="preserve"> Løgismose</t>
  </si>
  <si>
    <t xml:space="preserve"> Hovedbygningen (nordøstre fløj beg, af 1500-tallet; nordvestre fløj 1575, ombygget1631 og 1644; trappetårn og sydvestre fløj 1883)</t>
  </si>
  <si>
    <t>*</t>
  </si>
  <si>
    <t>Billeskovvej 9</t>
  </si>
  <si>
    <t xml:space="preserve"> Billeskov</t>
  </si>
  <si>
    <t xml:space="preserve"> Hovedbygningen (1796) med det i haven liggende voldsted (1577)</t>
  </si>
  <si>
    <t/>
  </si>
  <si>
    <t>Brahesborgvej 29</t>
  </si>
  <si>
    <t xml:space="preserve"> Toftlund</t>
  </si>
  <si>
    <t xml:space="preserve"> Det fritliggende stuehus (1852-55, ombygget sidst i 1800-tallet), den fritliggende bindingsværksbygning (1700-tallet), den brostensbelagte gårdsplads og kastaniealléen vedindkørslen</t>
  </si>
  <si>
    <t>* Delvis ophævet 2016</t>
  </si>
  <si>
    <t>Brydegaardsvej 10</t>
  </si>
  <si>
    <t xml:space="preserve"> Brydegård</t>
  </si>
  <si>
    <t xml:space="preserve"> Stuehuset, stenhuset (ca 1800), portbygningen og de to udhusbygninger(ca 1890) samt smedien (ca 1850)</t>
  </si>
  <si>
    <t>Byvejen 11</t>
  </si>
  <si>
    <t xml:space="preserve"> Tjenergården</t>
  </si>
  <si>
    <t xml:space="preserve"> Det firelængede anlæg bestående af et fritliggende stuehus (1821), tre sammenbyggede stald- og ladebygninger og hesteomgangsbygningen på østlængen (1930) samtbrolægningen på gårdspladsen</t>
  </si>
  <si>
    <t>Damgade 1</t>
  </si>
  <si>
    <t xml:space="preserve"> Damgade 1</t>
  </si>
  <si>
    <t xml:space="preserve"> De to bindingsværkshuse mod Ladegårdsgade (tidl Ladegårdsgade 2 og 4)</t>
  </si>
  <si>
    <t>Dreslettevej 5</t>
  </si>
  <si>
    <t xml:space="preserve"> Dreslettevej 5</t>
  </si>
  <si>
    <t xml:space="preserve"> Det firelængede gårdanlæg (1795, stuehuset forlænget 1847), tilbygningenpå vestlængen (1910) og den brolagte gårdsplads</t>
  </si>
  <si>
    <t>Ege Allé 5</t>
  </si>
  <si>
    <t xml:space="preserve"> Kobbelhuset</t>
  </si>
  <si>
    <t xml:space="preserve"> Det tidligere porthus</t>
  </si>
  <si>
    <t>Erholmvej 25</t>
  </si>
  <si>
    <t xml:space="preserve"> Erholm</t>
  </si>
  <si>
    <t xml:space="preserve"> Hovedbygningen og de to sammenbyggede fløje om gårdpladsen (1851-54 af J DHerholdt)</t>
  </si>
  <si>
    <t>Fåborgvej 108</t>
  </si>
  <si>
    <t xml:space="preserve"> Fåborgvej 108</t>
  </si>
  <si>
    <t xml:space="preserve"> Det trelængede bygningsanlæg (1780-90) i bindingsværk og stråtag bestående af det tifags fritliggende stuehus og de to symmetrisk beliggende udlænger, begge i fem fag, den ene med udskud og den anden forbundet med stuehuset ved en bindingsværksmur forsynet med enrevledør - tillige med den brostensbelagte gårdsplads indrammet af bebyggelsen</t>
  </si>
  <si>
    <t>Helnæs Byvej 3</t>
  </si>
  <si>
    <t xml:space="preserve"> Bogården</t>
  </si>
  <si>
    <t xml:space="preserve"> Den firelængede gård (stuehuset 1787, udlængerne 1880'erne)</t>
  </si>
  <si>
    <t>Helnæsvej 1</t>
  </si>
  <si>
    <t xml:space="preserve"> Flenstofte</t>
  </si>
  <si>
    <t xml:space="preserve"> Den trefløjede hovedbygning med foranstående borner (1748 og ca 1790)</t>
  </si>
  <si>
    <t>Hårbyvej 2</t>
  </si>
  <si>
    <t xml:space="preserve"> Hårbyvej 2</t>
  </si>
  <si>
    <t xml:space="preserve"> Det sammenbyggede, firelængede gårdanlæg (stuehuset ca 1775, ombygget med 17 fag ca 1800, østlængen med suler ca 1700, sydlængen ca 1700 og ombygget med grundmur i1908 og vestlængen ca 1800 delvis i grundmur 1880) samt den brolagte gårdsplads</t>
  </si>
  <si>
    <t>Jørgen Brahesvej 1</t>
  </si>
  <si>
    <t xml:space="preserve"> Brahesborg</t>
  </si>
  <si>
    <t xml:space="preserve"> Hovedbygning (1638-56, ombygget 1756)</t>
  </si>
  <si>
    <t>Kertevej 56</t>
  </si>
  <si>
    <t xml:space="preserve"> Kerte Præstegård</t>
  </si>
  <si>
    <t xml:space="preserve"> Stuehuset (1914-15 af Hjalmar Kjær), østlængen (sulebygning ca 1650)og vestlængen (1876)</t>
  </si>
  <si>
    <t>Kirke Søbyvej 73</t>
  </si>
  <si>
    <t xml:space="preserve"> Kirke Søby gamle Degnebolig</t>
  </si>
  <si>
    <t xml:space="preserve"> Det enetages bindingsværkshus (1790'erne)</t>
  </si>
  <si>
    <t>Klaregade 22</t>
  </si>
  <si>
    <t xml:space="preserve"> Damgård</t>
  </si>
  <si>
    <t xml:space="preserve"> Den firelængede gård (stuehus ca 1800, længerne slutningen af 1800-tallet)med brolagt gårdsplads</t>
  </si>
  <si>
    <t>Klaregade 23</t>
  </si>
  <si>
    <t xml:space="preserve"> Vestfynsk Hjemstavnsgård, Landmålergården</t>
  </si>
  <si>
    <t xml:space="preserve"> Det firelængede gårdanlæg (nord- og østlængen ca 1750, vestlænge begyndelsen af 1800-tallet, sydlænge 1826), den vinkelformedeudlænge (1700- 1900-tallet) og den tilflyttede smedie (1746) og urmagerhuset (1776)</t>
  </si>
  <si>
    <t>Klaregade 25</t>
  </si>
  <si>
    <t xml:space="preserve"> Risagergård</t>
  </si>
  <si>
    <t xml:space="preserve"> Bindingsværksstuehuset (slutningen af 1700-tallet)</t>
  </si>
  <si>
    <t>Korsgade 11</t>
  </si>
  <si>
    <t xml:space="preserve"> Madam Bundsens Hus</t>
  </si>
  <si>
    <t xml:space="preserve"> Forhuset (ca 1575)</t>
  </si>
  <si>
    <t>Korsgade 22</t>
  </si>
  <si>
    <t xml:space="preserve"> Korsgade 22</t>
  </si>
  <si>
    <t xml:space="preserve"> Gavlhuset (antagelig omkring 1600)</t>
  </si>
  <si>
    <t>Krengerupvej 6</t>
  </si>
  <si>
    <t xml:space="preserve"> Kamgården</t>
  </si>
  <si>
    <t xml:space="preserve"> Den firelængede bondegård bestående af stuehuset (1856), laden mod syd (1863), stalden mod vest (1865), kampestenslængen mod nord (ca 1900), portlængen (1866) oggårdspladsen med brostensbelægning</t>
  </si>
  <si>
    <t>Krengerupvej 96</t>
  </si>
  <si>
    <t xml:space="preserve"> Krengerup</t>
  </si>
  <si>
    <t xml:space="preserve"> Krengerup hovedbygning (1772), avlsgården (1771), hvoraf vestfløjen er en agerumslade, hesteomgangen (ca1850) tilbygget vestlængen mod vest, de to fritliggende bygninger mod øst, hvoraf bygningen mod syd er en vandmølle (1838), samt gårdspladsen på Krengerup, inklusiv den gennemgående vej mod vest og dennes belægninger umiddelbart nord og syd for avlsgårdens porte. Hertil kommer møllesøen med stensætninger herunder den markstensbelagte rampe til hestevask, det stensatte tilløb under landevejen, den stensatte underjordiske kanal under gårdspladsen, den stensatte sluse med stemmeværk, malerenden og fraløbskanalen med stensætninger ved Krengerup Mølle</t>
  </si>
  <si>
    <t>Udvidet 2007 og 2011*</t>
  </si>
  <si>
    <t>Kærlighedsstien 1</t>
  </si>
  <si>
    <t xml:space="preserve"> Skydebjerg Præstegård, tidl</t>
  </si>
  <si>
    <t xml:space="preserve"> Stuehuset (ca 1792 med senere tilføjelser),sulebygningen mod nord og den dermed sammenbyggede portlænge i vest (1777)</t>
  </si>
  <si>
    <t>Kærvangen 22</t>
  </si>
  <si>
    <t xml:space="preserve"> Turup Sprøjtehus</t>
  </si>
  <si>
    <t xml:space="preserve"> Sprøjtehuset (1866)</t>
  </si>
  <si>
    <t>Ladegårdsgade 1, hj af Ramsherred</t>
  </si>
  <si>
    <t xml:space="preserve"> Ladegårdsgade 1</t>
  </si>
  <si>
    <t xml:space="preserve"> Forhuset (slutn af 1500-tallet)</t>
  </si>
  <si>
    <t>Ladegårdsgade 41</t>
  </si>
  <si>
    <t xml:space="preserve"> Ladegårdsgade 41</t>
  </si>
  <si>
    <t xml:space="preserve"> Ladebygningen (ca 1600, 1700-tallet)</t>
  </si>
  <si>
    <t>Landevejen 24</t>
  </si>
  <si>
    <t xml:space="preserve"> Jordløse Præstegård</t>
  </si>
  <si>
    <t xml:space="preserve"> Det firelængede bygningskompleks (1734 ff, genopført 1982-83efter brand)</t>
  </si>
  <si>
    <t>Langgade 29</t>
  </si>
  <si>
    <t xml:space="preserve"> Flemløse Kirkelade</t>
  </si>
  <si>
    <t xml:space="preserve"> Kirkeladen (middelalder og senere)</t>
  </si>
  <si>
    <t xml:space="preserve">* </t>
  </si>
  <si>
    <t>Lundagervej 27</t>
  </si>
  <si>
    <t xml:space="preserve"> Sulegården i Grimstrup</t>
  </si>
  <si>
    <t xml:space="preserve"> Den firelængede gård</t>
  </si>
  <si>
    <t>Mosegårdsvej 3</t>
  </si>
  <si>
    <t xml:space="preserve"> Mosegård</t>
  </si>
  <si>
    <t xml:space="preserve"> Den firelængede gård med stuehuset (1847) og de dermed sammenbyggede tre udlænger (syd- og vestlængerne 1855-1880, østlængen 1880), den fritliggende svinestald (1908) samtgårdspladsen med pigstensbelægning</t>
  </si>
  <si>
    <t>Mosegårdsvej 9</t>
  </si>
  <si>
    <t xml:space="preserve"> Bregneholm</t>
  </si>
  <si>
    <t xml:space="preserve"> Den firelængede bondegård bestående af det fritliggende stuehus (1840), østlængen (1833), sydlængen (1835, ombygget ca 1900), vestlængen, den fritliggende kampestenslængemod sydvest (ca 1900) og den pigstensbelagte gårdsplads med granittrug</t>
  </si>
  <si>
    <t>Møllebakken 60</t>
  </si>
  <si>
    <t xml:space="preserve"> Fuglegården</t>
  </si>
  <si>
    <t xml:space="preserve"> Stuehuset og udlængen (1737) samt gårdspladsen</t>
  </si>
  <si>
    <t>Nordre Havnevej 14 A</t>
  </si>
  <si>
    <t xml:space="preserve"> Kogehuset på Kogehusmolen</t>
  </si>
  <si>
    <t xml:space="preserve"> Kogehus (1824, flyttet 1953, genopført 1971)</t>
  </si>
  <si>
    <t>Nordre Havnevej 19</t>
  </si>
  <si>
    <t xml:space="preserve"> Toldkammerbygningen</t>
  </si>
  <si>
    <t xml:space="preserve"> Toldkammerbygningen (1834 af Jørgen Hansen Koch),sidehus og forhus mod Strandgade (1845)</t>
  </si>
  <si>
    <t>Nørrelundsvej 2</t>
  </si>
  <si>
    <t xml:space="preserve"> Solhøj, Aldershvile (tidl)</t>
  </si>
  <si>
    <t xml:space="preserve"> Hovedbygningen, de to bindingsværksfløje samt deforbindende mure og porte (1840'rne)</t>
  </si>
  <si>
    <t>Odensevej 119 A</t>
  </si>
  <si>
    <t xml:space="preserve"> Øxnebjerg Vindmølle</t>
  </si>
  <si>
    <t xml:space="preserve"> Vindmøllen (1859)</t>
  </si>
  <si>
    <t>Overgade 18</t>
  </si>
  <si>
    <t xml:space="preserve"> Skaldbjerggård</t>
  </si>
  <si>
    <t xml:space="preserve"> Den firelængede bondegård bestående af stuehuset, agerumsladen mod nord, svinestalden mod nordøst, vestlængen og hesteomgangen i gården (alle 1860) samt den fritliggendelænge vest for gården (1700-tallet)</t>
  </si>
  <si>
    <t>Prinsevej 51</t>
  </si>
  <si>
    <t xml:space="preserve"> Spinderhuset</t>
  </si>
  <si>
    <t xml:space="preserve"> Det tidl porthus (beg af 1700-tallet, ombygget ca 1875 og 1925)</t>
  </si>
  <si>
    <t>Sandhammeren 3</t>
  </si>
  <si>
    <t xml:space="preserve"> Bågø Fyr</t>
  </si>
  <si>
    <t xml:space="preserve"> Fyrtårnet (1816)</t>
  </si>
  <si>
    <t>Skårupvej 1</t>
  </si>
  <si>
    <t xml:space="preserve"> Skårup</t>
  </si>
  <si>
    <t xml:space="preserve"> Den firelængede gård med den brolagte gårdsplads (ca 1800)</t>
  </si>
  <si>
    <t>Slots Allé 1</t>
  </si>
  <si>
    <t xml:space="preserve"> Hagenskov, Frederiksgave</t>
  </si>
  <si>
    <t xml:space="preserve"> Hovedbygningen (1744-76 af Georg Erdman Rosenberg) ogmuren omkring parken samt smedien (sidste halvdel af 1700-tallet)</t>
  </si>
  <si>
    <t>Slots Allé 26</t>
  </si>
  <si>
    <t xml:space="preserve"> Hagenskov Slotsmølle</t>
  </si>
  <si>
    <t xml:space="preserve"> Den tidl vandmølle (1600-tallet, forlænget ca 1750), samtstaldlængen i bindingsværk (beg af 1800-tallet)</t>
  </si>
  <si>
    <t>Solevadvej 44</t>
  </si>
  <si>
    <t xml:space="preserve"> Solevad Vandmølle</t>
  </si>
  <si>
    <t xml:space="preserve"> Solevad Vandmølle (1870), kværn i nabobygning samt aksel fra møllen hertil, møllesø, stemmeværk og tilløb til møllen (begge 1996), bagvand samt den del af Holmehave Bæk, som løber fra stemmeværk til sammenløbet med møllens bagvand, samt stensatte kanter vedmøllesø, tilløb, bagløb og friløb</t>
  </si>
  <si>
    <t xml:space="preserve"> Udvidet 2011</t>
  </si>
  <si>
    <t>Stationsvej 17</t>
  </si>
  <si>
    <t xml:space="preserve"> Tommerup Station</t>
  </si>
  <si>
    <t xml:space="preserve"> Hovedbygning (1883 af Thomas Arboe)</t>
  </si>
  <si>
    <t>Strandbyvej 62 A</t>
  </si>
  <si>
    <t xml:space="preserve"> Damsbo</t>
  </si>
  <si>
    <t xml:space="preserve"> Hovedbygningen (1656)</t>
  </si>
  <si>
    <t>Strandgade 7</t>
  </si>
  <si>
    <t xml:space="preserve"> Hotel Postgården</t>
  </si>
  <si>
    <t xml:space="preserve"> Forhuset med tilbygning på gårdsiden (ca 1700)</t>
  </si>
  <si>
    <t>Søbovej 12</t>
  </si>
  <si>
    <t xml:space="preserve"> Søbo</t>
  </si>
  <si>
    <t xml:space="preserve"> Den vinkelbyggede hovedbygning (1720'rne, muligvis ombygning af et hus fra1650'erne)</t>
  </si>
  <si>
    <t>Søndersøvej 108</t>
  </si>
  <si>
    <t xml:space="preserve"> Søndersøvej 108</t>
  </si>
  <si>
    <t xml:space="preserve"> Det firelængede sammenbyggede gårdanlæg med den sydligeladetilbygning (før 1810) samt den brolagte gårdsplads</t>
  </si>
  <si>
    <t>Søndre Ringvej 4</t>
  </si>
  <si>
    <t xml:space="preserve"> Assens Station</t>
  </si>
  <si>
    <t xml:space="preserve"> Hovedbygningen (1884 af NP Holsøe)</t>
  </si>
  <si>
    <t>Vandværksvej 1</t>
  </si>
  <si>
    <t xml:space="preserve"> Vandværksvej 1</t>
  </si>
  <si>
    <t xml:space="preserve"> Den trelængede boelsgård (stuehus beg af 1800-tallet), brolægningen foran stuehuset samt den grundmurede staldbygning (ca 1900) og møddingen med kampestensgærdetomkring</t>
  </si>
  <si>
    <t>Voldtoftevej 13</t>
  </si>
  <si>
    <t xml:space="preserve"> Voldtoftevej 13</t>
  </si>
  <si>
    <t xml:space="preserve"> Landarbejderhuset (1830)</t>
  </si>
  <si>
    <t>Voldtoftevej 40</t>
  </si>
  <si>
    <t xml:space="preserve"> Villumgård</t>
  </si>
  <si>
    <t xml:space="preserve"> Det sammenbyggede firelængede gårdanlæg med korsarm på stuehuset (ca1800) og den brolagte gårdsplads</t>
  </si>
  <si>
    <t>Voldtoftevej 8</t>
  </si>
  <si>
    <t xml:space="preserve"> Venekærgård</t>
  </si>
  <si>
    <t xml:space="preserve"> Den firelængede gård (1810-20) og gårdspladsen</t>
  </si>
  <si>
    <t>Østergade 11</t>
  </si>
  <si>
    <t xml:space="preserve"> Østergade 11</t>
  </si>
  <si>
    <t xml:space="preserve"> Forhuset (1500-tallet)</t>
  </si>
  <si>
    <t>Østergade 27</t>
  </si>
  <si>
    <t xml:space="preserve"> Apoteket</t>
  </si>
  <si>
    <t xml:space="preserve"> Hjørnebygningen samt stalden mod Korsgade (1847-48)</t>
  </si>
  <si>
    <t>Østergade 36</t>
  </si>
  <si>
    <t xml:space="preserve"> Willemoesgården</t>
  </si>
  <si>
    <t xml:space="preserve"> Hjørnehuset (1675)</t>
  </si>
  <si>
    <t>Østergade 38 D</t>
  </si>
  <si>
    <t xml:space="preserve"> Plums Tømmerlade</t>
  </si>
  <si>
    <t xml:space="preserve"> Den store gule trælade (1915)</t>
  </si>
  <si>
    <t>Østergade 42</t>
  </si>
  <si>
    <t xml:space="preserve"> Brydes Gård</t>
  </si>
  <si>
    <t xml:space="preserve"> Forhuset (1777)</t>
  </si>
  <si>
    <t xml:space="preserve">Billund Kommune </t>
  </si>
  <si>
    <t>Billundvej 47</t>
  </si>
  <si>
    <t xml:space="preserve"> Gyttegård</t>
  </si>
  <si>
    <t xml:space="preserve"> Villaen (1916 af Martin Borch)</t>
  </si>
  <si>
    <t xml:space="preserve">Bornholm Kommune </t>
  </si>
  <si>
    <t>Almindingsvej 40</t>
  </si>
  <si>
    <t xml:space="preserve"> Christianshøj Trinbræt</t>
  </si>
  <si>
    <t xml:space="preserve"> Træpavillonen og den hermed sammenbyggede mindretræbygning (1915-16 af Kay Fisker og Aage Rafn)</t>
  </si>
  <si>
    <t>Arsenalvej 8, tidl Sønder Allé 24</t>
  </si>
  <si>
    <t xml:space="preserve"> Kastellet, Rønne</t>
  </si>
  <si>
    <t xml:space="preserve"> Tårnet, magasinbygningerne og voldanlægget (1689,1841)</t>
  </si>
  <si>
    <t>Borgergade 11</t>
  </si>
  <si>
    <t xml:space="preserve"> Borgergade 11, Svaneke</t>
  </si>
  <si>
    <t xml:space="preserve"> Det grundmurede femfags hus (1861)</t>
  </si>
  <si>
    <t>Ferskesøstræde 36</t>
  </si>
  <si>
    <t xml:space="preserve"> Martin Andersen Nexø's Barndomshjem</t>
  </si>
  <si>
    <t xml:space="preserve"> Beboelseshuset (1879), udhuset og murenmellem disse</t>
  </si>
  <si>
    <t>Fiskerivej 8</t>
  </si>
  <si>
    <t xml:space="preserve"> Rønne Redningsstation</t>
  </si>
  <si>
    <t xml:space="preserve"> Redningsstationen (1929)</t>
  </si>
  <si>
    <t xml:space="preserve"> Gaden 44</t>
  </si>
  <si>
    <t xml:space="preserve"> Årsdale Mølle</t>
  </si>
  <si>
    <t xml:space="preserve"> Vindmøllen (1877)</t>
  </si>
  <si>
    <t>Gl. Rønnevej 1 A (tidl Rønnevej 1)</t>
  </si>
  <si>
    <t xml:space="preserve">Vangegemmerhuset, Nexø.  </t>
  </si>
  <si>
    <t xml:space="preserve"> Kampestensbygningen (1700-tallet)</t>
  </si>
  <si>
    <t>Godthåbsvej 59B</t>
  </si>
  <si>
    <t xml:space="preserve"> Østermarie Station</t>
  </si>
  <si>
    <t xml:space="preserve"> Den tidl stationsbygning med varehus (1915-16 af Aage Rafn ogKay Fisker)</t>
  </si>
  <si>
    <t>Gudhjemvej 28-30</t>
  </si>
  <si>
    <t xml:space="preserve"> Østerlars Præstegård</t>
  </si>
  <si>
    <t xml:space="preserve"> Det stråtækte trelængede bindingsværksgårdanlæg (1836),den brolagte gårdsplads med pumpebrønd og de to kastanietræer</t>
  </si>
  <si>
    <t>Jørn Utzons Sti 2 og Hans Thygesensvej 46A</t>
  </si>
  <si>
    <t xml:space="preserve"> Svaneke Vandtårn og Pumpestation</t>
  </si>
  <si>
    <t xml:space="preserve"> Vandtårnet (1952 af JørnUtzon) samt pumpestation</t>
  </si>
  <si>
    <t xml:space="preserve"> Udvidet 2015</t>
  </si>
  <si>
    <t>Kirkebakken 9</t>
  </si>
  <si>
    <t xml:space="preserve"> Missionshuset Siloam, Svaneke</t>
  </si>
  <si>
    <t xml:space="preserve"> Missionshuset (1897)</t>
  </si>
  <si>
    <t>Krystalgade 5. L</t>
  </si>
  <si>
    <t xml:space="preserve"> Hjorts Terracottafabrik, Rønne</t>
  </si>
  <si>
    <t xml:space="preserve"> Det nordøstre forhus (mellem 1847 og 1860, kvisten efter 1861), det sydvestre forhus (mellem 1874 og 1882, ombygget og forhøjet efter 1902), det vestre sidehus (1700-tallet), det lange vestre baghus (bindingsværksdelen 1700-tallet, den grundmurede del ca 1920), det korte baghus (ca 1920), mellembygningen og det østre sidehus (bagsiden 1800-tallet, gårdsiden før 1900) samt hegnsmuren og porten mod gaden, gårdspladsen og haven med lysthuset ogfortovet i Krystalgade</t>
  </si>
  <si>
    <t>Købmagergade 33</t>
  </si>
  <si>
    <t xml:space="preserve"> Amtsgården (tidl), Nexø</t>
  </si>
  <si>
    <t xml:space="preserve"> Forhuset (1803)</t>
  </si>
  <si>
    <t>Laksegade 5</t>
  </si>
  <si>
    <t xml:space="preserve"> Laksegade 5, Rønne</t>
  </si>
  <si>
    <t xml:space="preserve"> Forhuset (ca 1850-1900)</t>
  </si>
  <si>
    <t>Laksegade 7</t>
  </si>
  <si>
    <t xml:space="preserve"> Erichsens Gård, Rønne</t>
  </si>
  <si>
    <t xml:space="preserve"> Forhuset (1807, kvisten fra ca 1830 og to vestlige fag 1838),havehuset (1815), gårdspladsen med retirade og haven bag forhuset samt de to havemure mod Laksegade</t>
  </si>
  <si>
    <t xml:space="preserve"> Udvidet 2003*</t>
  </si>
  <si>
    <t>Langebjergvej 15</t>
  </si>
  <si>
    <t xml:space="preserve"> Hammersholm</t>
  </si>
  <si>
    <t xml:space="preserve"> Stuehuset&amp;nbsp;(1700-tallet, forlænget med fire fag ca 1833)</t>
  </si>
  <si>
    <t>Lille Madsegade 32-34</t>
  </si>
  <si>
    <t xml:space="preserve"> Rønne Elværk og Badeanstalt</t>
  </si>
  <si>
    <t xml:space="preserve"> Rønne Elektricitetsværk og Badeanstalt (1910-12af Anton Rosen) med senere tilbygninger og den åbne plads mod Lille Madsegade</t>
  </si>
  <si>
    <t>Marie Kofoedsvej 1, 3 og 5</t>
  </si>
  <si>
    <t xml:space="preserve"> Etatsrådinde Marie Kofoeds Stiftelse, Rønne</t>
  </si>
  <si>
    <t xml:space="preserve"> Bindingsværkslængen(1812)</t>
  </si>
  <si>
    <t>Melsted By 8</t>
  </si>
  <si>
    <t xml:space="preserve"> Stråhytten, Melsted</t>
  </si>
  <si>
    <t xml:space="preserve"> Stuehuset (ca 1800-1850) og røgeriskorstenen (ca1880)</t>
  </si>
  <si>
    <t>Melstedvej 25</t>
  </si>
  <si>
    <t xml:space="preserve"> Melstedgård</t>
  </si>
  <si>
    <t xml:space="preserve"> Det firelængede gårdanlæg med tværlænge (stuehuset 1796 og 1865, deøvrige længer 1859-73 og senere)</t>
  </si>
  <si>
    <t>Melstedvej 25 M (tidl Møllegade 7 A)</t>
  </si>
  <si>
    <t xml:space="preserve"> Tejn Stubmølle</t>
  </si>
  <si>
    <t xml:space="preserve"> Stubmøllen (ca 1800, flyttet 1850 og 2006)</t>
  </si>
  <si>
    <t>Munch Petersensvej 10</t>
  </si>
  <si>
    <t xml:space="preserve"> Havnesmedjen i Rønne</t>
  </si>
  <si>
    <t xml:space="preserve"> Havnesmedien (1735)</t>
  </si>
  <si>
    <t>Munch Petersens Vej 9</t>
  </si>
  <si>
    <t xml:space="preserve"> Amtsforvaltergården, Rønne</t>
  </si>
  <si>
    <t xml:space="preserve"> Vestfløjen (1847-48 af Ferdinand Thielemann)</t>
  </si>
  <si>
    <t xml:space="preserve"> (Fredning af midter- og østfløj ophævet 2003)</t>
  </si>
  <si>
    <t>Møllebakken 13</t>
  </si>
  <si>
    <t xml:space="preserve"> Svaneke Stubmølle</t>
  </si>
  <si>
    <t xml:space="preserve"> Stubmøllen (1634)</t>
  </si>
  <si>
    <t>Nexøvej 26</t>
  </si>
  <si>
    <t xml:space="preserve"> Myreagre Mølle</t>
  </si>
  <si>
    <t xml:space="preserve"> Vindmøllen (1865)</t>
  </si>
  <si>
    <t>Nexøvej 74 A</t>
  </si>
  <si>
    <t xml:space="preserve"> Egeby Stubmølle</t>
  </si>
  <si>
    <t xml:space="preserve"> Stubmøllen (1784)</t>
  </si>
  <si>
    <t>Nybrovej 33</t>
  </si>
  <si>
    <t xml:space="preserve"> Østerlars Station</t>
  </si>
  <si>
    <t xml:space="preserve"> Den tidl stationsbygning med varehus (1915-16 af Aage Rafn og KayFisker)</t>
  </si>
  <si>
    <t>Nybrovej 47</t>
  </si>
  <si>
    <t xml:space="preserve"> Lille Frigård</t>
  </si>
  <si>
    <t xml:space="preserve"> "Den firelængede bindingsværksgård med udbygning mod nord og ""gårdkone""samt gårdspladsens brolægning</t>
  </si>
  <si>
    <t xml:space="preserve"> "</t>
  </si>
  <si>
    <t>Nørrevang 9 C</t>
  </si>
  <si>
    <t xml:space="preserve"> Svanemøllen, Svaneke</t>
  </si>
  <si>
    <t xml:space="preserve"> Vindmøllen (1864)</t>
  </si>
  <si>
    <t>Pilegade 7 B</t>
  </si>
  <si>
    <t xml:space="preserve"> Missionshuset Menighedshjemmet, Allinge</t>
  </si>
  <si>
    <t xml:space="preserve"> Missionshuset (1889)</t>
  </si>
  <si>
    <t>Sandgade 1-11 og Store Torvegade 36A-B</t>
  </si>
  <si>
    <t xml:space="preserve"> Hafniahus</t>
  </si>
  <si>
    <t xml:space="preserve"> Længen mod vest langs Store Torvegade, vinkelbygningen i Sandgade og haverummet herimellem samt garageanlægget mod nord (1934-37af&amp;nbsp;Ib Lunding)</t>
  </si>
  <si>
    <t>Segenvej 50</t>
  </si>
  <si>
    <t xml:space="preserve"> Kyllingemoderen</t>
  </si>
  <si>
    <t xml:space="preserve"> Dansepavillonen "Kyllingemoderen" (1929 af Ove Petersen)</t>
  </si>
  <si>
    <t>Stationsvej 1</t>
  </si>
  <si>
    <t xml:space="preserve"> Gudhjem Station (tidl)</t>
  </si>
  <si>
    <t xml:space="preserve"> Den tidl stationsbygning (1915-16 af Aage Rafn og Kay Fisker), deto murede piller samt mønsterbrolægningen mellem disse og under perrontaget</t>
  </si>
  <si>
    <t>Stenbrudsvej 55</t>
  </si>
  <si>
    <t xml:space="preserve"> Stenbrudsgården, Nexø</t>
  </si>
  <si>
    <t xml:space="preserve"> Hovedbygningen og sidebygningen, forhaven med sandstensgærder og to elmetræer, de to tøjringssten ved sandstensgærdets yderside samt de to indkørselssten ved hovedbygningens nordgavl (1759 af Jacob Fortling), de to udlænger, den mark- og sandstensbelagte gårdsplads med sandstensbord, brønd og møddingsplads, de tre sandstenssatte brønde i haven med brøndskur af store lodretstående sandstensfliser samt sandstensgærderne og det nærmesteareal omkring bygningerne, brøndene og sandstensgærder</t>
  </si>
  <si>
    <t xml:space="preserve"> Udv. 1997 og 1998*</t>
  </si>
  <si>
    <t>Storegade 15</t>
  </si>
  <si>
    <t xml:space="preserve"> Storegade 15, Aakirkeby</t>
  </si>
  <si>
    <t xml:space="preserve"> Forhuset (1856) og den brolagte forplads med kastanietræ ud forejendommen Storegade 15</t>
  </si>
  <si>
    <t>Storegade 15 A-F og Rådhusstræde 2-8</t>
  </si>
  <si>
    <t xml:space="preserve"> Johnsens Gård, Rønne</t>
  </si>
  <si>
    <t xml:space="preserve"> Det trelængede anlæg med tilbygningtil den nordre længe (opført i 1730'rne eller 1740'rne, facaden ombygget i 1880'erne) samt den brolagte gårdsplads</t>
  </si>
  <si>
    <t xml:space="preserve"> Udvidet 2004*</t>
  </si>
  <si>
    <t>Storegade 19, Grønnegade</t>
  </si>
  <si>
    <t xml:space="preserve"> Lybækkerhuset, Rønne</t>
  </si>
  <si>
    <t xml:space="preserve"> Bindingsværkshuset mod Grønnegade (1700-tallet)</t>
  </si>
  <si>
    <t>Storegade 28</t>
  </si>
  <si>
    <t xml:space="preserve"> Storegade 28, Svaneke</t>
  </si>
  <si>
    <t xml:space="preserve"> Forhuset samt den del af stald- og ladebygningen, der har gavl mod Storegade (størstedelen af forhuset før 1761, med senere ændringer, stald- og ladebygningen 1866)</t>
  </si>
  <si>
    <t>Storegade 36</t>
  </si>
  <si>
    <t xml:space="preserve"> Amtmandsboligen, Rønne</t>
  </si>
  <si>
    <t xml:space="preserve"> "Amtmandsboligen", bestående af forhuset (1700-tallet), de tosidehuse (u.å.) og den tidligere staldbygning</t>
  </si>
  <si>
    <t>Storegade 42</t>
  </si>
  <si>
    <t xml:space="preserve"> Kommandantboligen, Rønne</t>
  </si>
  <si>
    <t xml:space="preserve"> "Kommandantboligen", bestående af forhuset (1846-47)med sidelænger (før 1761, ombygget 1846-47) samt havehuset (u.å.) og bindingsværkmuren og kampestensgærdet mod Rosengade</t>
  </si>
  <si>
    <t xml:space="preserve"> Udv. 2003*</t>
  </si>
  <si>
    <t>Store Torv 1</t>
  </si>
  <si>
    <t xml:space="preserve"> Rønne Tinghus</t>
  </si>
  <si>
    <t xml:space="preserve"> Tinghuset (Det tidl Ting-, Råd- og Arresthus, 1834 af Henning Pedersen)</t>
  </si>
  <si>
    <t>Strandpromenaden 24</t>
  </si>
  <si>
    <t xml:space="preserve"> Den gamle Rådstue ved Sandvig Havn</t>
  </si>
  <si>
    <t>Strandvejen 10</t>
  </si>
  <si>
    <t xml:space="preserve"> Slusegårds Vandmølle og Ørredhus</t>
  </si>
  <si>
    <t xml:space="preserve"> Vandmøllen (ca 1800), Ørredhuset (ca 1850), mølledammen med stigbord til vandmølle og ørredhus, til- og fraløb med stensatte bredder ved vandmølle og ørredhus indtil sammenløb med friløbet, omløb med stendæmning og friløb med stemmeværk indtil sammenløb med Øle Å, nyere omløb med ørredtrappe, Kildehuset (ca 1850, genopført i 1960erne), Klækkeriet (1960erne til erstatning af den oprindelige bygning fra ca 1850), markstensbrolægning ogstensætninger ved møllen og ørredhuset samt stenheller ved overgangene</t>
  </si>
  <si>
    <t xml:space="preserve"> Udvidet 2016</t>
  </si>
  <si>
    <t>Søborgstræde 11</t>
  </si>
  <si>
    <t xml:space="preserve"> Rønne Præstegård</t>
  </si>
  <si>
    <t xml:space="preserve"> Den trelængede gård (1830-31 af Henning Pedersen), udhusetsamt de to kampestensmure og bindingsværksmuren</t>
  </si>
  <si>
    <t>Søndergade 12</t>
  </si>
  <si>
    <t xml:space="preserve"> Hovedvagten, Rønne</t>
  </si>
  <si>
    <t xml:space="preserve"> Hovedbygning med sidefløj samt bindingsværksmuren modBagergade (1743-44)</t>
  </si>
  <si>
    <t>Søndergade 14 og Bagergade 12</t>
  </si>
  <si>
    <t xml:space="preserve"> Købmand Rønnes Gård, Rønne</t>
  </si>
  <si>
    <t xml:space="preserve"> "Købmand Rønnes Gård", beståendeaf forhuset med side- og baghuset (1813), den brolagte gårdsplads med morbærtræet bag Søndergade 14 samt havemuren mod Bagergade</t>
  </si>
  <si>
    <t>Søndre Bæk 18</t>
  </si>
  <si>
    <t xml:space="preserve"> Peter Nielsens Røgeri, Hasle</t>
  </si>
  <si>
    <t xml:space="preserve"> Røgerilængen med de fire skorstene (1897 og 1922),bræddeudbygningen mod vest samt den fritliggende bræddebygning vest herfor</t>
  </si>
  <si>
    <t>Søndre Landevej 55</t>
  </si>
  <si>
    <t xml:space="preserve"> Saksebro Mølle</t>
  </si>
  <si>
    <t xml:space="preserve"> Vindmøllen (1874) og den trelængede møllegård (1800-tallet)</t>
  </si>
  <si>
    <t>Teaterstræde 2</t>
  </si>
  <si>
    <t xml:space="preserve"> Rønne Teater</t>
  </si>
  <si>
    <t xml:space="preserve"> Hovedbygningen på hjørnet af Østergade og Teaterstræde (1783) samtlængen til Teaterstræde (1823)</t>
  </si>
  <si>
    <t>Toldbodgade 1</t>
  </si>
  <si>
    <t xml:space="preserve"> Toldbodgade 1, Rønne</t>
  </si>
  <si>
    <t xml:space="preserve"> Magasinbygningen (ca 1684)</t>
  </si>
  <si>
    <t>Toldbodgade 2, tidl Munch Petersensvej 7</t>
  </si>
  <si>
    <t xml:space="preserve"> Toldbodgade 2, Rønne</t>
  </si>
  <si>
    <t xml:space="preserve"> Forhuset (før 1761) med tilbygning(mellem 1774 og 1781) samt havemuren mod Toldbodgade</t>
  </si>
  <si>
    <t>Vagtbodgade 2</t>
  </si>
  <si>
    <t xml:space="preserve"> Vagtbodgade 2, Svaneke</t>
  </si>
  <si>
    <t xml:space="preserve"> Magasinbygningen (1841)</t>
  </si>
  <si>
    <t>Vandmøllevej 8</t>
  </si>
  <si>
    <t xml:space="preserve"> Vang Vandmølle</t>
  </si>
  <si>
    <t xml:space="preserve"> Vandmøllen (ca 1800)</t>
  </si>
  <si>
    <t>Vestergade 1</t>
  </si>
  <si>
    <t xml:space="preserve"> Vestergade 1, Svaneke</t>
  </si>
  <si>
    <t xml:space="preserve"> Forhuset (1854-55), længe i vest (1862), tværlænge til vestlængen(1888) samt længe mod kirkegården (1837 og senere)</t>
  </si>
  <si>
    <t>Vigebakke 1 A</t>
  </si>
  <si>
    <t xml:space="preserve"> Vigebakke 1, Svaneke</t>
  </si>
  <si>
    <t xml:space="preserve"> Gadehuset (sidehus til Storegade 28) samt den del af stald- og ladebygningen, der har gavl mod Storegade (sidehuset opført før 1761, med senere ændringer, stald- ogladebygningen 1866)</t>
  </si>
  <si>
    <t>Ølenevej 8</t>
  </si>
  <si>
    <t xml:space="preserve"> Øster Ellebygård</t>
  </si>
  <si>
    <t xml:space="preserve"> Stuehuset (ca 1794), de tre udlænger (østlængen ca 1856, sydlængenmidten af 1800-tallet med tværlænge ca 1915 og vestlængen 1868) samt den brolagte gårdsplads med brønd og stander til brøndvippen</t>
  </si>
  <si>
    <t>Østergade 2</t>
  </si>
  <si>
    <t xml:space="preserve"> Karnaphuset, Rønne</t>
  </si>
  <si>
    <t xml:space="preserve"> Forhuset (ca 1750)</t>
  </si>
  <si>
    <t>Brøndby Kommune</t>
  </si>
  <si>
    <t>Kirkebjerg Allé 186</t>
  </si>
  <si>
    <t xml:space="preserve"> Kirkebjerg Allé 186</t>
  </si>
  <si>
    <t xml:space="preserve"> Det otte fag lange bindingsværkshus samt luden på nordsiden(fire østlige fag ca 1819, resten ca 1850)</t>
  </si>
  <si>
    <t>Nykær 26</t>
  </si>
  <si>
    <t xml:space="preserve"> Vestbad (vestlige del)</t>
  </si>
  <si>
    <t xml:space="preserve"> Den vestlige del af parken til friluftsanlægget Vestbad (1957-58 af Arkitektkontoret i Rødovre Kommune ved stadsarkitekt Børge T. Lorentzen og landskabsarkitekt CthSørensen)</t>
  </si>
  <si>
    <t>Brønderslev Kommune</t>
  </si>
  <si>
    <t>Dorfgade 6</t>
  </si>
  <si>
    <t xml:space="preserve"> Dorf Vindmølle</t>
  </si>
  <si>
    <t xml:space="preserve"> Vindmøllen (1887)</t>
  </si>
  <si>
    <t>Hammelmosevej 19-21</t>
  </si>
  <si>
    <t xml:space="preserve"> Gammel Hammelmose</t>
  </si>
  <si>
    <t xml:space="preserve"> Hovedbygningens østre hus</t>
  </si>
  <si>
    <t>Lærkevej 21</t>
  </si>
  <si>
    <t xml:space="preserve"> Hjermitslevgård</t>
  </si>
  <si>
    <t xml:space="preserve"> Borggårdens vestre stenhus (ca 1575-1600), den søndrebindingsværkslænge (ca 1650-1700) og den østre hovedbygning (1883)</t>
  </si>
  <si>
    <t xml:space="preserve"> Udvidet 1989*</t>
  </si>
  <si>
    <t>Slotsgade 2, 4, 4a og 6</t>
  </si>
  <si>
    <t xml:space="preserve"> Dronninglund Hovedgård</t>
  </si>
  <si>
    <t xml:space="preserve"> Dronninglund Hovedgård, bestående af det trefløjedeanlæg nordvest for Dronninglund Slot</t>
  </si>
  <si>
    <t xml:space="preserve"> Udvidet 1950</t>
  </si>
  <si>
    <t>Slotsgade 8</t>
  </si>
  <si>
    <t xml:space="preserve"> Dronninglund Slot</t>
  </si>
  <si>
    <t xml:space="preserve"> Den trefløjede hovedbygning med pavillonerne mod vest og gitteret modvejen</t>
  </si>
  <si>
    <t xml:space="preserve"> Udvidet 1950*</t>
  </si>
  <si>
    <t>Storskovvej 39</t>
  </si>
  <si>
    <t xml:space="preserve"> Dorf Vandmølle og Dorf Møllegård</t>
  </si>
  <si>
    <t xml:space="preserve"> Vandmøllen (1800-tallet) og møllegården beståendeaf stuehuset (1925), kostalden, heste- og svinestalden, laden (1914-25) og motorhuset samt den pigstensbelagte gårdsplads</t>
  </si>
  <si>
    <t>Voergård 6</t>
  </si>
  <si>
    <t xml:space="preserve"> Voergård</t>
  </si>
  <si>
    <t xml:space="preserve"> Hovedbygningens nord- og østfløj (nordfløjens østparti ca 1520, nordfløjensvestparti mellem 1578 og 1585 samt senere, østfløjen med hjørnetårne 1586-91) med omgivende grave</t>
  </si>
  <si>
    <t>Dragør Kommune</t>
  </si>
  <si>
    <t>Bachersmindevej 1</t>
  </si>
  <si>
    <t xml:space="preserve"> Krudthuset på Bachersmindevej</t>
  </si>
  <si>
    <t xml:space="preserve"> Krudthuset (1779-83 af Wilhelm von Huth og ErnstPeymann) som del af Københavns gamle befæstningsanlæg</t>
  </si>
  <si>
    <t>Badstuevælen 12</t>
  </si>
  <si>
    <t xml:space="preserve"> Badstuevælen 12</t>
  </si>
  <si>
    <t xml:space="preserve"> Forhus og udhus (ca 1820)</t>
  </si>
  <si>
    <t>Badstuevælen 8</t>
  </si>
  <si>
    <t xml:space="preserve"> Hovedhuset (1785 af Johan Blichmann)</t>
  </si>
  <si>
    <t>Bjergerlav 11</t>
  </si>
  <si>
    <t xml:space="preserve"> Forhuset (1700-tallet)</t>
  </si>
  <si>
    <t>Bjergerlav 3</t>
  </si>
  <si>
    <t xml:space="preserve"> Bjergerlav 3</t>
  </si>
  <si>
    <t xml:space="preserve"> Forhus med sidefløj (1700-tallet, ombygget 1852)</t>
  </si>
  <si>
    <t>Bjergerlav 7</t>
  </si>
  <si>
    <t xml:space="preserve"> Bjergerlav 7</t>
  </si>
  <si>
    <t xml:space="preserve"> Forhuset (1700-tallet, senere ombygget)</t>
  </si>
  <si>
    <t>Bjergerlav 9</t>
  </si>
  <si>
    <t xml:space="preserve"> Bjergerlav 9</t>
  </si>
  <si>
    <t xml:space="preserve"> Forhuset (før 1833, senere ombygget)</t>
  </si>
  <si>
    <t>Blegerstræde 1 A</t>
  </si>
  <si>
    <t xml:space="preserve"> Blegerstræde 1 A</t>
  </si>
  <si>
    <t xml:space="preserve"> Forhus mod Chr Mølstedsgade (1700-tallet, senereombygget)</t>
  </si>
  <si>
    <t>Bymandsgade 12</t>
  </si>
  <si>
    <t xml:space="preserve"> Blegerhuset</t>
  </si>
  <si>
    <t xml:space="preserve"> Blegerhuset (slutn af 1800-tallet)</t>
  </si>
  <si>
    <t>Byskriverstræde 5</t>
  </si>
  <si>
    <t xml:space="preserve"> Hovedhuset (1784 og senere)</t>
  </si>
  <si>
    <t>Christian Mølstedsgade 12</t>
  </si>
  <si>
    <t xml:space="preserve"> Hovedhuset (1793)</t>
  </si>
  <si>
    <t>Christian Mølstedsgade 5</t>
  </si>
  <si>
    <t xml:space="preserve"> Christian Mølstedsgade 5</t>
  </si>
  <si>
    <t xml:space="preserve"> Hovedhuset (1851)</t>
  </si>
  <si>
    <t>Christian Mølstedsgade 7</t>
  </si>
  <si>
    <t xml:space="preserve"> Christian Mølstedsgade 7</t>
  </si>
  <si>
    <t xml:space="preserve"> Hovedhuset (1867)</t>
  </si>
  <si>
    <t>E.C. Hammersvej 5</t>
  </si>
  <si>
    <t xml:space="preserve"> Hovedhus (1836)</t>
  </si>
  <si>
    <t>Fogdens Plads 13 A-B</t>
  </si>
  <si>
    <t xml:space="preserve"> Fogdens Plads 13 A-B</t>
  </si>
  <si>
    <t xml:space="preserve"> Hovedhuset og de to fritliggende udhuse (1700-tallet, ca1830)</t>
  </si>
  <si>
    <t>Fogdens Plads 2 A-B</t>
  </si>
  <si>
    <t xml:space="preserve"> Fogdens Plads 2 A-B</t>
  </si>
  <si>
    <t xml:space="preserve"> Hovedhuset og sidehus (ca 1780 af Johan Blichmann)</t>
  </si>
  <si>
    <t>Gamle Havn 11</t>
  </si>
  <si>
    <t xml:space="preserve"> Lodsbygningen i Dragør</t>
  </si>
  <si>
    <t xml:space="preserve"> Lodsbygningen (1820'rne, forlænget 1879) med udkigstårn vedøstgavlen (1912)</t>
  </si>
  <si>
    <t>Gamle Havn 14</t>
  </si>
  <si>
    <t xml:space="preserve"> Havnepakhuset i Dragør</t>
  </si>
  <si>
    <t xml:space="preserve"> Havnepakhuset (1845)</t>
  </si>
  <si>
    <t>Gl. Havn 13</t>
  </si>
  <si>
    <t xml:space="preserve"> Søndre Smedie</t>
  </si>
  <si>
    <t xml:space="preserve"> Smedjen</t>
  </si>
  <si>
    <t>Hollandsfed 1</t>
  </si>
  <si>
    <t xml:space="preserve"> Hollandsfed 1</t>
  </si>
  <si>
    <t xml:space="preserve"> Hovedhuset og sidebygningen (1855 og 1869)</t>
  </si>
  <si>
    <t>Hovedgaden 12</t>
  </si>
  <si>
    <t xml:space="preserve"> Museumsgården</t>
  </si>
  <si>
    <t xml:space="preserve"> Det firefløjede bygningskompleks (slutn af 1700-tallet), den brolagtegårdsplads samt haven med køkkenhave</t>
  </si>
  <si>
    <t>Hovedgaden 2-4</t>
  </si>
  <si>
    <t xml:space="preserve"> Nordgården</t>
  </si>
  <si>
    <t xml:space="preserve"> Det firefløjede bygningskompleks (ca 1850), den brolagte gårdsplads samthaven med køkkenhaven</t>
  </si>
  <si>
    <t>Jens Eyberts Plads 1</t>
  </si>
  <si>
    <t xml:space="preserve"> Jens Eyberts Plads 1</t>
  </si>
  <si>
    <t xml:space="preserve"> Hovedhuset og sidebygningen samt den fritliggendeudhusbygning (1700-tallet, 1890'erne)</t>
  </si>
  <si>
    <t>Jens Eyberts Plads 2</t>
  </si>
  <si>
    <t xml:space="preserve"> Jens Eyberts Plads 2</t>
  </si>
  <si>
    <t xml:space="preserve"> Hovedhuset (ca 1868) og sidehus</t>
  </si>
  <si>
    <t xml:space="preserve"> Jens Eyberts Plads 6</t>
  </si>
  <si>
    <t xml:space="preserve"> Den nordre bygning (før 1793)</t>
  </si>
  <si>
    <t>Kirkevej 129</t>
  </si>
  <si>
    <t xml:space="preserve"> Aldershvile</t>
  </si>
  <si>
    <t>Beboelseslænge (1811, første bondegård" ved Dragør)</t>
  </si>
  <si>
    <t>Kongevejen 23 A og Magstræde 3</t>
  </si>
  <si>
    <t xml:space="preserve"> Dragør tidligere Kro</t>
  </si>
  <si>
    <t xml:space="preserve"> Hovedhusene og sidebygningerne (1793, 1805af Johan Blichmann, 1830, 1841-42)</t>
  </si>
  <si>
    <t>Krudttårnsvej 31</t>
  </si>
  <si>
    <t xml:space="preserve"> Krudttårnsvej 31</t>
  </si>
  <si>
    <t xml:space="preserve"> Krudthus (ca 1780 af Wilhelm von Huth og Ernst Peymann)</t>
  </si>
  <si>
    <t xml:space="preserve"> Lodsstræde 15</t>
  </si>
  <si>
    <t xml:space="preserve"> Hovedhuset (ca 1780)</t>
  </si>
  <si>
    <t>Lodsstræde 4 A</t>
  </si>
  <si>
    <t xml:space="preserve"> Lodsstræde 4 A</t>
  </si>
  <si>
    <t xml:space="preserve"> Den toetages bygning mod Lodsstræde og den tilhørende enetagessidefløj (slutn af 1700-tallet, sidefløjen dog 1853)</t>
  </si>
  <si>
    <t>Rønne Allé 32</t>
  </si>
  <si>
    <t xml:space="preserve"> Rønne Allé 32</t>
  </si>
  <si>
    <t xml:space="preserve"> Hovedhuset med sidebygning og den fritliggende bygning (1700-tallet)</t>
  </si>
  <si>
    <t>Rønne Allé 38</t>
  </si>
  <si>
    <t xml:space="preserve"> Rønne Allé 38</t>
  </si>
  <si>
    <t xml:space="preserve"> Hovedhuset (1700-tallet og senere)</t>
  </si>
  <si>
    <t>Rønne Allé 40</t>
  </si>
  <si>
    <t xml:space="preserve"> Rønne Allé 40</t>
  </si>
  <si>
    <t xml:space="preserve"> Hovedhuset (før 1784)</t>
  </si>
  <si>
    <t>Skipperstræde 2</t>
  </si>
  <si>
    <t xml:space="preserve"> Skipperstræde 2</t>
  </si>
  <si>
    <t xml:space="preserve"> Forhuset mod von Ostensgade (1600-tallet, senere ombygget)</t>
  </si>
  <si>
    <t>Slippen 4</t>
  </si>
  <si>
    <t xml:space="preserve"> Slippen 4</t>
  </si>
  <si>
    <t xml:space="preserve"> Hovedhuset og det mod nord liggende udhus (1853-54, ombygget 1877)</t>
  </si>
  <si>
    <t>Stralsundstræde 4 A</t>
  </si>
  <si>
    <t xml:space="preserve"> Stralsundstræde 4 A</t>
  </si>
  <si>
    <t xml:space="preserve"> Den bræddebeklædte værkstedsbygning med gavl modStralsundstræde (1855)</t>
  </si>
  <si>
    <t>Strandgade 10</t>
  </si>
  <si>
    <t xml:space="preserve"> Strandgade 10</t>
  </si>
  <si>
    <t xml:space="preserve"> Hovedhuset og grundmuret udhus (slutn af 1700-tallet, renoveret1970'erne)</t>
  </si>
  <si>
    <t>Strandgade 12</t>
  </si>
  <si>
    <t xml:space="preserve"> Strandgade 12</t>
  </si>
  <si>
    <t xml:space="preserve"> Hovedhuset (før 1750, enkelte senere ændringer)</t>
  </si>
  <si>
    <t>Strandgade 13</t>
  </si>
  <si>
    <t xml:space="preserve"> Strandgade 13</t>
  </si>
  <si>
    <t xml:space="preserve"> Forhuset, sidehuset langs østre skel samt træskuret ved sidehusetssydgavl (ca 1850)</t>
  </si>
  <si>
    <t>Strandgade 16</t>
  </si>
  <si>
    <t xml:space="preserve"> Strandgade 16</t>
  </si>
  <si>
    <t xml:space="preserve"> Hovedhus med sidehus (ca 1800)</t>
  </si>
  <si>
    <t>Strandgade 5</t>
  </si>
  <si>
    <t xml:space="preserve"> Strandgade 5</t>
  </si>
  <si>
    <t xml:space="preserve"> Forhuset (før 1798)</t>
  </si>
  <si>
    <t>Strandlinien 2-4</t>
  </si>
  <si>
    <t xml:space="preserve"> Strandlinien 2-4</t>
  </si>
  <si>
    <t xml:space="preserve"> Museumsbygningen (1682, ombygget i 1930'rne af Egil Fischer) medbeghuset (ca 1830) og kontorbygningen</t>
  </si>
  <si>
    <t>Strandlinien 33</t>
  </si>
  <si>
    <t xml:space="preserve"> Strandlinien 33</t>
  </si>
  <si>
    <t xml:space="preserve"> Hovedhuset og sidehus med tilbygning (ca 1780 af JohanBlichmann)</t>
  </si>
  <si>
    <t>Strandlinien 39</t>
  </si>
  <si>
    <t xml:space="preserve"> Strandlinien 39</t>
  </si>
  <si>
    <t xml:space="preserve"> Hovedhuset (de fire vestlige fag fra 1857, resten ældre)</t>
  </si>
  <si>
    <t>Strandlinien 5A</t>
  </si>
  <si>
    <t xml:space="preserve"> Kolerahuset, Nordre Smedie (tidl)</t>
  </si>
  <si>
    <t xml:space="preserve"> Kampestensbygningen (ca 1700)</t>
  </si>
  <si>
    <t>Strandstræde 33 B</t>
  </si>
  <si>
    <t xml:space="preserve"> Strandstræde 33 B</t>
  </si>
  <si>
    <t xml:space="preserve"> Hovedhuset (1817)</t>
  </si>
  <si>
    <t>Strandstræde 8</t>
  </si>
  <si>
    <t xml:space="preserve"> Trappen</t>
  </si>
  <si>
    <t xml:space="preserve"> Hovedhuset og sidebygningerne (1784)</t>
  </si>
  <si>
    <t>Sønderstræde 11</t>
  </si>
  <si>
    <t xml:space="preserve"> Sønderstræde 11</t>
  </si>
  <si>
    <t xml:space="preserve"> Forhuset (ca 1750), det mod syd liggende udhus (1862) ogbrolægningen mellem forhuset og udhuset</t>
  </si>
  <si>
    <t>Sønderstræde 13</t>
  </si>
  <si>
    <t xml:space="preserve"> Sønderstræde 13</t>
  </si>
  <si>
    <t xml:space="preserve"> Hovedhuset (ca 1750)</t>
  </si>
  <si>
    <t>Vestgrønningen 18-20</t>
  </si>
  <si>
    <t xml:space="preserve"> Biblioteket</t>
  </si>
  <si>
    <t xml:space="preserve"> Hovedhusene og sidebygningerne (før 1739, ombygget 1811 af JohanBlichmann og 1933-34 af Egil Fischer)</t>
  </si>
  <si>
    <t>Vestgrønningen 22</t>
  </si>
  <si>
    <t xml:space="preserve"> Vestgrønningen 22</t>
  </si>
  <si>
    <t xml:space="preserve"> Forhus mod Bjergerlav (før 1832, senere ombygget)</t>
  </si>
  <si>
    <t>Vestgrønningen 3</t>
  </si>
  <si>
    <t xml:space="preserve"> Vestgrønningen 3</t>
  </si>
  <si>
    <t xml:space="preserve"> Hovedhuset (før 1797) og sidebygning</t>
  </si>
  <si>
    <t>Vestgrønningen 30</t>
  </si>
  <si>
    <t xml:space="preserve"> Vestgrønningen 30</t>
  </si>
  <si>
    <t xml:space="preserve"> Hovedhuset (1842)</t>
  </si>
  <si>
    <t>Vestgrønningen 34</t>
  </si>
  <si>
    <t xml:space="preserve"> Vestgrønningen 34</t>
  </si>
  <si>
    <t xml:space="preserve"> Hovedhuset og sidebygningen (1700-tallet, ca 1830)</t>
  </si>
  <si>
    <t>Vestgrønningen 38 A</t>
  </si>
  <si>
    <t xml:space="preserve"> Vesterbo</t>
  </si>
  <si>
    <t xml:space="preserve"> Hovedhuset og sidebygningen (før 1832, senere ombygget)</t>
  </si>
  <si>
    <t>Vestgrønningen 40</t>
  </si>
  <si>
    <t xml:space="preserve"> Vestgrønningen 40</t>
  </si>
  <si>
    <t xml:space="preserve"> Hovedhuset og den fritliggende udhusbygning (ca 1780, ca1900)</t>
  </si>
  <si>
    <t>Vognmandsgade 4</t>
  </si>
  <si>
    <t xml:space="preserve"> Vognmandsgade 4</t>
  </si>
  <si>
    <t xml:space="preserve"> Hovedhuset på 12 fag (før 1798 og senere)</t>
  </si>
  <si>
    <t>Von Ostensgade 11</t>
  </si>
  <si>
    <t xml:space="preserve"> Von Ostensgade 11</t>
  </si>
  <si>
    <t>Von Ostensgade 13</t>
  </si>
  <si>
    <t xml:space="preserve"> Von Ostensgade 13</t>
  </si>
  <si>
    <t>Von Ostensgade 3</t>
  </si>
  <si>
    <t xml:space="preserve"> Von Ostensgade 3</t>
  </si>
  <si>
    <t>Von Ostensgade 30</t>
  </si>
  <si>
    <t xml:space="preserve"> Von Ostensgade 30</t>
  </si>
  <si>
    <t xml:space="preserve"> Hovedhuset (1867 af Rasmus Peter Guldborg)</t>
  </si>
  <si>
    <t>Von Ostensgade 32</t>
  </si>
  <si>
    <t xml:space="preserve"> Von Ostensgade 32</t>
  </si>
  <si>
    <t xml:space="preserve"> Hovedhus (1700-tallet, grundmuret i 1800-tallet) og sidehus(1851)</t>
  </si>
  <si>
    <t>Von Ostensgade 4</t>
  </si>
  <si>
    <t xml:space="preserve"> Von Ostensgade 4</t>
  </si>
  <si>
    <t>Von Ostensgade 6</t>
  </si>
  <si>
    <t xml:space="preserve"> Von Ostensgade 6</t>
  </si>
  <si>
    <t xml:space="preserve"> Hovedhuset (1854)</t>
  </si>
  <si>
    <t>Von Ostensgade 7</t>
  </si>
  <si>
    <t xml:space="preserve"> Von Ostensgade 7</t>
  </si>
  <si>
    <t>Von Ostensgade 8</t>
  </si>
  <si>
    <t xml:space="preserve"> Von Ostensgade 8</t>
  </si>
  <si>
    <t xml:space="preserve"> Hovedhuset (1842) og østre udhus</t>
  </si>
  <si>
    <t>Zytfensgade 3</t>
  </si>
  <si>
    <t xml:space="preserve"> Tulipanhuset</t>
  </si>
  <si>
    <t xml:space="preserve"> Hovedhuset (ca 1800, ombygget 1842 og 1857)</t>
  </si>
  <si>
    <t>Zytfensgade 4</t>
  </si>
  <si>
    <t xml:space="preserve"> Zytfensgade 4</t>
  </si>
  <si>
    <t xml:space="preserve"> Hovedhuset og udhuset (ca 1780 af Johan Blichmann)</t>
  </si>
  <si>
    <t>Egedal Kommune</t>
  </si>
  <si>
    <t>Edelgavevej 28</t>
  </si>
  <si>
    <t xml:space="preserve"> Edelgave</t>
  </si>
  <si>
    <t xml:space="preserve"> Hovedbygningen (1782-91 af Andreas Kirkerup)</t>
  </si>
  <si>
    <t>Engholmvej 1</t>
  </si>
  <si>
    <t xml:space="preserve"> Melchiors Enkesæde</t>
  </si>
  <si>
    <t xml:space="preserve"> Bindingsværksbygningen på 10 fag (1700-tallet)</t>
  </si>
  <si>
    <t>Esbjerg Kommune</t>
  </si>
  <si>
    <t>Bispegade 13</t>
  </si>
  <si>
    <t xml:space="preserve"> Bispegade 13, Ribe</t>
  </si>
  <si>
    <t xml:space="preserve"> Forhuset (1853)</t>
  </si>
  <si>
    <t>Bispegade 15</t>
  </si>
  <si>
    <t xml:space="preserve"> Bispegade 15, Ribe</t>
  </si>
  <si>
    <t xml:space="preserve"> Forhuset (1852)</t>
  </si>
  <si>
    <t>Bispegade 17</t>
  </si>
  <si>
    <t xml:space="preserve"> Bispegade 17, Ribe</t>
  </si>
  <si>
    <t>Bispegade 19</t>
  </si>
  <si>
    <t xml:space="preserve"> Bispegade 19, Ribe</t>
  </si>
  <si>
    <t>Bispegade 21</t>
  </si>
  <si>
    <t xml:space="preserve"> Bispegade 21, Ribe</t>
  </si>
  <si>
    <t>Bispegade 23</t>
  </si>
  <si>
    <t xml:space="preserve"> Bispegade 23, Ribe</t>
  </si>
  <si>
    <t xml:space="preserve"> Forhuset (1854)</t>
  </si>
  <si>
    <t>Bispegade 6</t>
  </si>
  <si>
    <t xml:space="preserve"> Sankt Catharinæ Præstegård, Ribe</t>
  </si>
  <si>
    <t xml:space="preserve"> Det nordlige toetages forhus, det sydlige enetagesforhus, samt muren, der er sammenbygget med sidstnævnte&amp;nbsp;(1854)</t>
  </si>
  <si>
    <t>Bredeslippe 8</t>
  </si>
  <si>
    <t xml:space="preserve"> Bredeslippe 8, Ribe</t>
  </si>
  <si>
    <t xml:space="preserve"> Forhuset mod skibbroen (ca 1750, kvist 1791, gadeside grundmuret1816)</t>
  </si>
  <si>
    <t>Bredeslippe 9 og 11</t>
  </si>
  <si>
    <t xml:space="preserve"> Bredeslippe 9-11, Ribe</t>
  </si>
  <si>
    <t xml:space="preserve"> Forhusene (før 1761, gadesiderne grundmuret ca 1847)</t>
  </si>
  <si>
    <t>Dagmarsgade 16</t>
  </si>
  <si>
    <t xml:space="preserve"> Ribe Station</t>
  </si>
  <si>
    <t xml:space="preserve"> Hovedbygningen og pakhuset nord herfor (1874 og 1875 af NP Holsøe)</t>
  </si>
  <si>
    <t>Farup Kirkevej 50</t>
  </si>
  <si>
    <t xml:space="preserve"> Farup Missionshus</t>
  </si>
  <si>
    <t xml:space="preserve"> Det af to sammenbyggede længer bestående missionshus</t>
  </si>
  <si>
    <t>Farup Kirkevej 6</t>
  </si>
  <si>
    <t xml:space="preserve"> Farup Præstegård</t>
  </si>
  <si>
    <t xml:space="preserve"> Stuehuset (1712) og nordlængen</t>
  </si>
  <si>
    <t>Feilbergvej 15</t>
  </si>
  <si>
    <t>Darum Præstegård</t>
  </si>
  <si>
    <t xml:space="preserve"> Stuehuset (1720)</t>
  </si>
  <si>
    <t>Fiskergade 1, hj af Overdammen</t>
  </si>
  <si>
    <t xml:space="preserve"> Fiskergade 1, Ribe</t>
  </si>
  <si>
    <t xml:space="preserve"> Det 12 fag dybe bindingsværksgavlhus (ca 1600)med nyere grundmuret gavl mod Overdammen og det op til dettes baggavl opførte firefags bindingsværkssidehus (formentlig 1636)</t>
  </si>
  <si>
    <t>Fiskergade 3</t>
  </si>
  <si>
    <t xml:space="preserve"> Fiskergade 3, Ribe</t>
  </si>
  <si>
    <t xml:space="preserve"> De otte tilbageblevne fag af et oprindelig 11 fag dybtbindingsværksgavlhus (ca 1600, delvis grundmuret 1816)</t>
  </si>
  <si>
    <t>Fiskergade 5</t>
  </si>
  <si>
    <t xml:space="preserve"> Fiskergade 5, Ribe</t>
  </si>
  <si>
    <t xml:space="preserve"> Det 12 fag lange bindingsværksforhus (delvis grundmuret) medknægtbygget gavl mod Skomagerslippe (ca 1550) samt sidelængen langs Skomagerslippe og værkstedsbygningen i gården</t>
  </si>
  <si>
    <t>Fiskergade 7-9</t>
  </si>
  <si>
    <t xml:space="preserve"> Fiskergade 7-9, Ribe</t>
  </si>
  <si>
    <t xml:space="preserve"> De to forhuse (ca 1860)</t>
  </si>
  <si>
    <t xml:space="preserve"> Nr 7* </t>
  </si>
  <si>
    <t>Fyrparken 9</t>
  </si>
  <si>
    <t xml:space="preserve"> Sædding Strand Mellemfyr</t>
  </si>
  <si>
    <t xml:space="preserve"> Sædding Strand Mellemfyr (1873)</t>
  </si>
  <si>
    <t xml:space="preserve"> Gammel Skolevej 40</t>
  </si>
  <si>
    <t xml:space="preserve"> Nybro</t>
  </si>
  <si>
    <t xml:space="preserve"> Den trelængede gård og ovnhus (1801)</t>
  </si>
  <si>
    <t>Gravsgade 33</t>
  </si>
  <si>
    <t xml:space="preserve"> Gravsgade 33, Ribe</t>
  </si>
  <si>
    <t xml:space="preserve"> Forhuset (1780, delvis grundmuret 1827 og 1855)</t>
  </si>
  <si>
    <t>Grønnegade 12</t>
  </si>
  <si>
    <t xml:space="preserve"> Grønnegade 12, Ribe</t>
  </si>
  <si>
    <t xml:space="preserve"> Det 11 fag dybe bindingsværksgavlhus (ca 1525-40) medgrundmuret gavl mod Grønnegade (1848)</t>
  </si>
  <si>
    <t>Grønnegade 18, Mellemslippe 1</t>
  </si>
  <si>
    <t xml:space="preserve"> Grønnegade 18 og Mellemslippe 1, Ribe</t>
  </si>
  <si>
    <t xml:space="preserve"> Forhuset med sidelængenmod Mellemslippe (1803, delvis grundmuret 1843 og 1848)</t>
  </si>
  <si>
    <t>Grønnegade 20</t>
  </si>
  <si>
    <t xml:space="preserve"> Grønnegade 20, Ribe</t>
  </si>
  <si>
    <t xml:space="preserve"> Forhuset med port og kort sidelænge mod Skomagerslippe (1839-40)</t>
  </si>
  <si>
    <t>Grønnegade 21</t>
  </si>
  <si>
    <t xml:space="preserve"> Grønnegade 21, Ribe</t>
  </si>
  <si>
    <t xml:space="preserve"> Det fem fag dybe bindingsværksgavlhus (ca 1650) og den hermed sammenbyggede fem fag lange bindingsværksgadelænge (formentlig 1666, senere delvisgrundmuret)</t>
  </si>
  <si>
    <t>Grønnegade 22</t>
  </si>
  <si>
    <t xml:space="preserve"> Grønnegade 22, Ribe</t>
  </si>
  <si>
    <t xml:space="preserve"> Forhuset (1816) med sidelænge i gården (1816 og 1822)</t>
  </si>
  <si>
    <t>Grønnegade 30</t>
  </si>
  <si>
    <t xml:space="preserve"> Grønnegade 30, Ribe</t>
  </si>
  <si>
    <t xml:space="preserve"> Forhuset (før 1761, gadesiden grundmuret 1819)</t>
  </si>
  <si>
    <t>Grønnegade 41</t>
  </si>
  <si>
    <t xml:space="preserve"> Grønnegade 41, Ribe</t>
  </si>
  <si>
    <t xml:space="preserve"> Forhuset mod Grønnegade (1790, gadeside og gavl ændret1837)</t>
  </si>
  <si>
    <t>Gråbrødregade 11</t>
  </si>
  <si>
    <t xml:space="preserve"> Gråbrødregade 11, Ribe</t>
  </si>
  <si>
    <t xml:space="preserve"> Forhuset (før 1761, gadeside grundmuret 1837)</t>
  </si>
  <si>
    <t>Gråbrødregade 15</t>
  </si>
  <si>
    <t xml:space="preserve"> Gråbrødregade 15, Ribe</t>
  </si>
  <si>
    <t xml:space="preserve"> Forhuset (del af ældre dobbeltvåning, ombygget oggrundmuret 1842)</t>
  </si>
  <si>
    <t>Gråbrødregade 17</t>
  </si>
  <si>
    <t xml:space="preserve"> Gråbrødregade 17, Ribe</t>
  </si>
  <si>
    <t xml:space="preserve"> Det lange hus op til nr 15 med gavlen mod Gråbrødregade(pakhus og vognremise opført 1837)</t>
  </si>
  <si>
    <t>Gråbrødregade 4</t>
  </si>
  <si>
    <t xml:space="preserve"> Gråbrødregade 4, Ribe</t>
  </si>
  <si>
    <t xml:space="preserve"> Forhuset (trefagsbod af bindingsværk ca 1600, senere delvisgrundmuret)</t>
  </si>
  <si>
    <t>Gråbrødregade 6</t>
  </si>
  <si>
    <t xml:space="preserve"> Gråbrødregade 6, Ribe</t>
  </si>
  <si>
    <t xml:space="preserve"> Forhuset (trefagsbod af bindingsværk ca 1600)</t>
  </si>
  <si>
    <t xml:space="preserve"> *</t>
  </si>
  <si>
    <t>Gråbrødregade 8</t>
  </si>
  <si>
    <t xml:space="preserve"> Gråbrødregade 8, Ribe</t>
  </si>
  <si>
    <t xml:space="preserve"> Forhuset (før 1761, grundmuret 1848)</t>
  </si>
  <si>
    <t>Gråbrødregade 9</t>
  </si>
  <si>
    <t xml:space="preserve"> Gråbrødregade 9, Ribe</t>
  </si>
  <si>
    <t xml:space="preserve"> De to forhuse (sdr. forhus 1840, forhøjet 1858, ndr. forhus før1761, grundmuret 1845 og forhøjet 1846)</t>
  </si>
  <si>
    <t>Guldager Stationsvej 101</t>
  </si>
  <si>
    <t xml:space="preserve"> Guldager Station</t>
  </si>
  <si>
    <t xml:space="preserve"> Hovedbygningen, pakhuset, toiletbygningen, signalhuset ogstakitter og skure herimellem (1874 af Thomas Arboe)</t>
  </si>
  <si>
    <t>Havnegade 22</t>
  </si>
  <si>
    <t xml:space="preserve"> Esbjerg Vandtårn</t>
  </si>
  <si>
    <t xml:space="preserve"> Det tidl vandtårn (1897 af C.H. Clausen)</t>
  </si>
  <si>
    <t>Hjortlundvej 116</t>
  </si>
  <si>
    <t xml:space="preserve"> Søvanggård</t>
  </si>
  <si>
    <t xml:space="preserve"> Det firelængede gårdanlæg (beg af 1700-tallet)</t>
  </si>
  <si>
    <t>Hovedvej A1 28</t>
  </si>
  <si>
    <t xml:space="preserve"> Endrupholm Hovedgård</t>
  </si>
  <si>
    <t xml:space="preserve"> Den trefløjede hovedbygning med de to krumme forbindendemellembygninger (1770-1805), broen, vestfløjens forbindelsesmur til broen samt brostensbelægningen på gårdspladsen og foran hovedbebyggelsens haveside</t>
  </si>
  <si>
    <t xml:space="preserve"> Udvidet 1964 og 1995*</t>
  </si>
  <si>
    <t>Hundegade 21</t>
  </si>
  <si>
    <t xml:space="preserve"> Hundegade 21, Ribe</t>
  </si>
  <si>
    <t xml:space="preserve"> Forhuset med sidelænge (formentlig 1794, nuværende grundmuretgadeside 1831)</t>
  </si>
  <si>
    <t>Jernbanegade 31</t>
  </si>
  <si>
    <t xml:space="preserve"> Esbjerg Station</t>
  </si>
  <si>
    <t xml:space="preserve"> Jernbanestationens hovedbygning (1904 af Heinrich Wenck)</t>
  </si>
  <si>
    <t>Kirkebrovej 7, tidl Gabelsvej 37</t>
  </si>
  <si>
    <t xml:space="preserve"> Bramming Hovedgård</t>
  </si>
  <si>
    <t xml:space="preserve"> Hovedbygningen (1786) med de to sidelænger(1847)</t>
  </si>
  <si>
    <t>Kirkegade 25, Skolegade 47</t>
  </si>
  <si>
    <t xml:space="preserve"> Missionshuset Bethania, tidl</t>
  </si>
  <si>
    <t xml:space="preserve"> Gavlbygningen mod Kirkegade (1906 af C.H.Clausen) og den hermed sammenbyggede gavlbygning mod Skolegade (ca 1890)</t>
  </si>
  <si>
    <t>Kjærgårdsvej 31</t>
  </si>
  <si>
    <t xml:space="preserve"> Kjærgård</t>
  </si>
  <si>
    <t xml:space="preserve"> Den trefløjede hovedbygning (1695) med omgivende grave</t>
  </si>
  <si>
    <t>Klostergade 1-3</t>
  </si>
  <si>
    <t xml:space="preserve"> Sankt Catharinæ Kloster, Ribe</t>
  </si>
  <si>
    <t xml:space="preserve"> De fire klosterfløje (østfløjen 1300-tallet, sydfløjen 1300- tallet, ombygget 1825, vest- og nordfløjene antagelig fra 1420'rne), den med vestfløjen sammenbyggede, tidl graverbolig, den øst for det firefløjede anlæg beliggende, enetages bygning samt hegnsmurene medportpiller mod Badstuegade og Klostergade</t>
  </si>
  <si>
    <t>Klostergade 26</t>
  </si>
  <si>
    <t xml:space="preserve"> Klostergade 26, Ribe</t>
  </si>
  <si>
    <t xml:space="preserve"> Forhuset (del af bygning fra før 1761, gadesiden grundmuret1815)</t>
  </si>
  <si>
    <t>Klostergade 4</t>
  </si>
  <si>
    <t xml:space="preserve"> Almisseboderne, Ribe</t>
  </si>
  <si>
    <t xml:space="preserve"> Forhuset, del af Almisseboderne (1716, ombygget og grundmuret1817)</t>
  </si>
  <si>
    <t>Klostergade 6</t>
  </si>
  <si>
    <t>Korsbrødregade 11</t>
  </si>
  <si>
    <t xml:space="preserve"> Korsbrødregade 11, Ribe</t>
  </si>
  <si>
    <t>Korsbrødregade 22</t>
  </si>
  <si>
    <t xml:space="preserve"> Korsbrødregade 22, Ribe</t>
  </si>
  <si>
    <t xml:space="preserve"> Forhuset (firefagsbod kort efter 1626, gadesidenombygget ca 1860-70)</t>
  </si>
  <si>
    <t>Korsbrødregade 26</t>
  </si>
  <si>
    <t xml:space="preserve"> Korsbrødregade 26, Ribe</t>
  </si>
  <si>
    <t xml:space="preserve"> Forhuset (syvfags bod ca 1600, facaden ombygget ca 1860)</t>
  </si>
  <si>
    <t>Korsbrødregade 5</t>
  </si>
  <si>
    <t xml:space="preserve"> Korsbrødregade 5, Ribe</t>
  </si>
  <si>
    <t xml:space="preserve"> Forhuset (1841)</t>
  </si>
  <si>
    <t>Korsbrødregade 7</t>
  </si>
  <si>
    <t xml:space="preserve"> Korsbrødregården, Bispegården i Ribe</t>
  </si>
  <si>
    <t xml:space="preserve"> Forhuset (1801) og den hermedsammebyggede sidelænge</t>
  </si>
  <si>
    <t>Lustrupvej 4</t>
  </si>
  <si>
    <t xml:space="preserve"> Lustrupholm</t>
  </si>
  <si>
    <t xml:space="preserve"> Hovedbygningen (ca 1770) og den hermed sammenbyggede længe</t>
  </si>
  <si>
    <t>Mandø Byvej 15</t>
  </si>
  <si>
    <t xml:space="preserve"> Mandø Byvej 15</t>
  </si>
  <si>
    <t xml:space="preserve"> Længehuset (1838)</t>
  </si>
  <si>
    <t>Mandø Byvej 35</t>
  </si>
  <si>
    <t xml:space="preserve"> Mandø Mølle</t>
  </si>
  <si>
    <t xml:space="preserve"> Mandø Mølle (1830'erne)</t>
  </si>
  <si>
    <t>Mandø Byvej 5</t>
  </si>
  <si>
    <t xml:space="preserve"> Mandøhuset</t>
  </si>
  <si>
    <t xml:space="preserve"> Museumsbygning (ca 1800)</t>
  </si>
  <si>
    <t>Mellemdammen 16</t>
  </si>
  <si>
    <t xml:space="preserve"> Mellemdammen 16, Ribe</t>
  </si>
  <si>
    <t xml:space="preserve"> Forhuset (1854) med det heri indbyggede ni fag dybe bindingsværksgavlhus (ca 1580-90) og den med dettes baggavl sammenbyggede, noget smallere, 12 fag lange bindingsværksbygning (ca 1610-20) samt tværhuset og gårdpladsens brolægning</t>
  </si>
  <si>
    <t>Udvidet 1983*</t>
  </si>
  <si>
    <t>Mellemdammen 18</t>
  </si>
  <si>
    <t xml:space="preserve"> Terpagers Gård, Ribe</t>
  </si>
  <si>
    <t xml:space="preserve"> Det 15 fag dybe bindingsværksgavlhus (de syv forreste fag ca1550-75, de otte bageste fag formentlig 1671) og den med gavlhuset sammenbyggede portfløj (hele gadesiden ombygget 1671, gavltrekanten dog først nedtaget 1798)</t>
  </si>
  <si>
    <t>Mellemdammen 22</t>
  </si>
  <si>
    <t xml:space="preserve"> Ribe tidl Elektricitetsværk</t>
  </si>
  <si>
    <t xml:space="preserve"> Elektricitetsværksbygningen (1904, ombygget 1924 af AxelHansen)</t>
  </si>
  <si>
    <t>Nederdammen 24 og 24 B</t>
  </si>
  <si>
    <t xml:space="preserve"> Midtmøllen, Ribe</t>
  </si>
  <si>
    <t xml:space="preserve"> Forhuset (1828, ombygget 1949) og baghuset (ca 1830)</t>
  </si>
  <si>
    <t>Nederdammen 28</t>
  </si>
  <si>
    <t xml:space="preserve"> Nederdammen 28, Ribe</t>
  </si>
  <si>
    <t xml:space="preserve"> Det fem fag dybe bindingsværksgavlhus og det med dettesammenbyggede porthus (ca 1650-75) samt den 10 fag lange sidelænge i gården (1815)</t>
  </si>
  <si>
    <t>Nederdammen 31</t>
  </si>
  <si>
    <t xml:space="preserve"> Nederdammen 31, Ribe</t>
  </si>
  <si>
    <t xml:space="preserve"> Tømmeret i to stokværk (dendrokronologisk dateret til 1482-86)</t>
  </si>
  <si>
    <t>Nederdammen 33</t>
  </si>
  <si>
    <t xml:space="preserve"> Nederdammen 33, Ribe</t>
  </si>
  <si>
    <t xml:space="preserve"> Det syv fag lange bindingsværksforhus (ca 1600) samtbaghuset (ca 1850) og gårdspladsen</t>
  </si>
  <si>
    <t xml:space="preserve"> Udvidet 1982*</t>
  </si>
  <si>
    <t>Nederdammen 35-37</t>
  </si>
  <si>
    <t xml:space="preserve"> Nederdammen 35-37, Ribe</t>
  </si>
  <si>
    <t xml:space="preserve"> Det fire fag lange bindingsværksforhus (1783) og dethermed sammenbyggede 11 fag lange sidehus i gården (1797)</t>
  </si>
  <si>
    <t>Nederdammen 36</t>
  </si>
  <si>
    <t xml:space="preserve"> Nederdammen 36, Ribe</t>
  </si>
  <si>
    <t xml:space="preserve"> Det 10 fag dybe bindingsværksgavlhus og de hermed sammenbyggede henholdvis tre og fire fag lange bindingsværksbygninger mod gaden (gavlhuset og trefagsbygningen mod gaden ca 1580-90, firefagsbygningen noget yngre, den fælles grundmurede facade1846-47)</t>
  </si>
  <si>
    <t>Nygårdsvej 65</t>
  </si>
  <si>
    <t xml:space="preserve"> Nygårdsvej 65</t>
  </si>
  <si>
    <t xml:space="preserve"> Villaen (1908 af C.H. Clausen) med smedejernsrækværk og terrassefliser</t>
  </si>
  <si>
    <t>Overdammen 1</t>
  </si>
  <si>
    <t xml:space="preserve"> Overdammen 1, Ribe</t>
  </si>
  <si>
    <t xml:space="preserve"> Det grundmurede forhus (1634)</t>
  </si>
  <si>
    <t>Overdammen 12</t>
  </si>
  <si>
    <t xml:space="preserve"> Toldboden, Ribe</t>
  </si>
  <si>
    <t xml:space="preserve"> Forhus med sidebygning (1831 af Jørgen Hansen Koch) samtbaghus</t>
  </si>
  <si>
    <t>Overdammen 5 og Fiskergade 1 A, G</t>
  </si>
  <si>
    <t xml:space="preserve"> Apoteket, Ribe</t>
  </si>
  <si>
    <t xml:space="preserve"> Forhuset mod Overdammen (delvis nyopført 1776, gadesiden grundmuret kort efter midten af 1800-tallet) med de seks bageste fag af Hans Svannings bindingsværksgavlhus (1584-99, hvis forreste noget bredere del indgår i forhusets midterste del; endvidere laboratoriebygningen i gården (1776, senere grundmuret) og den 19 fag lange to stokværk høje bindingsværkslænge mod Fiskergade (1779) og den i dennes fortsættelse liggende grundmurede del(1822)</t>
  </si>
  <si>
    <t xml:space="preserve"> Udvidet 1971*</t>
  </si>
  <si>
    <t>Overdammen 8</t>
  </si>
  <si>
    <t xml:space="preserve"> Overdammen 8, Ribe</t>
  </si>
  <si>
    <t xml:space="preserve"> Det 13 fag dybe bindingsværksgavlhus langs Sortebrødregade* ogden ved dettes baggavl beliggende portbygning (mellem 1580 og 1585, senere delvis grundmuret og overpudset, portbygningen ombygget 1697)</t>
  </si>
  <si>
    <t>Overdammen 9</t>
  </si>
  <si>
    <t xml:space="preserve"> Overdammen 9, Ribe</t>
  </si>
  <si>
    <t xml:space="preserve"> Sidelængen mod Fiskergade (ca 1600, sidenhen nedtaget og genopsat i en stærkt ændret skikkelse med anvendelse af bygningsdele fra flere andre bygninger)</t>
  </si>
  <si>
    <t>Præstegade 13</t>
  </si>
  <si>
    <t xml:space="preserve"> Præstegade 13, Ribe</t>
  </si>
  <si>
    <t xml:space="preserve"> Forhuset (1835)</t>
  </si>
  <si>
    <t>Præstegade 15</t>
  </si>
  <si>
    <t xml:space="preserve"> Kapellangården, Ribe</t>
  </si>
  <si>
    <t xml:space="preserve"> Det 12 fag lange bindingsværkshus (1576)</t>
  </si>
  <si>
    <t>Præstegade 19</t>
  </si>
  <si>
    <t xml:space="preserve"> Præstegade 19, Ribe</t>
  </si>
  <si>
    <t xml:space="preserve"> Forhuset (trefagsbod af bindingsværk kort efter 1626)</t>
  </si>
  <si>
    <t>Præstegade 21</t>
  </si>
  <si>
    <t xml:space="preserve"> Præstegade 21, Ribe</t>
  </si>
  <si>
    <t xml:space="preserve"> Forhuset (firefagsbod af bindingsværk kort efter 1626)</t>
  </si>
  <si>
    <t>Præstegade 23</t>
  </si>
  <si>
    <t xml:space="preserve"> Præstegade 23, Ribe</t>
  </si>
  <si>
    <t xml:space="preserve"> Forhuset (firefagsbod af bindingsværk kort efter 1626, seneredelvis grundmuret)</t>
  </si>
  <si>
    <t>Præstegade 25</t>
  </si>
  <si>
    <t xml:space="preserve"> Præstegade 25, Ribe</t>
  </si>
  <si>
    <t>Præstegade 27</t>
  </si>
  <si>
    <t xml:space="preserve"> Præstegade 27, Ribe</t>
  </si>
  <si>
    <t xml:space="preserve"> Forhuset (to firefagsboder af bindingsværk kort efter 1626)</t>
  </si>
  <si>
    <t>Præstegade 28-30 og Korsbrødregade 28</t>
  </si>
  <si>
    <t xml:space="preserve"> Præstegade 28-30 og Korsbrødregade 28, Ribe</t>
  </si>
  <si>
    <t xml:space="preserve"> Forhusene modPræstegade og Korsbrødregade (ældre gård ombygget 1837-1846)</t>
  </si>
  <si>
    <t>Præstegade 4</t>
  </si>
  <si>
    <t xml:space="preserve"> Præstegade 4, Ribe</t>
  </si>
  <si>
    <t xml:space="preserve"> Forhuset (før 1761, grundmuret 1854 og forhøjet 1857)</t>
  </si>
  <si>
    <t>Præstegade 7 og 7 A</t>
  </si>
  <si>
    <t xml:space="preserve"> Præstegade 7-7 A, Ribe</t>
  </si>
  <si>
    <t xml:space="preserve"> Forhuset (sydlige del ca 1600, grundmuret 1837 ogforhøjet 1842; nordlige del 1850, senere forhøjet)</t>
  </si>
  <si>
    <t>Puggaardsgade 10</t>
  </si>
  <si>
    <t xml:space="preserve"> Puggaardsgade 10, Ribe</t>
  </si>
  <si>
    <t xml:space="preserve"> Forhuset (firefagsbod ca 1600, grundmuret 1854, kvistpåbygget 1867)</t>
  </si>
  <si>
    <t>Puggaardsgade 22</t>
  </si>
  <si>
    <t xml:space="preserve"> Puggaard og Kathedralskolen, Ribe</t>
  </si>
  <si>
    <t xml:space="preserve"> Den grundmurede bygning i en og to etager (ca 1500) samt Kathedralskolen, den ældste trefløjede skolebygning (1856 af Ferdinand Thielemann,sidefløjene forhøjet 1887-88)</t>
  </si>
  <si>
    <t xml:space="preserve"> Udvidet 1964</t>
  </si>
  <si>
    <t>Puggaardsgade 26, hj af Gravsgade</t>
  </si>
  <si>
    <t xml:space="preserve"> Puggaardsgade 26, Ribe</t>
  </si>
  <si>
    <t xml:space="preserve"> Forhuset (1779 og 1786, grundmuret1857 og senere)</t>
  </si>
  <si>
    <t>Puggaardsgade 3</t>
  </si>
  <si>
    <t xml:space="preserve"> Tårnborg, Ribe</t>
  </si>
  <si>
    <t xml:space="preserve"> Hovedbygningen (1540'rne)</t>
  </si>
  <si>
    <t>Puggaardsgade 5</t>
  </si>
  <si>
    <t xml:space="preserve"> Puggaardsgade 5</t>
  </si>
  <si>
    <t xml:space="preserve"> Forhuset (1550'erne)</t>
  </si>
  <si>
    <t>Puggaardsgade 7</t>
  </si>
  <si>
    <t xml:space="preserve"> Stiftamtmandsboligen i Ribe</t>
  </si>
  <si>
    <t xml:space="preserve"> Forhuset (den søndre del 1797, den midterste del 1855,den nordre del 1860-70) og muren langs gaderne</t>
  </si>
  <si>
    <t>Sankt Nicolajgade 10 A og B</t>
  </si>
  <si>
    <t xml:space="preserve"> Ribe Kunstmuseum</t>
  </si>
  <si>
    <t xml:space="preserve"> Forhuset (1864 af L.A. Winstrup), havepavillonen ogmuren mellem de to bygninger</t>
  </si>
  <si>
    <t>Skibbroen 11 og Smalleslippe 7</t>
  </si>
  <si>
    <t xml:space="preserve"> Skibbroen 11 og Smalleslippe 7, Ribe</t>
  </si>
  <si>
    <t xml:space="preserve"> Det søndre forhus mod Skibbroen (1780, grundmuret og forhøjet 1847) med sidebygningen langs Smalleslippe (1780, forlænget, forhøjet og grundmuret 1860-70), samt det nordre forhus mod Skibbroen kaldet "Sælhunden" (ældre bygning, grundmuret og forhøjet 1809) med den korte sidebygning mod Skomagerslippe (1811, forhøjet1849)</t>
  </si>
  <si>
    <t>Skibbroen 13</t>
  </si>
  <si>
    <t xml:space="preserve"> Skibbroen 13, Ribe</t>
  </si>
  <si>
    <t xml:space="preserve"> Seks fag dybt gavlhus af bindingsværk (opr. otte fag, ca 1600) med toetages grundmuret karnap mod Skibbroen (1781) og det hermed sammenbyggede firefagsbindingsværkslanghus mod Skibbroen (ca 1650), delvis ombygget til grundmur (1781)</t>
  </si>
  <si>
    <t>Skibbroen 21</t>
  </si>
  <si>
    <t xml:space="preserve"> Skibbroen 21, Ribe</t>
  </si>
  <si>
    <t xml:space="preserve"> Forhuset (1796, delvis grundmuret 1855) med sidelængen langsBredeslippe (1855)</t>
  </si>
  <si>
    <t>Skibbroen 29</t>
  </si>
  <si>
    <t xml:space="preserve"> Aldershvile, Ribe</t>
  </si>
  <si>
    <t xml:space="preserve"> Forhuset (1852 formentlig af N.S. Nebelong, trappehus 1858) samtudhus og hegnsmur mod Skibbroen og Fiskergade</t>
  </si>
  <si>
    <t>Skibbroen 5</t>
  </si>
  <si>
    <t xml:space="preserve"> Skibbroen 5, Ribe</t>
  </si>
  <si>
    <t xml:space="preserve"> Forhuset mod Skibbroen med muren hen til mnr 452c (1850)</t>
  </si>
  <si>
    <t>Skolegade 1A, hj af Grydergade</t>
  </si>
  <si>
    <t xml:space="preserve"> Den gamle Domskole, Ribe</t>
  </si>
  <si>
    <t xml:space="preserve"> Forhuset mod Torvet (1724) og den hermed sammenbyggede fløj langs Grydergade (1586) samt bygningen i gården med muren mod mnr 340 (udgør resterne af en længe fra middelalder og fra 1586, som har været sammenbygget med fløjen langsGrydergade)</t>
  </si>
  <si>
    <t>Skolegade 1 C</t>
  </si>
  <si>
    <t xml:space="preserve"> Skolegade 1 C, Ribe</t>
  </si>
  <si>
    <t xml:space="preserve"> Forhuset (1837, gavlkvist 1840, dørhammer fra 1529)</t>
  </si>
  <si>
    <t>Skolegade 2</t>
  </si>
  <si>
    <t xml:space="preserve"> Skolegade 2, Ribe</t>
  </si>
  <si>
    <t xml:space="preserve"> Det 10 fag lange bindingsværksforhus (ca 1600, senere delvisgrundmuret)</t>
  </si>
  <si>
    <t>Skolegade 33</t>
  </si>
  <si>
    <t xml:space="preserve"> Esbjerg ting- og arresthus (tidl)</t>
  </si>
  <si>
    <t xml:space="preserve"> Det tidl ting- og arresthus (1892 af Hans Christian Amberg)</t>
  </si>
  <si>
    <t>Skolevej 43</t>
  </si>
  <si>
    <t xml:space="preserve"> Tjæreborg Graverbolig</t>
  </si>
  <si>
    <t xml:space="preserve"> Stuehuset (ca 1850)</t>
  </si>
  <si>
    <t>Sneum Kirkevej 20</t>
  </si>
  <si>
    <t xml:space="preserve"> Sneum Kirkes tidl graverbolig</t>
  </si>
  <si>
    <t xml:space="preserve"> Den tidl graverbolig med kapel (ca 1850)</t>
  </si>
  <si>
    <t>Solbjergvej 25</t>
  </si>
  <si>
    <t xml:space="preserve"> Solbjergvej 25</t>
  </si>
  <si>
    <t xml:space="preserve"> Den firelængede gård (1856) og den brolagte gårdsplads</t>
  </si>
  <si>
    <t>Moltkesvej 78</t>
  </si>
  <si>
    <t xml:space="preserve"> Quedens Gård, Ribe</t>
  </si>
  <si>
    <t xml:space="preserve"> Det 16 fag dybe bindingsværksgavlhus på hjørnet af Sortebrødregade (mellem 1580 og 1583) med den op til dettes baggavl liggende portlænge (1681, delvis grundmuret 1857) samt det med gavlhusets forreste del sammenbyggede forhus mod Overdammen (1789)</t>
  </si>
  <si>
    <t>Sortebrødregade 5</t>
  </si>
  <si>
    <t xml:space="preserve"> Sortebrødregade 5, Ribe</t>
  </si>
  <si>
    <t xml:space="preserve"> Det 10 fag dybe bindingsværksgavlhus langs KølholtsSlippe (mellem 1580 og 1584, delvis grundmuret 1817)</t>
  </si>
  <si>
    <t>Sortebrødregade 7</t>
  </si>
  <si>
    <t xml:space="preserve"> Sortebrødregade 7, Ribe</t>
  </si>
  <si>
    <t xml:space="preserve"> De seks bageste bindingsværksfag af et oprindelig 12 fagdybt gavlhus, hvis forreste del var noget bredere (mellem 1616 og 1627)</t>
  </si>
  <si>
    <t>Strandvej 2</t>
  </si>
  <si>
    <t xml:space="preserve"> Mandø Redningsstation</t>
  </si>
  <si>
    <t xml:space="preserve"> Redningsstationen (1912)</t>
  </si>
  <si>
    <t>Sønder Farupvej 46</t>
  </si>
  <si>
    <t xml:space="preserve"> Faruplund</t>
  </si>
  <si>
    <t xml:space="preserve"> Det vinkelformede bygningsanlæg bestående af en mod syd beliggendelænge med en vinkelbygning mod nord (ca 1850)</t>
  </si>
  <si>
    <t>Sønderportsgade 1</t>
  </si>
  <si>
    <t xml:space="preserve"> Sønderportsgade 1, Ribe</t>
  </si>
  <si>
    <t xml:space="preserve"> Bindingsværksforhuset omfattende et syvfags langhus ogde to østligste fag af et i øvrigt nedrevet femfags hus (1580'erne, senere delvis grundmuret)</t>
  </si>
  <si>
    <t>Sønderportsgade 15</t>
  </si>
  <si>
    <t xml:space="preserve"> Sønderportsgade 15, Ribe</t>
  </si>
  <si>
    <t xml:space="preserve"> Forhuset (1803, gavlen grundmuret ca 1850-60)</t>
  </si>
  <si>
    <t>Sønderportsgade 17</t>
  </si>
  <si>
    <t xml:space="preserve"> Sønderportsgade 17, Ribe</t>
  </si>
  <si>
    <t xml:space="preserve"> Det 13 fag dybe bindingsværksgavlhus langsPuggårdsgade (1597) og de hermed sammenbyggede to østligste fag af nabohuset langs Sønderportsgade (ca 1600)</t>
  </si>
  <si>
    <t>Sønderportsgade 19</t>
  </si>
  <si>
    <t xml:space="preserve"> Sønderportsgade 19, Ribe</t>
  </si>
  <si>
    <t xml:space="preserve"> De seks midterste fag af et tolvfags bindingsværkslandhus, hvoraf de to østligste fag nu hører til nr 17 og de fire vestligste til nr 21 (ca 1600)</t>
  </si>
  <si>
    <t>Sønderportsgade 20</t>
  </si>
  <si>
    <t xml:space="preserve"> Sønderportsgade 20, Ribe</t>
  </si>
  <si>
    <t xml:space="preserve"> Forhuset (1872)</t>
  </si>
  <si>
    <t>Sønderportsgade 21 B</t>
  </si>
  <si>
    <t xml:space="preserve"> Sønderportsgade 21 B, Ribe</t>
  </si>
  <si>
    <t xml:space="preserve"> Det seks fag lange bindingsværksforhus (kort før 1600) med udbygningen (ca 1810) mod gården samt det sammenbyggede, firefags bindingsværksforhus(1770) mod øst</t>
  </si>
  <si>
    <t xml:space="preserve"> Udvidet 1954</t>
  </si>
  <si>
    <t>Sønderportsgade 21C (tidl nr 21A)</t>
  </si>
  <si>
    <t xml:space="preserve"> Sønderportsgade 21C, Ribe</t>
  </si>
  <si>
    <t xml:space="preserve"> Gavlhuset, omfattende grundmurede del mod gaden (senmiddelalder, gadegavl ca 1850) og den otte fag dybe bindingsværksbygning (opr. på17 fag, ca 1660, afkortet ca 1810)</t>
  </si>
  <si>
    <t>Sønderportsgade 3</t>
  </si>
  <si>
    <t xml:space="preserve"> Sønderportsgade 3, Ribe</t>
  </si>
  <si>
    <t xml:space="preserve"> Forhuset med den ældre del af sidelængen mod Bispegade(1847)</t>
  </si>
  <si>
    <t>Sønderportsgade 37</t>
  </si>
  <si>
    <t xml:space="preserve"> Sønderportsgade 37, Ribe</t>
  </si>
  <si>
    <t xml:space="preserve"> Det seks fag dybe bindingsværksgavlhus (ca 1650-75) og kælderen (middelalder og renæssance) under den op til gavlhusets baggavl beliggende nyere bygning (ca 1860-70), endvidere det med gavlhusets østside sammenbyggede femfags hjørnehus (ca 1690) og den hermed sammenbyggede bindingsværkslænge mod Sviegade (ca 1700, forhøjet 1783)</t>
  </si>
  <si>
    <t>Sønderportsgade 39</t>
  </si>
  <si>
    <t xml:space="preserve"> Sønderportsgade 39, Ribe</t>
  </si>
  <si>
    <t xml:space="preserve"> Forhuset (før 1761, gadesiden grundmuret ca 1860-70)</t>
  </si>
  <si>
    <t>Sønderportsgade 8</t>
  </si>
  <si>
    <t xml:space="preserve"> Sønderportsgade 8, Ribe</t>
  </si>
  <si>
    <t xml:space="preserve"> Forhuset (ca 1600, ombygget ca 1800 og 1934)</t>
  </si>
  <si>
    <t>Sønderportsgade 8A, hj af Skolegade (tidl Sønderportsgade 8B)</t>
  </si>
  <si>
    <t xml:space="preserve"> Klubben (Ribe)</t>
  </si>
  <si>
    <t xml:space="preserve"> Det middelalderligemurværk</t>
  </si>
  <si>
    <t>Søndre Kirkevej 20</t>
  </si>
  <si>
    <t xml:space="preserve"> Vestervedsted Præstegård</t>
  </si>
  <si>
    <t xml:space="preserve"> Stuehuset og udlængen (1738)</t>
  </si>
  <si>
    <t>Toldbodvej 1</t>
  </si>
  <si>
    <t xml:space="preserve"> Esbjerg Gamle Toldkammerbygning</t>
  </si>
  <si>
    <t xml:space="preserve"> Toldkammerbygningen (1896-97 af VilhelmPetersen)</t>
  </si>
  <si>
    <t>Torvet 1</t>
  </si>
  <si>
    <t xml:space="preserve"> Hotel Dagmar, Ribe</t>
  </si>
  <si>
    <t xml:space="preserve"> Bygningen langs Torvet med gavl mod Overdammen (1581, i murene indgår rester af en senmiddelalderlig bygning) og den hermed sammenbyggede længe langs Overdammen(1800)</t>
  </si>
  <si>
    <t>Torvet 11</t>
  </si>
  <si>
    <t xml:space="preserve"> Ribe Gamle Arresthus</t>
  </si>
  <si>
    <t xml:space="preserve"> Forhuset mod Torvet (ca 1600, ombygget 1837 og 1890-92 af HansChristian Amberg) samt muren mod Rykind og Sønderportsgade</t>
  </si>
  <si>
    <t>Torvet 15 A</t>
  </si>
  <si>
    <t xml:space="preserve"> Processionsgangen, Ribe</t>
  </si>
  <si>
    <t xml:space="preserve"> De middelalderlige dele af den tidl processionsgang beliggende i det sydvestre hjørnehvælv og i to og trekvart hvælvfag i vestfløjen (1300-tallet) samt restaureringen ogudbygningen (1904 af H.C. Amberg)</t>
  </si>
  <si>
    <t xml:space="preserve"> Udv. 2020</t>
  </si>
  <si>
    <t>Torvet 16</t>
  </si>
  <si>
    <t xml:space="preserve"> Tidl sprøjtehus i Ribe</t>
  </si>
  <si>
    <t xml:space="preserve"> Forhuset, tidl sprøjtehus (1840, delvis ombygget 1925)</t>
  </si>
  <si>
    <t>Torvet 2</t>
  </si>
  <si>
    <t xml:space="preserve"> Weis' Stue, Ribe</t>
  </si>
  <si>
    <t xml:space="preserve"> Det otte fag lange bindingsværksforhus (et femfags hus fra tiden omkring1600, hvortil der få år senere er føjet tre fag)</t>
  </si>
  <si>
    <t>Torvet 20</t>
  </si>
  <si>
    <t xml:space="preserve"> Esbjerg Posthus</t>
  </si>
  <si>
    <t xml:space="preserve"> Posthusbygningen (1908 af Ulrik Plesner)</t>
  </si>
  <si>
    <t>Torvet 3-5, hj af Stenbogade</t>
  </si>
  <si>
    <t xml:space="preserve"> Porsborg, Ribe</t>
  </si>
  <si>
    <t xml:space="preserve"> Gavlhuset med sidebygning langs Stenbrogade (ca 1590,partiet over porten tilføjet i slutningen af 1800-tallet)</t>
  </si>
  <si>
    <t>Von Støckens Plads 1, hj af Stenbogade</t>
  </si>
  <si>
    <t xml:space="preserve"> Ribe gamle Rådhus</t>
  </si>
  <si>
    <t xml:space="preserve"> Hovedfløjen (to middelalderlige stenhuse,ombygget til nuværende skikkelse 1528), sidefløj, trappetårn og lille forbindelsesbygning (1892-94 af H.C. Amberg)</t>
  </si>
  <si>
    <t>* Udvidet 2019</t>
  </si>
  <si>
    <t>Ølufvad Hovedvej 85</t>
  </si>
  <si>
    <t xml:space="preserve"> Ølufvad Kro</t>
  </si>
  <si>
    <t xml:space="preserve"> Krobygningens to længer (beg af 1800-tallet)</t>
  </si>
  <si>
    <t>Østerbyvej 13</t>
  </si>
  <si>
    <t xml:space="preserve"> Østerbyvej 13</t>
  </si>
  <si>
    <t xml:space="preserve"> Det vinkelformede bygningsanlæg bestående af stuehus og staldlænge(anden halvdel af 1700-tallet)</t>
  </si>
  <si>
    <t>Østergade 4</t>
  </si>
  <si>
    <t xml:space="preserve"> Østergade 4</t>
  </si>
  <si>
    <t xml:space="preserve"> Forhuset (1899 af C.H. Clausen)</t>
  </si>
  <si>
    <t>Fanø Kommune</t>
  </si>
  <si>
    <t>Barkvej 5</t>
  </si>
  <si>
    <t xml:space="preserve"> Barkvej 5</t>
  </si>
  <si>
    <t xml:space="preserve"> Stuehuset på syv fag (ca 1820)</t>
  </si>
  <si>
    <t>Barkvej 7</t>
  </si>
  <si>
    <t xml:space="preserve"> Barkvej 7</t>
  </si>
  <si>
    <t xml:space="preserve"> Stuehuset på fem fag (ca 1820)</t>
  </si>
  <si>
    <t>Bjerrevej 10</t>
  </si>
  <si>
    <t xml:space="preserve"> Bjerrevej 10</t>
  </si>
  <si>
    <t xml:space="preserve"> Stuehuset på 11 fag (1779, udvidet med to fag før 1891, grundmuret før 1855)</t>
  </si>
  <si>
    <t>Bjerrevej 11</t>
  </si>
  <si>
    <t xml:space="preserve"> Bjerrevej 11</t>
  </si>
  <si>
    <t xml:space="preserve"> Stuehuset på ni fag (1807)</t>
  </si>
  <si>
    <t>Bjerrevej 9</t>
  </si>
  <si>
    <t xml:space="preserve"> Bjerrevej 9</t>
  </si>
  <si>
    <t xml:space="preserve"> Stuehuset på fem fag (1875)</t>
  </si>
  <si>
    <t>Digevej 19</t>
  </si>
  <si>
    <t xml:space="preserve"> Digevej 19</t>
  </si>
  <si>
    <t xml:space="preserve"> Forhuset (ca 1750, grundmuret 1800)</t>
  </si>
  <si>
    <t>Digevej 23</t>
  </si>
  <si>
    <t xml:space="preserve"> Digevej 23</t>
  </si>
  <si>
    <t xml:space="preserve"> Stuehuset på otte fag (før 1819)</t>
  </si>
  <si>
    <t>Digevej 25</t>
  </si>
  <si>
    <t xml:space="preserve"> Digevej 25</t>
  </si>
  <si>
    <t xml:space="preserve"> Stuehuset på syv fag (før 1837, udvidet med et fag 1855)</t>
  </si>
  <si>
    <t>Digevej 4</t>
  </si>
  <si>
    <t xml:space="preserve"> Digevej 4</t>
  </si>
  <si>
    <t xml:space="preserve"> Stuehuset på 12 fag (før 1793)</t>
  </si>
  <si>
    <t>Digevej 6</t>
  </si>
  <si>
    <t xml:space="preserve"> Digevej 6</t>
  </si>
  <si>
    <t>Gammel Byvej 10</t>
  </si>
  <si>
    <t xml:space="preserve"> Gammel Byvej 10</t>
  </si>
  <si>
    <t>Gammel Byvej 12</t>
  </si>
  <si>
    <t xml:space="preserve"> Gammel Byvej 12</t>
  </si>
  <si>
    <t xml:space="preserve"> Længehusets østre halvdel (ca 1797-99, ombygget 1845)</t>
  </si>
  <si>
    <t xml:space="preserve"> Gammel Byvej 14</t>
  </si>
  <si>
    <t xml:space="preserve"> Længehusets vestre halvdel (ca 1797-99, ombygget 1845)</t>
  </si>
  <si>
    <t>Gammel Byvej 4</t>
  </si>
  <si>
    <t xml:space="preserve"> Gammel Byvej 4</t>
  </si>
  <si>
    <t xml:space="preserve"> Beboelseshuset (1805) samt den tilhørende have</t>
  </si>
  <si>
    <t>Gammel Byvej 7</t>
  </si>
  <si>
    <t xml:space="preserve"> Jens Harrebys Hus</t>
  </si>
  <si>
    <t xml:space="preserve"> Stuehuset (ca 1807)</t>
  </si>
  <si>
    <t>Hovedgaden 41-43</t>
  </si>
  <si>
    <t xml:space="preserve"> Hovedgaden 41-43</t>
  </si>
  <si>
    <t xml:space="preserve"> Længehuset (ca 1820)</t>
  </si>
  <si>
    <t>Hovedgaden 55</t>
  </si>
  <si>
    <t xml:space="preserve"> Hovedgaden 55</t>
  </si>
  <si>
    <t xml:space="preserve"> Det stråtækte, grundmurede ellevefags længehus (1826)</t>
  </si>
  <si>
    <t>Kirkevejen 25</t>
  </si>
  <si>
    <t xml:space="preserve"> Rindby Redningsstation</t>
  </si>
  <si>
    <t xml:space="preserve"> Redningsstationen (1888)</t>
  </si>
  <si>
    <t>Krogvej 11-13</t>
  </si>
  <si>
    <t xml:space="preserve"> Krogvej 11-13</t>
  </si>
  <si>
    <t xml:space="preserve"> Stuehuset på syv fag</t>
  </si>
  <si>
    <t>Kropladsen 11</t>
  </si>
  <si>
    <t xml:space="preserve"> Krogården</t>
  </si>
  <si>
    <t xml:space="preserve"> Krobygningen på 14 fag (1722, udvidet 1744 og 1793)</t>
  </si>
  <si>
    <t>Kropladsen 17</t>
  </si>
  <si>
    <t xml:space="preserve"> Kropladsen 17</t>
  </si>
  <si>
    <t xml:space="preserve"> Stuehuset på 10 fag (ca 1750, reduceret med to fag 1881)</t>
  </si>
  <si>
    <t>Kropladsen 2</t>
  </si>
  <si>
    <t xml:space="preserve"> Kropladsen 2</t>
  </si>
  <si>
    <t xml:space="preserve"> Det syvfags hus (før 1828)</t>
  </si>
  <si>
    <t>Kåvervej 14</t>
  </si>
  <si>
    <t xml:space="preserve"> Kaptajn Thøgersens Hus</t>
  </si>
  <si>
    <t xml:space="preserve"> Forhuset (1724)</t>
  </si>
  <si>
    <t>Kåvervej 31</t>
  </si>
  <si>
    <t xml:space="preserve"> Den gamle fattiggård i Sønderho</t>
  </si>
  <si>
    <t xml:space="preserve"> Den gamle fattiggård (ca 1840)</t>
  </si>
  <si>
    <t>Landevejen 22</t>
  </si>
  <si>
    <t xml:space="preserve"> Stuehuset (før 1793, ommuret før 1857)</t>
  </si>
  <si>
    <t>Landevejen 28, tidl Bjerrevej 28</t>
  </si>
  <si>
    <t xml:space="preserve"> Landevejen 28</t>
  </si>
  <si>
    <t xml:space="preserve"> Det ellevefags hus (1793 og senere)</t>
  </si>
  <si>
    <t>Landevejen 36</t>
  </si>
  <si>
    <t xml:space="preserve"> Jordemoderhuset</t>
  </si>
  <si>
    <t xml:space="preserve"> Stuehuset på fire fag (opr. del af et ellevefags bindingsværkshus,grundmuret før 1865, ombygget ca 1900)</t>
  </si>
  <si>
    <t>Landevejen 38</t>
  </si>
  <si>
    <t xml:space="preserve"> Landevejen 38</t>
  </si>
  <si>
    <t xml:space="preserve"> Stuehuset på 10 fag (1804, udvidet med to fag 1836)</t>
  </si>
  <si>
    <t>Landevejen 7</t>
  </si>
  <si>
    <t xml:space="preserve"> Landevejen 7</t>
  </si>
  <si>
    <t xml:space="preserve"> Stuehuset på 13 fag (før 1804, forlænget 1820 og 1854 med i alt fire fag)</t>
  </si>
  <si>
    <t>Martin Christensens Vej 1</t>
  </si>
  <si>
    <t xml:space="preserve"> Martin Christensens Vej 1</t>
  </si>
  <si>
    <t xml:space="preserve"> Forhuset (sidste halvdel af 1700-tallet)</t>
  </si>
  <si>
    <t>Niels Engersvej 6</t>
  </si>
  <si>
    <t xml:space="preserve"> Niels Engersvej 6</t>
  </si>
  <si>
    <t xml:space="preserve"> Stuehuset (1821)</t>
  </si>
  <si>
    <t>Nord Land 12</t>
  </si>
  <si>
    <t xml:space="preserve"> Nord Land 12</t>
  </si>
  <si>
    <t xml:space="preserve"> Det trefags hus (før 1868)</t>
  </si>
  <si>
    <t>Nord Land 19</t>
  </si>
  <si>
    <t xml:space="preserve"> Nord Land 19</t>
  </si>
  <si>
    <t xml:space="preserve"> Det tifags hus (før 1828)</t>
  </si>
  <si>
    <t>Nord Land 36</t>
  </si>
  <si>
    <t xml:space="preserve"> Nord Land 36</t>
  </si>
  <si>
    <t xml:space="preserve"> Stuehuset på seks fag (1783, udvidet med et fag 1865)</t>
  </si>
  <si>
    <t>Nord Land 5</t>
  </si>
  <si>
    <t xml:space="preserve"> Nord Land 5</t>
  </si>
  <si>
    <t xml:space="preserve"> Det ellevefags hus (1868)</t>
  </si>
  <si>
    <t>O.C. Hammersvej 10</t>
  </si>
  <si>
    <t xml:space="preserve"> Den enetages længe på fem fag (1700-tallet) sammenbyggetmed naboejendommen</t>
  </si>
  <si>
    <t>O.C. Hammersvej 8</t>
  </si>
  <si>
    <t xml:space="preserve"> Stuehuset på ni fag</t>
  </si>
  <si>
    <t>Skolevej 10</t>
  </si>
  <si>
    <t xml:space="preserve"> Skolevej 10</t>
  </si>
  <si>
    <t xml:space="preserve"> Stuehuset på tre fag</t>
  </si>
  <si>
    <t>Skolevej 2</t>
  </si>
  <si>
    <t xml:space="preserve"> Skolevej 2</t>
  </si>
  <si>
    <t xml:space="preserve"> Forhuset (1801), sidelængen (1849) og brolægningen foran huset</t>
  </si>
  <si>
    <t>Skolevej 8</t>
  </si>
  <si>
    <t xml:space="preserve"> Skolevej 8</t>
  </si>
  <si>
    <t>Sønderho Strandvej 1</t>
  </si>
  <si>
    <t xml:space="preserve"> Sønderho Præstegård</t>
  </si>
  <si>
    <t xml:space="preserve"> Stuehuset på 16 fag (1749, udvidet med tre fag efter1819)</t>
  </si>
  <si>
    <t>Sønderho Strandvej 15</t>
  </si>
  <si>
    <t xml:space="preserve"> Sønderho Redningsstation</t>
  </si>
  <si>
    <t xml:space="preserve"> Redningsstationen (1887 af N.M. Kromann) </t>
  </si>
  <si>
    <t>Sønder Land 20</t>
  </si>
  <si>
    <t xml:space="preserve"> Sønder Land 20</t>
  </si>
  <si>
    <t xml:space="preserve"> Stuehuset på otte fag (1837, grundmuret 1873)</t>
  </si>
  <si>
    <t>Sønder Land 3</t>
  </si>
  <si>
    <t xml:space="preserve"> Sønder Land 3</t>
  </si>
  <si>
    <t xml:space="preserve"> Stuehuset på 10 fag (ca 1750, grundmuret før 1819)</t>
  </si>
  <si>
    <t>*Delvist ophævet 2018</t>
  </si>
  <si>
    <t>Sønder Land 32</t>
  </si>
  <si>
    <t xml:space="preserve"> Sønder Land 32</t>
  </si>
  <si>
    <t xml:space="preserve"> Stuehuset på 11 fag (1779, grundmuret og udvidet med to fag før1856)</t>
  </si>
  <si>
    <t>Sønder Land 37</t>
  </si>
  <si>
    <t xml:space="preserve"> Sønder Land 37</t>
  </si>
  <si>
    <t xml:space="preserve"> Stuehuset på 10 fag (før 1798, udv. med et fag 1855)</t>
  </si>
  <si>
    <t>Søndertoft 17</t>
  </si>
  <si>
    <t xml:space="preserve"> Søndertoft 17</t>
  </si>
  <si>
    <t xml:space="preserve"> Det fjortenfags hus (1795)</t>
  </si>
  <si>
    <t>Søndertoft 2</t>
  </si>
  <si>
    <t xml:space="preserve"> Søndertoft 2</t>
  </si>
  <si>
    <t xml:space="preserve"> Det firefags længehus (1807, ombygget 1883) samt husets vestlige tilbygning(1965)</t>
  </si>
  <si>
    <t>Søndertoft 3</t>
  </si>
  <si>
    <t xml:space="preserve"> Søndertoft 3</t>
  </si>
  <si>
    <t xml:space="preserve"> Det grundmurede enkelthus med stråtag (slutn af 1700-tallet)</t>
  </si>
  <si>
    <t>Søndre Banksti 2</t>
  </si>
  <si>
    <t xml:space="preserve"> Søndre Banksti 2</t>
  </si>
  <si>
    <t xml:space="preserve"> Stuehuset (ca 1800)</t>
  </si>
  <si>
    <t>Toftestien 11</t>
  </si>
  <si>
    <t xml:space="preserve"> Toftestien 11</t>
  </si>
  <si>
    <t xml:space="preserve"> Det nifags hus (før 1839)</t>
  </si>
  <si>
    <t>Toftestien 12</t>
  </si>
  <si>
    <t xml:space="preserve"> Toftestien 12</t>
  </si>
  <si>
    <t xml:space="preserve"> Længehuset (1763)</t>
  </si>
  <si>
    <t>Toftestien 13-15</t>
  </si>
  <si>
    <t xml:space="preserve"> Toftestien 13-15</t>
  </si>
  <si>
    <t xml:space="preserve"> Stuehuset på otte fag (1794-95)</t>
  </si>
  <si>
    <t>Toftestien 14</t>
  </si>
  <si>
    <t xml:space="preserve"> Toftestien 14</t>
  </si>
  <si>
    <t xml:space="preserve"> Det firefags hus (1788, udvidet 1836)</t>
  </si>
  <si>
    <t>Toftestien 21</t>
  </si>
  <si>
    <t xml:space="preserve"> Toftestien 21</t>
  </si>
  <si>
    <t xml:space="preserve"> Stuehuset på fem fag (1803)</t>
  </si>
  <si>
    <t>Toftestien 23</t>
  </si>
  <si>
    <t xml:space="preserve"> Toftestien 23</t>
  </si>
  <si>
    <t xml:space="preserve"> Stuehuset på 10 fag (før 1824, grundmuret og udvidet med et fag 1837)</t>
  </si>
  <si>
    <t>Toftestien 27</t>
  </si>
  <si>
    <t xml:space="preserve"> Toftestien 27</t>
  </si>
  <si>
    <t xml:space="preserve"> Stuehuset på otte fag (ca 1750, grundmuret 1851)</t>
  </si>
  <si>
    <t>Toftestien 29</t>
  </si>
  <si>
    <t xml:space="preserve"> Toftestien 29</t>
  </si>
  <si>
    <t xml:space="preserve"> Stuehuset på syv fag (før 1787, grundmuret 1852 og 1873)</t>
  </si>
  <si>
    <t>Toftestien 6</t>
  </si>
  <si>
    <t xml:space="preserve"> Toftestien 6</t>
  </si>
  <si>
    <t xml:space="preserve"> Det ottefags hus (før 1795)</t>
  </si>
  <si>
    <t>Vester Land 44</t>
  </si>
  <si>
    <t xml:space="preserve"> Sønderho Mølle</t>
  </si>
  <si>
    <t xml:space="preserve"> Vindmøllen (1895)</t>
  </si>
  <si>
    <t>Vester Land 46</t>
  </si>
  <si>
    <t xml:space="preserve"> Møllergården</t>
  </si>
  <si>
    <t xml:space="preserve"> Det ellevefags hus (ca 1769 og senere)</t>
  </si>
  <si>
    <t>Vester Land 8</t>
  </si>
  <si>
    <t xml:space="preserve"> Skipperhuset</t>
  </si>
  <si>
    <t xml:space="preserve"> Længehuset i 11 fag (1793) og udhuset (ca 1900)</t>
  </si>
  <si>
    <t>Vigensvej 10</t>
  </si>
  <si>
    <t xml:space="preserve"> Vigensvej 10</t>
  </si>
  <si>
    <t xml:space="preserve"> Stuehuset på fem fag</t>
  </si>
  <si>
    <t>Vigensvej 11</t>
  </si>
  <si>
    <t xml:space="preserve"> Vigensvej 11</t>
  </si>
  <si>
    <t xml:space="preserve"> Stuehuset (sidste halvdel af 1700-tallet)</t>
  </si>
  <si>
    <t>Vigensvej 12</t>
  </si>
  <si>
    <t xml:space="preserve"> Vigensvej 12</t>
  </si>
  <si>
    <t>Vigensvej 13</t>
  </si>
  <si>
    <t xml:space="preserve"> Vigensvej 13</t>
  </si>
  <si>
    <t xml:space="preserve"> Stuehuset på 10 fag</t>
  </si>
  <si>
    <t>Vigensvej 17</t>
  </si>
  <si>
    <t xml:space="preserve"> Stuehuset på otte fag</t>
  </si>
  <si>
    <t>Øster Land 10</t>
  </si>
  <si>
    <t xml:space="preserve"> Øster Land 10</t>
  </si>
  <si>
    <t xml:space="preserve"> Stuehuset på 10 fag (før 1798)</t>
  </si>
  <si>
    <t>Øster Land 11</t>
  </si>
  <si>
    <t xml:space="preserve"> Øster Land 11</t>
  </si>
  <si>
    <t xml:space="preserve"> Stuehuset på 11 fag (før 1786, grundmuret før 1850)</t>
  </si>
  <si>
    <t>Øster Land 12</t>
  </si>
  <si>
    <t xml:space="preserve"> Øster Land 12</t>
  </si>
  <si>
    <t xml:space="preserve"> Stuehuset på ni fag (før 1798, grundmuret før 1850)</t>
  </si>
  <si>
    <t>Øster Land 13</t>
  </si>
  <si>
    <t xml:space="preserve"> Øster Land 13</t>
  </si>
  <si>
    <t xml:space="preserve"> Stuehuset på to fag (før 1805)</t>
  </si>
  <si>
    <t xml:space="preserve"> FLYTTET TIL ØSTER LAND 15</t>
  </si>
  <si>
    <t>Øster Land 14</t>
  </si>
  <si>
    <t xml:space="preserve"> Øster Land 14</t>
  </si>
  <si>
    <t xml:space="preserve"> Stuehuset på 10 fag (1778, udvidet med to fag mellem 1796 og 1803)</t>
  </si>
  <si>
    <t>Øster Land 15</t>
  </si>
  <si>
    <t xml:space="preserve"> Øster Land 15</t>
  </si>
  <si>
    <t xml:space="preserve"> (Tidl Øster Land 13 og 15) Stuehusets fem midterste fag samtnabostuehuset (tidl Øster Land 13) på to fag (begge før 1805)</t>
  </si>
  <si>
    <t>Øster Land 16</t>
  </si>
  <si>
    <t xml:space="preserve"> Øster Land 16</t>
  </si>
  <si>
    <t xml:space="preserve"> Stuehuset på 10 fag (før 1785, grundmuret før 1874)</t>
  </si>
  <si>
    <t>Øster Land 17</t>
  </si>
  <si>
    <t xml:space="preserve"> Øster Land 17</t>
  </si>
  <si>
    <t xml:space="preserve"> Stuehuset på fire fag (før 1801, grundmuret før 1842)</t>
  </si>
  <si>
    <t>Øster Land 18</t>
  </si>
  <si>
    <t xml:space="preserve"> Øster Land 18</t>
  </si>
  <si>
    <t>Øster Land 19</t>
  </si>
  <si>
    <t xml:space="preserve"> Øster Land 19</t>
  </si>
  <si>
    <t xml:space="preserve"> Stuehuset på ni fag (før 1798)</t>
  </si>
  <si>
    <t>Øster Land 20</t>
  </si>
  <si>
    <t xml:space="preserve"> Øster Land 20</t>
  </si>
  <si>
    <t xml:space="preserve"> Stuehusets fem østligste fag (før 1805, ombygget 1842 og udvidet med tofag 1977)</t>
  </si>
  <si>
    <t>Øster Land 22</t>
  </si>
  <si>
    <t xml:space="preserve"> Øster land 22</t>
  </si>
  <si>
    <t xml:space="preserve"> Stuehusets otte vestligste fag (før 1805, ombygget 1842)</t>
  </si>
  <si>
    <t>Øster Land 24</t>
  </si>
  <si>
    <t xml:space="preserve"> Øster Land 24</t>
  </si>
  <si>
    <t xml:space="preserve"> Stuehuset på 10 fag (før 1805, grundmuret før 1838)</t>
  </si>
  <si>
    <t>Øster Land 25</t>
  </si>
  <si>
    <t xml:space="preserve"> Øster Land 25</t>
  </si>
  <si>
    <t xml:space="preserve"> Forhuset (1797)</t>
  </si>
  <si>
    <t>Øster Land 27</t>
  </si>
  <si>
    <t xml:space="preserve"> Øster Land 27</t>
  </si>
  <si>
    <t xml:space="preserve"> Stuehuset på 12 fag (før 1805, grundmuret og udvidet med to fag 1836)</t>
  </si>
  <si>
    <t>Øster Land 28</t>
  </si>
  <si>
    <t xml:space="preserve"> Øster Land 28</t>
  </si>
  <si>
    <t xml:space="preserve"> Stuehuset på 10 fag (før 1805, grundmuret 1852, 1854 og 1866)</t>
  </si>
  <si>
    <t>Øster Land 29</t>
  </si>
  <si>
    <t xml:space="preserve"> Øster Land 29</t>
  </si>
  <si>
    <t xml:space="preserve"> Stuehuset på tre fag (før 1805, grundmuret før 1837)</t>
  </si>
  <si>
    <t>Øster Land 30</t>
  </si>
  <si>
    <t xml:space="preserve"> Øster Land 30</t>
  </si>
  <si>
    <t xml:space="preserve"> Stuehuset på otte fag (før 1805, grundmuret 1863 og 1894)</t>
  </si>
  <si>
    <t>Øster Land 31</t>
  </si>
  <si>
    <t xml:space="preserve"> Øster Land 31</t>
  </si>
  <si>
    <t xml:space="preserve"> Stuehuset på otte fag (før 1805)</t>
  </si>
  <si>
    <t>Øster Land 32</t>
  </si>
  <si>
    <t xml:space="preserve"> Øster Land 32</t>
  </si>
  <si>
    <t xml:space="preserve"> Stuehuset på 10 fag (før 1796, grundmuret 1855)</t>
  </si>
  <si>
    <t>Øster Land 33</t>
  </si>
  <si>
    <t xml:space="preserve"> Øster Land 33</t>
  </si>
  <si>
    <t xml:space="preserve"> Stuehuset på seks fag (før 1773)</t>
  </si>
  <si>
    <t>Øster Land 4</t>
  </si>
  <si>
    <t xml:space="preserve"> Øster Land 4</t>
  </si>
  <si>
    <t xml:space="preserve"> Stuehuset på otte fag (før 1801, grundmuret antagelig 1867)</t>
  </si>
  <si>
    <t>Øster Land 6</t>
  </si>
  <si>
    <t xml:space="preserve"> Øster Land 6</t>
  </si>
  <si>
    <t xml:space="preserve"> Stuehuset på 10 fag (1804)</t>
  </si>
  <si>
    <t>Øster Land 7</t>
  </si>
  <si>
    <t xml:space="preserve"> Hannes Hus</t>
  </si>
  <si>
    <t xml:space="preserve"> Stuehuset på otte fag (før 1793, reduceret med et fag 1856)</t>
  </si>
  <si>
    <t>Øster Land 9</t>
  </si>
  <si>
    <t xml:space="preserve"> Øster Land 9</t>
  </si>
  <si>
    <t xml:space="preserve"> Stuehuset på syv fag (udvidelser til mnr 228, 1811 til ca 1860)</t>
  </si>
  <si>
    <t>Østervej 10</t>
  </si>
  <si>
    <t xml:space="preserve"> Østervej 10</t>
  </si>
  <si>
    <t xml:space="preserve"> Stuehuset på fire fag</t>
  </si>
  <si>
    <t>Østervej 12</t>
  </si>
  <si>
    <t xml:space="preserve"> Østervej 12</t>
  </si>
  <si>
    <t xml:space="preserve"> Stuehuset på seks fag</t>
  </si>
  <si>
    <t>Østervej 6</t>
  </si>
  <si>
    <t xml:space="preserve"> Forhuset</t>
  </si>
  <si>
    <t>Østervej 8</t>
  </si>
  <si>
    <t xml:space="preserve"> Østervej 8</t>
  </si>
  <si>
    <t>Favrskov Kommune</t>
  </si>
  <si>
    <t>Bidstrupvej 1</t>
  </si>
  <si>
    <t xml:space="preserve"> Bidstrup</t>
  </si>
  <si>
    <t xml:space="preserve"> Samtlige bygninger omkring borggården (nordfløjens kældre 1590, det trefløjede anlæg 1698, ombygget 1760 af Nicolaus Hinrich Rieman), staldgård (vinkelbygningerne 1756 af Nicolaus Hinrich Rieman) og ladegård (1759-60 af Nicolaus Hinrich Rieman) samt bygningerne langs søndreindkørselsvej (1846 og 1855)</t>
  </si>
  <si>
    <t xml:space="preserve"> Udvidet 1964*</t>
  </si>
  <si>
    <t>Clausholmvej 306, 308 og 310</t>
  </si>
  <si>
    <t xml:space="preserve"> Clausholm</t>
  </si>
  <si>
    <t xml:space="preserve"> Den femfløjede hovedbygning (1693-1701 af Ernst Brandenburger og Nicodemus den yngre Tessin, sydfløjene 1722-23 af Johan Daniel Planitz) medomgivende grave og trefløjede staldgård (1600-tallet)</t>
  </si>
  <si>
    <t>Clausholmvej 316</t>
  </si>
  <si>
    <t xml:space="preserve"> Avlsgården</t>
  </si>
  <si>
    <t xml:space="preserve"> Syd- og østlængerne (1686, 1731 og 1737)</t>
  </si>
  <si>
    <t>Faurskovvej 22</t>
  </si>
  <si>
    <t xml:space="preserve"> Favrskov</t>
  </si>
  <si>
    <t xml:space="preserve"> Hovedbygningen (antagelig 1750)</t>
  </si>
  <si>
    <t>Lyngåvej 85</t>
  </si>
  <si>
    <t xml:space="preserve"> Lyngå Præstegård</t>
  </si>
  <si>
    <t xml:space="preserve"> Stuehuset (1799), den tidl staldbygning, gårdspladsen og haven</t>
  </si>
  <si>
    <t>Pøt Møllevej 15</t>
  </si>
  <si>
    <t xml:space="preserve"> Frijsenborg</t>
  </si>
  <si>
    <t xml:space="preserve"> Den trefløjede hovedbygning (1500-tallet og senere, totalt ombygget 1862-82 af Ferdinand Meldahl)</t>
  </si>
  <si>
    <t>Sallvej 1</t>
  </si>
  <si>
    <t xml:space="preserve"> Dommergården</t>
  </si>
  <si>
    <t xml:space="preserve"> Den som birkedommerbolig og dommerkontor opførte bygning (ca 1850) medsenere tilbygning mod vest samt haven</t>
  </si>
  <si>
    <t>Søbygårdsvej 102</t>
  </si>
  <si>
    <t xml:space="preserve"> Søbygård</t>
  </si>
  <si>
    <t xml:space="preserve"> Hovedbygningen (1810) med nyere sidefløj</t>
  </si>
  <si>
    <t>Ulstrup Skovvej 20-22</t>
  </si>
  <si>
    <t xml:space="preserve"> Ulstrup</t>
  </si>
  <si>
    <t xml:space="preserve"> Ulstrup. Den trelængede hovedbygning med muren mod vest (nordfløj 1591, de øvrige fløje 1617 ff, delvis ombygget 1766) samt avlsgårdens lade, nord- og sydlænge (1688 ff) tillige med de mellem avlsgård og hovedbygning liggende grave med vandtrapper og granitklædt gennemførsel samt de tre fiskedamme med tilhørende vandtrapper beliggende nord for UlstrupHovedgård.</t>
  </si>
  <si>
    <t xml:space="preserve"> Udvidet 2011*</t>
  </si>
  <si>
    <t>Østergårdsvej 5</t>
  </si>
  <si>
    <t xml:space="preserve"> Østergård</t>
  </si>
  <si>
    <t xml:space="preserve"> Stuehuset med lukket veranda og granittrappe, den trempelbyggede ko- og kalvestald, den trempelbyggede staldlænge med hestestald og vognport, agerumsladen (1839-40) samt murene der forbinder agerumsladen med de to staldlænger. Endvidere kornmagasinbygningen ogherskabsstalden (1904)</t>
  </si>
  <si>
    <t>Faxe Kommune</t>
  </si>
  <si>
    <t>Blåbækvej 3</t>
  </si>
  <si>
    <t xml:space="preserve"> Blåbæk Vindmølle</t>
  </si>
  <si>
    <t xml:space="preserve"> Vindmøllen (1828)</t>
  </si>
  <si>
    <t>Blåbækvej 5</t>
  </si>
  <si>
    <t xml:space="preserve"> Blåbæk Vandmølle</t>
  </si>
  <si>
    <t xml:space="preserve"> Blåbæk Vandmølle. Det firelængede anlæg (1838) med udløberlænger i nord og øst samt møllesøen, vejdæmningen mellem møllesø og møllehuset, broen over tilløbet til møllen med stensætninger på begge sider, frislusen med stigbord, stensætning og kammertrappe, malekarm med sluse, slisker og stensætninger, fraløbsrenden med stensætninger samt brolægningen på gårdspladsen</t>
  </si>
  <si>
    <t>* Udvidet 2011</t>
  </si>
  <si>
    <t>Gisselfeldvej 3-5</t>
  </si>
  <si>
    <t xml:space="preserve"> Gisselfeld</t>
  </si>
  <si>
    <t xml:space="preserve"> Gisselfeld, bestående af hovedbygningen (1547-75, ombygget i 1860erne af J. D. Herholdt og 1911-15 af Martin Borch), den nordøstlige sidefløj, kaldet Grev Knuths Hus (1689, ombygget antageligt i 1870erne) samt paradedrivhuset (1876 af J. D. Herholdt, ombygget 1894 af Hans J. Holm)</t>
  </si>
  <si>
    <t>Kildevej 1 A</t>
  </si>
  <si>
    <t xml:space="preserve"> Kirkeladen ved Karise Kirke</t>
  </si>
  <si>
    <t xml:space="preserve"> Kirkeladen (omkring 1500)</t>
  </si>
  <si>
    <t>Kirkevej 7</t>
  </si>
  <si>
    <t xml:space="preserve"> Jomfruens Egede</t>
  </si>
  <si>
    <t xml:space="preserve"> Sydfløjen (ca 1500-1550, forlænget mod vest og stærkt ombygget 1797 af C. F. Harsdorff) med den dertil stødende tværbygning (1797 af C.F.Harsdorff) samt nordfløjen (antagelig 1636, senere ombygget) og den nord- og sydfløjen forbindende mur foran kirken</t>
  </si>
  <si>
    <t>Lystrupvej 9</t>
  </si>
  <si>
    <t xml:space="preserve"> Lystrup</t>
  </si>
  <si>
    <t xml:space="preserve"> Hovedbygningen (1579)</t>
  </si>
  <si>
    <t xml:space="preserve"> Bregentved</t>
  </si>
  <si>
    <t xml:space="preserve"> Udvidet 1964, Udvidet 1978, Udvidet 1997</t>
  </si>
  <si>
    <t>Nordhøjvej 6</t>
  </si>
  <si>
    <t xml:space="preserve"> Prins Carls Skole</t>
  </si>
  <si>
    <t xml:space="preserve"> Bindingsværkshuset (1719)</t>
  </si>
  <si>
    <t>Nørregade 9</t>
  </si>
  <si>
    <t xml:space="preserve"> Rasmus Svendsens Skole</t>
  </si>
  <si>
    <t xml:space="preserve"> Bindingsværkshuset (1641) med senere tilføjelser i nord og sydsamt husets omgivende brolægning</t>
  </si>
  <si>
    <t>Rosendalvej 3</t>
  </si>
  <si>
    <t xml:space="preserve"> Rosendal</t>
  </si>
  <si>
    <t xml:space="preserve"> Hovedbygningen (1847-49 af Gottlieb Bindesbøll) med sidefløje (1600-tallet),grave (ca 1560) og den nord for hovedbygningen liggende avlsgård</t>
  </si>
  <si>
    <t>Strandvejen 98</t>
  </si>
  <si>
    <t xml:space="preserve"> Fakse Ladeplads</t>
  </si>
  <si>
    <t xml:space="preserve"> Den trelængede gård med udhus</t>
  </si>
  <si>
    <t>Turebyholmvej 14 og 18</t>
  </si>
  <si>
    <t xml:space="preserve"> Turebyholm</t>
  </si>
  <si>
    <t xml:space="preserve"> Hovedbygningen (1750 af Niels Eigtved), Ishuset, mnr 3;iskælderen med det derover byggede lysthus (1700-tallet)</t>
  </si>
  <si>
    <t>Vindbyholtvej 36 A-36 B</t>
  </si>
  <si>
    <t xml:space="preserve"> Roholte Gamle Skole</t>
  </si>
  <si>
    <t xml:space="preserve"> Roholte Gamle Skole, (1907, formentlig arkitekt Jens Ingwersen) bestående af den toetages skolefløj og den enetages længe med lærerbolig</t>
  </si>
  <si>
    <t>Fredensborg Kommune</t>
  </si>
  <si>
    <t>Bakkedraget 1-79</t>
  </si>
  <si>
    <t xml:space="preserve"> Fredensborghusene</t>
  </si>
  <si>
    <t xml:space="preserve"> Ejendommens bygninger, friarealer, haveanlæg, tilkørselsveje,pladser og stier (1963 af Jørn Utzon)</t>
  </si>
  <si>
    <t>Helsingørsvej 3</t>
  </si>
  <si>
    <t xml:space="preserve"> Michael Rosings Minde</t>
  </si>
  <si>
    <t xml:space="preserve"> Villaen (1873 af J.D.Herholdt)</t>
  </si>
  <si>
    <t>Højsagervej 8</t>
  </si>
  <si>
    <t xml:space="preserve"> Højsager Mølle</t>
  </si>
  <si>
    <t xml:space="preserve"> Vindmøllen (1870)</t>
  </si>
  <si>
    <t>Kirkeltevej 161 C</t>
  </si>
  <si>
    <t xml:space="preserve"> Karlebo Mølle</t>
  </si>
  <si>
    <t xml:space="preserve"> Vindmøllen (1835)</t>
  </si>
  <si>
    <t>Krogerupvej 13</t>
  </si>
  <si>
    <t xml:space="preserve"> Krogerup</t>
  </si>
  <si>
    <t xml:space="preserve"> Hovedbygningen (1779, ombygget 1837)</t>
  </si>
  <si>
    <t>Kronprinsensvej 3</t>
  </si>
  <si>
    <t xml:space="preserve"> Jægergården</t>
  </si>
  <si>
    <t xml:space="preserve"> Forhuset (1737)</t>
  </si>
  <si>
    <t>Passagen 2</t>
  </si>
  <si>
    <t xml:space="preserve"> Passagen 2</t>
  </si>
  <si>
    <t>Slotsgade 1</t>
  </si>
  <si>
    <t xml:space="preserve"> Store Kros Rejsestald</t>
  </si>
  <si>
    <t xml:space="preserve"> Forhuset (1722-23)</t>
  </si>
  <si>
    <t>Slotsgade 11</t>
  </si>
  <si>
    <t xml:space="preserve"> Frømagasinet, Havremagasinet</t>
  </si>
  <si>
    <t xml:space="preserve"> Magasinbygningen (1757 af Lauritz de Thurah)</t>
  </si>
  <si>
    <t>Slotsgade 19</t>
  </si>
  <si>
    <t xml:space="preserve"> Kildehøj</t>
  </si>
  <si>
    <t xml:space="preserve"> Hovedbygningen (ca 1760 af Andreas Pfützner)</t>
  </si>
  <si>
    <t>Slotsgade 20</t>
  </si>
  <si>
    <t xml:space="preserve"> Birkedommergården, Terrasserne</t>
  </si>
  <si>
    <t xml:space="preserve"> Hovedbygningen (1855 af N.S.Nebelong)</t>
  </si>
  <si>
    <t>Slotsgade 21</t>
  </si>
  <si>
    <t xml:space="preserve"> Dorothealyst</t>
  </si>
  <si>
    <t xml:space="preserve"> Forhuset (ca 1760 af Andreas Pfützner)</t>
  </si>
  <si>
    <t>Slotsgade 23</t>
  </si>
  <si>
    <t xml:space="preserve"> Lille Rolighed</t>
  </si>
  <si>
    <t xml:space="preserve"> Forhus og udhus (1777 med senere tilføjelser) samt Catrine Marie Møllersgravmonument (1811, genopstillet 1962)</t>
  </si>
  <si>
    <t>Slotsgade 2 A</t>
  </si>
  <si>
    <t xml:space="preserve"> Villa Gallina</t>
  </si>
  <si>
    <t xml:space="preserve"> Forhuset (1757, facaden senere)</t>
  </si>
  <si>
    <t>Slotsgade 9</t>
  </si>
  <si>
    <t xml:space="preserve"> Bournonville</t>
  </si>
  <si>
    <t xml:space="preserve"> Hovedbygningen (1761)</t>
  </si>
  <si>
    <t>Slottet 1-15 og Skipperallé 6</t>
  </si>
  <si>
    <t xml:space="preserve"> Fredensborg Slot</t>
  </si>
  <si>
    <t xml:space="preserve"> "Hovedbygningen (1720-24 af Johan Cornelius Krieger, forhøjet 1741-43 af Lauritz de Thurah, ombygget og fire hjørnepavilloner tilføjet 1753 af Lauritz de Thurah og Niels Eigtved, atter ombygget 1774-76 af C.F. Harsdorff; ""Ottekanten"" 1720-22, forhøjet med en etage og helt ombygget 1774-75 af C.F. Harsdorff; kirken med tilstødende fløje nord for ridebanen 1725-27 af Johan Cornelius Krieger; kavalerbygningen syd for ridebanen 1731-32 af Johan Cornelius Krieger).Skipperhuset (1725-26 af Johan Cornelius Krieger, ombygget 1804 og 1866-67) samt monumenterne islotshaven (1760-69 af Johan Cornelius Grund og Johannes Wiedewelt)</t>
  </si>
  <si>
    <t>Teglværksvej 23, tidl Gammel Strandvej 10</t>
  </si>
  <si>
    <t xml:space="preserve"> Nivågaard Teglværk</t>
  </si>
  <si>
    <t xml:space="preserve"> Ringovnen (1864)</t>
  </si>
  <si>
    <t>Fredericia Kommune</t>
  </si>
  <si>
    <t>Danmarksgade 61</t>
  </si>
  <si>
    <t xml:space="preserve"> Den tidligere provstegård</t>
  </si>
  <si>
    <t xml:space="preserve"> Forhuset (ca 1770, facaden retableret 1976) og sidehuset modKongensstræde</t>
  </si>
  <si>
    <t>Dronningensgade 68</t>
  </si>
  <si>
    <t xml:space="preserve"> Reformert Præstegård (tidl)</t>
  </si>
  <si>
    <t xml:space="preserve"> Forhuset (1798) samt muren mod Dronningensgade</t>
  </si>
  <si>
    <t xml:space="preserve"> Udvidet 1973*</t>
  </si>
  <si>
    <t>Dronningensgade 87</t>
  </si>
  <si>
    <t xml:space="preserve"> Reformert Skole</t>
  </si>
  <si>
    <t xml:space="preserve"> Skolebygningen (1820-21) med tilbygning</t>
  </si>
  <si>
    <t>Dronningensgade 87 B</t>
  </si>
  <si>
    <t xml:space="preserve"> Reformert Kirke</t>
  </si>
  <si>
    <t xml:space="preserve"> Kirken (1735, ombygget i 1850'erne) og kirkegårdsmurene modDronningensgade og Sjællandsgade</t>
  </si>
  <si>
    <t>Fuglsangvej 28</t>
  </si>
  <si>
    <t xml:space="preserve"> Frederik VII's Pavillon i Fuglsang Skov</t>
  </si>
  <si>
    <t xml:space="preserve"> Pavillonen (1830'rne)</t>
  </si>
  <si>
    <t>Gammelby Møllevej 62</t>
  </si>
  <si>
    <t xml:space="preserve"> Gammelby Vandmølle</t>
  </si>
  <si>
    <t xml:space="preserve"> Møllen (1827) og stuehuset (1837)</t>
  </si>
  <si>
    <t>Gothersgade 34</t>
  </si>
  <si>
    <t xml:space="preserve"> Tøjhuset, Fredericia</t>
  </si>
  <si>
    <t xml:space="preserve"> Tøjhusbygningen (1853) med omgivende brolægning samthegnsmuren mod Gothersgade</t>
  </si>
  <si>
    <t>Herslev Bygade 8 og 8 A</t>
  </si>
  <si>
    <t xml:space="preserve"> Herslev Præstegård</t>
  </si>
  <si>
    <t xml:space="preserve"> Stuehuset med tilstødende sidelænger i vest og øst (ca 1700, ombygget 1804), den tidl forpagterbolig (1824), den fritliggende vognport (ca 1850) samt haven oggårdspladsen</t>
  </si>
  <si>
    <t>Kirkestræde 3</t>
  </si>
  <si>
    <t xml:space="preserve"> Bruuns Pakhus</t>
  </si>
  <si>
    <t xml:space="preserve"> Pakhuset (1820'rne)</t>
  </si>
  <si>
    <t>Kongensgade 15</t>
  </si>
  <si>
    <t xml:space="preserve"> Kongensgade 15</t>
  </si>
  <si>
    <t xml:space="preserve"> Forhus, sidehus og tværhus (ca 1850) tillige med gårdspladsen</t>
  </si>
  <si>
    <t>Kongensgade 25</t>
  </si>
  <si>
    <t xml:space="preserve"> Nordstjernen</t>
  </si>
  <si>
    <t xml:space="preserve"> Forhuset (ca 1660)</t>
  </si>
  <si>
    <t>Kongensgade 9</t>
  </si>
  <si>
    <t xml:space="preserve"> Gades Gård</t>
  </si>
  <si>
    <t xml:space="preserve"> Stuehuset samt ladebygningen ud mod Kongensgade (begge ca 1730)</t>
  </si>
  <si>
    <t>Kringsmindevej 9</t>
  </si>
  <si>
    <t xml:space="preserve"> Kringsminde</t>
  </si>
  <si>
    <t xml:space="preserve"> Det firelængede gårdanlæg (1856-57) med udbygninger samtgårdspladsens brolægning</t>
  </si>
  <si>
    <t>Prinsensgade 39 A-B</t>
  </si>
  <si>
    <t xml:space="preserve"> Prinsensgade 39 A-B</t>
  </si>
  <si>
    <t xml:space="preserve"> Forhusbebyggelsen mod Prinsensgade (slutn af 1600-tallet og senere) og Kongensstræde (ca 1770-1827, senere ombygget) samt gårdspladsens brolægning</t>
  </si>
  <si>
    <t>Prinsessegade 10</t>
  </si>
  <si>
    <t xml:space="preserve"> Thiellesens Hus</t>
  </si>
  <si>
    <t xml:space="preserve"> Forhuset (1715)</t>
  </si>
  <si>
    <t>Prinsessegade 12</t>
  </si>
  <si>
    <t xml:space="preserve"> Prinsessegade 12</t>
  </si>
  <si>
    <t>Sjællandsgade 48</t>
  </si>
  <si>
    <t xml:space="preserve"> Sankt Knuds Kirke</t>
  </si>
  <si>
    <t xml:space="preserve"> Kirkebygningen (1767, udvidet mod øst 1848 og mod vest 1872,tårn 1865) og den dermed sammenbyggede skolebygning (1848)</t>
  </si>
  <si>
    <t>Slesvigsgade 2, Vester Voldgade</t>
  </si>
  <si>
    <t xml:space="preserve"> Mosaisk Begravelsesplads</t>
  </si>
  <si>
    <t xml:space="preserve"> De to adskilte begravelsespladser medmonumenter, gravsten og gravplader, vågehuset mod Slesvigsgade samt hegnsmure med portaler (anlagt ca 1700)</t>
  </si>
  <si>
    <t>Stallerupvej 43 A</t>
  </si>
  <si>
    <t xml:space="preserve"> Ødstedgård</t>
  </si>
  <si>
    <t xml:space="preserve"> Hovedbygningen (slutn af 1600-tallet, fuldstændig ombygget ca 1790) ogde to pavilloner i syd og nord med forbindende mure</t>
  </si>
  <si>
    <t>Ved Prinsens Port, inden for voldene</t>
  </si>
  <si>
    <t xml:space="preserve"> Landsoldaten</t>
  </si>
  <si>
    <t xml:space="preserve"> Statuen (1852-58 af H.W. Bissen)</t>
  </si>
  <si>
    <t>Vejlby Kirkevej 55</t>
  </si>
  <si>
    <t xml:space="preserve"> Egeskov Kirkegård, Den Bruunske Pavillon</t>
  </si>
  <si>
    <t xml:space="preserve"> Den Bruunske Pavillon og tomindestøtter (1804)</t>
  </si>
  <si>
    <t>Vendersgade 30D, tidl Sjællandsgade 19</t>
  </si>
  <si>
    <t xml:space="preserve"> Ting- og Arresthuset</t>
  </si>
  <si>
    <t xml:space="preserve"> Den opr. som rådhus opførte bygningmed hegnsmur (1859-61 af Ferdinand Meldahl)</t>
  </si>
  <si>
    <t>Vendersgade 32, hj af Sjællandsgade</t>
  </si>
  <si>
    <t xml:space="preserve"> Hans de Hofmans Gård</t>
  </si>
  <si>
    <t xml:space="preserve"> Forhuset (1760)</t>
  </si>
  <si>
    <t xml:space="preserve"> Vendersgade 63</t>
  </si>
  <si>
    <t xml:space="preserve"> Kraches Gård</t>
  </si>
  <si>
    <t>Voldterrænet omkring Fredericia</t>
  </si>
  <si>
    <t xml:space="preserve"> Fredericia Fæstning</t>
  </si>
  <si>
    <t xml:space="preserve"> Den som fortidsminde fredlyste del af voldterrænet samt vold og grav fra Sjællandsgadegennemskæringen til den gl. jernbaneskæring, herunder den på det Statsbanerne tilhørende umatrikulerede areal beliggende Holsten Bastions Flanke; endvidere den resterende del af Østervold med Kastellet (1652 ff af Gottfried Hoffmann, 1660'erne af Henrick Ruse) samt mnr 743: Hovedvagten (1736); mnr 744: Kongens portvagt (1700-tallet); mnr 736a og 737a: Prinsens Port (1752); mnr 742: Krudttårnet på Østervold (1675 og 1746) og Krudtmagasinet i Kastellet (1857 af oberstJCV Steenstrup)</t>
  </si>
  <si>
    <t xml:space="preserve"> Udvidet 1979</t>
  </si>
  <si>
    <t xml:space="preserve">Frederiksberg Kommune </t>
  </si>
  <si>
    <t>Allégade 22 A, C, D, E</t>
  </si>
  <si>
    <t xml:space="preserve"> Ludvigs Minde</t>
  </si>
  <si>
    <t xml:space="preserve"> Forhuset, de tre sidebygninger samt muren mellem forhuset og det nordligste sidehus (ca 1790), forhaven, indkørslen, gårdspladsen og baghaven</t>
  </si>
  <si>
    <t xml:space="preserve"> Udvidet 1983*</t>
  </si>
  <si>
    <t>Allégade 4</t>
  </si>
  <si>
    <t xml:space="preserve"> Allégade 4</t>
  </si>
  <si>
    <t xml:space="preserve"> Forhuset med sidehus (ca 1850)</t>
  </si>
  <si>
    <t>Allégade 5</t>
  </si>
  <si>
    <t xml:space="preserve"> Allégade 5</t>
  </si>
  <si>
    <t xml:space="preserve"> Forhuset (1860)</t>
  </si>
  <si>
    <t>Allégade 6 A-D</t>
  </si>
  <si>
    <t xml:space="preserve"> Møllmanns landsted</t>
  </si>
  <si>
    <t xml:space="preserve"> Havehuset (1750-53 formentlig af Philip de Lange) forhus medsidehuse (ca 1794, ombygget 1852)</t>
  </si>
  <si>
    <t xml:space="preserve"> Udvidet 1978*</t>
  </si>
  <si>
    <t>Allégade 8 A</t>
  </si>
  <si>
    <t xml:space="preserve"> Allégade 8 A</t>
  </si>
  <si>
    <t xml:space="preserve"> Forhuset (1866 af J. E. Lampe)</t>
  </si>
  <si>
    <t>Allégade 8 D og E (tidl 8 B)</t>
  </si>
  <si>
    <t xml:space="preserve"> Allégade 8 D-E</t>
  </si>
  <si>
    <t>Andebakkesti 5</t>
  </si>
  <si>
    <t xml:space="preserve"> Møstings Hus</t>
  </si>
  <si>
    <t xml:space="preserve"> Hovedbygningen (1801, tidl Smallegade 2B, genopført på nuværendested 1975-77)</t>
  </si>
  <si>
    <t>Bülowsvej 17, Grønnegårdsvej 8 og 10 (tidl Bülowsvej 13)</t>
  </si>
  <si>
    <t xml:space="preserve"> Den Kongelige Veterinær- og Landbohøjskole</t>
  </si>
  <si>
    <t xml:space="preserve"> Landbohøjskolens hovedbygning, bestående af det trefløjede anlæg med pergola (1856- 58 af Gottlieb Bindesbøll), den fjerde fløj mod Bülowsvej (1895 af J. E. Gnudtzmann), det brolagte gårdrum mellem fløjene samt de to fritliggende længer (1856-58 af Gottlieb Bindesbøll) vest for hovedbygningen.</t>
  </si>
  <si>
    <t xml:space="preserve"> Udv 2000</t>
  </si>
  <si>
    <t>Dronning Olgas Vej 17</t>
  </si>
  <si>
    <t xml:space="preserve"> Dronning Olgas Vej 17</t>
  </si>
  <si>
    <t xml:space="preserve"> Villaen (1887 af Niels Rasmussen og S. F.Schougaard) og garagen (1911)</t>
  </si>
  <si>
    <t>Dronning Olgas Vej 19</t>
  </si>
  <si>
    <t xml:space="preserve"> Dronning Olgas Vej 19</t>
  </si>
  <si>
    <t xml:space="preserve"> Villaen (1887 af Niels Rasmussen og S. F.Schougaard) </t>
  </si>
  <si>
    <t>Duevej 63</t>
  </si>
  <si>
    <t xml:space="preserve"> Skolen på Duevej</t>
  </si>
  <si>
    <t xml:space="preserve"> Hovedbygningen, gymnastiksalen, inspektørboligen og skolegården medtilhørende mure (1905-06 af Valdemar Schmidt)</t>
  </si>
  <si>
    <t>Finsensvej 76 B</t>
  </si>
  <si>
    <t xml:space="preserve"> Målerhuset</t>
  </si>
  <si>
    <t xml:space="preserve"> Målerhuset (1895)</t>
  </si>
  <si>
    <t xml:space="preserve">Frederiksberg Allé </t>
  </si>
  <si>
    <t xml:space="preserve"> Frederiksberg Allé, Sankt Thomas Plads og Frederiksberg Runddel</t>
  </si>
  <si>
    <t xml:space="preserve"> Det selvstændige landskabsarkitektoniske værk Frederiksberg Allé (1704), inkl Sankt Thomas Plads ogFrederiksberg Runddel (ca 1650)</t>
  </si>
  <si>
    <t>Frederiksberg Allé 104, hj af Allégade</t>
  </si>
  <si>
    <t xml:space="preserve"> Frederiksberg Allé 104</t>
  </si>
  <si>
    <t xml:space="preserve"> Hjørnebygningen (1871 af JohanSchrøder)</t>
  </si>
  <si>
    <t>Frederiksberg Bredegade 13 A</t>
  </si>
  <si>
    <t xml:space="preserve"> Hassagers Kollegium</t>
  </si>
  <si>
    <t xml:space="preserve"> Forhuset (1804-06 af J.  Boye Junge)</t>
  </si>
  <si>
    <t>Frederiksberg Bredegade 13 B</t>
  </si>
  <si>
    <t>4. Maj Kollegiet</t>
  </si>
  <si>
    <t xml:space="preserve"> Den tre-fløjede kollegiebygning (1949-51 af HansHansen)</t>
  </si>
  <si>
    <t>Frederiksberg Runddel 1 A, 3 A, Søndre Fasanvej 73-75</t>
  </si>
  <si>
    <t xml:space="preserve"> Frederiksberg Have</t>
  </si>
  <si>
    <t xml:space="preserve"> Apistemplet (1802-04 af Nicolai Abildgaard), Fasangården (1723-24 af Johan Cornelius Krieger, ombygget 1827 af Jørgen Hansen Koch), det kinesiske hus (1799-1800 af Andreas Kirkerup), Kavalerbygningerne og indgangen fra Frederiksberg Runddel (1744 af Niels Eigtved, 1755-56 af Lauritz de Thurah) Frederik VI's statue (1855-58af H.W. Bissen) samt Schweizerhuset (1800-01 af Nicolai Abildgaard)</t>
  </si>
  <si>
    <t xml:space="preserve">Frederiksberg Runddel 3 D-F. </t>
  </si>
  <si>
    <t>Materialgården</t>
  </si>
  <si>
    <t xml:space="preserve"> Det trelængede, enetages, gulkalkede anlæg(slutningen af 1700-tallet og senere), gårdens brolægning samt hegnsmuren langs Runddelens nordside</t>
  </si>
  <si>
    <t>Godthåbsvej 79 A-B</t>
  </si>
  <si>
    <t xml:space="preserve"> Store Godthåb</t>
  </si>
  <si>
    <t xml:space="preserve"> Hovedbygningen (1770), gartnerboligen (1792), staldbygningen (ca1850) samt gårdspladsens brolægning</t>
  </si>
  <si>
    <t>H.C. Ørsteds Vej 54</t>
  </si>
  <si>
    <t xml:space="preserve"> Etagehuset (1939 af Edvard Thomsen og Christen Ostenfeld) med følgende nagelfast inventar:"Den amerikanske seng" i lejlighed nr 6. Køkkenbordet med indbygget strygebræt under bordpladen i lejlighederne nr 2, 3, 4, 5, 6, 7 og 8, samt med indbygget skærebræt under bordpladen til venstre for vasken i lejlighederne 3, 4 og 5. Køkkenoverskabet med glasskuffer forneden i lejlighederne nr 3, 4 og 6. Lampen over køkkenoverskab i lejlighederne nr 3, 5 og 6. Mælkelugen i lejlighednr 4 og nr 5.</t>
  </si>
  <si>
    <t>Howitzvej 30-32</t>
  </si>
  <si>
    <t xml:space="preserve"> Frederiksberg Domhus</t>
  </si>
  <si>
    <t xml:space="preserve"> Domhuset (1919-21 af Hack Kampmann, fuldendt af Kaj Gottlob) og den foranliggende plads med dens belægning, græsbevoksning, bassin med skulptur samt de to kolonnader henholdsvis mod nord og mod syd tillige med stakittet, der afslutter gårdrummet mod vest</t>
  </si>
  <si>
    <t>Nordre Fasanvej 78-82 og Guldborgvej 25-27</t>
  </si>
  <si>
    <t xml:space="preserve"> Det grønne Funkishus</t>
  </si>
  <si>
    <t xml:space="preserve"> Etageboligbebyggelserne påNordre Fasanvej 78-82 med de hækkransede forhaver samt pendanten på Guldborgvej 25-27 (Opført i 1932, arkitekt Hans Dahlerup Berthelsen)</t>
  </si>
  <si>
    <t>P. Andersensvej 3</t>
  </si>
  <si>
    <t xml:space="preserve"> P. Andersens Vandtårn. Vandtårnet (1877 af Vilhelm Tvede)</t>
  </si>
  <si>
    <t>Pile Allé 1</t>
  </si>
  <si>
    <t xml:space="preserve"> Frederiksberg Præstegård</t>
  </si>
  <si>
    <t xml:space="preserve"> Præstegården (1825) med senere tilbygning</t>
  </si>
  <si>
    <t>Pile Allé 10-12</t>
  </si>
  <si>
    <t xml:space="preserve"> Hansens gamle Familiehave</t>
  </si>
  <si>
    <t xml:space="preserve"> Bindingsværksbygningen (ca 1800)</t>
  </si>
  <si>
    <t>Pile Allé 16-18</t>
  </si>
  <si>
    <t xml:space="preserve"> M. G. Petersens Familiehave og Krøgers Have</t>
  </si>
  <si>
    <t>Pile Allé 2</t>
  </si>
  <si>
    <t xml:space="preserve"> Pile Allé 2</t>
  </si>
  <si>
    <t xml:space="preserve"> Hjørnebygningen (1863 og senere) med hegnsmuren langs Runddelens sydside</t>
  </si>
  <si>
    <t>Pile Allé 4</t>
  </si>
  <si>
    <t xml:space="preserve"> Brøndsalen</t>
  </si>
  <si>
    <t xml:space="preserve"> Brøndsalsbygningen (ca 1880)</t>
  </si>
  <si>
    <t>Pile Allé 6-8</t>
  </si>
  <si>
    <t xml:space="preserve"> Pile Allé 6-8</t>
  </si>
  <si>
    <t>Rahbeks Allé 21</t>
  </si>
  <si>
    <t xml:space="preserve"> Rahbeks Allé 21</t>
  </si>
  <si>
    <t xml:space="preserve"> Den som åndssvageanstalt opførte bygning (1859-60 af FerdinandMeldahl)</t>
  </si>
  <si>
    <t>Rahbeks Allé 23</t>
  </si>
  <si>
    <t xml:space="preserve"> Bakkehuset</t>
  </si>
  <si>
    <t xml:space="preserve"> Vinkelbygningen (ca 1764, muligvis af Johan Christian Conradi og senere) og mindestøtten for Kamma og Knud Lyne Rahbek (1833 af G.F. Hetsch og Hermann Ernst Freund)</t>
  </si>
  <si>
    <t xml:space="preserve"> Udvidet 1977*</t>
  </si>
  <si>
    <t>Rolighedsvej 21</t>
  </si>
  <si>
    <t xml:space="preserve"> Rolighed, Mariendal (tidl)</t>
  </si>
  <si>
    <t xml:space="preserve"> Hovedbygningen (ca 1770) og bygningerne omkring gårdspladsen nord for denne samt haven, indkørselsalléen og gårdspladsen, inkl træer og ældrebelægninger, samt belægningerne omkring udlængerne</t>
  </si>
  <si>
    <t>Rolighedsvej 23</t>
  </si>
  <si>
    <t xml:space="preserve"> Københavns Sygehjem</t>
  </si>
  <si>
    <t xml:space="preserve"> Hovedfløjen mod Rolighedsvej med tre tværfløje mod nord(1857-59 af H.C. Stilling, midterfløjen mod nord tilføjet 1877-78)</t>
  </si>
  <si>
    <t>Rosenørns Allé 22</t>
  </si>
  <si>
    <t xml:space="preserve"> Radiohuset</t>
  </si>
  <si>
    <t xml:space="preserve"> Hovedbygningen (høj fløj, 1938-41, forhøjet med en overbygning på en etage 1955-56), hovedbygningen (lav fløj, 1938-41), rådsfløj (1938-45), fjernsynsbygning (ny fløj, 1955-56), studieblok (gammel studieblok med taghave, 1938-41), koncertstudie (studie 1, 1939-45), studieblok (ny studieblok med taghave, 1955-56) samt Lysgården, Kongegården og det til mnr 19be hørende fortovsareal ud til Julius Thomsensgade og Rosenørns Allé (det samlede anlæg af Vilhelm Lauritzen, studieblokkenstaghave af GN Brandt)</t>
  </si>
  <si>
    <t>Roskildevej 26, 26 A og 28</t>
  </si>
  <si>
    <t xml:space="preserve"> Frederiksberg Slot og Lakajgården</t>
  </si>
  <si>
    <t xml:space="preserve"> Slottet (1699-1703 af Wilhelm Friedrich von Platen og Johan Conrad Ernst, stærkt ombygget og udvidet 1708-09; de lidt lavere fløje omkring gården opført 1733-38 af Lauritz de Thurah; porthuset (1704 formentlig Johan Conrad Ernst, ombygget 1829 af Jørgen Hansen Koch), lakajgårdens tre fløje og brolægningen samt løngangen (1720'rne af JohanConrad Ernst)</t>
  </si>
  <si>
    <t xml:space="preserve"> Udvidet 1977</t>
  </si>
  <si>
    <t>Schønbergsgade 15</t>
  </si>
  <si>
    <t xml:space="preserve"> Schønbergsgade 15</t>
  </si>
  <si>
    <t xml:space="preserve"> Forhuset (1857 af H.C. Stilling)</t>
  </si>
  <si>
    <t>Solbjergvej 6, 8 og 10</t>
  </si>
  <si>
    <t xml:space="preserve"> Frederiksberg Station</t>
  </si>
  <si>
    <t xml:space="preserve"> Den gl. hovedbygning, toilet- og pakhusbygningen medforbindelsesmure og den tidl stationsforstanderbolig (1864 og 1870 af V.C.H.Wolf)</t>
  </si>
  <si>
    <t>Steen Blichers Vej 25</t>
  </si>
  <si>
    <t xml:space="preserve"> Den Kongelige Porcelænsfabriks tidl direktørbolig</t>
  </si>
  <si>
    <t xml:space="preserve"> Den Kongelige Porcelænsfabrikstidligere direktørbolig med tilhørende terrasse (opført 1905 af Anton Rosen)</t>
  </si>
  <si>
    <t>Valby Langgade 2, Søndermarken</t>
  </si>
  <si>
    <t xml:space="preserve"> Det Norske Hus</t>
  </si>
  <si>
    <t xml:space="preserve"> Bjælkehuset (1787)</t>
  </si>
  <si>
    <t>Vodroffsvej 10</t>
  </si>
  <si>
    <t xml:space="preserve"> Vodroffsvej 10</t>
  </si>
  <si>
    <t xml:space="preserve"> Villaen (1865 af J.W.Frohne),atelierbygningen (1882 af Johan Schrøder)og haven.</t>
  </si>
  <si>
    <t>Vodroffsvej 2 A-B</t>
  </si>
  <si>
    <t xml:space="preserve"> Vodroffsvej 2 A-B</t>
  </si>
  <si>
    <t xml:space="preserve"> Etageejendommen, betående af to sammenføjede hovedfløje påhenholdsvis fem og seks etager (1929-30 af Kay Fisker og C.F. Møller)</t>
  </si>
  <si>
    <t>Vodroffsvej 51</t>
  </si>
  <si>
    <t xml:space="preserve"> Gymnastikhuset</t>
  </si>
  <si>
    <t xml:space="preserve"> Den vinkelformede hjørnebygning, cykelskur og gårdsplads samtindgangshavelåge (1898 af P.V. Jensen-Klint med dekorationer af Niels Larsen Stevns)</t>
  </si>
  <si>
    <t>Vodroffsvej 8</t>
  </si>
  <si>
    <t xml:space="preserve"> Vodroffsvej 8</t>
  </si>
  <si>
    <t xml:space="preserve"> Villaen (1865 af J.W. Frohne)</t>
  </si>
  <si>
    <t>Frederikshavn Kommune</t>
  </si>
  <si>
    <t>Algade 12</t>
  </si>
  <si>
    <t xml:space="preserve"> Borgmester Hans Grams Gård, Sæby</t>
  </si>
  <si>
    <t xml:space="preserve"> Forhuset og portparti med overligger (1624)</t>
  </si>
  <si>
    <t>Algade 14</t>
  </si>
  <si>
    <t xml:space="preserve"> Sæby tidl Rådhus</t>
  </si>
  <si>
    <t xml:space="preserve"> Forhuset (1848) og dermed sammenbygget sidehus midt på bagsiden</t>
  </si>
  <si>
    <t>Algade 1 B, hj af Søndergade</t>
  </si>
  <si>
    <t xml:space="preserve"> Konsul Ørums Gård, Sæby</t>
  </si>
  <si>
    <t xml:space="preserve"> Forhuset (1600-1700-tallet)</t>
  </si>
  <si>
    <t>Algade 3</t>
  </si>
  <si>
    <t xml:space="preserve"> Claesens Gård, Sæby</t>
  </si>
  <si>
    <t xml:space="preserve"> Forhuset (før 1781, facaden 1834, bagsiden grundmuret1877)</t>
  </si>
  <si>
    <t>Algade 32</t>
  </si>
  <si>
    <t xml:space="preserve"> Algade 32, Sæby</t>
  </si>
  <si>
    <t xml:space="preserve"> Forhuset (1822)</t>
  </si>
  <si>
    <t>Anchersvej 3 og Østre Strandvej 51</t>
  </si>
  <si>
    <t xml:space="preserve"> Brøndums Hotel, Skagen</t>
  </si>
  <si>
    <t xml:space="preserve"> Det firefløjede gårdanlæg (sydlængen1874, ombygget og udvidet mod vest 1892 af Ulrik Plesner, verandaen og vestlængen 1898 af Ulrik Plesner, forbindelsesbygningen og nordlængen af Ulrik Plesner, østlænge 1887)</t>
  </si>
  <si>
    <t>Brøndumsvej 4-6</t>
  </si>
  <si>
    <t xml:space="preserve"> Skagen Museum</t>
  </si>
  <si>
    <t xml:space="preserve"> Havehuset (1700-tallet, ombygget 1850) og atelierbygningen (opført1850 som tørreovnshus)</t>
  </si>
  <si>
    <t>Christian X's vej 82</t>
  </si>
  <si>
    <t xml:space="preserve"> Hakon Børresens Hus, Skagen</t>
  </si>
  <si>
    <t xml:space="preserve"> Beboelseslængen med sidehus (1910 af UlrikPlesner)</t>
  </si>
  <si>
    <t>Damstedvej 39</t>
  </si>
  <si>
    <t xml:space="preserve"> Klitgården, Skagen</t>
  </si>
  <si>
    <t xml:space="preserve"> Det trefløjede, grundmurede bygningsanlæg (1914 efter tegninger afUlrik Plesner for Christian X og Dronning Alexandrine)</t>
  </si>
  <si>
    <t>Dronning Margrethesvej 1-2</t>
  </si>
  <si>
    <t xml:space="preserve"> Bangsbo</t>
  </si>
  <si>
    <t xml:space="preserve"> Den trelængede hovedbygning (1700-tallet) med omgivendevoldgrave samt den store lade (1600-tallet)</t>
  </si>
  <si>
    <t>Fabriciusvej 7</t>
  </si>
  <si>
    <t xml:space="preserve"> Fabriciusvej 7, Skagen</t>
  </si>
  <si>
    <t xml:space="preserve"> Beboelseslængen (ca 1800 og senere)</t>
  </si>
  <si>
    <t>Fiskehuskajen 1-31 og Rødspættevej 2-6</t>
  </si>
  <si>
    <t xml:space="preserve"> Fiskepakhusene, Skagen</t>
  </si>
  <si>
    <t xml:space="preserve"> De fem grupper fiskepakhuse (1904-07 af Thorvald Bindesbøll)</t>
  </si>
  <si>
    <t>Fladstrandsgade 4-6</t>
  </si>
  <si>
    <t xml:space="preserve"> Kommandantboligen</t>
  </si>
  <si>
    <t xml:space="preserve"> Bygningen mod Fladstrandsgade (begyndelsen af 1800-tallet)</t>
  </si>
  <si>
    <t>Frederikshavnsvej 1 og 1 A-B</t>
  </si>
  <si>
    <t xml:space="preserve"> Sæby Vandmølle</t>
  </si>
  <si>
    <t xml:space="preserve"> Møllebygningen med turbinehus (1710) og det vinkelretpå møllen opførte stuehus (ca 1850)</t>
  </si>
  <si>
    <t>Fyrvej 2</t>
  </si>
  <si>
    <t xml:space="preserve"> Det gamle Fyr, Skagen</t>
  </si>
  <si>
    <t xml:space="preserve"> Fyrtårnet (1746-48 af Philip de Lange, forhøjet 1816)</t>
  </si>
  <si>
    <t>Fyrvej 36</t>
  </si>
  <si>
    <t xml:space="preserve"> Det Grå Fyr, Skagen</t>
  </si>
  <si>
    <t xml:space="preserve"> Fyret og fyrmesterboligen med udhuse (1858 af N.S.Nebelong)</t>
  </si>
  <si>
    <t>Gammel Kirkesti 8</t>
  </si>
  <si>
    <t xml:space="preserve"> Gammel Kirkesti 8, Skagen</t>
  </si>
  <si>
    <t xml:space="preserve"> Villaen og garagen (1926 af Ulrik Plesner)</t>
  </si>
  <si>
    <t>Gammel Torv 18</t>
  </si>
  <si>
    <t xml:space="preserve"> Gammel Torv 18</t>
  </si>
  <si>
    <t xml:space="preserve"> Forhus og udhus (1826) samt gårdhave, plankeværk og hegnsmur iskel</t>
  </si>
  <si>
    <t>Gårdbovej 300</t>
  </si>
  <si>
    <t xml:space="preserve"> Gårdbogård</t>
  </si>
  <si>
    <t xml:space="preserve"> Hovedbygningen (1896 af Martin Borch)</t>
  </si>
  <si>
    <t>Hans Baghsvej 21</t>
  </si>
  <si>
    <t xml:space="preserve"> Holger Drachmanns Hus, Skagen</t>
  </si>
  <si>
    <t xml:space="preserve"> Beboelseshuset (1829) og udhuset</t>
  </si>
  <si>
    <t>Hans Ruthsvej 15</t>
  </si>
  <si>
    <t xml:space="preserve"> Gl. Skagen Båke</t>
  </si>
  <si>
    <t xml:space="preserve"> Sømærket Gl. Skagen Båke (1884)</t>
  </si>
  <si>
    <t>Havnepladsen 9</t>
  </si>
  <si>
    <t xml:space="preserve"> Toldkammeret</t>
  </si>
  <si>
    <t xml:space="preserve"> Hovedbygningen med trappeanlæg, haveanlæggene nord og syd for bygningen samt portpartierne og den brolagte kørebane vest for bygningen (1915 af HackKampmann)</t>
  </si>
  <si>
    <t>Holstsvej 8</t>
  </si>
  <si>
    <t xml:space="preserve"> Holstvej 8, Skagen</t>
  </si>
  <si>
    <t xml:space="preserve"> Det toetages rødstenshus (1907 af Ulrik Plesner)</t>
  </si>
  <si>
    <t>Højensvej 2</t>
  </si>
  <si>
    <t xml:space="preserve"> Højensvej 2</t>
  </si>
  <si>
    <t xml:space="preserve"> Beboelseslængen (ca 1800, flyttet 1822, senere ombygget flere gange)</t>
  </si>
  <si>
    <t>Højensvej 6</t>
  </si>
  <si>
    <t xml:space="preserve"> Højen</t>
  </si>
  <si>
    <t xml:space="preserve"> Beboelseshuset (1917 af Knud V. Engelhardt)</t>
  </si>
  <si>
    <t>Kandestedvej 307</t>
  </si>
  <si>
    <t xml:space="preserve"> Kandestedvej 307</t>
  </si>
  <si>
    <t xml:space="preserve"> Den tolængede gård med udhuslænge (1800 og senere)</t>
  </si>
  <si>
    <t>Klitrosevej 4</t>
  </si>
  <si>
    <t xml:space="preserve"> Klitrosevej 4</t>
  </si>
  <si>
    <t xml:space="preserve"> Beboelseslængen (flyttet til nuværende sted 1826, senere ombygget fleregange)</t>
  </si>
  <si>
    <t>Knudsejevej 4 og 4 A</t>
  </si>
  <si>
    <t xml:space="preserve"> Knudseje</t>
  </si>
  <si>
    <t xml:space="preserve"> Hovedbygningens syd- og østlænge (1710 og senere, ombygget ca 1800), gårdmuren med piller (ca 1800), rækken af lindetræer syd herfor og de bevarede stenbelægningerpå gårdspladsen langs syd- og østfløjen</t>
  </si>
  <si>
    <t xml:space="preserve"> Udv. 2003</t>
  </si>
  <si>
    <t>Kragholmen 2</t>
  </si>
  <si>
    <t xml:space="preserve"> Martellotårnet</t>
  </si>
  <si>
    <t xml:space="preserve"> Krudttårnet (rest af Citadellet Fladstrand opført 1686-87 af AnthonyCoucheron, flyttet 1974-75)</t>
  </si>
  <si>
    <t>Kunstnerstien 5</t>
  </si>
  <si>
    <t xml:space="preserve"> Kunstnerstien 5</t>
  </si>
  <si>
    <t xml:space="preserve"> Det vinkelbyggede stuehus og laden (ca 1800, flyttet 1825 og senereombygget flere gange)</t>
  </si>
  <si>
    <t>Markvej 2</t>
  </si>
  <si>
    <t xml:space="preserve"> Anna og Michael Anchers Hus, Skagen</t>
  </si>
  <si>
    <t xml:space="preserve"> Den sydlige længe (opført mellem 1827 og 1837,udvidet mod vest 1840 og 1860) med tilbygning i nord (1913-14 af Ulrik Plesner)</t>
  </si>
  <si>
    <t>Markvej 4</t>
  </si>
  <si>
    <t xml:space="preserve"> Saxilds Gård, Skagen</t>
  </si>
  <si>
    <t xml:space="preserve"> De to vinkelret på hinanden stående længer (ca 1780, senereombygget, bla 1915 af Ulrik Plesner)</t>
  </si>
  <si>
    <t>Nejsumvej 12</t>
  </si>
  <si>
    <t xml:space="preserve"> Ormholt</t>
  </si>
  <si>
    <t xml:space="preserve"> Hovedbygningen (1854)</t>
  </si>
  <si>
    <t>Nordre Skanse ved Frydenstrand</t>
  </si>
  <si>
    <t xml:space="preserve"> Nordre Skanse</t>
  </si>
  <si>
    <t xml:space="preserve"> Den af fire bastioner med forbindende kurtinerbestående skanse med stensat indgang samt omgivende grav og vold mod kysten (ca 1700)</t>
  </si>
  <si>
    <t>Oddevej 38 A</t>
  </si>
  <si>
    <t xml:space="preserve"> Thagaards Gård, Skagen</t>
  </si>
  <si>
    <t xml:space="preserve"> Stuehuset og stald (slutn af 1700-tallet, flyttet 1797, senereombygget)</t>
  </si>
  <si>
    <t>P. Mønstedsvej 19</t>
  </si>
  <si>
    <t xml:space="preserve"> Sæby Jernkilde</t>
  </si>
  <si>
    <t xml:space="preserve"> Brøndkuranstalten i vinkel og jernpumpen (1887)</t>
  </si>
  <si>
    <t>Rolighedsvej 8</t>
  </si>
  <si>
    <t xml:space="preserve"> Rolighedsvej 8, Skagen</t>
  </si>
  <si>
    <t xml:space="preserve"> Sommerhuset (1916-17 af Ulrik Plesner) med plankeværk og udhus</t>
  </si>
  <si>
    <t>Sankt Laurentiivej 113</t>
  </si>
  <si>
    <t xml:space="preserve"> Det gamle Tinghus, Skagen</t>
  </si>
  <si>
    <t xml:space="preserve"> Forhuset og baghuset (1865)</t>
  </si>
  <si>
    <t>Sankt Laurentiivej 148</t>
  </si>
  <si>
    <t xml:space="preserve"> P.S. Krøyers Hus, Skagen (Den gamle Byfogedgård, Hans Majestæt Kongens Gård)</t>
  </si>
  <si>
    <t>Den enetages, teglhængte længe (1700-tallet, forlænget mellem 1801 og 1809)</t>
  </si>
  <si>
    <t>Sankt Laurentiivej 87</t>
  </si>
  <si>
    <t xml:space="preserve"> Skagen Rådhus</t>
  </si>
  <si>
    <t xml:space="preserve"> Rådhuset (1966-68 af Ejnar Borg) med nære omgivelser</t>
  </si>
  <si>
    <t>Skagensvej 195 A</t>
  </si>
  <si>
    <t xml:space="preserve"> Lerbæk</t>
  </si>
  <si>
    <t xml:space="preserve"> Hovedbygningen (ca 1650-1700) med voldstedet og de omgivendegrave</t>
  </si>
  <si>
    <t>Strandgade 1</t>
  </si>
  <si>
    <t xml:space="preserve"> Sæby gamle Rådhus</t>
  </si>
  <si>
    <t xml:space="preserve"> Forhuset (antagelig 1750'erne, ombygget 1801)</t>
  </si>
  <si>
    <t>Strandgade 2, hj af Vinkelvej</t>
  </si>
  <si>
    <t xml:space="preserve"> Hospitalet (tidl), Sæby</t>
  </si>
  <si>
    <t xml:space="preserve"> Forhuset (stiftet 1565, genopført 1675 efter brand1657)</t>
  </si>
  <si>
    <t>Sæbygårdvej 49 (tidl nr 51)</t>
  </si>
  <si>
    <t xml:space="preserve"> Sæbygård</t>
  </si>
  <si>
    <t xml:space="preserve"> Hovedbygningens tre fløje (nordøstfløj 1576 muligvis afDomenicus Badiaz eller Hercules Midow, sydøstfløj omtrent samtidig, ombygget ca 1750, sydvestfløj. bygget 1746 på ældre fundament) med forbindelsesmuren mod nordvest samt voldstedet med omgivendegrave</t>
  </si>
  <si>
    <t>Søndervej 1 A-C</t>
  </si>
  <si>
    <t xml:space="preserve"> Købmand Holsts Gård, Skagen</t>
  </si>
  <si>
    <t xml:space="preserve"> De fire længer omkring gårdspladsen (sydlængen før 1801, ombygget 1819, 1877, 1885 og 1893, vestlængen 1818, sydgavlen grundmuret før 1925,nordlængen 1815, ombygget 1818 og 1893, østlængen 1826, udvidet 1827)</t>
  </si>
  <si>
    <t xml:space="preserve"> Udvidet 1985</t>
  </si>
  <si>
    <t>Tuxens Allé 18 A-C</t>
  </si>
  <si>
    <t xml:space="preserve"> Tuxens Hus, Skagen</t>
  </si>
  <si>
    <t xml:space="preserve"> De tre længer omkring gårdspladsen (sydfløjen 1834, østfløjen 1842, ombygget 1901 af Thorvald Jørgensen), den fritliggende pavillonbygning (1901) samt gårdspladsensbrolægning og borner</t>
  </si>
  <si>
    <t>Vestre Strandvej 10</t>
  </si>
  <si>
    <t xml:space="preserve"> Havnemesterboligen, Skagen</t>
  </si>
  <si>
    <t xml:space="preserve"> Midtfløj med forbindelsesbygninger og tværfløje modVester Strandvej og Trondsvej samt sidehus på midtfløjens bagside (1905 af Ulrik Plesner)</t>
  </si>
  <si>
    <t>Vestre Strandvej 2</t>
  </si>
  <si>
    <t xml:space="preserve"> Toldkammerbygningen, Skagen</t>
  </si>
  <si>
    <t xml:space="preserve"> Toldkammerbygningen (1908 af HackKampmann)</t>
  </si>
  <si>
    <t>Østre Strandvej 51</t>
  </si>
  <si>
    <t xml:space="preserve"> Admiralgården, Skagen</t>
  </si>
  <si>
    <t xml:space="preserve"> Den trefløjede bygning (1915 af Ulrik Plesner)</t>
  </si>
  <si>
    <t>Frederikssund Kommune</t>
  </si>
  <si>
    <t>Fasangårdsvej 1</t>
  </si>
  <si>
    <t xml:space="preserve"> Fasangården</t>
  </si>
  <si>
    <t xml:space="preserve"> Hovedbygningen (ca 1700)</t>
  </si>
  <si>
    <t>Færgelundsvej 1</t>
  </si>
  <si>
    <t xml:space="preserve"> Jægerspris Færgegård</t>
  </si>
  <si>
    <t xml:space="preserve"> Hovedbygningen og de to udhuslænger (1838 af FrederikFerdinand Friis)</t>
  </si>
  <si>
    <t>Færgelundsvej 3</t>
  </si>
  <si>
    <t xml:space="preserve"> Schweizerhuset</t>
  </si>
  <si>
    <t xml:space="preserve"> Hus (1792) i Færgelunden med mindesten for faldne i slaget påRheden (1801)</t>
  </si>
  <si>
    <t>Jægerspris Slotspark og Slotshegn</t>
  </si>
  <si>
    <t xml:space="preserve"> Mindestøtterne ved Jægerspris Slot</t>
  </si>
  <si>
    <t xml:space="preserve"> Støtterne (1777-89 af JohannesWiedewelt; 1836-41 af Hermann Ernst Freund)</t>
  </si>
  <si>
    <t>Roskildevej 181</t>
  </si>
  <si>
    <t xml:space="preserve"> Oppe Sundby gamle Skole</t>
  </si>
  <si>
    <t xml:space="preserve"> Den grundmurede skolebygning (1806, tilbygning mod vestca 1850, udskud i nord 1912, kviste 1965)</t>
  </si>
  <si>
    <t>Selsøvej 30 A-B</t>
  </si>
  <si>
    <t xml:space="preserve"> Selsø</t>
  </si>
  <si>
    <t xml:space="preserve"> Hovedbygning med porttårn (1560-76, ombygget 1728-34, porttårn muligvis af Rudolf Mathias Dallin), slotspladsen med brolægning, brønd og hegnsmure samt de to broer. Avlsgårdensøstlænge (ca 1730)</t>
  </si>
  <si>
    <t>Slotsgården 18-22 (tidl Hovedgaden 1)</t>
  </si>
  <si>
    <t xml:space="preserve"> Jægerspris Slot</t>
  </si>
  <si>
    <t xml:space="preserve"> Hovedbygningen (nordfløj: middelalder,ombygget flere gange, tårnet ca 1600; sydfløj: ca 1600, men ombygget 1721-22 og senere; østfløj: 1730- 31)</t>
  </si>
  <si>
    <t>Svanholm Allé 2</t>
  </si>
  <si>
    <t xml:space="preserve"> Svanholm</t>
  </si>
  <si>
    <t xml:space="preserve"> Den trefløjede hovedbygning (1744)</t>
  </si>
  <si>
    <t>Østergade 3</t>
  </si>
  <si>
    <t xml:space="preserve"> Skuldelev Præstegård</t>
  </si>
  <si>
    <t xml:space="preserve"> Det firefløjede anlæg (1841)</t>
  </si>
  <si>
    <t>Furesø Kommune</t>
  </si>
  <si>
    <t>Kaalundsvej 33 A-B</t>
  </si>
  <si>
    <t xml:space="preserve"> Farum Præstegård</t>
  </si>
  <si>
    <t xml:space="preserve"> Bindingsværkslængen langs kirkegården (1724)</t>
  </si>
  <si>
    <t>Søvej 8</t>
  </si>
  <si>
    <t xml:space="preserve"> Farumgård</t>
  </si>
  <si>
    <t xml:space="preserve"> Hovedbygningen (1705 af François Dieussart)</t>
  </si>
  <si>
    <t>Ved Kulhus 3</t>
  </si>
  <si>
    <t xml:space="preserve"> Kulhus</t>
  </si>
  <si>
    <t xml:space="preserve"> Hovedfløjen og sidebygningen (1769)</t>
  </si>
  <si>
    <t>Faarborg-Midtfyn Kommune</t>
  </si>
  <si>
    <t>Adelgade 7</t>
  </si>
  <si>
    <t xml:space="preserve"> Adelgade 7</t>
  </si>
  <si>
    <t xml:space="preserve"> Forhuset (før 1761)</t>
  </si>
  <si>
    <t>Arreskovvej 12</t>
  </si>
  <si>
    <t xml:space="preserve"> Arreskov</t>
  </si>
  <si>
    <t xml:space="preserve"> Den firefløjede hovedbygning (1558-73 muligvis af Domenicus Badiaz, stærktombygget 1872-73 af H.A.W.Haugsted)</t>
  </si>
  <si>
    <t>Arreskovvej 27</t>
  </si>
  <si>
    <t xml:space="preserve"> Arreskov Vandmølle</t>
  </si>
  <si>
    <t xml:space="preserve"> Det trelængede sammenbyggede mølleanlæg (ca 1750, ombygget i midten af 1800-tallet) bestående af en sammenbygget stuehus- og møllelænge med udbygninger over møllestrømmen, motorhuset for enden heraf, en sydlig portlænge, en vestlænge samt den brolagtegårdsplads</t>
  </si>
  <si>
    <t>Assensvej 298</t>
  </si>
  <si>
    <t xml:space="preserve"> Solbjærggård</t>
  </si>
  <si>
    <t xml:space="preserve"> Det firelængede sammenbyggede gårdanlæg (ca 1850) med den brolagtegårdsplads</t>
  </si>
  <si>
    <t>Assensvej 513</t>
  </si>
  <si>
    <t xml:space="preserve"> Falsled Kro</t>
  </si>
  <si>
    <t xml:space="preserve"> Det firefløjede bygningskompleks samt den fritliggende længe (ældste del1700-tallet, grundmuret del 1852, ombygget ca 1970)</t>
  </si>
  <si>
    <t>Birkevej 17</t>
  </si>
  <si>
    <t xml:space="preserve"> Vester Hæsinge gamle Skole</t>
  </si>
  <si>
    <t xml:space="preserve"> Den tidl skolebygning samt det lille sandhus (slutn af 1800- tallet)</t>
  </si>
  <si>
    <t>Brahesvej 13</t>
  </si>
  <si>
    <t xml:space="preserve"> Svanninge Hospital, Stenhuset</t>
  </si>
  <si>
    <t xml:space="preserve"> Kampestensbygningen (beg af 1700-tallet) samt udhus ibindingsværk (ca 1800)</t>
  </si>
  <si>
    <t>Brahesvej 29</t>
  </si>
  <si>
    <t xml:space="preserve"> Enggården</t>
  </si>
  <si>
    <t xml:space="preserve"> Det sammenbyggede firelængede gårdanlæg (stuehuset beg af 1700-tallet,ombygget i 1850, østlængen 1876, sydlængen 1873, vestlængen med dele fra beg af 1700-tallet) og den brolagte gårdsplads</t>
  </si>
  <si>
    <t>Brahesvej 36</t>
  </si>
  <si>
    <t xml:space="preserve"> Birkelund</t>
  </si>
  <si>
    <t xml:space="preserve"> "Det firelængede gårdanlæg (fritliggende stuehus 1852), ""kovehuset"" (ca1750), den tilbyggede lade på sydfløjen samt den brolagte gårdsplads</t>
  </si>
  <si>
    <t>Bramstrup 1</t>
  </si>
  <si>
    <t xml:space="preserve"> Bramstrup</t>
  </si>
  <si>
    <t xml:space="preserve"> Den trefløjede hovedbygning (1689 og 1800-tallet), "Fokkenborg" (østre delførste halvdel af 1700-tallet, vestre del beg af 1800-tallet), magasinbygningen (1847), havehuset (første halvdel af 1800-tallet) og agerumsladen (beg af 1700-tallet)</t>
  </si>
  <si>
    <t>Brændegårdsvej 3 A</t>
  </si>
  <si>
    <t xml:space="preserve"> Vægterhuset</t>
  </si>
  <si>
    <t xml:space="preserve"> Stuehuset (ca 1825-50)</t>
  </si>
  <si>
    <t>Brændegårdsvej 3 C</t>
  </si>
  <si>
    <t xml:space="preserve"> Fiskerhytte ved Nørre Sø</t>
  </si>
  <si>
    <t xml:space="preserve"> Fiskerhytten</t>
  </si>
  <si>
    <t xml:space="preserve"> Bygaden 23</t>
  </si>
  <si>
    <t xml:space="preserve"> Lysholt</t>
  </si>
  <si>
    <t>Stuehuset og laden (1700-tallet)</t>
  </si>
  <si>
    <t>Bystævnevej 4</t>
  </si>
  <si>
    <t xml:space="preserve"> Søllinge Præstegård</t>
  </si>
  <si>
    <t xml:space="preserve"> Stuehus (1819)</t>
  </si>
  <si>
    <t>Egeskovgade 26</t>
  </si>
  <si>
    <t>Egeskov</t>
  </si>
  <si>
    <t xml:space="preserve"> Hovedbygningen (1554)</t>
  </si>
  <si>
    <t>Faurshøjvej 43</t>
  </si>
  <si>
    <t xml:space="preserve"> Bremerstente</t>
  </si>
  <si>
    <t xml:space="preserve"> Stuehuset med tilbygning (beg af 1800-tallet)</t>
  </si>
  <si>
    <t>Faurshøjvej 55</t>
  </si>
  <si>
    <t xml:space="preserve"> Ditlevslyst</t>
  </si>
  <si>
    <t xml:space="preserve"> Det trelængede anlæg (1809-10, stuehusets facadekvist mellem 1858 og 1875 og vindfang mod vest 1921, vestlængen udvidet 1848, hestegang mod vest 1858 og 1875, østlængen udvidet mod syd mellem 1858 og 1875), vaskehuset (før 1875), gårdspladsen samt de to buehække vedindkørslen til gården</t>
  </si>
  <si>
    <t>Flægmosevej 22</t>
  </si>
  <si>
    <t xml:space="preserve"> Gammelstrand</t>
  </si>
  <si>
    <t xml:space="preserve"> Det store firelængede gårdanlæg (ca 1800, det delvis fritliggendestuehus ombygget 1870) med oprindelig påbygget korsarm, det fritliggende tifags bindingsværkshus mod øst samt den brolagte gårdsplads</t>
  </si>
  <si>
    <t>Gammelskovvej 31</t>
  </si>
  <si>
    <t xml:space="preserve"> Vilhelmsgave</t>
  </si>
  <si>
    <t xml:space="preserve"> Den firelængede gård bestående af det fritliggende stuehus og de treavlslænger med tilbygninger (1779 og senere), den pigstensbelagte gårdsplads og det fritliggende udhus (1792)</t>
  </si>
  <si>
    <t>Grubbemøllegyden 2</t>
  </si>
  <si>
    <t xml:space="preserve"> Grubbe Vandmølle</t>
  </si>
  <si>
    <t xml:space="preserve"> Vandmøllen og sammenbygget hermed stuehuset (ca 1750, ombygget sidst i 1800-tallet), folkerums-/garagebygning og kostalden (begge 1932) samt den fritliggende tidligere svinestald, den fritliggende tidligere hestestald og havehuset (alle ca 1750), stemmeværket med tilhørende stigbord, den støbte malekarm til turbinen, vejdæmningen med brofæster (ca 1900), bro (1947) med rækværk samt den nærtstående granitvejsten, malerenden/bagvandet med tilhørende ca 200 meter stensatte bredder og to støbte broer (ca 1900) med støbejernsrækværk, mølledammen, markstensbelægningen på gårdsplads og foran stuehus og avlsbygninger samt stenmurene (ca 1900) påbegge siden af vejen mellem møllegård og mølledam</t>
  </si>
  <si>
    <t xml:space="preserve"> Grubbe Mølle</t>
  </si>
  <si>
    <t xml:space="preserve"> Vindmøllen (1832, flyttet hertil fra Sjælland 1892)</t>
  </si>
  <si>
    <t>Grønnebjerg 1 A</t>
  </si>
  <si>
    <t xml:space="preserve"> Egeskov Vindmølle</t>
  </si>
  <si>
    <t xml:space="preserve"> Vindmøllen (1855)</t>
  </si>
  <si>
    <t>Grønnegade 32</t>
  </si>
  <si>
    <t xml:space="preserve"> Grønnegade 32</t>
  </si>
  <si>
    <t xml:space="preserve"> Bindingsværkshuset (slutn af 1600-tallet)</t>
  </si>
  <si>
    <t>Grønnegade 48</t>
  </si>
  <si>
    <t xml:space="preserve"> Jørgen Plougs og Hustrus Plejehus</t>
  </si>
  <si>
    <t xml:space="preserve"> Forhuset (ca 1700)</t>
  </si>
  <si>
    <t>Grønnegade 72</t>
  </si>
  <si>
    <t xml:space="preserve"> Grønnegade 72</t>
  </si>
  <si>
    <t xml:space="preserve"> Forhuset (ca 1800)</t>
  </si>
  <si>
    <t>Grønnegade 73 A</t>
  </si>
  <si>
    <t xml:space="preserve"> Grønnegade 73 A</t>
  </si>
  <si>
    <t xml:space="preserve"> Den enetages portbygning sammenbygget med FåborgKunstmuseum, Grønnegade 75, (1912-15 af Carl Petersen)</t>
  </si>
  <si>
    <t>Grønnegade 74-76</t>
  </si>
  <si>
    <t xml:space="preserve"> Grønnegade 74-76</t>
  </si>
  <si>
    <t xml:space="preserve"> Hjørnehuset (1916 af Carl Petersen)</t>
  </si>
  <si>
    <t>Grønnegade 75</t>
  </si>
  <si>
    <t xml:space="preserve"> Fåborg Museum</t>
  </si>
  <si>
    <t xml:space="preserve"> Museumsbygningen (1912-15 af Carl Petersen)</t>
  </si>
  <si>
    <t>Havnegade 2</t>
  </si>
  <si>
    <t xml:space="preserve"> Havnegade 2</t>
  </si>
  <si>
    <t xml:space="preserve"> Den toetages grundmurede bygning opført som toldpakhus (1837-38 afJørgen Hansen Koch)</t>
  </si>
  <si>
    <t>Hellerupvej 18-20</t>
  </si>
  <si>
    <t xml:space="preserve"> Hellerup</t>
  </si>
  <si>
    <t xml:space="preserve"> Den tofløjede hovedbygning (1670 og senere)</t>
  </si>
  <si>
    <t>Holkegade 1</t>
  </si>
  <si>
    <t xml:space="preserve"> Museet, Den gamle Gård</t>
  </si>
  <si>
    <t xml:space="preserve"> Forhus og de dermed sammenbyggede side- og baghuse, lysthus mod havnen (ca 1720, lysthuset ca 1800), haven, den østlige hegnsmur samt støttemuren og hegnet modhaven</t>
  </si>
  <si>
    <t xml:space="preserve"> Udvidet 1987*</t>
  </si>
  <si>
    <t>Holkegade 2</t>
  </si>
  <si>
    <t xml:space="preserve"> Smedehusene</t>
  </si>
  <si>
    <t xml:space="preserve"> De to sammenbyggede bindingsværksgavlhuse (1730)</t>
  </si>
  <si>
    <t>Holkegade 3</t>
  </si>
  <si>
    <t xml:space="preserve"> Holkegade 3</t>
  </si>
  <si>
    <t xml:space="preserve"> Forhuset og hermed sammenbygget sidehus (ca 1720)</t>
  </si>
  <si>
    <t>Hvedholms Allé 9</t>
  </si>
  <si>
    <t xml:space="preserve"> Hvedholm, avlsgården</t>
  </si>
  <si>
    <t xml:space="preserve"> Horneporten og den på samme vestside liggende kampestensbygning samt den mod gårdspladsen vendte østmur af den gamle kostald (1637 og 1799),endvidere Pantemplet i parken (ca 1800)</t>
  </si>
  <si>
    <t>Hvedholm Slot 1</t>
  </si>
  <si>
    <t xml:space="preserve"> Hvedholm, hovedbygningen</t>
  </si>
  <si>
    <t xml:space="preserve"> Den trefløjede hovedbygning (1588, ombygget i 1878-83af Johan Schrøder) samt det vestfor liggende rødmalede træbeklædte gartnerhus (ca 1800)</t>
  </si>
  <si>
    <t>Karlsbjergvej 39 og 39 A-D</t>
  </si>
  <si>
    <t xml:space="preserve"> Brobygård</t>
  </si>
  <si>
    <t xml:space="preserve"> Hovedbygningen (1673 og senere) med seks tilbyggedebindingsværkslænger mod nord (ca 1850) samt lysthuset og smedien</t>
  </si>
  <si>
    <t>Kirkegyden 3</t>
  </si>
  <si>
    <t xml:space="preserve"> Hillerslev Hospital</t>
  </si>
  <si>
    <t xml:space="preserve"> Kampestensbygningen (1769)</t>
  </si>
  <si>
    <t>Kirkestræde 11</t>
  </si>
  <si>
    <t>Fåborg Hospital</t>
  </si>
  <si>
    <t xml:space="preserve"> Forhuset (1835-36 af Jørgen Hansen Lang)</t>
  </si>
  <si>
    <t>Kirkevej 20</t>
  </si>
  <si>
    <t>Sønder Nærå Præstegård</t>
  </si>
  <si>
    <t xml:space="preserve"> Stuehuset (1775)</t>
  </si>
  <si>
    <t>Kirkevej 5</t>
  </si>
  <si>
    <t xml:space="preserve"> Kirkehøjgård</t>
  </si>
  <si>
    <t xml:space="preserve"> Det firelængede gårdanlæg (det fritliggende stuehus i syd ca 1853, nordlængen 1778, vestlængen og østlængen 1850), den fritliggende udhusbygning "kovehuset" samt den brolagtegårdsplads</t>
  </si>
  <si>
    <t>Knoldsborgvej 6</t>
  </si>
  <si>
    <t xml:space="preserve"> Knoldsborg</t>
  </si>
  <si>
    <t xml:space="preserve"> Det firelængede gårdanlæg, (det fritliggende bindingsværksstuehus 1845, granitstenslængerne 1878), grisestaldlængen med muren (1878), møddingpladsen, brolægningen og træetpå gårdspladsen samt stendiget med udkigsplatform omkring haven</t>
  </si>
  <si>
    <t>Krumstrupvej 10</t>
  </si>
  <si>
    <t xml:space="preserve"> Krumstrup</t>
  </si>
  <si>
    <t xml:space="preserve"> Den trefløjede hovedbygning med mure foran gårdspladsen (slutn af 1600-tallet, ombygget 1715 og senere, indgangstårnet ca 1920)</t>
  </si>
  <si>
    <t>Lagonis Minde 11 A</t>
  </si>
  <si>
    <t xml:space="preserve"> Vester Mølle</t>
  </si>
  <si>
    <t xml:space="preserve"> Forhuset (1790 af Hans Jørgen Lang)</t>
  </si>
  <si>
    <t xml:space="preserve"> Lagonis Minde 12</t>
  </si>
  <si>
    <t xml:space="preserve"> Forhuset (1822-26)</t>
  </si>
  <si>
    <t>Lundegårdsvej 44-46 (tidl Lundegårdsvej 6)</t>
  </si>
  <si>
    <t xml:space="preserve"> Lundegård</t>
  </si>
  <si>
    <t xml:space="preserve"> Samtl. bygninger om den opr. gårdsplads undtagen stald fra ca 1894 (hovedbygningen 1700-tallet, kælderen delvis ca 1602, Ellen Marsvins lade1636)</t>
  </si>
  <si>
    <t>Lydinge Mølle Vej 17</t>
  </si>
  <si>
    <t xml:space="preserve"> Lydinge Mølle</t>
  </si>
  <si>
    <t xml:space="preserve"> Den firelængede møllegård, vandmøllen samt den nord for liggendebindingsværkslænge (ældste del af vandmøllen ca 1790)</t>
  </si>
  <si>
    <t>* (Fredningen af Lydinge Vindmølle ophævet 2002. Fredningen af svinehus mod syd&amp;nbsp;og tilbygning mod nord ophævet 2014)</t>
  </si>
  <si>
    <t>Lyø Bygade 14</t>
  </si>
  <si>
    <t xml:space="preserve"> Den gamle Kro</t>
  </si>
  <si>
    <t xml:space="preserve"> Stuehuset, det østre sidehus (første halvdel af 1800-tallet) og staldenmod vest samt brostensbelægningen i tilknytning til bebyggelsen</t>
  </si>
  <si>
    <t>Lyø Bygade 16</t>
  </si>
  <si>
    <t xml:space="preserve"> Lyø Bygade 16</t>
  </si>
  <si>
    <t xml:space="preserve"> Det trelængede husmandsted (1827) med stuehus, staldlænge mod vestog staldlænge mod nord, (tidl) smedje samt stendiget mod Bygaden</t>
  </si>
  <si>
    <t>Lyø Bygade 4</t>
  </si>
  <si>
    <t xml:space="preserve"> Lyø Bygade 4</t>
  </si>
  <si>
    <t xml:space="preserve"> Den firelængede bondegård (stuehus og vestlænge før 1800, østlænge ca 1825 og sydlænge ca 1850) og arealet afgrænset af ejendommens matrikelskel indeholdende gårdsplads med frugttræ, brolagt møddingsplads og stengærde langs Bygaden med dets bevoksning samt den bagveddette liggende prydpark med frugttræer, buksbomhække og buske</t>
  </si>
  <si>
    <t>Lyø Strandvej 2</t>
  </si>
  <si>
    <t xml:space="preserve"> Lyø Strandvej 2 (tidl Molevej 2 A)</t>
  </si>
  <si>
    <t xml:space="preserve"> Stuehuset og stalden (ca 1850)</t>
  </si>
  <si>
    <t>Marsk Billesvej 2-4</t>
  </si>
  <si>
    <t xml:space="preserve"> Brobyværk Vandmølle</t>
  </si>
  <si>
    <t xml:space="preserve"> Den firelængede møllegård med møllehus i øst ogudløberlænge i vest (1777 og ombygget ca 1850)</t>
  </si>
  <si>
    <t>Mosetoften 3</t>
  </si>
  <si>
    <t xml:space="preserve"> Diernæs Hospital</t>
  </si>
  <si>
    <t xml:space="preserve"> Kampestensbygningen (1786)</t>
  </si>
  <si>
    <t>Nørremarksgyden 8, Ryslinge Mark</t>
  </si>
  <si>
    <t xml:space="preserve"> Kristen Kolds Hus</t>
  </si>
  <si>
    <t xml:space="preserve"> Stuehuset og det hermed sammenbyggedeudhus (1850 og senere)</t>
  </si>
  <si>
    <t>Prices Havevej 38</t>
  </si>
  <si>
    <t xml:space="preserve"> Kaleko Mølle</t>
  </si>
  <si>
    <t xml:space="preserve"> Vandmøllen, bestående af mølleriet, møllestuen og stuehuset (antagelig før 1643, tilbygget med fire fag ved den nordre gavl 1736, udvidet med en sidebygning ca 1770) samt  selve vandhjulet, det lille udhus i haven (ca 1850)*, kostalden (1855), laden (1844) samt omgivelserne i form af dæmningen, broen, stemmeværket og malekarmen ved møllen, den pikstensbelagte gårdsplads,de øvrige stenpikninger omkring bygningerne, stendigerne samt stensætningerne ved mølledammen og bagslusen</t>
  </si>
  <si>
    <t xml:space="preserve"> Udvidet 1979 og 2004</t>
  </si>
  <si>
    <t>Prices Havevej 39</t>
  </si>
  <si>
    <t xml:space="preserve"> Gøngehuset</t>
  </si>
  <si>
    <t xml:space="preserve"> Det seksfags ståtækte bindingsværkshus med halvvalmede gavle, opført på syld (1852, tidl landarbejderhus og opført i fem fag som håndværkerhus med vævestue) samtbrolægningen omkring huset</t>
  </si>
  <si>
    <t>Prices Havevej 40</t>
  </si>
  <si>
    <t xml:space="preserve"> Mor Oles Hus, tidl Kalekogård</t>
  </si>
  <si>
    <t xml:space="preserve"> Midtlænge (1652 og senere), østlænge (ca 1820) og vestlænge(1810)</t>
  </si>
  <si>
    <t>Priorensgade 11</t>
  </si>
  <si>
    <t xml:space="preserve"> Welblunds Gård</t>
  </si>
  <si>
    <t xml:space="preserve"> Forhuset (1820'rne) og det hermed sammenbyggede sidehus i to fag</t>
  </si>
  <si>
    <t>Priorensgade 4</t>
  </si>
  <si>
    <t xml:space="preserve"> Priorensgade 4</t>
  </si>
  <si>
    <t xml:space="preserve"> Forhuset (1821, forhøjet 1850-51)</t>
  </si>
  <si>
    <t>Præstegårds Allé 2</t>
  </si>
  <si>
    <t xml:space="preserve"> Nørre-Broby Præstegård</t>
  </si>
  <si>
    <t xml:space="preserve"> Stuehuset og de to foranliggende avlslænger (1818) samtudhusbygningen i haven (ca 1830)</t>
  </si>
  <si>
    <t>Præstegårdsgyden 6</t>
  </si>
  <si>
    <t xml:space="preserve"> Horne Præstegård</t>
  </si>
  <si>
    <t xml:space="preserve"> Kampestenshus (ca 1500)</t>
  </si>
  <si>
    <t>Reventlowsvej 1 B</t>
  </si>
  <si>
    <t>Kildehuset</t>
  </si>
  <si>
    <t xml:space="preserve"> Kildehuset</t>
  </si>
  <si>
    <t>Reventlowsvej 1 N og P</t>
  </si>
  <si>
    <t xml:space="preserve"> Brahetrolleborg Hospital</t>
  </si>
  <si>
    <t xml:space="preserve"> Hospitalsbygningen (1850)</t>
  </si>
  <si>
    <t>Reventlowsvej 1 og 1 C, G</t>
  </si>
  <si>
    <t xml:space="preserve"> Brahetrolleborg</t>
  </si>
  <si>
    <t xml:space="preserve"> Den trefløjede hovedbygning (1300-1400-tallet; vestfløj 1498 og udbygget 1568 af Henrik Rantzau; østfløj forhøjet 1620 af Kaj Rantzau)*, Kai Lykkes trelængede ladegård (1655, ombygget efter brand 1900)*, ridebanen med lindetræer i græsbevokset oval, fiskedammene mellem hovedbygningen og ladegården og langs landevejen, bindingsværkslængen mellem ladegården og landevejen og hollænderiets hovedbygning (ca 1780 og senere)</t>
  </si>
  <si>
    <t xml:space="preserve"> Fredningenudvidet 1984</t>
  </si>
  <si>
    <t>Reventlowsvej 2</t>
  </si>
  <si>
    <t xml:space="preserve"> Brahetrolleborg Vandmølle</t>
  </si>
  <si>
    <t xml:space="preserve"> Stuehuset og den hermed sammenbyggede vandmølle (1792)</t>
  </si>
  <si>
    <t>Reventlowsvej 3</t>
  </si>
  <si>
    <t xml:space="preserve"> Harehaven, tidl Godsforvalterboligen, Brahetrolleborg</t>
  </si>
  <si>
    <t xml:space="preserve"> Stuehus (ca 1825-50)</t>
  </si>
  <si>
    <t xml:space="preserve"> Fredning af udhus ophævet 2007</t>
  </si>
  <si>
    <t>Reventlowsvej 5 A-D</t>
  </si>
  <si>
    <t xml:space="preserve"> Reventlowsvej 5 A-D</t>
  </si>
  <si>
    <t xml:space="preserve"> Beboelseshuset, udlængen og vaskehuset (ca 1800)</t>
  </si>
  <si>
    <t>Rishøjvej 2</t>
  </si>
  <si>
    <t xml:space="preserve"> Sandholt</t>
  </si>
  <si>
    <t xml:space="preserve"> Den firefløjede hovedbygning (middelalder, 1590'erne, ombygget 1788; nord- ogvestfløj 1791)</t>
  </si>
  <si>
    <t>Rynkebyvej 32</t>
  </si>
  <si>
    <t xml:space="preserve"> Rynkebygård</t>
  </si>
  <si>
    <t xml:space="preserve"> Hovedbygningen og de to fritliggende sidefløje (1858) samt gårdsmedien</t>
  </si>
  <si>
    <t>Rådhusgården 5</t>
  </si>
  <si>
    <t xml:space="preserve"> Rådhusgården 5</t>
  </si>
  <si>
    <t xml:space="preserve"> Bindingsværksbygningen (1780'erne, tidl pakhus til Vestergade 8)</t>
  </si>
  <si>
    <t>Sallingelunde 10</t>
  </si>
  <si>
    <t xml:space="preserve"> Sallingelunde Mølle</t>
  </si>
  <si>
    <t xml:space="preserve"> Møllegården bestående af stuehuset og vandmøllebygningen(1852-53) samt gårdspladsen med brostensbelægning</t>
  </si>
  <si>
    <t>Slotsalléen 8</t>
  </si>
  <si>
    <t xml:space="preserve"> Holstenshuus</t>
  </si>
  <si>
    <t xml:space="preserve"> Den trefløjede hovedbygning (1643, ombygget 1863, 1889 og genopført efterbrand 1908)</t>
  </si>
  <si>
    <t>Smedegyden 8</t>
  </si>
  <si>
    <t xml:space="preserve"> Elmekilden</t>
  </si>
  <si>
    <t xml:space="preserve"> Fæstehuset (1873 og forlænget i 1875 med stald og træskomagerværksted)</t>
  </si>
  <si>
    <t>Spanget 3 A-C, Korinth</t>
  </si>
  <si>
    <t xml:space="preserve"> Spanget 3 A-C, Korinth</t>
  </si>
  <si>
    <t xml:space="preserve"> Beboelseshuset og udlængen (ca 1800)</t>
  </si>
  <si>
    <t>Spanget 5 A-D, Korinth</t>
  </si>
  <si>
    <t xml:space="preserve"> Spanget 5 A-D, Korinth</t>
  </si>
  <si>
    <t>Steensgaard 4</t>
  </si>
  <si>
    <t xml:space="preserve"> Steensgaard</t>
  </si>
  <si>
    <t xml:space="preserve"> Den trefløjede hovedbygning (det underste af vestfløjens midtparti senmiddelalderligt, portalen ca 1640; nordfløjen, en del af sydfløjen og hjørnet mellem vest- og sydfløj 1700-tallet)* samt hestestaldsbygningen (1904, formentlig af Aage Langeland-Mathiesen)</t>
  </si>
  <si>
    <t>Udvidet 1991</t>
  </si>
  <si>
    <t>Sundsgårdsvej 4-10</t>
  </si>
  <si>
    <t xml:space="preserve"> Fjellebro Hovedgård</t>
  </si>
  <si>
    <t xml:space="preserve"> Den trefløjede hovedbygning (1600-tallet, ombygget 1726) ogherskabsstalden (1622, forlænget efter 1772 og nyindrettet 1912)</t>
  </si>
  <si>
    <t xml:space="preserve"> Udvidet 1996*</t>
  </si>
  <si>
    <t>Svendborgvej 452</t>
  </si>
  <si>
    <t xml:space="preserve"> Pilegård</t>
  </si>
  <si>
    <t xml:space="preserve"> Hovedbygningen og den nærmest beliggende udhuslænge (ca 1800)</t>
  </si>
  <si>
    <t>Svendborgvej 47</t>
  </si>
  <si>
    <t xml:space="preserve"> Krags Hospital</t>
  </si>
  <si>
    <t xml:space="preserve"> Den grundmurede bygning med indskrifttavlen (1770)</t>
  </si>
  <si>
    <t>Søllingevej 61</t>
  </si>
  <si>
    <t xml:space="preserve"> Søllinge Skole</t>
  </si>
  <si>
    <t xml:space="preserve"> Den gamle skolebygning (1793)</t>
  </si>
  <si>
    <t>Søren Lundsvej 42</t>
  </si>
  <si>
    <t xml:space="preserve"> Mausoleum, Horne Kirkegård</t>
  </si>
  <si>
    <t xml:space="preserve"> Mausoleet for slægten Bille-Brahe (1825 af G.F.Hetsch)</t>
  </si>
  <si>
    <t>Søvej 27</t>
  </si>
  <si>
    <t xml:space="preserve"> Søbysøgård</t>
  </si>
  <si>
    <t xml:space="preserve"> Den trefløjede hovedbygning (midtfløjen 1641, østfløjen ca 1710, vestfløjen 1768)</t>
  </si>
  <si>
    <t>Torvet 19</t>
  </si>
  <si>
    <t xml:space="preserve"> Faaborg råd-, ting- og arresthus</t>
  </si>
  <si>
    <t xml:space="preserve"> Rådhusbygningen (1839-40 af Jens Paul Jacobsen) samtarrestbygningen med støttemur (1930 af Andreas Jensen)</t>
  </si>
  <si>
    <t xml:space="preserve"> Udvidet 1995</t>
  </si>
  <si>
    <t>Torvet 5</t>
  </si>
  <si>
    <t xml:space="preserve"> Torvet 5</t>
  </si>
  <si>
    <t xml:space="preserve"> Forhuset med karnap (1817, bagsiden grundmuret 1911, gavlen mod Torvet 1957)</t>
  </si>
  <si>
    <t>Trekanten 1</t>
  </si>
  <si>
    <t xml:space="preserve"> Stormgården</t>
  </si>
  <si>
    <t xml:space="preserve"> Det firelængede anlæg (stuehuset ca 1875, øvrige længer 1819)</t>
  </si>
  <si>
    <t>Tårngade 6-8</t>
  </si>
  <si>
    <t xml:space="preserve"> Tårngade 6-8</t>
  </si>
  <si>
    <t xml:space="preserve"> Forhuset (før 1761 og senere)</t>
  </si>
  <si>
    <t>Tårnstræde 1 A</t>
  </si>
  <si>
    <t xml:space="preserve"> Tårnstræde 1 A</t>
  </si>
  <si>
    <t xml:space="preserve"> Forhuset (før 1761, ombygget 1837-47) med sammenbygget baghus(1700-tallet)</t>
  </si>
  <si>
    <t>Tårnstræde 2</t>
  </si>
  <si>
    <t xml:space="preserve"> Klokketårnet</t>
  </si>
  <si>
    <t xml:space="preserve"> Tårnet (ca 1450-1500, spiret 1778)</t>
  </si>
  <si>
    <t>Tårnstræde 3</t>
  </si>
  <si>
    <t xml:space="preserve"> Tårnstræde 3</t>
  </si>
  <si>
    <t xml:space="preserve"> Forhuset (før 1761, gadesiden grundmuret mellem 1837 og 1847)</t>
  </si>
  <si>
    <t>Vestergade 10 og Rådhusgården 7</t>
  </si>
  <si>
    <t xml:space="preserve"> Plougs Gaard</t>
  </si>
  <si>
    <t xml:space="preserve"> Forhuset (ca 1730, gennemgribende ombygget 1791,formentlig af Hans Jørgen Lang), det østlige sidehus (ca 1800), baghuset (ca 1850) samt de sydligste tre fag af det vestlige sidehus (1700-tallet, senere ombygget og forkortet)</t>
  </si>
  <si>
    <t>Vestergade 3</t>
  </si>
  <si>
    <t xml:space="preserve"> Vestergade 3</t>
  </si>
  <si>
    <t xml:space="preserve"> Forhuset (ca 1730 og senere)</t>
  </si>
  <si>
    <t>Vestergade 5</t>
  </si>
  <si>
    <t xml:space="preserve"> Vesterport</t>
  </si>
  <si>
    <t xml:space="preserve"> Vesterport, Byporten (1400-tallet, istandsat 1770, ændret 1879 og istandsat1917)</t>
  </si>
  <si>
    <t>Vestergade 8</t>
  </si>
  <si>
    <t xml:space="preserve"> Wedels Gård</t>
  </si>
  <si>
    <t xml:space="preserve"> Forhuset (ca 1730, forhøjet til to etager i 1790'erne)</t>
  </si>
  <si>
    <t>Vestergade 9</t>
  </si>
  <si>
    <t xml:space="preserve"> Vestergade 9</t>
  </si>
  <si>
    <t xml:space="preserve"> Forhus (1818), sidehus samt gårdspladsens brolægning</t>
  </si>
  <si>
    <t>Østergade 17</t>
  </si>
  <si>
    <t xml:space="preserve"> Den tidl Skole</t>
  </si>
  <si>
    <t xml:space="preserve"> Forhuset (1791, ombygget 1813 af Jørgen Hansen Lang)</t>
  </si>
  <si>
    <t>Østergade 1 A</t>
  </si>
  <si>
    <t xml:space="preserve"> Poul Kinafarers Gård</t>
  </si>
  <si>
    <t xml:space="preserve"> Pakhuset (1760'erne)</t>
  </si>
  <si>
    <t>Østergade 25</t>
  </si>
  <si>
    <t xml:space="preserve"> Østergade 25</t>
  </si>
  <si>
    <t xml:space="preserve"> Forhuset (de vestligste 2 1/2 fag fra før 1761, de fem østligste fag opført1776, tilbygningen på bagsiden fra 1843)</t>
  </si>
  <si>
    <t xml:space="preserve"> Forhuset (1844 af Hans JørgenLang) og baghuset (1760'erne, forhøjet og forlænget 1851)</t>
  </si>
  <si>
    <t>Østergyden 3</t>
  </si>
  <si>
    <t xml:space="preserve"> Nakkebølle</t>
  </si>
  <si>
    <t xml:space="preserve"> Hovedbygningen (1559)</t>
  </si>
  <si>
    <t>Østrup 38, 48, 50 og 60</t>
  </si>
  <si>
    <t xml:space="preserve"> Østrupgård</t>
  </si>
  <si>
    <t xml:space="preserve"> Den trefløjede hovedbygning (det grundmurede hus fra 1500-tallets begyndelse, stærkt ombygget 1572; sydlige bindingsværkslænge 1710) med voldsted og omgivende grave,alle avlsgårdens længer omkring den store gårdsplads samt smedjen og Schæferhuset</t>
  </si>
  <si>
    <t xml:space="preserve">Gentofte Kommune </t>
  </si>
  <si>
    <t>Adolphsvej 25</t>
  </si>
  <si>
    <t xml:space="preserve"> Kildeskovshallen</t>
  </si>
  <si>
    <t xml:space="preserve"> Kildeskovshallen med udendørs soppebassin, tilhørende trapper og mure samt "solplænen" med omkransende mur syd for hallen (1966-72 af Karen Clemmensen og EbbeClemmensen)</t>
  </si>
  <si>
    <t>Bakkedal 7</t>
  </si>
  <si>
    <t xml:space="preserve"> Bakkedal 7</t>
  </si>
  <si>
    <t xml:space="preserve"> Villaen (1934 af Mogens Lassen)</t>
  </si>
  <si>
    <t>Bellevuekrogen 1-26, 903 og Strandvejen 413</t>
  </si>
  <si>
    <t xml:space="preserve"> Bellevuekrogen</t>
  </si>
  <si>
    <t xml:space="preserve"> Række- og kædehusbebyggelsen med tilhørende sti-, vej- og haveanlæg samt garagebygninger (1947-53 af Arne Jacobsen)</t>
  </si>
  <si>
    <t xml:space="preserve"> (*:Bellevuekrogen 1, 2, 3, 4, 10, 14, 18, 20 og Strandvejen 413)</t>
  </si>
  <si>
    <t>Bernstorff Slot 1</t>
  </si>
  <si>
    <t xml:space="preserve"> Bernstorff Slot</t>
  </si>
  <si>
    <t xml:space="preserve"> Hovedbygningen (1759 ff af Nicolas-Henri Jardin)</t>
  </si>
  <si>
    <t>Bernstorffsvej 17</t>
  </si>
  <si>
    <t xml:space="preserve"> Bernstorffsvej 17, villa</t>
  </si>
  <si>
    <t xml:space="preserve"> Villaen med de tilhørende havemure omkring hele matriklen (1931 af Frits Schlegel)</t>
  </si>
  <si>
    <t>Udvidet 2005</t>
  </si>
  <si>
    <t>Bernstorffsvej 27</t>
  </si>
  <si>
    <t xml:space="preserve"> Bernstorffsvej 27</t>
  </si>
  <si>
    <t xml:space="preserve"> Villa, garage, havemur og have (1938 af arkitekt Thyge Hvass oghavearkitekt Cth Sørensen/Sven Ingvar Andersson)</t>
  </si>
  <si>
    <t>Brogårdsvej 72</t>
  </si>
  <si>
    <t xml:space="preserve"> Brogårdsvej 72</t>
  </si>
  <si>
    <t xml:space="preserve"> Villaen (1937 af Poul Henningsen)</t>
  </si>
  <si>
    <t>Dyrehavevej 3</t>
  </si>
  <si>
    <t xml:space="preserve"> Klampenborg Station</t>
  </si>
  <si>
    <t xml:space="preserve"> Perronhallen, venterumsbygningen med smedejernsgelænder ogkommandoposten (1897 af Heinrich Wenck; perronhallen også af H.Polte)</t>
  </si>
  <si>
    <t>Ermelundsvej 105</t>
  </si>
  <si>
    <t xml:space="preserve"> Jægersborghus, Schäffergården</t>
  </si>
  <si>
    <t xml:space="preserve"> Hovedfløjen (1755-72) med sidefløje (1950-51 af PalleSuenson)</t>
  </si>
  <si>
    <t>Ermelundsvej 94</t>
  </si>
  <si>
    <t xml:space="preserve"> Ermelundsvej 94</t>
  </si>
  <si>
    <t xml:space="preserve"> Hovedbygningen (1735)</t>
  </si>
  <si>
    <t>Ermelundsvej 96</t>
  </si>
  <si>
    <t xml:space="preserve"> Sprøjtehuset, Ermelundsvej 96</t>
  </si>
  <si>
    <t xml:space="preserve"> Sprøjtehuset (tidl) (ca 1750, muligvis af Lauritz de Thurah)</t>
  </si>
  <si>
    <t>Femvejen 2</t>
  </si>
  <si>
    <t xml:space="preserve"> Femvejen 2</t>
  </si>
  <si>
    <t xml:space="preserve"> Villaen med den hævede terrasse og det samtidige udhus (1933-34 efter tegningaf Georg Jacobsen ved arkitekt Johan Pedersen)</t>
  </si>
  <si>
    <t>Gersonsvej 32</t>
  </si>
  <si>
    <t xml:space="preserve"> Øregård Gymnasium</t>
  </si>
  <si>
    <t xml:space="preserve"> Den firefløjede hovedbygning med overdækket aula (1922-24 af G.B. Hagen og Edvard Thomsen)</t>
  </si>
  <si>
    <t>Gotfred Rodesvej 2</t>
  </si>
  <si>
    <t xml:space="preserve"> Gotfred Rodesvej 2</t>
  </si>
  <si>
    <t xml:space="preserve"> Villaen med sidefløj, drivhus og garage samt haveanlæg medhegnsmure (1930 af Arne Jacobsen, til sig selv)</t>
  </si>
  <si>
    <t>Hvidørevej 24</t>
  </si>
  <si>
    <t xml:space="preserve"> Hvidørevej 24</t>
  </si>
  <si>
    <t xml:space="preserve"> Beboelseshuset med gårdhaver (1940 af Mogens Lassen)</t>
  </si>
  <si>
    <t>Hvidørevej 28</t>
  </si>
  <si>
    <t xml:space="preserve"> Hvidørevej 28</t>
  </si>
  <si>
    <t xml:space="preserve"> Beboelseshuset (1957 af Mogens Lassen)</t>
  </si>
  <si>
    <t>Jægersborg Allé 150-158 og Meutegårdsvej 2A-2C</t>
  </si>
  <si>
    <t xml:space="preserve"> Jægersborg gamle Kaserne</t>
  </si>
  <si>
    <t xml:space="preserve"> Jagtgården (1734-39 og 1747 af Lauritz de Thurah), bestående af de fire beboelseslænger mod nord og syd, den sydøstlige med det tværgående gavlkvisthus og den nordøstre med det senere tilføjede klokketårn, de fire tidligere hundehuse mod øst og vest, de to tidligere stalde mod syd samt belægningerne foran jagtbygningernesøst-, nord- og sydsider, den nye allé mod øst, portlågerne mod vest samt den centrale plads med alléer ogbelægninger mellem jagtbygningerne</t>
  </si>
  <si>
    <t xml:space="preserve"> Udv. 2007</t>
  </si>
  <si>
    <t>Jægersborg Allé 170 A</t>
  </si>
  <si>
    <t xml:space="preserve"> Ibstrup</t>
  </si>
  <si>
    <t xml:space="preserve"> Hovedfløjen og sidebygningen (1867)</t>
  </si>
  <si>
    <t>Jægersborg Allé 1 A</t>
  </si>
  <si>
    <t xml:space="preserve"> Charlottenlund Slot</t>
  </si>
  <si>
    <t xml:space="preserve"> Hovedbygningen (de midterste ni fag 1730-33 af JohanCornelius Krieger; kuplen og tilbygningerne i nord og syd 1880-81 af Ferdinand Meldahl)</t>
  </si>
  <si>
    <t>Jægersborg Allé 2</t>
  </si>
  <si>
    <t xml:space="preserve"> Det tidl sprøjtehus ved Charlottenlund Slot</t>
  </si>
  <si>
    <t xml:space="preserve"> Sprøjtehuset (tidl) (1882 af Ferdinand Meldahl)</t>
  </si>
  <si>
    <t>Jægersborg Allé 90</t>
  </si>
  <si>
    <t xml:space="preserve"> Jægersborg Allé 90</t>
  </si>
  <si>
    <t xml:space="preserve"> Staldbygning (ca 1800)</t>
  </si>
  <si>
    <t xml:space="preserve"> Jægersborg Allé 92-94</t>
  </si>
  <si>
    <t xml:space="preserve"> Hovedbygningen (ca 1800)</t>
  </si>
  <si>
    <t>Jægersborg Allé 95</t>
  </si>
  <si>
    <t xml:space="preserve"> Det Svenske Hus, Bernstorffsparken</t>
  </si>
  <si>
    <t xml:space="preserve"> Træbygningen (udstillet på "Den nordiske Kunst- ogIndustriudstilling" i Tivoli i 1888)</t>
  </si>
  <si>
    <t>Krathusvej 2, tidl Ørnekulsvej 14</t>
  </si>
  <si>
    <t xml:space="preserve"> Krathusvej 2</t>
  </si>
  <si>
    <t xml:space="preserve"> Villaen med havemur ud mod Ørnekulsvej (1916 af IvarBentsen for billedhugger Kai Nielsen)</t>
  </si>
  <si>
    <t>Krathusvej 36</t>
  </si>
  <si>
    <t xml:space="preserve"> Gammel Skovgård</t>
  </si>
  <si>
    <t xml:space="preserve"> Hovedbygningen (ca 1820)</t>
  </si>
  <si>
    <t>Krathusvej 7</t>
  </si>
  <si>
    <t xml:space="preserve"> Krathusvej 7</t>
  </si>
  <si>
    <t xml:space="preserve"> Villaen med den senere tilbyggede garage (villaen 1937 af Aage Rafn, til sigselv)</t>
  </si>
  <si>
    <t>Kratvænget 9</t>
  </si>
  <si>
    <t xml:space="preserve"> Kratvænget 9</t>
  </si>
  <si>
    <t xml:space="preserve"> Vinkelbygningen (1934 af Arne Jacobsen) med tilbygget sydfløj (1939 af Risom &amp;amp; Tillisch Arkitekter) samt haveanlæg, herunder forplads og hække (1934 af C. Th. Sørensen)</t>
  </si>
  <si>
    <t>Kystvejen 24</t>
  </si>
  <si>
    <t xml:space="preserve"> Kystvejen 24</t>
  </si>
  <si>
    <t xml:space="preserve"> Servicestationsanlægget med baldakin, værkstedsgårde og tilkørselsarealer(1939 af Arne Jacobsen)</t>
  </si>
  <si>
    <t>Lyngbyvej 485</t>
  </si>
  <si>
    <t xml:space="preserve"> Vintappergården</t>
  </si>
  <si>
    <t xml:space="preserve"> Hovedbygningen (ca 1770)</t>
  </si>
  <si>
    <t>Lyngbyvej ved Fristedet</t>
  </si>
  <si>
    <t xml:space="preserve"> Bernstorffstøtten</t>
  </si>
  <si>
    <t xml:space="preserve"> Mindestøtten (1783 af Johannes Wiedewelt)</t>
  </si>
  <si>
    <t>Ordrup Station 1 (tidl Schioldannsvej 21)</t>
  </si>
  <si>
    <t xml:space="preserve"> Ordrup Station</t>
  </si>
  <si>
    <t xml:space="preserve"> Hovedbygningen med tilhørende gårdsplads ogtrappeanlæg&amp;nbsp;(1924 af K. T. Seest) </t>
  </si>
  <si>
    <t>Ordrupvej 70 A-B</t>
  </si>
  <si>
    <t xml:space="preserve"> Systemhuset</t>
  </si>
  <si>
    <t xml:space="preserve"> Etagehuset (1937 af Mogens Lassen og Ernst Ishøy)</t>
  </si>
  <si>
    <t>Skovvej 35 A</t>
  </si>
  <si>
    <t xml:space="preserve"> Skovvej 35 A , villa</t>
  </si>
  <si>
    <t xml:space="preserve"> Villaen med terrasse, mur og rampe (1952 af Eva og Nils Koppel)</t>
  </si>
  <si>
    <t>Smutvej 14</t>
  </si>
  <si>
    <t xml:space="preserve"> Smutvej 14 , villa</t>
  </si>
  <si>
    <t xml:space="preserve"> Villaen med udhus og carport samt teglstensmuren sydøst for villaen oghaven med den fortløbende stensætning (1955 af Erik Christian Sørensen)</t>
  </si>
  <si>
    <t>Solbakkevej 57</t>
  </si>
  <si>
    <t xml:space="preserve"> Solbakkevej 57 , villa</t>
  </si>
  <si>
    <t xml:space="preserve"> Villaen (1953 af Karen og Ebbe Clemmensen)</t>
  </si>
  <si>
    <t>Strandvejen 340</t>
  </si>
  <si>
    <t xml:space="preserve"> Bellevue Strandbad</t>
  </si>
  <si>
    <t xml:space="preserve"> Damernes fællesomklædningsbygning, damernes kamformede vekselkabinebygning med de to tilhørende stentrapper, søndre livreddertårn med tilhørende badebro (1932 af Arne Jacobsen), kioskbygningen med pergola, kajakklubben med pergola og tilhørende terrasse (1938af Arne Jacobsen)</t>
  </si>
  <si>
    <t>Strandvejen 407</t>
  </si>
  <si>
    <t xml:space="preserve"> Belvedere</t>
  </si>
  <si>
    <t xml:space="preserve"> Hovedbygningen (1842, ombygget 1848)</t>
  </si>
  <si>
    <t>Strandvejen 415 A-E og 417 A</t>
  </si>
  <si>
    <t xml:space="preserve"> Ved Bellevue Bugt</t>
  </si>
  <si>
    <t xml:space="preserve"> Hele bebyggelsen bestående af en lejlighedsblok i fire etager og en række atriumhuse i en etage samt tilhørende stier, haveanlæg og tilkørselsveje (1962 af ArneJacobsen)</t>
  </si>
  <si>
    <t>* (*: Strandvejen 415 A, 415 C og 417 A)</t>
  </si>
  <si>
    <t>Strandvejen 419-433, Bellevuevej 1-7</t>
  </si>
  <si>
    <t xml:space="preserve"> Bellavista</t>
  </si>
  <si>
    <t xml:space="preserve"> Boligbebyggelsen med tilhørende omgivelser i form afstier, trapper, ramper, tilkørselsveje og haveanlæg (1933-34 af Arne Jacobsen)</t>
  </si>
  <si>
    <t>Strandvejen 435-451</t>
  </si>
  <si>
    <t xml:space="preserve"> Bellevue Teater</t>
  </si>
  <si>
    <t xml:space="preserve"> Teaterbygningen med boligfløj og tilhørende haveanlæg, stier ogtilkørselsveje (1935-36 af Arne Jacobsen)</t>
  </si>
  <si>
    <t>Strandvejen 54</t>
  </si>
  <si>
    <t xml:space="preserve"> Tuborgs Administrationsbygning</t>
  </si>
  <si>
    <t xml:space="preserve"> Tuborgs administrationsbygning, indgangspartiet medde to portsøjler og granitkuglerne foran bygningen samt dele af belægningerne omkring bygningen (opført 1913 af Anton Rosen)</t>
  </si>
  <si>
    <t>Strandvejen ved Emiliekildevej</t>
  </si>
  <si>
    <t xml:space="preserve"> Emiliekilde</t>
  </si>
  <si>
    <t xml:space="preserve"> Mindestøtten (1780 af Nicolai Abildgaard) med fundament ogbagmure af granit</t>
  </si>
  <si>
    <t>Søholmparken 1</t>
  </si>
  <si>
    <t xml:space="preserve"> Søholm</t>
  </si>
  <si>
    <t xml:space="preserve"> Hovedbygningen (1806-09 af C.F. Hansen og muligvis PederMalling)</t>
  </si>
  <si>
    <t>Sølystvej 11</t>
  </si>
  <si>
    <t xml:space="preserve"> Sølystvej 11</t>
  </si>
  <si>
    <t xml:space="preserve"> Beboelseshuset, garagen og terrasseanlægget med tilhørende trapper ogtræer (1938 af Mogens Lassen, garagen 1949)</t>
  </si>
  <si>
    <t>Sølystvej 5</t>
  </si>
  <si>
    <t xml:space="preserve"> Sølystvej 5</t>
  </si>
  <si>
    <t xml:space="preserve"> Bygningerne med tilhørende gårdrum, hegnsmure, terrasser, trapper oghaveanlæg (1935 af Mogens Lassen, atelierbygningen 1963)</t>
  </si>
  <si>
    <t>Sølystvej 7</t>
  </si>
  <si>
    <t xml:space="preserve"> Sølystvej 7</t>
  </si>
  <si>
    <t xml:space="preserve"> Beboelseshuset (1935 af Mogens Lassen)</t>
  </si>
  <si>
    <t>Tuborgvej 99</t>
  </si>
  <si>
    <t xml:space="preserve"> Tuborgvej 99</t>
  </si>
  <si>
    <t xml:space="preserve"> Villaen (1940 af Tyge Hvass) med have (1941 delvis efter Cth Sørensen)</t>
  </si>
  <si>
    <t>Vangedevej 178</t>
  </si>
  <si>
    <t xml:space="preserve"> Munkegårdsskolen</t>
  </si>
  <si>
    <t xml:space="preserve"> Skolen (1957 af Arne Jacobsen) omfattende hovedbygningen, gymnastikbygningen, småbørnsbygningen, cykelstaldene, toiletbygningerne, inspektør- og pedelboligerne med garagen samt bygningernes nære omgivelser bestående af grønnegårdene, skolegården medpergolaer samt bøgehækkene og platantræerne</t>
  </si>
  <si>
    <t>Ved Slotshaven 14</t>
  </si>
  <si>
    <t xml:space="preserve"> Gartnerbolig (tidl) og udhus ved Bernstorff Slot</t>
  </si>
  <si>
    <t xml:space="preserve"> Den tidl gartnerbolig og udhuset (1884-86af Ferdinand Meldahl)</t>
  </si>
  <si>
    <t>Vitus Beringsallé 30-32</t>
  </si>
  <si>
    <t xml:space="preserve"> Christiansholm</t>
  </si>
  <si>
    <t xml:space="preserve"> Hovedbygningen (1746-67)</t>
  </si>
  <si>
    <t>Ørehøj Allé 2</t>
  </si>
  <si>
    <t xml:space="preserve"> Øregård</t>
  </si>
  <si>
    <t xml:space="preserve"> Hovedbygningen (ca 1806 af Joseph-Jacques Ramée)</t>
  </si>
  <si>
    <t>Gladsaxe Kommune</t>
  </si>
  <si>
    <t>Mørkhøj Bygade 19</t>
  </si>
  <si>
    <t xml:space="preserve"> Mørkhøjgård</t>
  </si>
  <si>
    <t xml:space="preserve"> Hovedbygningen og de dermed sammenbyggede sidefløje mod gården(1836)</t>
  </si>
  <si>
    <t>Vandtårnsvej 60</t>
  </si>
  <si>
    <t xml:space="preserve"> Højdebeholderanlægget på Tinghøj</t>
  </si>
  <si>
    <t xml:space="preserve"> Højdebeholderanlægget på Tinghøj, bestående af den aksiale kørevej, halbygningen, bestyrerboligen, redskabsskuret, de to græsbeklædte plateauer med 10 vandreservoirer, 20 nedgangs- og ventilationstårne med trapper og adgangsveje (1931- ca 1935 af IbLunding) samt ventilbygningen (1943 af Ib Lunding)</t>
  </si>
  <si>
    <t>Greve Kommune</t>
  </si>
  <si>
    <t>Degnestræde 3-5 og 7</t>
  </si>
  <si>
    <t xml:space="preserve"> Den gamle skole og Degneboligen</t>
  </si>
  <si>
    <t xml:space="preserve"> Skolebygningen (1834, 1867 og tilbygget 1926) samtdegneboligen (1842)</t>
  </si>
  <si>
    <t>Michael Gjøesvej 1</t>
  </si>
  <si>
    <t xml:space="preserve"> Greve Præstegård</t>
  </si>
  <si>
    <t xml:space="preserve"> Det trelængede anlæg (1790'erne)</t>
  </si>
  <si>
    <t>Mosede Bygade 51</t>
  </si>
  <si>
    <t xml:space="preserve"> Revsmosegård</t>
  </si>
  <si>
    <t xml:space="preserve"> Den firelængede bindingsværksgård, svinehuset på gårdensnordside (ca 1750), den brolagte opkørsel samt gårdspladsens brolægning</t>
  </si>
  <si>
    <t>Gribskov Kommune</t>
  </si>
  <si>
    <t>Alléen 3</t>
  </si>
  <si>
    <t xml:space="preserve"> Sandflugtsmonumentet ved Tisvilde</t>
  </si>
  <si>
    <t xml:space="preserve"> Monumentet (1738 af Elias David Häusser og DidrickGercken)</t>
  </si>
  <si>
    <t>Fyrvejen 25</t>
  </si>
  <si>
    <t xml:space="preserve"> Nakkehoved Vestre Fyr</t>
  </si>
  <si>
    <t xml:space="preserve"> Nakkehoved Vestre Fyr bestående af fyrtårnet og den dermedsammenbyggede fyrassistentbolig (1772 af G. D. Anthon, ombygget og forhøjet 1898)</t>
  </si>
  <si>
    <t>Fyrvejen 27 og 29 B</t>
  </si>
  <si>
    <t xml:space="preserve"> Nakkehoved Fyr</t>
  </si>
  <si>
    <t xml:space="preserve"> Fyrtårnet og den dermed sammenbyggede fyrmesterbolig (1772 af G. D. Anthon med senere tilføjelser)</t>
  </si>
  <si>
    <t>Høbjergvej</t>
  </si>
  <si>
    <t xml:space="preserve"> Pibe Mølle</t>
  </si>
  <si>
    <t xml:space="preserve"> Stubmøllen (1789)</t>
  </si>
  <si>
    <t>Klostergade 11 A-C</t>
  </si>
  <si>
    <t xml:space="preserve"> Esrum Kloster</t>
  </si>
  <si>
    <t xml:space="preserve"> Hovedfløjen med halvtagsbygning mod nord og to sidefløje (1300-1400-tallet, grundlagt 1140-50)</t>
  </si>
  <si>
    <t>Klostergade 12 A-D</t>
  </si>
  <si>
    <t xml:space="preserve"> Esrum Møllegård</t>
  </si>
  <si>
    <t xml:space="preserve"> Stuehus, staldlængerne, møllehuset med tilbygninger (ca 1880)samt ålekisten</t>
  </si>
  <si>
    <t>Munkerup Strandvej 78</t>
  </si>
  <si>
    <t xml:space="preserve"> Munkeruphus</t>
  </si>
  <si>
    <t xml:space="preserve"> Hovedbygningen og udhus (1916 af Therkel H. Hjejle og NielsRosenkjær)</t>
  </si>
  <si>
    <t>Museumsvej 19</t>
  </si>
  <si>
    <t xml:space="preserve"> Rudolph Tegners Museum</t>
  </si>
  <si>
    <t xml:space="preserve"> Museumsbygningen (1938 af Rudolph Tegner og ErnstIshøy under medvirken af Mogens Lassen) og tilbygningen (1951)</t>
  </si>
  <si>
    <t>Rigmor Stampes Vej 15</t>
  </si>
  <si>
    <t xml:space="preserve"> Rigmor Stampes Vej 15</t>
  </si>
  <si>
    <t xml:space="preserve"> Gæsteannekset ved Niels Bohrs sommerhus (Opført1957 af Vilhelm Wohlert)</t>
  </si>
  <si>
    <t>Rågeleje Strandvej 1 A</t>
  </si>
  <si>
    <t xml:space="preserve"> Rågegården</t>
  </si>
  <si>
    <t xml:space="preserve"> Hovedbygningen med tilhørende gårdsplads og hegnsmur, staldlænge med tilhørende gårdsplads og hegnsmur samt det lille brøndhus (1915 af Povl Baumann)</t>
  </si>
  <si>
    <t>* Udvidet 2012</t>
  </si>
  <si>
    <t>Silkebjerg 3</t>
  </si>
  <si>
    <t xml:space="preserve"> Silkebjerg 3</t>
  </si>
  <si>
    <t xml:space="preserve"> Sommerhuset (1932) og atelierfløj (1937)</t>
  </si>
  <si>
    <t>Strandvejen 20</t>
  </si>
  <si>
    <t xml:space="preserve"> Strandvejen 20</t>
  </si>
  <si>
    <t xml:space="preserve"> Sommerhuset (opført 1956 af Arne Jakobsen)</t>
  </si>
  <si>
    <t>Ved Gærdet 1</t>
  </si>
  <si>
    <t xml:space="preserve"> Villa Vendle</t>
  </si>
  <si>
    <t xml:space="preserve"> Villa Vendle (1912 af Bent Helweg-Møller) bestående af hovedhus, udhus ogmuromkranset gårdhave med overdækket brønd</t>
  </si>
  <si>
    <t>Østergade 10</t>
  </si>
  <si>
    <t xml:space="preserve"> Fiskerhuset</t>
  </si>
  <si>
    <t xml:space="preserve"> Stuehus og sidehuslænge (sidst i 1700-tallet, omb. 1868), samt den brolagtegård og stakitter mod gaden</t>
  </si>
  <si>
    <t>Østergade 55</t>
  </si>
  <si>
    <t xml:space="preserve"> Kongensgave</t>
  </si>
  <si>
    <t xml:space="preserve"> Hovedbygningen (ca 1830)</t>
  </si>
  <si>
    <t>Guldborgsund Kommune</t>
  </si>
  <si>
    <t>Adelgade 11 og 17</t>
  </si>
  <si>
    <t xml:space="preserve"> Clausens Pakhus og Bønnelyches Pakhus, Nysted</t>
  </si>
  <si>
    <t xml:space="preserve"> Pakhuset mod Adelgade "ClausensPakhus" (1807) samt det fritliggende pakhus "Bønnelyches Pakhus" (1851)</t>
  </si>
  <si>
    <t xml:space="preserve"> Udvidet 1984*</t>
  </si>
  <si>
    <t>Adelgade 23</t>
  </si>
  <si>
    <t xml:space="preserve"> Adelgade 23, Nysted</t>
  </si>
  <si>
    <t xml:space="preserve"> Forhuset (1870) og baghuset (1872)</t>
  </si>
  <si>
    <t xml:space="preserve"> Adelgade 28 B</t>
  </si>
  <si>
    <t>Adelgade 28 B, Nysted</t>
  </si>
  <si>
    <t xml:space="preserve"> Forhuset (første halvdel af 1600-tallet)</t>
  </si>
  <si>
    <t>Adelgade 40</t>
  </si>
  <si>
    <t xml:space="preserve"> Adelgade 40, Nysted</t>
  </si>
  <si>
    <t xml:space="preserve"> Pakhuset (mellem 1781 og 1791, ombygget 1928)</t>
  </si>
  <si>
    <t>Adelgade 80</t>
  </si>
  <si>
    <t xml:space="preserve"> Emil Aarestrups Hus, Nysted</t>
  </si>
  <si>
    <t xml:space="preserve"> Forhus (1700-tallet, ombygget ca 1800), sdr. sidehus medlude (ca 1800) og nedre sidehus med lude (før 1791)</t>
  </si>
  <si>
    <t>Bramsløkkevej 7</t>
  </si>
  <si>
    <t xml:space="preserve"> Bramsløkke</t>
  </si>
  <si>
    <t>Bregningevej 43</t>
  </si>
  <si>
    <t xml:space="preserve"> Bregninge gamle Skole</t>
  </si>
  <si>
    <t xml:space="preserve"> Skolebygningen og det bagved liggende udhus (1805)</t>
  </si>
  <si>
    <t>Brogade 2, hj af Torvegade</t>
  </si>
  <si>
    <t xml:space="preserve"> Wichmanns Gård, Sakskøbing</t>
  </si>
  <si>
    <t xml:space="preserve"> Forhuset (ca 1770-80)</t>
  </si>
  <si>
    <t>Bøtøgårdsvej 23</t>
  </si>
  <si>
    <t xml:space="preserve"> Bøtøgård Plantørbolig</t>
  </si>
  <si>
    <t xml:space="preserve"> Plantørboligen (ca 1880)</t>
  </si>
  <si>
    <t>Egensevej 49</t>
  </si>
  <si>
    <t xml:space="preserve"> Vester Kippinge Præstegård</t>
  </si>
  <si>
    <t xml:space="preserve"> Stuehuset (1840)</t>
  </si>
  <si>
    <t>Ejegodvej 4 A-B og 6</t>
  </si>
  <si>
    <t xml:space="preserve"> Ejegod Mølle, Nykøbing</t>
  </si>
  <si>
    <t xml:space="preserve"> Vindmøllen, stuehuset samt udhus (ca 1850)</t>
  </si>
  <si>
    <t>Engestoftevej 95</t>
  </si>
  <si>
    <t xml:space="preserve"> Engestofte</t>
  </si>
  <si>
    <t xml:space="preserve"> Hovedbygningen (1805-07)</t>
  </si>
  <si>
    <t>Frisegade 1</t>
  </si>
  <si>
    <t xml:space="preserve"> Ritmestergården, Nykøbing</t>
  </si>
  <si>
    <t xml:space="preserve"> Forhus (ældre hus ombygget ca 1800) med renæssance-længen mod Kirkestræde (ca 1620)</t>
  </si>
  <si>
    <t>Frisegade 43</t>
  </si>
  <si>
    <t xml:space="preserve"> Frisegade 43, Nykøbing</t>
  </si>
  <si>
    <t xml:space="preserve"> Bindingsværksforhuset (1761) med det gamle pakhus bagved(1845-46) samt stenbelægningen mellem bygningerne</t>
  </si>
  <si>
    <t xml:space="preserve"> Udvidet 2020*</t>
  </si>
  <si>
    <t>Gammel Færgevej 6</t>
  </si>
  <si>
    <t xml:space="preserve"> Grønsund Færgegård 2</t>
  </si>
  <si>
    <t xml:space="preserve"> Stuehus (1731 og senere) og rejsestalden (ca 1860)</t>
  </si>
  <si>
    <t>Gammel Torv 2</t>
  </si>
  <si>
    <t xml:space="preserve"> Gammel Torv 2, Nysted</t>
  </si>
  <si>
    <t xml:space="preserve"> Forhuset (1831, ombygget 1922 af Johannes Holck) med side-og baghus samt den brolagte gårdsplads</t>
  </si>
  <si>
    <t>Gammel Torv 3, 5 og 7</t>
  </si>
  <si>
    <t xml:space="preserve"> Gammel Torv 3-7, Nysted</t>
  </si>
  <si>
    <t xml:space="preserve"> Forhusene (nr 3:* 1831; nr 5: 1846; nr 7: 1600-tallet)og baghuset (1847)</t>
  </si>
  <si>
    <t>Gedsergård 1 og 2</t>
  </si>
  <si>
    <t xml:space="preserve"> Gjedsergård</t>
  </si>
  <si>
    <t xml:space="preserve"> Hovedbygningen (1767, tilbygningerne ca 1800), Kavalerfløjen (1767)samt brolægningen heromkring</t>
  </si>
  <si>
    <t xml:space="preserve"> Udvidet 1995*</t>
  </si>
  <si>
    <t>Gåbense Strandvej 61</t>
  </si>
  <si>
    <t xml:space="preserve"> Gåbense gamle Færgegård</t>
  </si>
  <si>
    <t xml:space="preserve"> Den trelængede hovedbygning (1600-1800-tallet)</t>
  </si>
  <si>
    <t>Havnegade 18</t>
  </si>
  <si>
    <t xml:space="preserve"> Orehoved Fyr</t>
  </si>
  <si>
    <t xml:space="preserve"> Fyrtårnet (1895, forhøjet 1932) ved Orehoved Fyr</t>
  </si>
  <si>
    <t>Hesnæsvej 56 og Lyremosen 1</t>
  </si>
  <si>
    <t xml:space="preserve"> Moseby Præstegård</t>
  </si>
  <si>
    <t xml:space="preserve"> Det firelængede anlæg med østlængens toudbygninger mod øst (muligvis 1596 og 1683, stærkt ombygget i 1770'erne)</t>
  </si>
  <si>
    <t>Juniorsgade 6-12</t>
  </si>
  <si>
    <t xml:space="preserve"> Juniors Stiftelse, Sakskøbing</t>
  </si>
  <si>
    <t xml:space="preserve"> Forhuset (1802)</t>
  </si>
  <si>
    <t>Kirkepladsen 3</t>
  </si>
  <si>
    <t xml:space="preserve"> Klosterfløjen, Nykøbing</t>
  </si>
  <si>
    <t xml:space="preserve"> Det tidl franciskanerklosters vestfløj (sengotik, ombygget)</t>
  </si>
  <si>
    <t>Klosterstræde 1-9 og Voldgade 8</t>
  </si>
  <si>
    <t xml:space="preserve"> Klostret, Nykøbing</t>
  </si>
  <si>
    <t xml:space="preserve"> Vester kloster (1828), forstanderbolig (1828) med udhus, Fr. VII's kloster (1862), Chr VIII's kloster (1848) samt de forbindende mure og gitre, bindingsværksbygningen (1. halvdel af 1800-tallet) og sygeklostret (1895) samt Chr IX's Kloster (1876)* halvdel af 1800-tallet. og sygeklostret (1895 samt Chr IX's Kloster (1876)*.</t>
  </si>
  <si>
    <t>Udvidet 1989*</t>
  </si>
  <si>
    <t>Kogangen 8</t>
  </si>
  <si>
    <t xml:space="preserve"> Berritsgård</t>
  </si>
  <si>
    <t xml:space="preserve"> Hovedbygningen (1586, muligvis af Hans (I) van Steenwinckel)</t>
  </si>
  <si>
    <t>Kraghave Gaabensevej 95 A og 97</t>
  </si>
  <si>
    <t xml:space="preserve"> Gammel Kirstineberg</t>
  </si>
  <si>
    <t xml:space="preserve"> Hovedbygningen og østre sidelænge samthegnsmure og portpiller mod Kraghave Gåbensevej (1700-tallet)</t>
  </si>
  <si>
    <t>Krenkerupvej 25-27</t>
  </si>
  <si>
    <t xml:space="preserve"> Krenkerup</t>
  </si>
  <si>
    <t xml:space="preserve"> Hovedbygningen (ca 1500-1631) med foranliggende hestestald (1600-tallet og senere)</t>
  </si>
  <si>
    <t>Kringelborg Allé 11 (tidl Grønsundsvej 123)</t>
  </si>
  <si>
    <t xml:space="preserve"> Kringelborg</t>
  </si>
  <si>
    <t xml:space="preserve"> Hovedbygningen (slutn 1700-tallet)</t>
  </si>
  <si>
    <t>Langgade 16-18</t>
  </si>
  <si>
    <t>Langgade 2, hj af Færgestræde</t>
  </si>
  <si>
    <t xml:space="preserve"> Czarens Hus, Nykøbing</t>
  </si>
  <si>
    <t>Lille Kirkestræde 9-11</t>
  </si>
  <si>
    <t xml:space="preserve"> Det Wichfeldske Enkehuus, Nykøbing</t>
  </si>
  <si>
    <t xml:space="preserve"> Forhuset (ca 1828)</t>
  </si>
  <si>
    <t xml:space="preserve"> Lundbyvej 44</t>
  </si>
  <si>
    <t>Lundby Mølle</t>
  </si>
  <si>
    <t xml:space="preserve"> Vindmøllen (1856)</t>
  </si>
  <si>
    <t>Møllesøvej 2</t>
  </si>
  <si>
    <t xml:space="preserve"> Bøtø Nor Pumpestation</t>
  </si>
  <si>
    <t xml:space="preserve"> Pumpestationen (1871)</t>
  </si>
  <si>
    <t>Nystedvej 73</t>
  </si>
  <si>
    <t xml:space="preserve"> Fuglsang</t>
  </si>
  <si>
    <t xml:space="preserve"> Hovedbygningen (1868-69 af J.G. Zinn), broen med de to gadelygter, havebroen, pavillonen, herskabsstalden samt de tre mure med porte nord for hovedbygningen</t>
  </si>
  <si>
    <t>Ny Østergade 11</t>
  </si>
  <si>
    <t xml:space="preserve"> Nysted Vandtårn</t>
  </si>
  <si>
    <t>Orebygård 5</t>
  </si>
  <si>
    <t xml:space="preserve"> Orebygård</t>
  </si>
  <si>
    <t xml:space="preserve"> Hovedbygningen (1870'erne af Ove Petersen med ældre kerne)</t>
  </si>
  <si>
    <t>Priorskov 11</t>
  </si>
  <si>
    <t xml:space="preserve"> Priorskov</t>
  </si>
  <si>
    <t xml:space="preserve"> Magasinbygningen (1600-tallet)</t>
  </si>
  <si>
    <t>Rosenvænget 12</t>
  </si>
  <si>
    <t xml:space="preserve"> Staldbygning, Nykøbing Slot</t>
  </si>
  <si>
    <t xml:space="preserve"> Staldbygningen (1635 af Hans II van Steenwinckel)</t>
  </si>
  <si>
    <t>Slotsgade 22</t>
  </si>
  <si>
    <t xml:space="preserve"> Slotsgade 22, Nykøbing</t>
  </si>
  <si>
    <t xml:space="preserve"> Forhuset (ca 1825)</t>
  </si>
  <si>
    <t>Stovbyvej 19A</t>
  </si>
  <si>
    <t xml:space="preserve"> Stouby Mølle</t>
  </si>
  <si>
    <t xml:space="preserve"> Stubmøllen (ca 1750, flyttet til nuværende placering 1790)</t>
  </si>
  <si>
    <t xml:space="preserve"> Røgehuset på Strandvejen 20, Nysted</t>
  </si>
  <si>
    <t xml:space="preserve"> Røgehuset (1871)</t>
  </si>
  <si>
    <t>Torkilstrupvej 10 A</t>
  </si>
  <si>
    <t xml:space="preserve"> Torkilstrup Mølle</t>
  </si>
  <si>
    <t xml:space="preserve"> Stubmøllen (1743)</t>
  </si>
  <si>
    <t>Torkilstrupvej 16</t>
  </si>
  <si>
    <t xml:space="preserve"> Torkilstrup Præstegård</t>
  </si>
  <si>
    <t xml:space="preserve"> Det trelængede anlæg (1761)</t>
  </si>
  <si>
    <t>Torvet 9 A</t>
  </si>
  <si>
    <t xml:space="preserve"> Hotel Sakskøbing</t>
  </si>
  <si>
    <t xml:space="preserve"> Forhuset og teaterets forbygning mod torvet samt bindingsværkslængenmod Juniorsgade (ca 1800)</t>
  </si>
  <si>
    <t>Tromnæs Alléen 10</t>
  </si>
  <si>
    <t xml:space="preserve"> Generalens Lysthus, Tromnæs Skov</t>
  </si>
  <si>
    <t xml:space="preserve"> Lysthusbygningen (ca 1780-90 af Andreas Kirkerup)</t>
  </si>
  <si>
    <t xml:space="preserve"> Hovedbygningen (1775-77 muligvis af Andreas Kirkerup), hestestalden (1780), kavalerfløjen og dennes sydfløj (begge fra 2</t>
  </si>
  <si>
    <t xml:space="preserve"> halvdel af 1700- tallet), samt mellembygningen (1830'rne) der forbinder hovedbygningen og kavalerfløjen,iskælderen (1779) og retiradebygningen (ca 1780)</t>
  </si>
  <si>
    <t xml:space="preserve"> Udvidet 1984, 1991 og 2017*</t>
  </si>
  <si>
    <t>Tunderup Strandvej 1</t>
  </si>
  <si>
    <t xml:space="preserve"> Karleby Præstegård</t>
  </si>
  <si>
    <t xml:space="preserve"> Det trelængede bindingsværksanlæg (stuehus antagelig1766-70, udhus ca 1740)</t>
  </si>
  <si>
    <t>Vennerslundsvej 15, 17 og 19</t>
  </si>
  <si>
    <t xml:space="preserve"> Vennerslund</t>
  </si>
  <si>
    <t xml:space="preserve"> Den gamle hovedbygning (ca 1770), den nye hovedbygning(1845 af O.M.Glahn)</t>
  </si>
  <si>
    <t>Vestergade 15</t>
  </si>
  <si>
    <t xml:space="preserve"> Den tidl Latinskole, Nykøbing</t>
  </si>
  <si>
    <t xml:space="preserve"> Forhus med sidehus (1786)</t>
  </si>
  <si>
    <t>Vestergade 16</t>
  </si>
  <si>
    <t xml:space="preserve"> Trojels Gård, Stubbekøbing</t>
  </si>
  <si>
    <t>Vestergade 43</t>
  </si>
  <si>
    <t xml:space="preserve"> Vestergade 43, Stubbekøbing</t>
  </si>
  <si>
    <t xml:space="preserve"> Forhuset (1847 vistnok af H. Thrane)</t>
  </si>
  <si>
    <t>Østergade 13</t>
  </si>
  <si>
    <t xml:space="preserve"> Østergade 13, Nysted</t>
  </si>
  <si>
    <t xml:space="preserve"> Forhuset (1876)</t>
  </si>
  <si>
    <t>Østergade 9</t>
  </si>
  <si>
    <t xml:space="preserve"> Østergade 9, Nysted</t>
  </si>
  <si>
    <t xml:space="preserve"> Forhus og baghus (1877-78)</t>
  </si>
  <si>
    <t>Østre Allé 2</t>
  </si>
  <si>
    <t xml:space="preserve"> Bispegården, Nykøbing</t>
  </si>
  <si>
    <t xml:space="preserve"> Hovedbygningen (1850 af Gottlieb Bindesbøll) samt arkaden ogden hermed forbundne, enetages bygning (1910)</t>
  </si>
  <si>
    <t>Ålholm Parkvej 4</t>
  </si>
  <si>
    <t xml:space="preserve"> Ålholm</t>
  </si>
  <si>
    <t xml:space="preserve"> Hovedbygningen (nordøstre tårn og vestmur 1300-tallet; østfløj 1581; heleanlægget ombygget 1889 af Hans J. Holm) og pavillonen "Bjørnehuset"</t>
  </si>
  <si>
    <t xml:space="preserve">Haderslev Kommune </t>
  </si>
  <si>
    <t>Apotekergade 1</t>
  </si>
  <si>
    <t xml:space="preserve"> Apotekergade 1</t>
  </si>
  <si>
    <t xml:space="preserve"> Gavlhuset (ca 1600)</t>
  </si>
  <si>
    <t>Apotekergade 11</t>
  </si>
  <si>
    <t xml:space="preserve"> Apotekergade 11</t>
  </si>
  <si>
    <t xml:space="preserve"> Den middelalderlige kælder (1300-1400-tallet)</t>
  </si>
  <si>
    <t>Apotekergade 9 A</t>
  </si>
  <si>
    <t xml:space="preserve"> Hjorteapoteket</t>
  </si>
  <si>
    <t xml:space="preserve"> Forhus (1842-43 af Paul Christiansen) og sidehus (1682 ogsenere)</t>
  </si>
  <si>
    <t>Badstuegade 14</t>
  </si>
  <si>
    <t xml:space="preserve"> Badstuegade 14</t>
  </si>
  <si>
    <t xml:space="preserve"> Gavlhuset</t>
  </si>
  <si>
    <t>Badstuegade 16</t>
  </si>
  <si>
    <t xml:space="preserve"> Badstuegade 16</t>
  </si>
  <si>
    <t xml:space="preserve"> Forhuset med de to sidefløje (1821)</t>
  </si>
  <si>
    <t>Brogårdvej 4</t>
  </si>
  <si>
    <t xml:space="preserve"> Nybøl</t>
  </si>
  <si>
    <t xml:space="preserve"> Stuehus og hesterundgang (slutn af 1700-tallet)</t>
  </si>
  <si>
    <t>Christiansdalsvej 50</t>
  </si>
  <si>
    <t xml:space="preserve"> Christiansdals Vandkraftværk</t>
  </si>
  <si>
    <t xml:space="preserve"> Vandkraftværket med tilhørende turbinekammer (1911 og udvidet 1920), slusen og dæmningen der opstemmer Christiansdal Elværksdam mod øst, den overdækkede kanal fra dammen til kraftværket, slusen og trykrøret fra Højkanalen til Kraftværket og denbetonstøbte udløbskanal med broen samt funktionærboligen (antagelig 1911)</t>
  </si>
  <si>
    <t>Christiansfeldvej 4 A og B</t>
  </si>
  <si>
    <t xml:space="preserve"> Catharinaheim</t>
  </si>
  <si>
    <t xml:space="preserve"> Boligfløjen med tilhørende pedelbolig og to vaskehuse (1896 af W. Voigt) samt pryd- og nyttehave</t>
  </si>
  <si>
    <t>Domkirkepladsen 1</t>
  </si>
  <si>
    <t xml:space="preserve"> Domkirkepladsen 1</t>
  </si>
  <si>
    <t xml:space="preserve"> Forhus og sidehus (1700-tallet) (tidl side- og tværhus til Torvet7)</t>
  </si>
  <si>
    <t>Domkirkepladsen 3, tidl Smedegade 3</t>
  </si>
  <si>
    <t xml:space="preserve"> Den gamle Latinskole</t>
  </si>
  <si>
    <t xml:space="preserve"> Skolebygningen (1733)</t>
  </si>
  <si>
    <t>Gammelting 1 og 2</t>
  </si>
  <si>
    <t xml:space="preserve"> Retsbygningen</t>
  </si>
  <si>
    <t>Gravene 8 og 8 A</t>
  </si>
  <si>
    <t xml:space="preserve"> Haderslev Posthus</t>
  </si>
  <si>
    <t xml:space="preserve"> Haderslev Posthus (1926 af Vilhelm Petersen) bestående afposthus med bagbygning</t>
  </si>
  <si>
    <t>Gåskærgade 19B</t>
  </si>
  <si>
    <t xml:space="preserve"> Harmonien</t>
  </si>
  <si>
    <t xml:space="preserve"> "Hovedbygningen med "Hvide sal" (ca 1850)</t>
  </si>
  <si>
    <t>Gåskærgade 27 og 27 A</t>
  </si>
  <si>
    <t xml:space="preserve"> Gåskærgade 27-27 A</t>
  </si>
  <si>
    <t xml:space="preserve"> Det tifags langhus (de tre østlige fag 1759 og de syvvestlige fag 1781)</t>
  </si>
  <si>
    <t>Gåskærgade 28</t>
  </si>
  <si>
    <t xml:space="preserve"> Den tidl Katedralskole</t>
  </si>
  <si>
    <t xml:space="preserve"> Forhuset og de to sidehuse (1854), muren mod Gåskærgadesamt det toetages hus med gymnastiksalen og det enetages hus med pedelboligen i gården (1854)</t>
  </si>
  <si>
    <t>Gåskærgade 30</t>
  </si>
  <si>
    <t xml:space="preserve"> Gåskærgade 30</t>
  </si>
  <si>
    <t xml:space="preserve"> Forhuset (1856)</t>
  </si>
  <si>
    <t>Hornsgårdsvej 7</t>
  </si>
  <si>
    <t xml:space="preserve"> Agerskovhuset</t>
  </si>
  <si>
    <t xml:space="preserve"> Gårdstuehuset (opført som bulhus i 1600-tallet og omsat i grundmur1783)</t>
  </si>
  <si>
    <t>Højgade 3</t>
  </si>
  <si>
    <t xml:space="preserve"> Højgade 3</t>
  </si>
  <si>
    <t xml:space="preserve"> Forhuset (1795)</t>
  </si>
  <si>
    <t>Jomfrugang 12</t>
  </si>
  <si>
    <t xml:space="preserve"> Jomfrugang 12</t>
  </si>
  <si>
    <t>Klostret 23-25</t>
  </si>
  <si>
    <t xml:space="preserve"> Häger Stiftung</t>
  </si>
  <si>
    <t xml:space="preserve"> De to forhuse (nr 23: beg 1700-tallet, 1823, ca 1850 og 1892; nr 25: ca1750, 1853 og 1892)</t>
  </si>
  <si>
    <t>Klostret 28</t>
  </si>
  <si>
    <t xml:space="preserve"> Klostret 28</t>
  </si>
  <si>
    <t xml:space="preserve"> Det grundmurede toetages hus (1853)</t>
  </si>
  <si>
    <t>Kvistrupvej 36</t>
  </si>
  <si>
    <t xml:space="preserve"> Amtsforstandergården</t>
  </si>
  <si>
    <t xml:space="preserve"> Amtsforstandergårdens stuehus (1844)</t>
  </si>
  <si>
    <t>Laurids Skausgade 8</t>
  </si>
  <si>
    <t xml:space="preserve"> Laurids Skausgade 8</t>
  </si>
  <si>
    <t xml:space="preserve"> Forhuset og bagbygningen opført som fattiggård og sygehus(1837-38 af Paul Christiansen) samt mellembygningen (ombygget 1938)</t>
  </si>
  <si>
    <t>Lavgade 12</t>
  </si>
  <si>
    <t xml:space="preserve"> Lavgade 12</t>
  </si>
  <si>
    <t xml:space="preserve"> Det grundmurede gavlhus og sidehus (1812, de yderste tre fag i sidehuset1863)</t>
  </si>
  <si>
    <t>Lavgade 5-7</t>
  </si>
  <si>
    <t xml:space="preserve"> Haderslev Rådhus (tidl)</t>
  </si>
  <si>
    <t xml:space="preserve"> Det tidl rådhus (1636-38, ombygget 1856 af L. A. Winstrup og senere)</t>
  </si>
  <si>
    <t>Lille Slagtergade 17, tidl Gåskærgade 66</t>
  </si>
  <si>
    <t xml:space="preserve"> Lille Slagtergade 17</t>
  </si>
  <si>
    <t>Moltrup Landevej 75</t>
  </si>
  <si>
    <t xml:space="preserve"> Diddesminde</t>
  </si>
  <si>
    <t xml:space="preserve"> Stuehuset (1832) med sammenbygget staldbygning (1840) og sammenbygget ladebygning (1901), samt den fritliggende ladebygning mod øst (1840) og den brolagtegårdsplads</t>
  </si>
  <si>
    <t>Moltrupvej 1</t>
  </si>
  <si>
    <t xml:space="preserve"> Moltrupvej 1</t>
  </si>
  <si>
    <t xml:space="preserve"> Det tifags grundmurede langhus opført som skole (1838, udv. 1861)</t>
  </si>
  <si>
    <t>Moltrupvej 1 A</t>
  </si>
  <si>
    <t xml:space="preserve"> Sct. Severin Skole</t>
  </si>
  <si>
    <t xml:space="preserve"> Den vinkelformede hovedbygning og den i vinkel hermed sammenbyggede sidebygning mod nord (1924 af Christian Fr. O. Hansen, sidebygning forlænget i 1954 af E. Bløcher) samt drikkevandsfontænen i skolegården og skolens interiørudsmykning (Kai Trier)</t>
  </si>
  <si>
    <t>Møllepladsen 2, hj af Højgade</t>
  </si>
  <si>
    <t xml:space="preserve"> Hiort Lorenzens Hus</t>
  </si>
  <si>
    <t>Møllepladsen 4</t>
  </si>
  <si>
    <t xml:space="preserve"> Haderslev Slotsvandmølle</t>
  </si>
  <si>
    <t xml:space="preserve"> Det store hjørnehus ved Møllepladsen (1827)</t>
  </si>
  <si>
    <t>Naffet 14</t>
  </si>
  <si>
    <t xml:space="preserve"> Naffet 14</t>
  </si>
  <si>
    <t xml:space="preserve"> Bindingsværksforhuset og bindingsværkssidehuset (ca 1740)</t>
  </si>
  <si>
    <t>Naffet 24</t>
  </si>
  <si>
    <t xml:space="preserve"> Naffet 24</t>
  </si>
  <si>
    <t xml:space="preserve"> Forhuset (ca 1625)</t>
  </si>
  <si>
    <t>Naffet 27</t>
  </si>
  <si>
    <t xml:space="preserve"> Naffet 27</t>
  </si>
  <si>
    <t>Naffet 2 A</t>
  </si>
  <si>
    <t xml:space="preserve"> Det gamle Amtskontor</t>
  </si>
  <si>
    <t>Naffet 30</t>
  </si>
  <si>
    <t xml:space="preserve"> Naffet 30</t>
  </si>
  <si>
    <t xml:space="preserve"> Forhuset (1851)</t>
  </si>
  <si>
    <t>Nygårdvej 4</t>
  </si>
  <si>
    <t xml:space="preserve"> Nygård</t>
  </si>
  <si>
    <t xml:space="preserve"> Hovedbygningen</t>
  </si>
  <si>
    <t>Nørregade 4</t>
  </si>
  <si>
    <t xml:space="preserve"> Nørregade 4</t>
  </si>
  <si>
    <t xml:space="preserve"> Gavlhuset (1781, ombygget ca 1840)</t>
  </si>
  <si>
    <t>Præstegade 12 A</t>
  </si>
  <si>
    <t xml:space="preserve"> Wilhelminenheim,Wilhelminen Schule (tidl)</t>
  </si>
  <si>
    <t xml:space="preserve"> Det tifags grundmurede gavlhus opført sompigeskole (1829-30 af J. J. Wraae)</t>
  </si>
  <si>
    <t>Præstegade 14 A</t>
  </si>
  <si>
    <t xml:space="preserve"> Haderslev tidl Præstegård</t>
  </si>
  <si>
    <t xml:space="preserve"> Gavlhuset (1751)</t>
  </si>
  <si>
    <t>Præstegade 1 A, hj af Jomfrugang</t>
  </si>
  <si>
    <t xml:space="preserve"> Præstegade 1 A</t>
  </si>
  <si>
    <t>Præstegade 9</t>
  </si>
  <si>
    <t xml:space="preserve"> Præstegade 9</t>
  </si>
  <si>
    <t xml:space="preserve"> Det syvfags forhus mod kirkegården (før 1799, udv. 1808)</t>
  </si>
  <si>
    <t>Ribe Landevej 3</t>
  </si>
  <si>
    <t xml:space="preserve"> Haderslev Amtsgård</t>
  </si>
  <si>
    <t xml:space="preserve"> Amtsgårdens hovedbygning (ca 1760)</t>
  </si>
  <si>
    <t>Sejlstensgyde 7, hj af Havnevej</t>
  </si>
  <si>
    <t xml:space="preserve"> Det Gamle Ridehus</t>
  </si>
  <si>
    <t xml:space="preserve"> Det gl. ridehus (1700-tallet)</t>
  </si>
  <si>
    <t>Sillerup Møllevej 35</t>
  </si>
  <si>
    <t xml:space="preserve"> Sillerup Mølle</t>
  </si>
  <si>
    <t xml:space="preserve"> Vindmøllen (1859), det dermed sammenbyggede motorhus (1927)med hjælpemotor (1914) og stuehuset (1859), det fritliggende bagehus med bageovn (1859) samt stald- og ladebygningen (1859, udvidet 1928)</t>
  </si>
  <si>
    <t>Skovbøllingvej 35</t>
  </si>
  <si>
    <t xml:space="preserve"> Skovbøllingvej 35</t>
  </si>
  <si>
    <t xml:space="preserve"> Husmandsstedets stuehus, mellembygning og avlslænge (1934 afPeder Gram)</t>
  </si>
  <si>
    <t>Slagtergade 14</t>
  </si>
  <si>
    <t xml:space="preserve"> Slagtergade 14</t>
  </si>
  <si>
    <t xml:space="preserve"> Det syvfags hjørnehus (1852)</t>
  </si>
  <si>
    <t>Slotsgade 15</t>
  </si>
  <si>
    <t xml:space="preserve"> Slotsgade 15</t>
  </si>
  <si>
    <t xml:space="preserve"> Forhuset (1632 og senere) og de to i forlængelse af hinanden opførtesidehuse samt gårdens brolægning</t>
  </si>
  <si>
    <t xml:space="preserve"> Udvidet 1979*</t>
  </si>
  <si>
    <t xml:space="preserve"> Slotsgade 20</t>
  </si>
  <si>
    <t xml:space="preserve"> Gavlhuset med sidefløj og port (ca 1578), udskud og sidehus i bindingsværk</t>
  </si>
  <si>
    <t xml:space="preserve"> Slotsgade 21</t>
  </si>
  <si>
    <t xml:space="preserve"> Det tolvfags grundmurede gavlhus (1821) med sidebygningen (ca1835)</t>
  </si>
  <si>
    <t xml:space="preserve"> Slotsgade 22</t>
  </si>
  <si>
    <t xml:space="preserve"> Det nifags langhus (med bygningsdele og kælder før 1600, forhøjet ca 1800)</t>
  </si>
  <si>
    <t xml:space="preserve"> Slotsgade 23</t>
  </si>
  <si>
    <t xml:space="preserve"> Forhuset (ca 1550-70)</t>
  </si>
  <si>
    <t>Slotsgade 24</t>
  </si>
  <si>
    <t xml:space="preserve"> Slotsgade 24</t>
  </si>
  <si>
    <t xml:space="preserve"> Det ottefags langhus i to etager (ca 1700, ombygget væsentligt 1853)</t>
  </si>
  <si>
    <t>Slotsgade 27</t>
  </si>
  <si>
    <t xml:space="preserve"> Slotsgade 27</t>
  </si>
  <si>
    <t xml:space="preserve"> Det grundmurede gavlhus (1840)</t>
  </si>
  <si>
    <t>Slotsgade 29</t>
  </si>
  <si>
    <t xml:space="preserve"> Slotsgade 29</t>
  </si>
  <si>
    <t xml:space="preserve"> Forhuset (slutn af 1500-tallet) med udbygning på bagsiden (1816), det medforhuset sammenbyggede sidehus (1852) samt baghuset (formentlig stald fra før 1708)</t>
  </si>
  <si>
    <t>Slotsgade 31</t>
  </si>
  <si>
    <t xml:space="preserve"> Slotsgade 31</t>
  </si>
  <si>
    <t xml:space="preserve"> Gavlhuset med de dertil i forlængelse af hinanden opførte tre sidehuse (ca1550-70) samt tværhuset</t>
  </si>
  <si>
    <t>Slotsgrunden 1</t>
  </si>
  <si>
    <t xml:space="preserve"> Slotsgrunden 1</t>
  </si>
  <si>
    <t xml:space="preserve"> Hjørnehuset (1834 af Paul Christiansen)</t>
  </si>
  <si>
    <t>Slotsgrunden 2</t>
  </si>
  <si>
    <t xml:space="preserve"> Slotsgrunden 2</t>
  </si>
  <si>
    <t xml:space="preserve"> Det grundmurede gavlhus (1834, opført som sprøjtehus)</t>
  </si>
  <si>
    <t>Slotsvej 48</t>
  </si>
  <si>
    <t xml:space="preserve"> Slotsvej 48</t>
  </si>
  <si>
    <t xml:space="preserve"> Havehuset (beg af 1800-tallet) og hegnsmuren</t>
  </si>
  <si>
    <t>Slotsvej 51</t>
  </si>
  <si>
    <t xml:space="preserve"> Åhuset</t>
  </si>
  <si>
    <t xml:space="preserve"> Beboelseshuset (ca 1800)</t>
  </si>
  <si>
    <t>Slotsvej 52</t>
  </si>
  <si>
    <t xml:space="preserve"> Slotskroen</t>
  </si>
  <si>
    <t xml:space="preserve"> Hovedbygningen og rejsestald (midten af 1800-tallet)</t>
  </si>
  <si>
    <t>Slotsvej 54</t>
  </si>
  <si>
    <t xml:space="preserve"> Gram Slot</t>
  </si>
  <si>
    <t xml:space="preserve"> Den trefløjede hovedbygning (østfløjen ca 1500-50, sydfløjen ca 1670, ombyggetca 1750, vestfløjen ca 1750, kælder formentlig ældre)</t>
  </si>
  <si>
    <t>Slotsvej 56 og 56 A</t>
  </si>
  <si>
    <t xml:space="preserve"> Stuehuset samt avlsgårdens nordlænge og de dermed sammenbyggedetre tværlænger</t>
  </si>
  <si>
    <t>Slotsvej 63 A-B</t>
  </si>
  <si>
    <t xml:space="preserve"> Teglmesterboligen og Teglværkshuset</t>
  </si>
  <si>
    <t xml:space="preserve"> Det grundmurede stuehus*, staldlængen* ogteglværkshuset af bindingsværk (ca 1800)</t>
  </si>
  <si>
    <t>Storegade 48</t>
  </si>
  <si>
    <t xml:space="preserve"> Storegade 48</t>
  </si>
  <si>
    <t xml:space="preserve"> Hjørnehuset (1881)</t>
  </si>
  <si>
    <t>Storegade 56</t>
  </si>
  <si>
    <t xml:space="preserve"> Det lille femfags forhus (1853)</t>
  </si>
  <si>
    <t>Storegade 65</t>
  </si>
  <si>
    <t xml:space="preserve"> Storegade 65</t>
  </si>
  <si>
    <t xml:space="preserve"> Det grundmurede forhus i to etager (1852)</t>
  </si>
  <si>
    <t>Storegade 66</t>
  </si>
  <si>
    <t xml:space="preserve"> Storegade 66</t>
  </si>
  <si>
    <t xml:space="preserve"> Det nifags grundmurede forhus (1865)</t>
  </si>
  <si>
    <t>Storegade 82</t>
  </si>
  <si>
    <t xml:space="preserve"> Storegade 82</t>
  </si>
  <si>
    <t xml:space="preserve"> Det grundmurede forhus i to etager (1834)</t>
  </si>
  <si>
    <t>Storegade 86</t>
  </si>
  <si>
    <t xml:space="preserve"> Christina Frederica Stiftelsen</t>
  </si>
  <si>
    <t xml:space="preserve"> Det grundmurede ellevefags langhus i to etager (1839 af PaulChristiansen) med senere tilbygninger</t>
  </si>
  <si>
    <t>Store Klingbjerg 2</t>
  </si>
  <si>
    <t xml:space="preserve"> Store Klingbjerg 2</t>
  </si>
  <si>
    <t xml:space="preserve"> Det ellevefags bindingsværkshus (med bygningsdele og to kældrefør 1600, udv.  1774 og 1809)</t>
  </si>
  <si>
    <t>Store Klingbjerg 5</t>
  </si>
  <si>
    <t xml:space="preserve"> Store Klingbjerg 5</t>
  </si>
  <si>
    <t xml:space="preserve"> Forhuset (1799-1807 med genanvendelse af en gavlbjælke fra ca1625)</t>
  </si>
  <si>
    <t>Store Klingbjerg 7</t>
  </si>
  <si>
    <t xml:space="preserve"> Store Klingbjerg 7</t>
  </si>
  <si>
    <t xml:space="preserve"> Forhuset (1600-tallet, gavlkvist fra beg af 1700-tallet, ombyggetca 1830)</t>
  </si>
  <si>
    <t>Sønderballe Hoved 1</t>
  </si>
  <si>
    <t xml:space="preserve"> Sønderballe Hoved 1</t>
  </si>
  <si>
    <t xml:space="preserve"> Det fjortenfags stuehus (ca 1800)</t>
  </si>
  <si>
    <t>Sønderbro 3-5</t>
  </si>
  <si>
    <t xml:space="preserve"> Hertug Hans' Hospital</t>
  </si>
  <si>
    <t xml:space="preserve"> Hospitalet (1569, 1726 og 1771) med annekset (1787)</t>
  </si>
  <si>
    <t>Torvet 13</t>
  </si>
  <si>
    <t xml:space="preserve"> Torvet 13</t>
  </si>
  <si>
    <t xml:space="preserve"> Gavlhuset (ca1633) med sidelænge langs Højgade (ca 1750, ombygget1835)</t>
  </si>
  <si>
    <t>Torvet 14, hj af Lavgade</t>
  </si>
  <si>
    <t xml:space="preserve"> Torvet 14</t>
  </si>
  <si>
    <t xml:space="preserve"> Gavlhuset (1600-tallet)</t>
  </si>
  <si>
    <t>Torvet 4</t>
  </si>
  <si>
    <t xml:space="preserve"> Torvet 4</t>
  </si>
  <si>
    <t xml:space="preserve"> Det 12 fag dybe gavlhus med den korte portlænge mod Torvet (ca 1600)</t>
  </si>
  <si>
    <t xml:space="preserve"> Gavlhuset med karnap (ca 1640)</t>
  </si>
  <si>
    <t>Torvet 7</t>
  </si>
  <si>
    <t xml:space="preserve"> Torvet 7</t>
  </si>
  <si>
    <t xml:space="preserve"> Forhuset (1600-tallet)</t>
  </si>
  <si>
    <t>Torvet 8</t>
  </si>
  <si>
    <t xml:space="preserve"> Torvet 8</t>
  </si>
  <si>
    <t xml:space="preserve"> Resterne af den middelalderlige kælder</t>
  </si>
  <si>
    <t>Tørningvej 6 og 7</t>
  </si>
  <si>
    <t xml:space="preserve"> Tørning Mølle</t>
  </si>
  <si>
    <t xml:space="preserve"> Tørning Mølle. Hovedbygningen (midten af 1700-tallet, ombygget ved midten af 1800-tallet). Herredsfogedens Hus (antagelig begyndelsen af 1700-tallet), den søndre staldlænge (slutningen af 1700-tallet) og selve vandmøllen (1907) samt møllebroen med stemmeværk og sluse, bagløbet til terrænspring, pionerbroen med stemmeværk, piller og rækværk, friløbet, mølledammen samt brolægningen på vejen ved og foran møllen og på gårdspladsen ved Tørning Mølle</t>
  </si>
  <si>
    <t xml:space="preserve"> * Udvidet2011</t>
  </si>
  <si>
    <t>Ultangvej 26</t>
  </si>
  <si>
    <t xml:space="preserve"> Ultanggård</t>
  </si>
  <si>
    <t xml:space="preserve"> Stuehuset (1884 af Alexander Wilhelm Prale)</t>
  </si>
  <si>
    <t>Vestergade 4</t>
  </si>
  <si>
    <t xml:space="preserve"> Vestergade 4</t>
  </si>
  <si>
    <t xml:space="preserve"> Det grundmurede otte fags forhus (1759 og senere; forhøjet 1913)</t>
  </si>
  <si>
    <t>Vilstrup Præstevænge 21</t>
  </si>
  <si>
    <t xml:space="preserve"> Vilstrup Bullade</t>
  </si>
  <si>
    <t xml:space="preserve"> Bulladen (1600-tallet)</t>
  </si>
  <si>
    <t>Ørby 20</t>
  </si>
  <si>
    <t xml:space="preserve"> Ørby 20</t>
  </si>
  <si>
    <t xml:space="preserve"> Det fritliggende stuehus (midten af 1600-tallet), vestlængen i bulkonstruktion (1641,flyttet i 1860) og østlængen i bulkonstruktion (1654, siden delvis omsat i grundmur)</t>
  </si>
  <si>
    <t>Ørby 6</t>
  </si>
  <si>
    <t xml:space="preserve"> Ørby 6</t>
  </si>
  <si>
    <t xml:space="preserve"> Den nordlige længe i gårdanlægget med bulkonstruktioner</t>
  </si>
  <si>
    <t>Øsby Nedergade 20</t>
  </si>
  <si>
    <t xml:space="preserve"> Øsby Præstegård</t>
  </si>
  <si>
    <t xml:space="preserve"> Hovedbygning (1765) og den øst derfor liggende længe medkonfirmandsal</t>
  </si>
  <si>
    <t>Aarø 145</t>
  </si>
  <si>
    <t xml:space="preserve"> Brummersgård</t>
  </si>
  <si>
    <t xml:space="preserve"> Det 13 fag lange grundmurede stråtækte stuehus (ca 1860)</t>
  </si>
  <si>
    <t>Aastrup Allé 15</t>
  </si>
  <si>
    <t xml:space="preserve"> Åstrupgård</t>
  </si>
  <si>
    <t xml:space="preserve"> Hovedbygningen (ca 1787)</t>
  </si>
  <si>
    <t>Aastrupvej 11B (tidl nr 13)</t>
  </si>
  <si>
    <t xml:space="preserve"> Aastrupvej 11B (tidl nr 13)</t>
  </si>
  <si>
    <t xml:space="preserve"> Hovedbygningen (1800-tallet)</t>
  </si>
  <si>
    <t>Halsnæs Kommune</t>
  </si>
  <si>
    <t>Amtsvejen 280 A og C</t>
  </si>
  <si>
    <t xml:space="preserve"> Grønnæssegård</t>
  </si>
  <si>
    <t xml:space="preserve"> Hovedbygning, ladebygning, staldbygninger, garage ogelevbygning (1777-1930) med gårdsplads og brolagte kørebaner samt Rorupladen (1926)</t>
  </si>
  <si>
    <t>Arresødalvej 65</t>
  </si>
  <si>
    <t xml:space="preserve"> Arresødal, Frederik VI's vagthus</t>
  </si>
  <si>
    <t xml:space="preserve"> Frederik VI's vagthus (beg af 1800-tallet)</t>
  </si>
  <si>
    <t>Arresødalvej 99 A-D</t>
  </si>
  <si>
    <t xml:space="preserve"> Arresødal Kaserne</t>
  </si>
  <si>
    <t xml:space="preserve"> Den tidl kasernebygning syd for Arresø kanal (ca 1800)</t>
  </si>
  <si>
    <t>Hillerødvej 115</t>
  </si>
  <si>
    <t xml:space="preserve"> Birkely</t>
  </si>
  <si>
    <t xml:space="preserve"> Stuehuset og de tre sammenbyggede længer (1856) samt gårdspladsen</t>
  </si>
  <si>
    <t xml:space="preserve"> Forhuset (1763)</t>
  </si>
  <si>
    <t>Strandgade 20</t>
  </si>
  <si>
    <t xml:space="preserve"> Strandgade 20</t>
  </si>
  <si>
    <t xml:space="preserve"> Forhuset (ca 1770)</t>
  </si>
  <si>
    <t>Strandgade 22</t>
  </si>
  <si>
    <t xml:space="preserve"> Strandgade 22</t>
  </si>
  <si>
    <t>Tollerupvej 2</t>
  </si>
  <si>
    <t xml:space="preserve"> Melby Kirkelade</t>
  </si>
  <si>
    <t xml:space="preserve"> Kirkeladebygningen (middelalder)</t>
  </si>
  <si>
    <t xml:space="preserve"> Torvet 1</t>
  </si>
  <si>
    <t>Torvet 6</t>
  </si>
  <si>
    <t xml:space="preserve"> Hotel Frederiksværk</t>
  </si>
  <si>
    <t xml:space="preserve"> Forhuset (antagelig 1804)</t>
  </si>
  <si>
    <t xml:space="preserve">Hedensted Kommune </t>
  </si>
  <si>
    <t>Bjerrevej 353</t>
  </si>
  <si>
    <t xml:space="preserve"> Den tidl Arrest</t>
  </si>
  <si>
    <t xml:space="preserve"> Hovedbygningen og den tilbageværende del af den første arrestbygning(1846) samt den nye arrestbygning (1911)</t>
  </si>
  <si>
    <t>Bjerrevej 388</t>
  </si>
  <si>
    <t xml:space="preserve"> Kalsbøl</t>
  </si>
  <si>
    <t xml:space="preserve"> Hovedbygningen (1844) og de to fritliggende sidefløje (1700-tallet) samtsmedebygningen ved alléen</t>
  </si>
  <si>
    <t>Bjerrevej 412</t>
  </si>
  <si>
    <t xml:space="preserve"> Bjerrevej 412</t>
  </si>
  <si>
    <t xml:space="preserve"> Den trelængede gård (ca 1850) samt den brostensbelagte gårdsplads medkastanietræet</t>
  </si>
  <si>
    <t>Fruensvej 15-17</t>
  </si>
  <si>
    <t xml:space="preserve"> Rask Hovedgård</t>
  </si>
  <si>
    <t xml:space="preserve"> Hovedbygningen, østfløjen med to udløberfløje og vestfløjen (1840med genanvendelse af ældre bygningsdele) samt voldstedet med grave og de to broer</t>
  </si>
  <si>
    <t>Gammel Vejlevej 2</t>
  </si>
  <si>
    <t xml:space="preserve"> Williamsborg</t>
  </si>
  <si>
    <t xml:space="preserve"> Hovedbygning med sidefløje (1774, sidefløjene lidt yngre)</t>
  </si>
  <si>
    <t>Jensgårdvej 11</t>
  </si>
  <si>
    <t xml:space="preserve"> Jensgård</t>
  </si>
  <si>
    <t xml:space="preserve"> Den trefløjede hovedbygning med udløberfløj mod vest (ca 1750-1800), avlsgårdens øst- og vestlænge med portbygningen (1800-tallet) samt gårdspladsens brolægning</t>
  </si>
  <si>
    <t>Lhombrevej 4</t>
  </si>
  <si>
    <t xml:space="preserve"> Skerrildgård</t>
  </si>
  <si>
    <t xml:space="preserve"> Hovedbygningen (1766) med sidefløj samt hegnsmur og portpiller</t>
  </si>
  <si>
    <t>Palsgaardvej 2</t>
  </si>
  <si>
    <t xml:space="preserve"> Palsgaard</t>
  </si>
  <si>
    <t xml:space="preserve"> Den trefløjede hovedbygning (ca 1500, helt ombygget 1803-06 af PhilipLange)</t>
  </si>
  <si>
    <t>Rosenvoldvej 21</t>
  </si>
  <si>
    <t xml:space="preserve"> Rosenvold</t>
  </si>
  <si>
    <t xml:space="preserve"> Hovedbygningen (1585, ombygget 1817)</t>
  </si>
  <si>
    <t>Tønballevej 1</t>
  </si>
  <si>
    <t xml:space="preserve"> Tønballegård</t>
  </si>
  <si>
    <t xml:space="preserve"> Hovedbygningen og den trelængede avlsgård (1887-88 af Hector Estrup)</t>
  </si>
  <si>
    <t>Aale Bygade 28</t>
  </si>
  <si>
    <t xml:space="preserve"> Åle Præstegård</t>
  </si>
  <si>
    <t xml:space="preserve"> Den gamle præstebolig (1672 og senere)</t>
  </si>
  <si>
    <t>Helsingør Kommune</t>
  </si>
  <si>
    <t>Anna Queens Stræde 2, tidl Gyldenstræde 2</t>
  </si>
  <si>
    <t xml:space="preserve"> Anna Queens Stræde 2</t>
  </si>
  <si>
    <t xml:space="preserve"> Sidelænge mod Anna QueensStræde (ca 1700)</t>
  </si>
  <si>
    <t>Baggesensvej 1-5 og 2-8</t>
  </si>
  <si>
    <t xml:space="preserve"> Romerhusene, Baggesensvej</t>
  </si>
  <si>
    <t xml:space="preserve"> Gårdhusene med tilhørende gårdhaver oghegnsmure (1957-61 af Jørn Utzon)</t>
  </si>
  <si>
    <t xml:space="preserve"> (*: Baggesensvej 1, 3, 5, 6 og 8)</t>
  </si>
  <si>
    <t>Bjergegade 11, hj af Sankt Olaigade</t>
  </si>
  <si>
    <t xml:space="preserve"> Bjergegade 11</t>
  </si>
  <si>
    <t xml:space="preserve"> Bygningerne mod Bjergegade og Sankt Olaigade(ca 1800)</t>
  </si>
  <si>
    <t>Bjergegade 30 A og C</t>
  </si>
  <si>
    <t xml:space="preserve"> Den Eckhardtske Stiftelse</t>
  </si>
  <si>
    <t xml:space="preserve"> Forhuset og den bagved liggendebindingsværksbygning (muligvis fra ca 1700, antagelig ombygget 1781)</t>
  </si>
  <si>
    <t>Bjergegade 32</t>
  </si>
  <si>
    <t xml:space="preserve"> Bjergegade 32</t>
  </si>
  <si>
    <t>Bragesvej 1-79</t>
  </si>
  <si>
    <t xml:space="preserve"> Gurrevejsstiftelsen</t>
  </si>
  <si>
    <t xml:space="preserve"> Etageboligbebyggelsen bestående af tre karréer (1919-21 af PoulHolsøe)</t>
  </si>
  <si>
    <t>Bøssemagergade 19</t>
  </si>
  <si>
    <t xml:space="preserve"> Proberhuset, Hellebæk</t>
  </si>
  <si>
    <t xml:space="preserve"> De to sammenbyggede længer</t>
  </si>
  <si>
    <t xml:space="preserve"> Bøssemagergade 21</t>
  </si>
  <si>
    <t>Hellebæk Hammermølle</t>
  </si>
  <si>
    <t xml:space="preserve"> Stuehuset og vandmøllen (1765)</t>
  </si>
  <si>
    <t>Bøssemagergade 24-28</t>
  </si>
  <si>
    <t xml:space="preserve"> Bøssemagergade 24-28, Hellebæk</t>
  </si>
  <si>
    <t xml:space="preserve"> Forhuset, udhuset og vinkelhuset (1700- tallet)</t>
  </si>
  <si>
    <t>Bøssemagergade 30 A-B og 32 A-B</t>
  </si>
  <si>
    <t xml:space="preserve"> Bøssemagergade 30 A-B og 32 A-B, Hellebæk</t>
  </si>
  <si>
    <t xml:space="preserve"> Forhuset (1700- tallet)</t>
  </si>
  <si>
    <t>Bøssemagergade 34 A-B og 36 A-B</t>
  </si>
  <si>
    <t xml:space="preserve"> Bøssemagergade 34 A-B og 36 A-B, Hellebæk</t>
  </si>
  <si>
    <t>Bøssemagergade 38-54</t>
  </si>
  <si>
    <t xml:space="preserve"> Bøssemagergade 38-54, Hellebæk</t>
  </si>
  <si>
    <t xml:space="preserve"> Forhuset samt de tre bagved liggende baghuse(1700-tallet)</t>
  </si>
  <si>
    <t>Bøssemagergade 56 A-C</t>
  </si>
  <si>
    <t xml:space="preserve"> Bøssemagergade 56 A-C, Hellebæk</t>
  </si>
  <si>
    <t>Bøssemagergade 58 A-C</t>
  </si>
  <si>
    <t xml:space="preserve"> Bøssemagergade 58 A-C, Hellebæk</t>
  </si>
  <si>
    <t>Bøssemagergade 60</t>
  </si>
  <si>
    <t xml:space="preserve"> Bøssemagergade 60, Hellebæk</t>
  </si>
  <si>
    <t xml:space="preserve"> Administratorboligen, bestående af hovedbygning(ca 1800) og tværbygning (ca 1850), med have</t>
  </si>
  <si>
    <t>Carl Plougsvej, Kingosvej, Gurrevej</t>
  </si>
  <si>
    <t xml:space="preserve"> Romerhusenes Friarealer</t>
  </si>
  <si>
    <t xml:space="preserve"> Friarealer med beplantning og tilhørendesø samt tilkørselsveje, pladser og stier</t>
  </si>
  <si>
    <t>Carl Plougsvej 11-59</t>
  </si>
  <si>
    <t xml:space="preserve"> Romerhusene, Carl Plougsvej</t>
  </si>
  <si>
    <t xml:space="preserve"> Gårdhusene med tilhørende gårdhaver og hegnsmure (1957-61 af Jørn Utzon)</t>
  </si>
  <si>
    <t xml:space="preserve"> (*: Carl Plougsvej 37, 41, 43, 45, 47, 49, 51, 53, 55, 57og 59)</t>
  </si>
  <si>
    <t>Caroline Mathildesvej 1</t>
  </si>
  <si>
    <t xml:space="preserve"> Caroline Mathildesvej 1</t>
  </si>
  <si>
    <t xml:space="preserve"> Forhuset og sidehuset (ca 1750)</t>
  </si>
  <si>
    <t>Caroline Mathildesvej 2</t>
  </si>
  <si>
    <t xml:space="preserve"> Probermesterens Hus, Hellebæk</t>
  </si>
  <si>
    <t xml:space="preserve"> Forhuset (ca 1750, ombygget ca 1800), de toudhuse (ca 1850) samt den brolagte gårdsplads mellem bygningerne</t>
  </si>
  <si>
    <t xml:space="preserve"> Udvidet 1989</t>
  </si>
  <si>
    <t>Gammel Strandvej 410 B</t>
  </si>
  <si>
    <t xml:space="preserve"> Tibberup Mølle</t>
  </si>
  <si>
    <t>Gl Hellebækvej 70</t>
  </si>
  <si>
    <t xml:space="preserve"> Lo-skolen</t>
  </si>
  <si>
    <t xml:space="preserve"> Lo-skolen med omgivelser (1969 med tilbygninger 1974-1987 af arkitekterne Karen og Ebbe Clemmensen samt Jarl Heger og af landskabsarkitekt Agnete Muusfeldt)</t>
  </si>
  <si>
    <t>Gurreholmvej 6</t>
  </si>
  <si>
    <t xml:space="preserve"> Fairy Hill</t>
  </si>
  <si>
    <t xml:space="preserve"> Hovedbygningen (1820 ff)</t>
  </si>
  <si>
    <t>Gurrevej 447</t>
  </si>
  <si>
    <t xml:space="preserve"> Valdemarslund</t>
  </si>
  <si>
    <t xml:space="preserve"> Stuehuset og de to udhuslænger (beg af 1800-tallet, hovedbygningenforlænget ca 1850) samt havehuset</t>
  </si>
  <si>
    <t>Hauchsvej 2-6 og 9-15</t>
  </si>
  <si>
    <t xml:space="preserve"> Romerhusene, Hauchsvej</t>
  </si>
  <si>
    <t xml:space="preserve"> Gårdhusene med tilhørende gårdhaver og hegnsmure(1957-61 af Jørn Utzon)</t>
  </si>
  <si>
    <t xml:space="preserve"> (*: Hauchsvej 2, 4, 6, 11 og 15)</t>
  </si>
  <si>
    <t>Havnegade /Kongekajen</t>
  </si>
  <si>
    <t xml:space="preserve"> Fairbairns svingkran</t>
  </si>
  <si>
    <t xml:space="preserve"> Svingkranen (1862 af ingeniør William Fairbairn) medgranitfundament</t>
  </si>
  <si>
    <t>Havnepladsen 1 og Strandgade 72</t>
  </si>
  <si>
    <t xml:space="preserve"> Toldkammeret, Helsingør</t>
  </si>
  <si>
    <t xml:space="preserve"> Den trefløjede toldkammerbygning (1891 af J. D. Herholdt), den samtidige mur ud mod Strandgade samt gårdspladsen med dens belægning</t>
  </si>
  <si>
    <t xml:space="preserve"> Udvidet 1997</t>
  </si>
  <si>
    <t>Hestemøllestræde 2 B-C</t>
  </si>
  <si>
    <t xml:space="preserve"> Hestemøllestræde 2 B-C</t>
  </si>
  <si>
    <t xml:space="preserve"> Huset på hjørnet af Kirkestræde ogHestemøllestræde og sidelængen langs Hestemøllestræde (før 1736, forhøjet før 1761)</t>
  </si>
  <si>
    <t>Hestemøllestræde 3 A-C</t>
  </si>
  <si>
    <t xml:space="preserve"> Karmeliterklostret</t>
  </si>
  <si>
    <t xml:space="preserve"> De tre klosterfløje og søndre korsgang (ca 1450-1500) samt hospitalsforstanderens bolig nord herfor, novicehus og kapel øst for klostrets østfløj og portpartiet vedklosterkirkens sydøstlige hjørne</t>
  </si>
  <si>
    <t xml:space="preserve"> Udvidet 1985*</t>
  </si>
  <si>
    <t>Holger Drachmannsvej 2-14 og 1-11</t>
  </si>
  <si>
    <t xml:space="preserve"> Romerhusene, Holger Drachmannsvej</t>
  </si>
  <si>
    <t xml:space="preserve"> Gårdhusene medtilhørende gårdhaver og hegnsmure (1957-61 af Jørn Utzon)</t>
  </si>
  <si>
    <t xml:space="preserve"> (*: Holger Drachmannsvej 1, 2, 3, 4, 5, 6, 7, 8, 10, 11, 12, 14)</t>
  </si>
  <si>
    <t>Jernbanevej 7</t>
  </si>
  <si>
    <t xml:space="preserve"> Helsingør Posthus</t>
  </si>
  <si>
    <t xml:space="preserve"> Posthuset (1890-91 af NP Holsøe)</t>
  </si>
  <si>
    <t>Jernbanevej 9 (tidl 11)</t>
  </si>
  <si>
    <t xml:space="preserve"> Ilgodspakhuset</t>
  </si>
  <si>
    <t xml:space="preserve"> Ilgodspakhuset (1890-91 af NP Holsøe)</t>
  </si>
  <si>
    <t>Kingosvej 85-99</t>
  </si>
  <si>
    <t xml:space="preserve"> Romerhusene, Kingosvej </t>
  </si>
  <si>
    <t>Kongensgade 12 B</t>
  </si>
  <si>
    <t xml:space="preserve"> Det ellevefags forhus (1769 og senere)</t>
  </si>
  <si>
    <t>Kongensgade 2 B, C og D</t>
  </si>
  <si>
    <t xml:space="preserve"> Kongensgade 2 B, C og D</t>
  </si>
  <si>
    <t xml:space="preserve"> Bindingsværksbygning mod gaden med dentoetages udbygning mod gården (ca 1600)</t>
  </si>
  <si>
    <t>Kronborg 1</t>
  </si>
  <si>
    <t xml:space="preserve"> Kronborg Slot</t>
  </si>
  <si>
    <t xml:space="preserve"> Slottet (1426, stærkt ombygget og udvidet 1577-85 af Hans van Paeschen ogAnthonis van Obbergen) med samtlige fæstningsværker og de deri liggende ældre bygninger</t>
  </si>
  <si>
    <t>Lappen 1</t>
  </si>
  <si>
    <t xml:space="preserve"> Lappen 1</t>
  </si>
  <si>
    <t>Lappen 10 A-B</t>
  </si>
  <si>
    <t xml:space="preserve"> Lappen 10 A-B</t>
  </si>
  <si>
    <t xml:space="preserve"> De to forhuse (nr 10A: ca 1850; nr 10B: 1775)</t>
  </si>
  <si>
    <t>Lappen 12</t>
  </si>
  <si>
    <t xml:space="preserve"> Lappen 12</t>
  </si>
  <si>
    <t xml:space="preserve"> Forhuset (før 1736)</t>
  </si>
  <si>
    <t>Lappen 14</t>
  </si>
  <si>
    <t xml:space="preserve"> Lappen 14</t>
  </si>
  <si>
    <t xml:space="preserve"> Forhuset (1843, forhøjet i 1870'erne)</t>
  </si>
  <si>
    <t>Lappen 16</t>
  </si>
  <si>
    <t xml:space="preserve"> Lappen 16</t>
  </si>
  <si>
    <t xml:space="preserve"> Forhuset (1843, forhøjet 1870 og senere)</t>
  </si>
  <si>
    <t>Lappen 18</t>
  </si>
  <si>
    <t xml:space="preserve"> Lappen 18</t>
  </si>
  <si>
    <t xml:space="preserve"> Forhus (1797-98) og sidehus (mellem 1801 og 1811)</t>
  </si>
  <si>
    <t>Lappen 22</t>
  </si>
  <si>
    <t xml:space="preserve"> Lappen 22</t>
  </si>
  <si>
    <t xml:space="preserve"> Forhuset (1871)</t>
  </si>
  <si>
    <t>Lappen 24</t>
  </si>
  <si>
    <t xml:space="preserve"> Lappen 24</t>
  </si>
  <si>
    <t xml:space="preserve"> Forhuset (ca 1770, facaden grundmuret og forhøjet i 1820'rne, bagsiden forhøjetca 1867)</t>
  </si>
  <si>
    <t>Lappen 26</t>
  </si>
  <si>
    <t xml:space="preserve"> Lappen 26</t>
  </si>
  <si>
    <t xml:space="preserve"> Forhuset (ca 1770, facaden grundmuret i 1820'rne, forhøjet ca 1880)</t>
  </si>
  <si>
    <t>Lappen 30</t>
  </si>
  <si>
    <t xml:space="preserve"> Lappen 30</t>
  </si>
  <si>
    <t xml:space="preserve"> Forhus og sidehus (før 1736, grundmuret efter 1873)</t>
  </si>
  <si>
    <t>Lappen 32</t>
  </si>
  <si>
    <t xml:space="preserve"> Lappen 32</t>
  </si>
  <si>
    <t xml:space="preserve"> Forhuset (før 1736, grundmuret ca 1827, kvist ca 1841)</t>
  </si>
  <si>
    <t>Lappen 36</t>
  </si>
  <si>
    <t xml:space="preserve"> Lappen 36</t>
  </si>
  <si>
    <t xml:space="preserve"> Forhuset (før 1736, facaden grundmuret ca 1827)</t>
  </si>
  <si>
    <t>Lappen 6</t>
  </si>
  <si>
    <t xml:space="preserve"> Lappen 6</t>
  </si>
  <si>
    <t xml:space="preserve"> Forhuset (1800-tallet)</t>
  </si>
  <si>
    <t>Lappen 8</t>
  </si>
  <si>
    <t xml:space="preserve"> Lappen 8</t>
  </si>
  <si>
    <t xml:space="preserve"> Forhuset (1851, forhøjet 1869)</t>
  </si>
  <si>
    <t>Marienlyst Allé 32</t>
  </si>
  <si>
    <t xml:space="preserve"> Marienlyst Slot</t>
  </si>
  <si>
    <t xml:space="preserve"> Hovedbygningen og muren mod Lappen (fuldstændigt ombygget 1759- 62 af Nicolas-Henri Jardin) samt haveanlægget (1920 af GN Brandt) med havemuren (1608, ombygget 1922), den tidligere portnerbolig (ca 1755), de to træbroer, de to trapper i skrænten, de fire vædderhovedvaser (nyhugget 1988), puttivasen (nyhugget 1988) og de fire æggevaser (antagelig ca1765)</t>
  </si>
  <si>
    <t xml:space="preserve"> Udvidet 2001</t>
  </si>
  <si>
    <t>Marienlyst Allé 7</t>
  </si>
  <si>
    <t xml:space="preserve"> Marienlyst Allé 7</t>
  </si>
  <si>
    <t xml:space="preserve"> Villaen (1907 af Povl Baumann)</t>
  </si>
  <si>
    <t>Murergade 7 (tidl Trækbanen 2)</t>
  </si>
  <si>
    <t xml:space="preserve"> Plejehjemmet Hammershøj</t>
  </si>
  <si>
    <t xml:space="preserve"> Højhuset (1966 af Birger Schmidt efterskitseprojekt af Jørn Utzon)</t>
  </si>
  <si>
    <t>Nordre Strandvej 129</t>
  </si>
  <si>
    <t xml:space="preserve"> Hellebækgård</t>
  </si>
  <si>
    <t xml:space="preserve"> Den trefløjede hovedbygning (1748 formentlig af Philip de Lange)</t>
  </si>
  <si>
    <t>Nordre Strandvej 140</t>
  </si>
  <si>
    <t xml:space="preserve"> Nordre Strandvej 140</t>
  </si>
  <si>
    <t xml:space="preserve"> Bindingsværkshuset (1810)</t>
  </si>
  <si>
    <t>Nordre Strandvej 230 A</t>
  </si>
  <si>
    <t xml:space="preserve"> Rytterhuset</t>
  </si>
  <si>
    <t xml:space="preserve"> Sommerhuset (1899 af Martin Nyrop), annekset, brændeskuret, atelieret (før 1903, formentlig af Martin Nyrop), garagen (1919), pavillonen (1918 af Martin Nyrop) og badebroen med hus (1924) samt gårdindhegningen og stakittet mod vejen (Martin Nyrop)</t>
  </si>
  <si>
    <t>Sankt Annagade 11</t>
  </si>
  <si>
    <t xml:space="preserve"> Sankt Annagade 11</t>
  </si>
  <si>
    <t xml:space="preserve"> Forhuset og de to sidebygninger (1620)</t>
  </si>
  <si>
    <t>Sankt Annagade 27</t>
  </si>
  <si>
    <t xml:space="preserve"> Sankt Annagade 27</t>
  </si>
  <si>
    <t xml:space="preserve"> Forhuset og de to sidehuse (1826)</t>
  </si>
  <si>
    <t>Sankt Annagade 36, hj af Hestemøllestræde</t>
  </si>
  <si>
    <t xml:space="preserve"> Karmeliterhuset</t>
  </si>
  <si>
    <t xml:space="preserve"> Karmeliterhuset (sydfløjens østlige del 1516 ff, forhøjet 1632, sydfløjens vestlige del, Herluf Trolles hus, 1550-61 muligvis af Matheus Rubensaadt, forhøjet ca 1590, vestfløjen Peder Brahes hus, 1590'erne) samt hegnsmuren omkringhaveanlægget</t>
  </si>
  <si>
    <t>Sankt Annagade 38</t>
  </si>
  <si>
    <t xml:space="preserve"> Sankt Annagade 38</t>
  </si>
  <si>
    <t xml:space="preserve"> Hegnsmurene vest for klostret</t>
  </si>
  <si>
    <t>Sankt Annagade 40 A-B</t>
  </si>
  <si>
    <t xml:space="preserve"> Karmeliterklosteret, Helsingør</t>
  </si>
  <si>
    <t xml:space="preserve"> Den nordlige udløberfløj på Karmeliterklosteret(beg af 1500-tallet, ombygget 1900-07), den vest for beliggende bindingsværksbygning (ca 1650, ombygget ca 1700, 1904 og 1980) og hegnsmurene i ejendommens skel mod vest og syd</t>
  </si>
  <si>
    <t>Sankt Annagade 41</t>
  </si>
  <si>
    <t xml:space="preserve"> Sankt Annagade 41</t>
  </si>
  <si>
    <t xml:space="preserve"> Det toetages forhus med heltag og det dermedsammenbyggede sidehus med halvtag (begge fra 1780'erne) samt det toetages baghus med heltag (1761)</t>
  </si>
  <si>
    <t>Sankt Anna Gade 6 A</t>
  </si>
  <si>
    <t xml:space="preserve"> Buxtehudehuset</t>
  </si>
  <si>
    <t xml:space="preserve"> Forhus med sidehus (ca 1500, ombygget i 1800-tallet)</t>
  </si>
  <si>
    <t>Sankt Annagade 8</t>
  </si>
  <si>
    <t xml:space="preserve"> Sankt Annagade 8</t>
  </si>
  <si>
    <t>Sankt Olai Gade 12-14</t>
  </si>
  <si>
    <t xml:space="preserve"> Sankt Olai Gade 12-14</t>
  </si>
  <si>
    <t xml:space="preserve"> De to forhuse (nr 12: mellem 1782 og 1791; nr 14:1806)</t>
  </si>
  <si>
    <t>Sankt Olaigade 49</t>
  </si>
  <si>
    <t xml:space="preserve"> Sankt Olaigade 49</t>
  </si>
  <si>
    <t xml:space="preserve"> Forhus og sidehus (1784)</t>
  </si>
  <si>
    <t>Sankt Olaigade 51-53</t>
  </si>
  <si>
    <t xml:space="preserve"> Sankt Olaigade 51-53</t>
  </si>
  <si>
    <t xml:space="preserve"> Det ud mod hjørnet af Kirkestræde og Sankt Olaigadebeliggende sammenbyggede kompleks</t>
  </si>
  <si>
    <t>Sankt Olaigade 55, hj af Sophie Brahes Gade</t>
  </si>
  <si>
    <t xml:space="preserve"> Sankt Olaigade 55</t>
  </si>
  <si>
    <t xml:space="preserve"> Hjørnehuset (1800-tallet)</t>
  </si>
  <si>
    <t>Sankt Olaigade 9</t>
  </si>
  <si>
    <t xml:space="preserve"> Sankt Olaigade 9</t>
  </si>
  <si>
    <t xml:space="preserve"> Forhus og baghus med trappehus (1700-tallet)</t>
  </si>
  <si>
    <t>Sophie Brahesgade 2, hj af Stengade</t>
  </si>
  <si>
    <t xml:space="preserve"> Sophie Brahesgade 2</t>
  </si>
  <si>
    <t xml:space="preserve"> Forhus, sidehus og baghus</t>
  </si>
  <si>
    <t>Sophie Brahesgade 5 A-B, hj af Stengade</t>
  </si>
  <si>
    <t xml:space="preserve"> De Mezas Gård</t>
  </si>
  <si>
    <t xml:space="preserve"> Forhus med to sidehuse og baghus (1700-tallet)</t>
  </si>
  <si>
    <t>Sophie Brahesgade 6</t>
  </si>
  <si>
    <t xml:space="preserve"> Sophie Brahesgade 6</t>
  </si>
  <si>
    <t xml:space="preserve"> Forhuset (klassicisme) med sidehus</t>
  </si>
  <si>
    <t>Stationspladsen 1, tidl Jernbanevej 1</t>
  </si>
  <si>
    <t xml:space="preserve"> Helsingør Station</t>
  </si>
  <si>
    <t xml:space="preserve"> Helsingør Stations hovedbygning og de tilperronanlæggene hørende perrontage inkl disses støbejernsophæng og de bærende søjler (1890-91 af NP Holsøe og Heinrich Wenck)</t>
  </si>
  <si>
    <t>Stengade 20 og Skyttenstræde 12</t>
  </si>
  <si>
    <t xml:space="preserve"> Iver Pedersens Gård</t>
  </si>
  <si>
    <t xml:space="preserve"> Forhus og sidehus (ca 1600)</t>
  </si>
  <si>
    <t>Stengade 22 A</t>
  </si>
  <si>
    <t xml:space="preserve"> Milans Gård</t>
  </si>
  <si>
    <t xml:space="preserve"> Forhuset og den dertil stødende sidefløj i dens hele længde langs grundenssydvestre grænse (1695)</t>
  </si>
  <si>
    <t>Stengade 26</t>
  </si>
  <si>
    <t xml:space="preserve"> L.F. Tegners Gård</t>
  </si>
  <si>
    <t xml:space="preserve"> Forhuset og den dertil stødende smalle sidefløj (1791)</t>
  </si>
  <si>
    <t>Stengade 29 A</t>
  </si>
  <si>
    <t xml:space="preserve"> Knud Andersens Gård</t>
  </si>
  <si>
    <t xml:space="preserve"> Forhus og hermed sammenbygget toetages sidehus samtbindingsværksudhus (1645)</t>
  </si>
  <si>
    <t>Stengade 31 A og D</t>
  </si>
  <si>
    <t xml:space="preserve"> Skrivergården</t>
  </si>
  <si>
    <t xml:space="preserve"> Forhus, sidehus og baghus (1700-tallet)</t>
  </si>
  <si>
    <t>Stengade 40 og Strandgade 49</t>
  </si>
  <si>
    <t xml:space="preserve"> Joachim Langes Gård og Hans Pipers Gård</t>
  </si>
  <si>
    <t xml:space="preserve"> Forhus mod Stengade 40 (1604) med tilstødende nordre sidebygning samt forhus mod Strandgade 49 (1633, facaden 1780) medtilstødende sidebygning</t>
  </si>
  <si>
    <t>Stengade 46 A</t>
  </si>
  <si>
    <t xml:space="preserve"> Det Svenske Konsulat</t>
  </si>
  <si>
    <t xml:space="preserve"> Forhuset (ca 1784, muligvis af Carl Frederik Adelcrantz)</t>
  </si>
  <si>
    <t>Stengade 48-50</t>
  </si>
  <si>
    <t xml:space="preserve"> Putschers Gård og Rasmus Regelsens Gård</t>
  </si>
  <si>
    <t xml:space="preserve"> "Bebyggelsen mod Stengade, de to sidehuse i hele deres længde samt det fritliggende hus bagest i gården (nr 48: ""Putschers Gård"", 1752;nr 50 ""Rasmus Regelsens Gård"", 1639, 1700-tallet; østlænge i gården ca 1650)</t>
  </si>
  <si>
    <t>*"</t>
  </si>
  <si>
    <t>Stengade 54 og Bramstræde 4 A</t>
  </si>
  <si>
    <t xml:space="preserve"> Troels Lunds Gård</t>
  </si>
  <si>
    <t xml:space="preserve"> Forhus med to sidehuse og baghus (ca 1500,stærkt ombygget 1810-30)</t>
  </si>
  <si>
    <t>Stengade 56</t>
  </si>
  <si>
    <t xml:space="preserve"> Stengade 56</t>
  </si>
  <si>
    <t xml:space="preserve"> Forhuset (ca 1600, ombygget 1777) med sidehuset (ca 1530, udvidet 1600 og ombygget 1845) samt baghuset (ca 1830) og den mellem bygningerne liggende brolagte gård</t>
  </si>
  <si>
    <t>Stengade 58 A-C</t>
  </si>
  <si>
    <t xml:space="preserve"> Stengade 58</t>
  </si>
  <si>
    <t xml:space="preserve"> Forhus, sidehus, baghus og gårdsplads</t>
  </si>
  <si>
    <t>Stengade 64</t>
  </si>
  <si>
    <t xml:space="preserve"> Nicolai Dahls Gård</t>
  </si>
  <si>
    <t xml:space="preserve"> Forhus, sidehus og baghus (1739)</t>
  </si>
  <si>
    <t>Stengade 66 og Gammel Færgestræde 5 A</t>
  </si>
  <si>
    <t xml:space="preserve"> Oxernes Gård</t>
  </si>
  <si>
    <t xml:space="preserve"> Bebyggelsen mod Stengade og Færgestræde(forhuset for størstedelens vedkommende fra ca 1750 og senere; gavlen ca 1460, antagelig istandsat 1517)</t>
  </si>
  <si>
    <t>Stengade 68</t>
  </si>
  <si>
    <t xml:space="preserve"> Stengade 68</t>
  </si>
  <si>
    <t xml:space="preserve"> Bebyggelsen mod Stengade og Færgestræde (forhuset ca 1740; sidelængemod Færgestræde ca 1600)</t>
  </si>
  <si>
    <t>Stengade 70</t>
  </si>
  <si>
    <t xml:space="preserve"> Stengade 70</t>
  </si>
  <si>
    <t xml:space="preserve"> Forhus (ca 1500) med sidelænge (hhv. 1525 og 1642)</t>
  </si>
  <si>
    <t>Stengade 72-74</t>
  </si>
  <si>
    <t xml:space="preserve"> Leyell'ernes Gårde</t>
  </si>
  <si>
    <t xml:space="preserve"> Forhus med to sidehuse samt tilbygninger til østre sidehus (nr 72:muligvis fra 1551, ombygget i slutningen af 1700-tallet; nr 74: ca 1500)</t>
  </si>
  <si>
    <t>Stengade 76</t>
  </si>
  <si>
    <t xml:space="preserve"> David Hansens Gård</t>
  </si>
  <si>
    <t xml:space="preserve"> Forhuset med sidehus og dettes tilbyggede trappehus (1579, kældermiddelalderlig)</t>
  </si>
  <si>
    <t>Stengade 78</t>
  </si>
  <si>
    <t xml:space="preserve"> Stengade 78</t>
  </si>
  <si>
    <t xml:space="preserve"> Forhuset og sidehuset i hele dettes længde (1700-tallet)</t>
  </si>
  <si>
    <t>Stengade 81 A</t>
  </si>
  <si>
    <t xml:space="preserve"> Trentwedels Gård</t>
  </si>
  <si>
    <t xml:space="preserve"> Forhuset (1770) samt det sydvestre sidehus (1810-11, forhøjet1847)</t>
  </si>
  <si>
    <t>Stengade 82 A</t>
  </si>
  <si>
    <t xml:space="preserve"> Lütkens Gård</t>
  </si>
  <si>
    <t>Stengade 83 A</t>
  </si>
  <si>
    <t xml:space="preserve"> Ostens Gård</t>
  </si>
  <si>
    <t xml:space="preserve"> Forhuset (1769-70)</t>
  </si>
  <si>
    <t>Stengade 84 og Sophie Brahes Gade 3 A</t>
  </si>
  <si>
    <t xml:space="preserve"> Dodts Gård</t>
  </si>
  <si>
    <t xml:space="preserve"> Forhuse mod Stengade og Sophie Brahes Gadesamt trappehus mod syd (1783)</t>
  </si>
  <si>
    <t>Stjernegade 31, hj af J.L.  Tvedes Vej</t>
  </si>
  <si>
    <t xml:space="preserve"> Stjernegade 31 og J. L. Tvedes Vej 1. </t>
  </si>
  <si>
    <t>Bygningen på hj af J. L. Tvedes Vej og det dermed sammenbyggede hus ud mod Stjernegade (ca 1800)</t>
  </si>
  <si>
    <t xml:space="preserve"> Jens Linds Hus</t>
  </si>
  <si>
    <t>Strandgade 27</t>
  </si>
  <si>
    <t>Ankeret</t>
  </si>
  <si>
    <t xml:space="preserve"> Forhuset (1577)</t>
  </si>
  <si>
    <t>Strandgade 29</t>
  </si>
  <si>
    <t xml:space="preserve"> Strandgade 29</t>
  </si>
  <si>
    <t xml:space="preserve"> Forhuset og den dette nærmest værende del af sidehuset (1761)</t>
  </si>
  <si>
    <t>Strandgade 31</t>
  </si>
  <si>
    <t xml:space="preserve"> Strandgade 31</t>
  </si>
  <si>
    <t xml:space="preserve"> Forhus og dertil stødende sidehus (formentlig 1700-tallet)</t>
  </si>
  <si>
    <t>Strandgade 43</t>
  </si>
  <si>
    <t xml:space="preserve"> Rosen</t>
  </si>
  <si>
    <t xml:space="preserve"> Forhuset (1600-tallet og senere)</t>
  </si>
  <si>
    <t>Strandgade 45</t>
  </si>
  <si>
    <t xml:space="preserve"> Strandgade 45</t>
  </si>
  <si>
    <t xml:space="preserve"> Det toetages hjørnehus mod Strandgade og Grollowstræde (ca 1800)</t>
  </si>
  <si>
    <t>Strandgade 52 og Jernbanevej 10 B</t>
  </si>
  <si>
    <t xml:space="preserve"> Hans Meinertsens Gård</t>
  </si>
  <si>
    <t xml:space="preserve"> Forhuset med de to sidehuse og baghus(1781)</t>
  </si>
  <si>
    <t>Strandgade 53</t>
  </si>
  <si>
    <t xml:space="preserve"> Strandgade 53</t>
  </si>
  <si>
    <t xml:space="preserve"> Forhusene mod Strandgade og den dermed sammenbyggede sidefløj igården (1637)</t>
  </si>
  <si>
    <t>Strandgade 55 A-B</t>
  </si>
  <si>
    <t xml:space="preserve"> Jacob Willumsens Gård</t>
  </si>
  <si>
    <t xml:space="preserve"> Forhus med sidehus og baghus (1592)</t>
  </si>
  <si>
    <t>Strandgade 70</t>
  </si>
  <si>
    <t xml:space="preserve"> Rådmand Davids Hus</t>
  </si>
  <si>
    <t xml:space="preserve"> Forhuse af bindingsværk (1600-tallet med udbygning på bagsidenca 1867) og grundmur (ca 1780)</t>
  </si>
  <si>
    <t>Strandgade 71</t>
  </si>
  <si>
    <t xml:space="preserve"> Strandgade 71</t>
  </si>
  <si>
    <t xml:space="preserve"> Forhus og sidehus (1846-47) samt baghus (før 1771, ombygget ca 1850og 1973)</t>
  </si>
  <si>
    <t>Strandgade 75</t>
  </si>
  <si>
    <t xml:space="preserve"> Strandgade 75</t>
  </si>
  <si>
    <t xml:space="preserve"> Bebyggelsen mod Strandgade og Brostræde samt sidehuse mod vest ognord (1700-tallet)</t>
  </si>
  <si>
    <t>Strandgade 77</t>
  </si>
  <si>
    <t xml:space="preserve"> Det gamle Apotek og Johan Kruses Gård</t>
  </si>
  <si>
    <t xml:space="preserve"> Bebyggelsen mod Strandgade, Brostræde og Færgestræde (den østlige del af forhuset ca 1500; sidelænge mod Færgestræde fra ca 1500-talletsslutning; hjørnebygning mod Brostræde opført 1642)</t>
  </si>
  <si>
    <t>Strandgade 81-83</t>
  </si>
  <si>
    <t xml:space="preserve"> Kircks Gård</t>
  </si>
  <si>
    <t xml:space="preserve"> Forhus og mur med port (1736) mod Strandgade, sidehus (1642) ogbaghus med tværbygning mod Færgestræde</t>
  </si>
  <si>
    <t>Strandgade 85-87</t>
  </si>
  <si>
    <t xml:space="preserve"> Den Fenwickske Gård</t>
  </si>
  <si>
    <t xml:space="preserve"> Forhus (1600-tallet, ombygget og forhøjet, antagelig 1759-60)med sidefløje (østre ca 1500, vestre ca 1600)</t>
  </si>
  <si>
    <t>Strandgade 91 A-C</t>
  </si>
  <si>
    <t xml:space="preserve"> Rasmussens Gård</t>
  </si>
  <si>
    <t xml:space="preserve"> "Forhus (ca 1580, forhøjet 1637 og i slutningen af 1700-tallet)med sidebygning og alt fast inventar i stueetagens butik med baglokale samt i "Skipperstuen" </t>
  </si>
  <si>
    <t>Strandgade 93 A-D</t>
  </si>
  <si>
    <t xml:space="preserve"> Det Classenske Palæ</t>
  </si>
  <si>
    <t xml:space="preserve"> Forhus med sidehus og baghus (1791-93 af C. F. Harsdorff og A. C.  Wilcken)</t>
  </si>
  <si>
    <t>Strandgade 95 A og Sophie Brahesgade 1 C</t>
  </si>
  <si>
    <t xml:space="preserve"> Stephen Hansens Palæ</t>
  </si>
  <si>
    <t xml:space="preserve"> Forhus (1759-61 af Philip deLange) og baghus samt mur mod Sophie Brahesgade (ca 1840)</t>
  </si>
  <si>
    <t>Sveasvej 21</t>
  </si>
  <si>
    <t xml:space="preserve"> Sveasvej 21 , villaer</t>
  </si>
  <si>
    <t xml:space="preserve"> De to sammenbyggede villaer med tilhørende terrasser og havemure(1952 og 1959, begge af Jørn Utzon) samt den forbindende glasgang og overdækningen mellem villa og garage og arealet derunder</t>
  </si>
  <si>
    <t>Svingelport 7 A-B</t>
  </si>
  <si>
    <t xml:space="preserve"> Spæths Gård</t>
  </si>
  <si>
    <t xml:space="preserve"> Den treetages bygning med hejsekvist (1761-70)</t>
  </si>
  <si>
    <t>Svingelport 8 A</t>
  </si>
  <si>
    <t xml:space="preserve"> I. C. Tegners Gård</t>
  </si>
  <si>
    <t xml:space="preserve"> Den toetages hovedbygning med frontispice, beliggende langs Svingelport, med den i sydvest i vinkel sammenbyggede enetages sidebygning (1791) samt den i nordøst, ligeledes i vinkel sammenbyggede enetages sidebygning med portåbning til Svingelport (1800)</t>
  </si>
  <si>
    <t>Valnøddevænget 10</t>
  </si>
  <si>
    <t xml:space="preserve"> Villaen med gårdsplads, terrasse, haveanlæg og tilkørselsvej(1918 af Kay Fisker)</t>
  </si>
  <si>
    <t>Herning Kommune</t>
  </si>
  <si>
    <t>Avlumvej 5</t>
  </si>
  <si>
    <t xml:space="preserve"> Missionshuset Nasaret</t>
  </si>
  <si>
    <t>Birk Centerpark 311</t>
  </si>
  <si>
    <t xml:space="preserve"> De Geometriske Haver</t>
  </si>
  <si>
    <t xml:space="preserve"> Det selvstændige landskabsarkitektoniske værk De Geometriske Haver (1945 af landskabsarkitekt C. Th.  Sørensen, anlagt 1983) samt den ovale skovlysningmed tilhørende egeskovsbryn</t>
  </si>
  <si>
    <t>Højskolevej 11</t>
  </si>
  <si>
    <t xml:space="preserve"> Herning Højskole</t>
  </si>
  <si>
    <t xml:space="preserve"> Herning Højskole, bestående af det samlede bygningsanlæg (1962, af Tyge Arnfred og Viggo Møller Jensen samt landskabsarkitekterne C. Th.  Sørensen og Ole Nørgård) og de senere bygninger: teaterbygningen (1979), musikbygningen (1980) og den tilbyggede lærerbolig (1985)samt det omgivende areal på matrikel 4c, Birk By</t>
  </si>
  <si>
    <t>Møltrupvej 70 (tidl 50)</t>
  </si>
  <si>
    <t xml:space="preserve"> Møltrup</t>
  </si>
  <si>
    <t xml:space="preserve"> Den trelængede hovedbygning (1777)</t>
  </si>
  <si>
    <t>Sindinggårdvej 21</t>
  </si>
  <si>
    <t xml:space="preserve"> Sindinggård</t>
  </si>
  <si>
    <t xml:space="preserve"> Stuehusets hovedlænge (ca 1730, nuværende skikkelse ca 1837)</t>
  </si>
  <si>
    <t>Uldjydevej 3</t>
  </si>
  <si>
    <t xml:space="preserve"> Angligården, Herning Kunstmuseum</t>
  </si>
  <si>
    <t xml:space="preserve"> Den tidl fabriksbygning med billedkunstnerisk udsmykning samt den indre gård, poppellunden, parkeringspladsen og skulpturparken (1966 af C.F. Møller og Cth Sørensen; billedkunstnerisk udsmykning af Carl-Henning Pedersen og Paul Gadegaard)</t>
  </si>
  <si>
    <t>Viborgvej 72</t>
  </si>
  <si>
    <t xml:space="preserve"> Herningsholm</t>
  </si>
  <si>
    <t xml:space="preserve"> Hovedbygningen (ca 1580 og senere)</t>
  </si>
  <si>
    <t xml:space="preserve"> Tinghuset</t>
  </si>
  <si>
    <t xml:space="preserve"> Den tofløjede bygning i to etager (1893 af Claudius August Wiinholt og AndreasHagerup)</t>
  </si>
  <si>
    <t>Hillerød Kommune</t>
  </si>
  <si>
    <t>Batzkes Bakke 1</t>
  </si>
  <si>
    <t xml:space="preserve"> Batzkes Hus</t>
  </si>
  <si>
    <t xml:space="preserve"> Hovedhuset (1720 af Johan Cornelius Krieger, som gartnerbolig forslottet)</t>
  </si>
  <si>
    <t>Frederiksborg Slot 1</t>
  </si>
  <si>
    <t xml:space="preserve"> Frederiksborg Slot</t>
  </si>
  <si>
    <t xml:space="preserve"> Slottet (nordfløjen, "Kongefløjen": 1602-05; galleriet foran: 1619- 21 af Hans II van Steenwinckel; vestfløjen, "Kirkefløjen": 1606-16; østfløjen, "Prinsessefløjen": 1608-15; den lave sydfløj: 1609, ombygget 1619-21 af Hans II van Steenwinckel; løngangen og audienshuset: 1613 ff af Lorenz van Steenwinckel; porttårnet: 1618-23; "amtmandsboligen" og "kancelliet" på den mellemste slotsholm: 1613-14; på den forreste holm "Herluf Trolles tårn": 1561, de to runde tårne 1562, og Badstuen:1580)</t>
  </si>
  <si>
    <t>Frederiksværksgade 23</t>
  </si>
  <si>
    <t xml:space="preserve"> Frederiksværksgade 23</t>
  </si>
  <si>
    <t xml:space="preserve"> Forhuset, de to sidelænger (1700-tallet) og denbrolagte gårdsplads</t>
  </si>
  <si>
    <t>Frederiksværksgade 2 A</t>
  </si>
  <si>
    <t xml:space="preserve"> Annaborg</t>
  </si>
  <si>
    <t xml:space="preserve"> Hovedbygningen (1700-tallet)</t>
  </si>
  <si>
    <t>Frederiksværksgade 39</t>
  </si>
  <si>
    <t xml:space="preserve"> Stutmesterens Hus</t>
  </si>
  <si>
    <t xml:space="preserve"> Forhuset (1721 muligvis af Johan Cornelius Krieger)</t>
  </si>
  <si>
    <t>Gadevangsvej 109</t>
  </si>
  <si>
    <t xml:space="preserve"> Det norske hus</t>
  </si>
  <si>
    <t>Kannikegade 2</t>
  </si>
  <si>
    <t xml:space="preserve"> Hillerød Præstegård</t>
  </si>
  <si>
    <t xml:space="preserve"> Præstegårdsbygningen (ca 1850 med tøndehvælvetrenæssancekælder) samt det om haven liggende stendige</t>
  </si>
  <si>
    <t>Københavnsvej 34 A-B</t>
  </si>
  <si>
    <t xml:space="preserve"> Carlsberg</t>
  </si>
  <si>
    <t xml:space="preserve"> Hovedbygningen (ca 1750 og senere)</t>
  </si>
  <si>
    <t>Møllestræde 4</t>
  </si>
  <si>
    <t xml:space="preserve"> Lowzons Gård</t>
  </si>
  <si>
    <t xml:space="preserve"> Hovedbygningen (ca 1760)</t>
  </si>
  <si>
    <t>Ny Harløsevej 11-13 A-B</t>
  </si>
  <si>
    <t xml:space="preserve"> Skævinge Præstegård</t>
  </si>
  <si>
    <t xml:space="preserve"> Den firelængede præstegård (1846-52), gårdspladsenmed brolægning, træ og græsplæne</t>
  </si>
  <si>
    <t xml:space="preserve"> Udvidet 1986*</t>
  </si>
  <si>
    <t>Nødebovej 77</t>
  </si>
  <si>
    <t xml:space="preserve"> Skovridergården</t>
  </si>
  <si>
    <t xml:space="preserve"> Hovedbygningen, de to stråtækte længer og udhuset (beg af 1800-tallet)</t>
  </si>
  <si>
    <t>Roskildevej 58 A</t>
  </si>
  <si>
    <t xml:space="preserve"> Favrholm</t>
  </si>
  <si>
    <t xml:space="preserve"> Hovedbygningen, nordfløjen og forbindelsesbygningen (1804-06)</t>
  </si>
  <si>
    <t>Søndre Jernbanevej 4</t>
  </si>
  <si>
    <t xml:space="preserve"> Frederiksborg tidl Statsskole</t>
  </si>
  <si>
    <t xml:space="preserve"> Hovedbygningen (1834 af Jørgen Hansen Koch)</t>
  </si>
  <si>
    <t>Hjørring Kommune</t>
  </si>
  <si>
    <t>Amtmandstoften 1</t>
  </si>
  <si>
    <t xml:space="preserve"> Amtmandsboligen, Hjørring</t>
  </si>
  <si>
    <t xml:space="preserve"> Amtmandsboligen (1910 af Hack Kampmann), kontorfløjen mod vest samt forpladsen med to træer, fem borner og forbindende kæder, de to portpiller med tilhørende murstykker ved den østlige domestikfløj samt haven, herunder lysthus og pergola</t>
  </si>
  <si>
    <t>Baggesvognvej 499</t>
  </si>
  <si>
    <t xml:space="preserve"> Baggesvogn</t>
  </si>
  <si>
    <t xml:space="preserve"> Udvidet 1999</t>
  </si>
  <si>
    <t>Brinck Seidelinsgade 10</t>
  </si>
  <si>
    <t xml:space="preserve"> Hjørring Kunstmuseum</t>
  </si>
  <si>
    <t xml:space="preserve"> Museumsbygningen med trappe, havemur oghaveanlæg (1926 af Jens Jacobsen)</t>
  </si>
  <si>
    <t>Bøgstedvej 170</t>
  </si>
  <si>
    <t xml:space="preserve"> Bøgsted</t>
  </si>
  <si>
    <t xml:space="preserve"> Hovedbygningens nordre og vestre fløj (nordfløjen 1500, ombygget 1791), denstenpikkede gårdsplads og indkørsel, de omgivende borner forbundet med kæder samt den formodede karpedam</t>
  </si>
  <si>
    <t>Børglum Klostervej 255 A</t>
  </si>
  <si>
    <t xml:space="preserve"> Børglum Kloster</t>
  </si>
  <si>
    <t xml:space="preserve"> Den trefløjede hovedbygning (ca 1220-1500, ombygget 1750af Lauritz de Thurah)</t>
  </si>
  <si>
    <t>Fuglsigvej 161</t>
  </si>
  <si>
    <t xml:space="preserve"> Fuglsig</t>
  </si>
  <si>
    <t xml:space="preserve"> Det trefløjede gårdanlæg med udløberfløj (hovedbygningens bindingsværkdel med rokokostuen ca 1770), den brolagte gårdsplads og opkørslen med borner</t>
  </si>
  <si>
    <t xml:space="preserve"> Hirtshals Kro</t>
  </si>
  <si>
    <t xml:space="preserve"> Den gamle længe med facade mod havnepladsen (ca 1850 og senere)</t>
  </si>
  <si>
    <t>Hørmestedvej 130</t>
  </si>
  <si>
    <t xml:space="preserve"> Høgholt</t>
  </si>
  <si>
    <t xml:space="preserve"> Hovedbygningen med tårn og sidefløje samt gårdspladsen og vejdæmningmed balustrader (1850-90)</t>
  </si>
  <si>
    <t>Jernbanegade 6</t>
  </si>
  <si>
    <t xml:space="preserve"> Sindal gamle Postkontor</t>
  </si>
  <si>
    <t xml:space="preserve"> Postkontoret (tidl) (1911 af Hack Kampmann)</t>
  </si>
  <si>
    <t>Nørregade 12</t>
  </si>
  <si>
    <t xml:space="preserve"> Nørregade 12, Løkken</t>
  </si>
  <si>
    <t>Nørregade 35</t>
  </si>
  <si>
    <t xml:space="preserve"> Nørregade 35</t>
  </si>
  <si>
    <t xml:space="preserve"> Forhuset (muligvis 1793 og senere, sygehus 1822-32)</t>
  </si>
  <si>
    <t>Nørretorv 10-15</t>
  </si>
  <si>
    <t xml:space="preserve"> Nørretorv 10-15</t>
  </si>
  <si>
    <t xml:space="preserve"> De tre forhuse (1854), hjørnebygningen (1857) og de to baghuse (nr11: ca 1860; nr 13: 1858, 1866 og 1878)</t>
  </si>
  <si>
    <t>Oddenvej 31</t>
  </si>
  <si>
    <t xml:space="preserve"> Odden Hovedgård</t>
  </si>
  <si>
    <t xml:space="preserve"> Hovedbygningens sydfløj (1455), østfløj (1520) og vestfløj (1800-talletsslutn) samt det lave hus ved østfløjens nordgavl (1800-tallet), brolægningen på gårdspladsen og tilkørselsvejen samt hegnsmuren langs gårdspladsens nordside</t>
  </si>
  <si>
    <t>Skolegade 8</t>
  </si>
  <si>
    <t xml:space="preserve"> Borgerskolen</t>
  </si>
  <si>
    <t xml:space="preserve"> Den gamle skolebygning (ca 1840)</t>
  </si>
  <si>
    <t>Stensbæk 2</t>
  </si>
  <si>
    <t xml:space="preserve"> Stensbæk</t>
  </si>
  <si>
    <t xml:space="preserve"> Hovedbygningen (1744)</t>
  </si>
  <si>
    <t>Sømærkevej</t>
  </si>
  <si>
    <t xml:space="preserve"> Løkken Båke</t>
  </si>
  <si>
    <t xml:space="preserve"> Sømærket (1884)</t>
  </si>
  <si>
    <t>Søndergade 9</t>
  </si>
  <si>
    <t xml:space="preserve"> Søndergade 9</t>
  </si>
  <si>
    <t xml:space="preserve"> Forhuset (midten af 1800-tallet)</t>
  </si>
  <si>
    <t xml:space="preserve"> Torvet 6</t>
  </si>
  <si>
    <t>Hjørring Rådhus</t>
  </si>
  <si>
    <t xml:space="preserve"> Rådhuset (1838)</t>
  </si>
  <si>
    <t xml:space="preserve"> Provstegården</t>
  </si>
  <si>
    <t xml:space="preserve"> Forhuset (1773-74) og sidehuset opført som lade og stald (beg af 1800-tallet, delvis genopbygget ca 1860)</t>
  </si>
  <si>
    <t xml:space="preserve"> Udvidet 1976*</t>
  </si>
  <si>
    <t xml:space="preserve"> Vestergade 8</t>
  </si>
  <si>
    <t xml:space="preserve"> Det cirkulære lysthus med pyramidetag (opført mellem 1828 og 1837)</t>
  </si>
  <si>
    <t>Vrejlev Kloster 3A (tidl Vrejlev Klostervej 805 A, 800 og Hovedgaden 195)</t>
  </si>
  <si>
    <t xml:space="preserve"> Vrejlev Kloster</t>
  </si>
  <si>
    <t>Hovedbygningens nordfløj (ca 1500) samt vestfløjen (ca 1500, forlænget ca 1760, ombygget 1918) med tårn og udløberfløj (1918 af Charles Jensen)</t>
  </si>
  <si>
    <t>Holbæk Kommune</t>
  </si>
  <si>
    <t>Aggersvoldvej 21</t>
  </si>
  <si>
    <t xml:space="preserve"> Aggersvold</t>
  </si>
  <si>
    <t xml:space="preserve"> Hovedbygningen (1833-35, ombygget 1919 og 1979)</t>
  </si>
  <si>
    <t>Ahlgade 32, Bysøstræde 1 og Bagstræde 1</t>
  </si>
  <si>
    <t xml:space="preserve"> Elefantapoteket</t>
  </si>
  <si>
    <t xml:space="preserve"> Forhus mod Ahlgade (ca 1600, ombygget 1847, udvidet mod gården 1889), toetages sidefløj mod Bysøstræde (1700-tallet, ombygget 1857), enetages bygning i forlængelse heraf, toetages sidefløj mod øst (1889) samt ishuset på hjørnet afBysøstræde og Bagstræde (1867)</t>
  </si>
  <si>
    <t>Bakkekammen 23</t>
  </si>
  <si>
    <t xml:space="preserve"> Bakkekammen 23</t>
  </si>
  <si>
    <t xml:space="preserve"> Det U-formede bygningsanlæg bestående af en villa med garagefløj, en udhusfløj inkl drivhus og et fritstående vinkelformet udhus samt de to mure mellem sidstnævnte bygning og garagefløjen (1912, det fritliggende udhus 1920, af Ivar Bentsen)</t>
  </si>
  <si>
    <t xml:space="preserve"> Udv 1993*</t>
  </si>
  <si>
    <t>Bakkekammen 40</t>
  </si>
  <si>
    <t xml:space="preserve"> Bakkekammen 40</t>
  </si>
  <si>
    <t xml:space="preserve"> Hovedhus, udhus, garage og havepavillon (1917 af Ivar Bentsen og Marius Pedersen) samt haveanlægget med to havelåger mod syd og mod vest (1914 og 1938 af ValdemarFabricius Hansen)</t>
  </si>
  <si>
    <t xml:space="preserve"> Udvidet 2016 *</t>
  </si>
  <si>
    <t>Bakkekammen 45</t>
  </si>
  <si>
    <t xml:space="preserve"> Bakkekammen 45</t>
  </si>
  <si>
    <t xml:space="preserve"> Villaen Bakkekammen 45 med garage, forbindelsesmur og forhavemed de dobbelte hækrækker og grusarealer</t>
  </si>
  <si>
    <t>Bukkerupvej 14</t>
  </si>
  <si>
    <t xml:space="preserve"> Soderup Hospital</t>
  </si>
  <si>
    <t xml:space="preserve"> Hospitalsbygningen (midt. af 1700-tallet)</t>
  </si>
  <si>
    <t>Diget 24</t>
  </si>
  <si>
    <t xml:space="preserve"> Diget 24</t>
  </si>
  <si>
    <t xml:space="preserve"> Den grundmurede villa (1922 af Ivar Bentsen)</t>
  </si>
  <si>
    <t>Eriksholmvej 40</t>
  </si>
  <si>
    <t xml:space="preserve"> Eriksholm</t>
  </si>
  <si>
    <t xml:space="preserve"> Hovedbygning bestående af hovedhus, to sidefløje og toforbindelsesbygninger mellem hovedhus og sidefløje (1788)</t>
  </si>
  <si>
    <t>Grydebjergvej 9</t>
  </si>
  <si>
    <t xml:space="preserve"> Skamstrup Præstegård</t>
  </si>
  <si>
    <t xml:space="preserve"> Hovedbygningen (1858) med de to små sidehuse (1960'erne)samt de to lindetræer ved indgangspartiet</t>
  </si>
  <si>
    <t>Holbækvej 1</t>
  </si>
  <si>
    <t xml:space="preserve"> Undløse Enkesæde</t>
  </si>
  <si>
    <t xml:space="preserve"> Forhuset (1846), baghuset og brolægningen på gårdspladsen mellemde to bygninger</t>
  </si>
  <si>
    <t>Hovedgaden 36</t>
  </si>
  <si>
    <t xml:space="preserve"> Nordvestsjællands Elektricitetsværk</t>
  </si>
  <si>
    <t xml:space="preserve"> Det tidl elektricitetsværk med tilhørende smøre- og værkstedshal, de to bygninger med henholdsvis tidl direktør- og regnskabsførerboliger, funktionærboliger m.v. samt vaskehus og den havelignende gårdsplads (1913 af Ivar Bentsen)</t>
  </si>
  <si>
    <t>Kalundborgvej 58 B</t>
  </si>
  <si>
    <t xml:space="preserve"> Søndersted Stubmølle</t>
  </si>
  <si>
    <t xml:space="preserve"> Stubmøllen (ca 1700, flyttet 1875 og 1938)</t>
  </si>
  <si>
    <t>Kasernevej 43 og 77 (tidl Anders Larsensvej 1)</t>
  </si>
  <si>
    <t xml:space="preserve"> Holbæk Kaserne</t>
  </si>
  <si>
    <t xml:space="preserve"> Eksercerhuset og Ridehuset (1913 afOlaf Petri og Egil Fischer) på Holbæk Kaserne</t>
  </si>
  <si>
    <t>Kirkestræde 2 B</t>
  </si>
  <si>
    <t xml:space="preserve"> Kapellanboligen</t>
  </si>
  <si>
    <t xml:space="preserve"> Det 10 fag lange, enetages bindingsværkshus umiddelbart op til SanktNikolaj kirkegård (ca 1600)</t>
  </si>
  <si>
    <t>Klosterstræde 16</t>
  </si>
  <si>
    <t xml:space="preserve"> Holbæk Museum</t>
  </si>
  <si>
    <t xml:space="preserve"> Museet (1669-70) samt den fra Algade nr 1 flyttedebindingsværksgård (1660)</t>
  </si>
  <si>
    <t>Klosterstræde 18</t>
  </si>
  <si>
    <t xml:space="preserve"> Holbæk Rådhus (tidl)</t>
  </si>
  <si>
    <t xml:space="preserve"> Rådhusbygning med tilbygning og sidebygning (1844 afFrederik Ferdinand Friis)</t>
  </si>
  <si>
    <t>Klosterstræde 7</t>
  </si>
  <si>
    <t xml:space="preserve"> Sortebrødreklosteret</t>
  </si>
  <si>
    <t xml:space="preserve"> Sortebrødreklosterets vestfløj (1300-tallet) og sydfløj (1300-tallet,ombygget 1783, 1863 og 1916)</t>
  </si>
  <si>
    <t>Knabstrup Møllebakke 4-6</t>
  </si>
  <si>
    <t xml:space="preserve"> Dorthealyst</t>
  </si>
  <si>
    <t xml:space="preserve"> Det samlede gårdanlæg bestående af hovedbygningen, de to sidebygninger med forbindende mure, den østlige sidelænge med udbygning og den vestlige sidelænge, begge i bindingsværk, samt den tværliggende vestlænge i bindingsværk med udløberfløj (1799-1802 afPhilip Lange)</t>
  </si>
  <si>
    <t>Knabstrupvej 51</t>
  </si>
  <si>
    <t xml:space="preserve"> Knabstrup</t>
  </si>
  <si>
    <t xml:space="preserve"> Hovedbygningen (1861 af Vilhelm Dahlerup) med de tre sammenbyggedebindingsværkssidelænger (1600-tallet) samt havemur med portal mod vest</t>
  </si>
  <si>
    <t>Løvenborg Allé 30</t>
  </si>
  <si>
    <t xml:space="preserve"> Løvenborg</t>
  </si>
  <si>
    <t xml:space="preserve"> Den trefløjede hovedbygning med hjørnetårne (1630'rne, moderniseret i1700-tallet; tilbygning til sydfløj 1853; trappetårn mellem syd- og vestfløjen fra 1890'erne)</t>
  </si>
  <si>
    <t>Møllebakken 2</t>
  </si>
  <si>
    <t xml:space="preserve"> Nørre Jernløse Mølle</t>
  </si>
  <si>
    <t xml:space="preserve"> Vindmøllen (flyttet fra Københavns Nørre Vold i slutn af 1800-tallet)</t>
  </si>
  <si>
    <t>Mørkøvvej 15</t>
  </si>
  <si>
    <t xml:space="preserve"> Kongsdal</t>
  </si>
  <si>
    <t xml:space="preserve"> Den trefløjede hovedbygning (1598)</t>
  </si>
  <si>
    <t>Nykøbingvej 84 og 84 A-B</t>
  </si>
  <si>
    <t xml:space="preserve"> Hagestedgård</t>
  </si>
  <si>
    <t xml:space="preserve"> Hovedbygningen (kældermure og nederste del af tårn fra ca 1555, bindingsværk fra 1748, tårn ombygget fra 1862), de to pavilloner mod nord, de fire bindingsværkslænger øst for gårdspladsen, de bygningerne forbindende hegnsmure samt omgivendebrolægning</t>
  </si>
  <si>
    <t>Observator Gyldenkernes Vej 3-15</t>
  </si>
  <si>
    <t xml:space="preserve"> Brorfelde Observatorium</t>
  </si>
  <si>
    <t xml:space="preserve"> Brorfelde Observatoriet, bestående af de fire stjernekikkertbygninger, værkstedsbygningen, hovedbygningen med overdækket parkering, de fem tjenesteboliger samt det tilhørende vejanlæg og de arkitektonisk bearbejdede cirkulære jordvolde med de dobbelte hækrækker omkring boligerne (1953-1962, arkitekt Kaj Gottlob og havearkitekt Georg Georgsen)</t>
  </si>
  <si>
    <t>Præstevænget 2</t>
  </si>
  <si>
    <t xml:space="preserve"> Hjembæk Kirkelade</t>
  </si>
  <si>
    <t xml:space="preserve"> Kirkeladebygningen (senmiddelalder og senere)</t>
  </si>
  <si>
    <t>Præstevænget 4</t>
  </si>
  <si>
    <t xml:space="preserve"> Hjembæk Præstegård</t>
  </si>
  <si>
    <t xml:space="preserve"> Stuehuset med udbygning mod nord samt længerne i syd ogvest (ca 1700)</t>
  </si>
  <si>
    <t>Ringstedvej 50</t>
  </si>
  <si>
    <t xml:space="preserve"> Torbenfeld</t>
  </si>
  <si>
    <t xml:space="preserve"> Hovedbygningen (sydfløjen ombygget middelalderhus, forlængelse og det ottekantede tårn fra 1600-tallet, ombygget 1767 og ca 1900; østfløj fra 1577, ombygget 1767 og ca 1900;nordfløj fra 1767, ombygget ca 1900)</t>
  </si>
  <si>
    <t>Roskildevej 17 C</t>
  </si>
  <si>
    <t xml:space="preserve"> Roskildevej 17 C</t>
  </si>
  <si>
    <t xml:space="preserve"> Det trefløjede nyklassicistiske bygningsanlæg (1914 af Ivar Bentsen,opført som alderdomshjem)</t>
  </si>
  <si>
    <t>Rådhuspladsen 1</t>
  </si>
  <si>
    <t xml:space="preserve"> Holbæk 3. Rådhus. </t>
  </si>
  <si>
    <t xml:space="preserve"> Holbæk rådhus med arrest og murene omkring anlægget (1909-1911, af arkitekt Vilh. Fischer og arkitekt og maler Jens Møller-Jensen)</t>
  </si>
  <si>
    <t>Seminarieparken 2 og 9</t>
  </si>
  <si>
    <t xml:space="preserve"> Holbæk Seminarium</t>
  </si>
  <si>
    <t xml:space="preserve"> Holbæk Seminarium (1965 af Gehrdt Bornebusch, Max Brüel og Jørgen Selchau) bestående af seminariebygninger, funktionærboliger, kollegium med diversetilføjelser og med omgivelser</t>
  </si>
  <si>
    <t>Tuse Byvej 100 (tidl Kalundborgvej 256)</t>
  </si>
  <si>
    <t xml:space="preserve"> Den tidl Kro ved kirken</t>
  </si>
  <si>
    <t xml:space="preserve"> Den sekstenfags bindingsværkslænge(1755, afkortet i 1962)</t>
  </si>
  <si>
    <t>Tåstrupvej 54</t>
  </si>
  <si>
    <t xml:space="preserve"> Store Tåstrup Præstegård</t>
  </si>
  <si>
    <t xml:space="preserve"> Den trelængede hovedbygning (1701 og senere)</t>
  </si>
  <si>
    <t>Vognserup 3</t>
  </si>
  <si>
    <t xml:space="preserve"> Vognserup</t>
  </si>
  <si>
    <t xml:space="preserve"> Hovedbygningen (ca 1559-75)</t>
  </si>
  <si>
    <t>Holsterbro Kommune</t>
  </si>
  <si>
    <t>Bukdalvej 52</t>
  </si>
  <si>
    <t xml:space="preserve"> Borbjerg Holmgård, Den tidl Præstegård</t>
  </si>
  <si>
    <t xml:space="preserve"> Hovedbygningen med sidefløj (ca 1750)</t>
  </si>
  <si>
    <t>Handbjerg Hovgårdvej 5</t>
  </si>
  <si>
    <t xml:space="preserve"> Handbjerg Hovgård</t>
  </si>
  <si>
    <t xml:space="preserve"> Den trelængede hovedbygning (1775), den senere opførte tilbygning til hovedbygningens nordlænge, med halv kælder, samt gårdspladsens ti lindetræer langshovedbygningens facader</t>
  </si>
  <si>
    <t>Holstebrovej 38</t>
  </si>
  <si>
    <t xml:space="preserve"> Rydhave</t>
  </si>
  <si>
    <t xml:space="preserve"> Østre fløj (ca 1550, ombygget 1656 og 1794), nordre fløj med tårn (tårnetmiddelalder) og vestre fløj (ca 1520-30) samt muren mellem tårn og vestfløj</t>
  </si>
  <si>
    <t>Nørregade 25</t>
  </si>
  <si>
    <t xml:space="preserve"> Holstebro Råd- og arresthus</t>
  </si>
  <si>
    <t xml:space="preserve"> Rådhuset med arresthus (1846 af N.S. Nebelong)</t>
  </si>
  <si>
    <t>Stationsvej 15</t>
  </si>
  <si>
    <t xml:space="preserve"> Holstebro Station</t>
  </si>
  <si>
    <t xml:space="preserve"> Hovedbygningen og perrontag (1904 af Heinrich Wenck)</t>
  </si>
  <si>
    <t>Sønderlandsgade 46</t>
  </si>
  <si>
    <t xml:space="preserve"> Bomhuset ved Sønderlandsgade</t>
  </si>
  <si>
    <t xml:space="preserve"> Bomhuset (1794)</t>
  </si>
  <si>
    <t>Udstrupvej 3</t>
  </si>
  <si>
    <t xml:space="preserve"> Udstrup</t>
  </si>
  <si>
    <t xml:space="preserve"> Den trefløjede hovedbygning (1784)</t>
  </si>
  <si>
    <t>Vembvej 31-43</t>
  </si>
  <si>
    <t xml:space="preserve"> Nørre Vosborg</t>
  </si>
  <si>
    <t xml:space="preserve"> De fire fløje og porten omkring borggården (østre hus (1532 ff, gavlene 1857), søndre hus (1838), vestre hus (ca 1750), nordre hus (ca 1640)). Voldanlægget (1500-tallet) og broen over voldgraven (beg af 1800-tallet), hegnsmuren langs indkørslen (1800-tallet), belægningerne på broen, i indkørslen og i borggården, kapellet i haven (1800-tallet), avlsgårdens nordre længe (slutn af 1700-tallet) med sammenbyggede længer mod nord, søndre længe (efter brand, 1950) samt porttårnet(1790) med hegnsmure (1800-tallet)</t>
  </si>
  <si>
    <t xml:space="preserve"> Udv. 1987*</t>
  </si>
  <si>
    <t>Østergade 35-37</t>
  </si>
  <si>
    <t xml:space="preserve"> Nyboes Gård</t>
  </si>
  <si>
    <t xml:space="preserve"> Forhuset (1793)</t>
  </si>
  <si>
    <t>Horsens Kommune</t>
  </si>
  <si>
    <t>Andreas Flensborgs Gade, Kongensgade og Claus Cortsens Gade</t>
  </si>
  <si>
    <t xml:space="preserve"> Vitus Bering Parken</t>
  </si>
  <si>
    <t xml:space="preserve"> Det selvstændige landskabsarkitektoniske værk Vitus Bering Parken med skulpturer (1957 af landskabsarkitekt C. Th. Sørensen)</t>
  </si>
  <si>
    <t>Bisgårdsvej 2</t>
  </si>
  <si>
    <t xml:space="preserve"> Tamdrup Bisgård</t>
  </si>
  <si>
    <t xml:space="preserve"> Stuehuset i syd med sidefløje i øst og vest samt en tilbygning til østfløjen (1784), agerumsladen i nord (1784) med dens forlængelser til begge sider (ca 1895) og de hertilopførte sidelænger i vest og øst (ca 1895 og ca 1910) samt den brolagte gårdsplads</t>
  </si>
  <si>
    <t>Boller Slotsvej 20</t>
  </si>
  <si>
    <t xml:space="preserve"> Boller</t>
  </si>
  <si>
    <t xml:space="preserve"> Den firefløjede hovedbygning (nordfløjen ca 1550, østfløjen 1588, ombygget ogvest- og sydfløjen opført 1759, kældrene ældre)</t>
  </si>
  <si>
    <t>Bygaden 70</t>
  </si>
  <si>
    <t xml:space="preserve"> Stensballegård</t>
  </si>
  <si>
    <t xml:space="preserve"> Hovedbygningen med to vinkelbyggede sidefløje (hovedfløjen 1692,sidefløjene 1693 af Ernst Brandenburger)</t>
  </si>
  <si>
    <t>Emil Møllersgade 41</t>
  </si>
  <si>
    <t xml:space="preserve"> Trævarefabrikken Bastian</t>
  </si>
  <si>
    <t xml:space="preserve"> De to fritliggende bygninger (opført 1875 af Jens Chr Clausen), maskin- og kedelhuset med skorsten (opført 1875 af Jens Chr Clausen), den bagved liggende fløj (opført 1896 og udvidet 1911 af Viggo Norn), tværfløjen (opført 1911 og udvidet 1936 af Viggo Norn) ogsydfløjen (opført 1936 af Viggo Norn)</t>
  </si>
  <si>
    <t>Fuglsbjergvej 9</t>
  </si>
  <si>
    <t xml:space="preserve"> Fuglsbjergvej 9</t>
  </si>
  <si>
    <t xml:space="preserve"> Den firelængede bondegård bestående af stuehuset (slutn af 1700-tallet), ko- og hestestalden (1850, 1930), svinestalden (ca 1900) og laden (ca 1800) samt den brostensbelagte gårdsplads</t>
  </si>
  <si>
    <t>Føvlingvej 14</t>
  </si>
  <si>
    <t xml:space="preserve"> Anneksgården</t>
  </si>
  <si>
    <t xml:space="preserve"> Den firelængede gård (stuehuset 1844, østlængen 1890, nordlængen1844, vestlængen 1600-tallet) med brolagt gårdsplads</t>
  </si>
  <si>
    <t>Havnen 1</t>
  </si>
  <si>
    <t xml:space="preserve"> Horsens Toldkammer</t>
  </si>
  <si>
    <t xml:space="preserve"> Toldkammerbygningen med gårdsplads og den omkransende mur inklmurpiller (1911-13 af Hack Kampmann)</t>
  </si>
  <si>
    <t>Hospitalsgade 10</t>
  </si>
  <si>
    <t xml:space="preserve"> Horsens almindelige Hospital</t>
  </si>
  <si>
    <t xml:space="preserve"> Hospitalets gamle fløj langs gaden</t>
  </si>
  <si>
    <t>Hospitalsgade 6</t>
  </si>
  <si>
    <t xml:space="preserve"> Hospitalsgade 6</t>
  </si>
  <si>
    <t xml:space="preserve"> Forhuset og det dermed sammenbyggede sidehus (1768, gadefacadenca 1860)</t>
  </si>
  <si>
    <t>Julianelystvej 1 og 1 A</t>
  </si>
  <si>
    <t xml:space="preserve"> Julianelyst</t>
  </si>
  <si>
    <t xml:space="preserve"> Hovedbygningen med sidefløje, de to staldlænger i øst og vest samtresterne af sydlængen (1792-93 af Anders Kruuse)</t>
  </si>
  <si>
    <t>Klostermøllevej 48 A, B og D</t>
  </si>
  <si>
    <t xml:space="preserve"> Klostermølle</t>
  </si>
  <si>
    <t xml:space="preserve"> Vandmøllen med to tilbygninger, den gamle hovedbygning(ca 1800), den nye hovedbygning (ca 1872), staldbygningen og tørreladen</t>
  </si>
  <si>
    <t>Mattrupvej 3</t>
  </si>
  <si>
    <t xml:space="preserve"> Mattrup</t>
  </si>
  <si>
    <t xml:space="preserve"> Den trefløjede hovedbygning (1578, ombygget ca 1760 og senere)</t>
  </si>
  <si>
    <t>Nørregade 21 A</t>
  </si>
  <si>
    <t xml:space="preserve"> Anders Kruuses egen gård</t>
  </si>
  <si>
    <t xml:space="preserve"> Forhuset (1786 af Anders Kruuse)</t>
  </si>
  <si>
    <t>Nørregade 31</t>
  </si>
  <si>
    <t xml:space="preserve"> Flensborgs Enkebolig</t>
  </si>
  <si>
    <t xml:space="preserve"> Forhuset (1790 af Anders Kruuse)</t>
  </si>
  <si>
    <t>Oensvej 1</t>
  </si>
  <si>
    <t xml:space="preserve"> Hatting Præstegård</t>
  </si>
  <si>
    <t xml:space="preserve"> Stuehuset (1790)</t>
  </si>
  <si>
    <t>Overbyvej 5</t>
  </si>
  <si>
    <t xml:space="preserve"> Overby Rytterskole</t>
  </si>
  <si>
    <t xml:space="preserve"> Rytterskolen (1722)</t>
  </si>
  <si>
    <t>Rådhusgade 3-5</t>
  </si>
  <si>
    <t xml:space="preserve"> Horsens Ting- og Arresthus</t>
  </si>
  <si>
    <t xml:space="preserve"> Det trefløjede anlæg, Horsens Ting- og Arresthus,Rådhusgade 3-5, Horsens Kommune (1902 af Hector Estrup)</t>
  </si>
  <si>
    <t>Schüttesvej 4-6</t>
  </si>
  <si>
    <t xml:space="preserve"> Bygholm</t>
  </si>
  <si>
    <t xml:space="preserve"> Hovedbygningen samt de to vinkelformede sidefløje (1775 af Anders Møller)</t>
  </si>
  <si>
    <t>Serridslevgårdvej 25</t>
  </si>
  <si>
    <t xml:space="preserve"> Serridslevgård</t>
  </si>
  <si>
    <t xml:space="preserve"> Den trefløjede hovedbygning (1777 af Anders Kruuse)</t>
  </si>
  <si>
    <t>Smedegade 49 B</t>
  </si>
  <si>
    <t xml:space="preserve"> Smedegade 49 B</t>
  </si>
  <si>
    <t xml:space="preserve"> Bindingsværkspakhuset i to etager (1817)</t>
  </si>
  <si>
    <t>Smedegade 91 C</t>
  </si>
  <si>
    <t xml:space="preserve"> Generalsgården</t>
  </si>
  <si>
    <t xml:space="preserve"> Forhuset (1816 af J. J.  Høffner)</t>
  </si>
  <si>
    <t>Smedetorvet 1, 2A, 3, 4, 5, 8, 10 (tidl Smedetorvet 2)</t>
  </si>
  <si>
    <t xml:space="preserve"> Knud Monbergs Gård</t>
  </si>
  <si>
    <t xml:space="preserve"> Forhuset (1756) samtgårdens bebyggelse langs skellet til mnr 106a, 107, 108a, 110g, f, h, m og n</t>
  </si>
  <si>
    <t>Stenkærvej 7</t>
  </si>
  <si>
    <t xml:space="preserve"> Urup</t>
  </si>
  <si>
    <t xml:space="preserve"> Den trefløjede hovedbygning (1592, stærkt ombygget og reduceret ca 1810, østfløjendelvis fra før 1581)</t>
  </si>
  <si>
    <t xml:space="preserve"> Helms' Apotek</t>
  </si>
  <si>
    <t xml:space="preserve"> Forhuset (1736) og det vestlige sidehus (1743) (begge formentlig af Johann Gottfried Hödrich) samt de tre sammenbyggede østvendte sidehuse, de to baghuse, detvestvendte udhus, portmuren og gårdens pigstensbelægning</t>
  </si>
  <si>
    <t xml:space="preserve"> Udvidet 2000*</t>
  </si>
  <si>
    <t>Søndergade 17</t>
  </si>
  <si>
    <t xml:space="preserve"> Lichtenbergs Gård, nu Jørgensens Hotel</t>
  </si>
  <si>
    <t xml:space="preserve"> Forhuset (1744 af Nicolaus HinrichRieman)</t>
  </si>
  <si>
    <t>Søndergade 26</t>
  </si>
  <si>
    <t xml:space="preserve"> Horsens gamle Rådhus</t>
  </si>
  <si>
    <t xml:space="preserve"> Rådhusbygningen (1854-55 af Hans Chr Zeltner)</t>
  </si>
  <si>
    <t xml:space="preserve"> Søndergade 32</t>
  </si>
  <si>
    <t xml:space="preserve"> Forhuset (1772)</t>
  </si>
  <si>
    <t>Søndergade 41 og 41 A</t>
  </si>
  <si>
    <t xml:space="preserve"> Brænderigården</t>
  </si>
  <si>
    <t xml:space="preserve"> Forhus (1779 af Anders Kruuse) medbindingsværkssidelænger</t>
  </si>
  <si>
    <t>Tyrrestrupvej 41</t>
  </si>
  <si>
    <t xml:space="preserve"> Tyrrestrup</t>
  </si>
  <si>
    <t xml:space="preserve"> Den trefløjede hovedbygning med udløberfløj på midtfløjen (ca 1720,kældrene 1500-tallet)</t>
  </si>
  <si>
    <t>Vesterby 1 (Tidl 3)</t>
  </si>
  <si>
    <t xml:space="preserve"> Vesterby 1 (Tidl 3)</t>
  </si>
  <si>
    <t xml:space="preserve"> Stuehuset (1741)</t>
  </si>
  <si>
    <t>Åboulevarden 121</t>
  </si>
  <si>
    <t xml:space="preserve"> Åboulevarden 121</t>
  </si>
  <si>
    <t xml:space="preserve"> Forhuset (ca 1870) med porten (1739)</t>
  </si>
  <si>
    <t xml:space="preserve"> Udvidet1978**</t>
  </si>
  <si>
    <t>Åboulevarden 85 A, hj af Badstuestræde</t>
  </si>
  <si>
    <t xml:space="preserve"> Åboulevarden 85 A</t>
  </si>
  <si>
    <t xml:space="preserve"> Pakhus (ca 1760)</t>
  </si>
  <si>
    <t xml:space="preserve">Hvidovre Kommune </t>
  </si>
  <si>
    <t>Gammel Køge Landevej 580 og 580 A</t>
  </si>
  <si>
    <t xml:space="preserve"> Avedøre Flyveplads (tidl)</t>
  </si>
  <si>
    <t xml:space="preserve"> De to træhangarer (1917) og de timotorprøvestande (1943)</t>
  </si>
  <si>
    <t xml:space="preserve"> Udvidet 1998</t>
  </si>
  <si>
    <t>Hvidovre Kirkeplads 1</t>
  </si>
  <si>
    <t xml:space="preserve"> Hvidovre Rytterskole</t>
  </si>
  <si>
    <t xml:space="preserve"> Rytterskolebygningen (1720'rne og senere)</t>
  </si>
  <si>
    <t>Hørsholm Kommune</t>
  </si>
  <si>
    <t>Dreyersvej 9</t>
  </si>
  <si>
    <t xml:space="preserve"> Dreyersvej 9 , villa</t>
  </si>
  <si>
    <t xml:space="preserve"> Villaen (1938 af Steen Eiler Rasmussen)</t>
  </si>
  <si>
    <t>Folehavevej 125 A-B</t>
  </si>
  <si>
    <t xml:space="preserve"> Folehavegård</t>
  </si>
  <si>
    <t xml:space="preserve"> Hovedbygningen (ca 1770), laden med hestegang (ca 1850) samtforpagterboligen med tilbygget stald (ca 1870)</t>
  </si>
  <si>
    <t>Folehavevej 13 og 17</t>
  </si>
  <si>
    <t xml:space="preserve"> Magasinet</t>
  </si>
  <si>
    <t xml:space="preserve"> Det store magasin (1713) og de to staldbygninger (1739 af Lauritz deThurah)</t>
  </si>
  <si>
    <t>Folehavevej 19-23</t>
  </si>
  <si>
    <t xml:space="preserve"> Kavalerbygningen</t>
  </si>
  <si>
    <t xml:space="preserve"> Kavalerbygningen (1721, ca 1740 muligvis af Lauritz deThurah)</t>
  </si>
  <si>
    <t>Gammel Hovedgade 2</t>
  </si>
  <si>
    <t xml:space="preserve"> Fuglsangshus, Slotsgartnerens Hus</t>
  </si>
  <si>
    <t xml:space="preserve"> Bindingsværksbygningen (1764, flyttet og genopført1979-80)</t>
  </si>
  <si>
    <t>Gammel Hovedgade 5</t>
  </si>
  <si>
    <t xml:space="preserve"> Gammel Hovedgade 5</t>
  </si>
  <si>
    <t xml:space="preserve"> Forhuset (beg af 1800-tallet)</t>
  </si>
  <si>
    <t xml:space="preserve"> Gammel Hovedgade 7</t>
  </si>
  <si>
    <t xml:space="preserve"> Forhuset (efter 1812)</t>
  </si>
  <si>
    <t>Landsbyen 6</t>
  </si>
  <si>
    <t xml:space="preserve"> Tingstedgård</t>
  </si>
  <si>
    <t xml:space="preserve"> Den firelængede gård (stuehuset 1759, ombygget før 1834) og den brolagtegårdsplads</t>
  </si>
  <si>
    <t>Lyngsø Allé 3, tidl Fabriksvej 6</t>
  </si>
  <si>
    <t xml:space="preserve"> Usserød Klædefabrik</t>
  </si>
  <si>
    <t xml:space="preserve"> Nord for Fabriksvej: de tre fløje (1803, 1860 og 1950) omkring gårdspladsen, de to sammenbyggede bygninger mod vest (1868 og 1864), den østlige, fritliggende vinkelbygning (1889) samt det tidl maskin- og kedelhus (1888) og den tidl skæreri- og væveribygning (1939) beliggende nord for de tre fløje omkring gårdspladsen. Syd for Fabriksvej:forbygningen (1865) over for gårdspladsen</t>
  </si>
  <si>
    <t>Udv. 1987*</t>
  </si>
  <si>
    <t>Mortenstrupvej 75</t>
  </si>
  <si>
    <t xml:space="preserve"> Mortenstrupgård</t>
  </si>
  <si>
    <t xml:space="preserve"> Mortenstrupgård, bestående af stuehuset og de dermed tre sammenbyggede længer (sidst i 1700-tallet til 1855), de to fritliggende udhuse (1800-tallet og 1952) samt den brolagte gårdsplads, den stensatte mødding, stensætningen omkring haven samt blodbøgen</t>
  </si>
  <si>
    <t>Piniehøj 20</t>
  </si>
  <si>
    <t xml:space="preserve"> Piniehøj 20 , villa</t>
  </si>
  <si>
    <t xml:space="preserve"> Villaen med tilhørende havemur og grusbelagt indkørsel og forplads (1962af Hanne og Poul Kjærholm)</t>
  </si>
  <si>
    <t>Rungsted Strandvej 109 og 111</t>
  </si>
  <si>
    <t xml:space="preserve"> Rungstedlund, Rungsted gamle Kro</t>
  </si>
  <si>
    <t xml:space="preserve"> Den enetages vinkelbygning ogdermed sammenbyggede toetages bygning (1680, ombygget 1800-tallet)</t>
  </si>
  <si>
    <t>Rungsted Strandvej 219 og 221</t>
  </si>
  <si>
    <t xml:space="preserve"> Sophienberg</t>
  </si>
  <si>
    <t xml:space="preserve"> Hovedbygningen (1744-46 af Niels Eigtved, reduceret omkr. 1800) samt haveanlægget med den markerede akse, bøgehækkene, søjletaksen og to parklinde, den gamle kastanieallé mod nord samt den omgivende mur og de seks lindetræer på det skrånende arealmod Øresund</t>
  </si>
  <si>
    <t>Rungsted Strandvej 302</t>
  </si>
  <si>
    <t xml:space="preserve"> Mikkelgård</t>
  </si>
  <si>
    <t xml:space="preserve"> Den firelængede hovedbygning med tilhørende terrasse, gårdspladsog bro (1915 af Povl Baumann)</t>
  </si>
  <si>
    <t>Rungsted Strandvej 68</t>
  </si>
  <si>
    <t xml:space="preserve"> Rungsted Strandvej 68</t>
  </si>
  <si>
    <t xml:space="preserve"> Enfamiliehuset og tilhørende haveanlæg (1958 af HalldorGunnløgsson)</t>
  </si>
  <si>
    <t>Sdr. Jagtvej</t>
  </si>
  <si>
    <t xml:space="preserve"> Stolberg-monumentet</t>
  </si>
  <si>
    <t xml:space="preserve"> Monumentet (1766 af Nicolas-Henri Jardin, fornyet 1895)</t>
  </si>
  <si>
    <t>Søndre Jagtvej 1</t>
  </si>
  <si>
    <t xml:space="preserve"> Hørsholm Præstegård</t>
  </si>
  <si>
    <t xml:space="preserve"> Stuehuset (1720'rne, de tre østligste fag ca 1880) og udhusetmod gaden</t>
  </si>
  <si>
    <t>Søndre Jagtvej 2</t>
  </si>
  <si>
    <t xml:space="preserve"> Hørsholm Egns Museum</t>
  </si>
  <si>
    <t xml:space="preserve"> Museumsbygningen (opført 1723 som forpagterbolig eftertegning af kronprins Christian (VI))</t>
  </si>
  <si>
    <t>Usserød Kongevej 120</t>
  </si>
  <si>
    <t xml:space="preserve"> Den tidl Lægebolig</t>
  </si>
  <si>
    <t xml:space="preserve"> Beboelseshuset (1792, ombygget ca 1840)</t>
  </si>
  <si>
    <t>Ikast-Brande Kommune</t>
  </si>
  <si>
    <t>Remmevej 18</t>
  </si>
  <si>
    <t xml:space="preserve"> Højris</t>
  </si>
  <si>
    <t xml:space="preserve"> Hovedbygningen med sidefløje i nordøst og nordvest (slutn 1700-tallet)</t>
  </si>
  <si>
    <t>Tarpvej 27</t>
  </si>
  <si>
    <t xml:space="preserve"> Branduhre Mølle</t>
  </si>
  <si>
    <t xml:space="preserve"> Vindmøllen (1843)</t>
  </si>
  <si>
    <t xml:space="preserve">Ishøj Kommune </t>
  </si>
  <si>
    <t>Allévej 23, 27 og 33</t>
  </si>
  <si>
    <t xml:space="preserve"> Thorsbro Vandværk</t>
  </si>
  <si>
    <t xml:space="preserve"> Maskinhuset, hanekammerbygningen ogsamlebrøndsbygningen (1906-09 af Andreas Fussing)</t>
  </si>
  <si>
    <t>Thorsbrovej 22</t>
  </si>
  <si>
    <t xml:space="preserve"> Barfredshøj</t>
  </si>
  <si>
    <t xml:space="preserve"> Hovedbygningen (1847 af G. Hetsch)</t>
  </si>
  <si>
    <t>Jammerbugt Kommune</t>
  </si>
  <si>
    <t>Fredensdal 6-10</t>
  </si>
  <si>
    <t xml:space="preserve"> Bratskov</t>
  </si>
  <si>
    <t xml:space="preserve"> Hovedbygningen (ca 1550, tårnet senere) med sidelænger (nordre sidelænge1700-tallet, søndre sidelænge ca 1820) og den øst herfor liggende voldgrav</t>
  </si>
  <si>
    <t>Grønnestrandsvej 228</t>
  </si>
  <si>
    <t xml:space="preserve"> Grønnestrand Vindmølle</t>
  </si>
  <si>
    <t xml:space="preserve"> Vindmøllen (1886)</t>
  </si>
  <si>
    <t>Høkervej 2</t>
  </si>
  <si>
    <t xml:space="preserve"> Strandingskroen</t>
  </si>
  <si>
    <t xml:space="preserve"> Nordfløj (1838), sydfløj (1844), østfløj og vestfløj omkring gårdspladsen</t>
  </si>
  <si>
    <t>Kammerherrensvej 62</t>
  </si>
  <si>
    <t xml:space="preserve"> Birkelse</t>
  </si>
  <si>
    <t xml:space="preserve"> Alle hovedbygningens og ladegårdens ældre bygninger omkring denstore gårdsplads (hovedbygningen ca 1550-80, helt ombygget i 1820'rne)</t>
  </si>
  <si>
    <t>Klim Strandvej 68</t>
  </si>
  <si>
    <t xml:space="preserve"> Klim Kalkværk</t>
  </si>
  <si>
    <t xml:space="preserve"> Kalkværket (1946)</t>
  </si>
  <si>
    <t>Kokkedalsvej 17</t>
  </si>
  <si>
    <t xml:space="preserve"> Kokkedal</t>
  </si>
  <si>
    <t xml:space="preserve"> Den trefløjede hovedbygning (ca 1550, nordfløjen ombygget og trappetårnetopført ca 1600) og omgivende voldgrave</t>
  </si>
  <si>
    <t>Sandagervej 49 i Fjerritslev</t>
  </si>
  <si>
    <t xml:space="preserve"> Sandagervej 49</t>
  </si>
  <si>
    <t xml:space="preserve"> Den tidligere herredsfogedbolig (1909 af Hother Paludan)</t>
  </si>
  <si>
    <t>Sandagervej i Fjerritslev</t>
  </si>
  <si>
    <t xml:space="preserve"> Sandagervej 52</t>
  </si>
  <si>
    <t xml:space="preserve"> Ting- og Arresthuset (1909 af Victor Nyebølle)</t>
  </si>
  <si>
    <t>Slettestrandvej 158</t>
  </si>
  <si>
    <t xml:space="preserve"> Slettestrand Redningsstation</t>
  </si>
  <si>
    <t xml:space="preserve"> Redningsstationen (1936)</t>
  </si>
  <si>
    <t>Strandvejen 4</t>
  </si>
  <si>
    <t xml:space="preserve"> Kancelligården</t>
  </si>
  <si>
    <t xml:space="preserve"> Hovedbygning og bindingsværksudhus (1600-1700-tallet)</t>
  </si>
  <si>
    <t>Svinkløvvej 547</t>
  </si>
  <si>
    <t xml:space="preserve"> Svinkløvvej 547</t>
  </si>
  <si>
    <t xml:space="preserve"> Sommerhuset (1917 af Ejnar Packness)</t>
  </si>
  <si>
    <t>Vestre Skovvej 1</t>
  </si>
  <si>
    <t xml:space="preserve"> Oxholm</t>
  </si>
  <si>
    <t xml:space="preserve"> Hovedbygningens søndre og vestre fløj (middelalder)</t>
  </si>
  <si>
    <t>Østerbyvej 1</t>
  </si>
  <si>
    <t xml:space="preserve"> Præstegårdsladen i Østerby</t>
  </si>
  <si>
    <t xml:space="preserve"> Den fritliggende præstegårdslade (ca 1850)</t>
  </si>
  <si>
    <t>Kalundborg Kommune</t>
  </si>
  <si>
    <t>Adelgade</t>
  </si>
  <si>
    <t xml:space="preserve"> Vor Frue Kirkes Plads</t>
  </si>
  <si>
    <t xml:space="preserve"> Det selvstændige landskabsarkitektoniske værk Vor Frue Kirkes Plads(1953 af landskabsarkitekt Cth Sørensen)</t>
  </si>
  <si>
    <t>Adelgade 10</t>
  </si>
  <si>
    <t xml:space="preserve"> Adelgade 10</t>
  </si>
  <si>
    <t>Adelgade 13</t>
  </si>
  <si>
    <t xml:space="preserve"> Adelgade 13</t>
  </si>
  <si>
    <t xml:space="preserve"> Forhuset (1600-tallet, ombygget i 1870'erne og 1979)</t>
  </si>
  <si>
    <t>Adelgade 15</t>
  </si>
  <si>
    <t xml:space="preserve"> Adelgade 15</t>
  </si>
  <si>
    <t xml:space="preserve"> Forhuset (formentlig 1500-tallet, ombygget 1979)</t>
  </si>
  <si>
    <t>Adelgade 17</t>
  </si>
  <si>
    <t xml:space="preserve"> Schou's Hus</t>
  </si>
  <si>
    <t xml:space="preserve"> Forhuset (beg af 1600-tallet, ombygget 1979)</t>
  </si>
  <si>
    <t>Adelgade 18</t>
  </si>
  <si>
    <t xml:space="preserve"> Adelgade 18</t>
  </si>
  <si>
    <t xml:space="preserve"> Forhuset (ca 1645, senere ombygget) og haverummet med det gamlemorbærtræ</t>
  </si>
  <si>
    <t>Adelgade 19</t>
  </si>
  <si>
    <t xml:space="preserve"> Adelgade 19</t>
  </si>
  <si>
    <t xml:space="preserve"> Forhuset (beg af 1600-tallet)</t>
  </si>
  <si>
    <t xml:space="preserve"> Lindegården</t>
  </si>
  <si>
    <t xml:space="preserve"> Længerne omkring de to gårdspladser (længe mod Adelgade ca 1600; vestenden deraf med riddersalen 1755-61; magasinlænge i vest 1755; mellembygningens østlige del ca 1600; østlængen 1620-50 og staldlænge mod syd 1755; østlænge i baggården 1785-86)</t>
  </si>
  <si>
    <t>Adelgade 6</t>
  </si>
  <si>
    <t xml:space="preserve"> Den gamle Bispegård</t>
  </si>
  <si>
    <t xml:space="preserve"> Forhuset med sidehus (middelalder)</t>
  </si>
  <si>
    <t>Adelgade 8</t>
  </si>
  <si>
    <t xml:space="preserve"> Kalundborg gamle Rådhus</t>
  </si>
  <si>
    <t xml:space="preserve"> Forhuset (middelalder, rådhus 1539-1854)</t>
  </si>
  <si>
    <t>Asnæs Skovvej 16, tidl Asnæsvej 16</t>
  </si>
  <si>
    <t xml:space="preserve"> Sneglehøj</t>
  </si>
  <si>
    <t xml:space="preserve"> Højen med iskælder (1745)</t>
  </si>
  <si>
    <t>Gl.  Røsnæsvej 9</t>
  </si>
  <si>
    <t xml:space="preserve"> Villaen (1961-62 af Erik Chr Sørensen) med nære omgivelser</t>
  </si>
  <si>
    <t>Hovedgaden 52 A</t>
  </si>
  <si>
    <t xml:space="preserve"> Løve Herreds Tinghus</t>
  </si>
  <si>
    <t xml:space="preserve"> Tinghuset (1838 af C. F.Hansen, senere ombygget)</t>
  </si>
  <si>
    <t>J. Hagemann-Petersens Allé 11</t>
  </si>
  <si>
    <t xml:space="preserve"> Kalundborghallerne</t>
  </si>
  <si>
    <t xml:space="preserve"> Kalundborghallerne (1977 af Friis &amp;amp; Moltke) med omgivelser af landskabsarkitekt Sven Hansen. Omgivelserne omfatter matrnr 13f indtil mødet med matrnr 73e, herunder alle træer, borner, brolægning og nedgangen til tunnelen, samt brolægningen påmatrnr 13g og 30a. Hertil kommer det brostensbelagte fortov mod Munkesøgade.</t>
  </si>
  <si>
    <t>Klosterparkvej 7-9</t>
  </si>
  <si>
    <t xml:space="preserve"> Kålund Kloster</t>
  </si>
  <si>
    <t xml:space="preserve"> Hovedbygningen (1752, formentlig af Johan Christian Conradi,genopbygget efter brand 1975)</t>
  </si>
  <si>
    <t>Knudstrupvej 4 A</t>
  </si>
  <si>
    <t xml:space="preserve"> Løve Mølle</t>
  </si>
  <si>
    <t xml:space="preserve"> Vindmøllen (1880)</t>
  </si>
  <si>
    <t>Kordilgade 13</t>
  </si>
  <si>
    <t xml:space="preserve"> Fredning Kordilgade 13</t>
  </si>
  <si>
    <t xml:space="preserve"> Forhus (1850), sidehus (1850 og senere), baghus (ca 1650)samt det lille udhus bag baghuset og gårdspladsen med pæretræet i skel mod nr 15</t>
  </si>
  <si>
    <t>Kordilgade 1-3</t>
  </si>
  <si>
    <t xml:space="preserve"> Ole Lunds Gård</t>
  </si>
  <si>
    <t xml:space="preserve"> De to sammenbyggede forhuse mod Kordilgade og det med Kordilgade 1 sammenbyggede portfag mod Møllestræde samt det med Kordilgade 3 sammenbyggede sidehus ind mod gården (alle bygninger 1700-tallet, forhus og sidehus Kordilgade 3 genopbygget efter brand 1981)</t>
  </si>
  <si>
    <t>Kordilgade 83</t>
  </si>
  <si>
    <t>Kragerupgårdsvej 33</t>
  </si>
  <si>
    <t xml:space="preserve"> Kragerupgård</t>
  </si>
  <si>
    <t xml:space="preserve"> Den trefløjede hovedbygning (1801-02)</t>
  </si>
  <si>
    <t>Lerchenborg 1</t>
  </si>
  <si>
    <t xml:space="preserve"> Lerchenborg</t>
  </si>
  <si>
    <t xml:space="preserve"> Hovedbygningen med sidefløje (1740'rne formentlig under medvirken af Niels Eigtved) og de hermed sammenbyggede længer mod staldgården, de to T-formede bygninger mellem staldgård og ladegård samt alle bygninger omkring ladegården, endvidere slotsparkens lindeallésystem oglindebuehækkene med statuer</t>
  </si>
  <si>
    <t>Udvidet 1954, 1971 og 1986*</t>
  </si>
  <si>
    <t>Lindegade 1</t>
  </si>
  <si>
    <t xml:space="preserve"> Lindegade 1</t>
  </si>
  <si>
    <t xml:space="preserve"> Forhuset (1681)</t>
  </si>
  <si>
    <t>Lindegade 3</t>
  </si>
  <si>
    <t xml:space="preserve"> Lindegade 3</t>
  </si>
  <si>
    <t xml:space="preserve"> Forhuset (ca 1681)</t>
  </si>
  <si>
    <t>Lindegade 6</t>
  </si>
  <si>
    <t xml:space="preserve"> Forhuset (vestre del ca 1764, antagelig af Philip Hartmann)</t>
  </si>
  <si>
    <t>Mastrupvej 4 A</t>
  </si>
  <si>
    <t xml:space="preserve"> Sejerø Kirkelade</t>
  </si>
  <si>
    <t xml:space="preserve"> Kampestensbygningen ved kirkegårdsmurens østside(middelalder)</t>
  </si>
  <si>
    <t>Møllestræde 2</t>
  </si>
  <si>
    <t xml:space="preserve"> Møllestræde 2</t>
  </si>
  <si>
    <t xml:space="preserve"> Længen med facade langs Møllestræde, nordgavl til Møllebakken ogsydgavl sammenbygget med naboejendommens portfag (1700-tallet)</t>
  </si>
  <si>
    <t>Præstegade 14</t>
  </si>
  <si>
    <t xml:space="preserve"> "Det middelalderlige stenhus (opr. kirkelade ""DronningMargrethes vognport"")</t>
  </si>
  <si>
    <t>Præstegade 18</t>
  </si>
  <si>
    <t xml:space="preserve"> Den gamle Rektorbolig, nu ligkapel</t>
  </si>
  <si>
    <t xml:space="preserve"> Det grundmurede hus, der indgår ikirkegårdsmuren (senmiddelalder)</t>
  </si>
  <si>
    <t xml:space="preserve"> Præstegade 23</t>
  </si>
  <si>
    <t xml:space="preserve"> Det middelalderlige stenhus (opr. præstegård)</t>
  </si>
  <si>
    <t>Sankt Jørgensbjerg 1</t>
  </si>
  <si>
    <t xml:space="preserve"> Accisseboden</t>
  </si>
  <si>
    <t xml:space="preserve"> Accisseboden (1796)</t>
  </si>
  <si>
    <t>Selchausdalvej 4</t>
  </si>
  <si>
    <t xml:space="preserve"> Selchausdal</t>
  </si>
  <si>
    <t xml:space="preserve"> Den trefløjede hovedbygning (1857 af J. D. Herholdt, istandsat 1941 afAxel Maar)</t>
  </si>
  <si>
    <t>Skansevej 10</t>
  </si>
  <si>
    <t xml:space="preserve"> Skansevej 10</t>
  </si>
  <si>
    <t xml:space="preserve"> Det firelængede gårdanlæg med have, stengærde, hække og træer samtden brolagte gårdsplads (stuehus 1777, nordlænge og østlænge formentlig ældre)</t>
  </si>
  <si>
    <t>Skansevej 11</t>
  </si>
  <si>
    <t xml:space="preserve"> Mortensgård</t>
  </si>
  <si>
    <t xml:space="preserve"> Det trelængede gårdanlæg (beg af 1800-tallet)</t>
  </si>
  <si>
    <t>Skansevej 4</t>
  </si>
  <si>
    <t xml:space="preserve"> Reersø Museum</t>
  </si>
  <si>
    <t xml:space="preserve"> Bindingsværkslængen (1700-tallet)</t>
  </si>
  <si>
    <t>Strandvejen 38</t>
  </si>
  <si>
    <t xml:space="preserve"> Strandvejen 38</t>
  </si>
  <si>
    <t xml:space="preserve"> Den firelængede gård (stuehuset og portfløj mod syd ca 1750-60,vestlænge ca 1870'erne og nordlænge 1912)</t>
  </si>
  <si>
    <t>Strandvejen 52</t>
  </si>
  <si>
    <t xml:space="preserve"> Hans Petersens Gård</t>
  </si>
  <si>
    <t xml:space="preserve"> Den firelængede gård (ca 1800)</t>
  </si>
  <si>
    <t xml:space="preserve"> Svallerup Bygade 3A</t>
  </si>
  <si>
    <t xml:space="preserve"> Svallerup Kirkelade</t>
  </si>
  <si>
    <t xml:space="preserve"> Kirkeladebygningen (senmiddelalder)</t>
  </si>
  <si>
    <t>Torvet 12</t>
  </si>
  <si>
    <t xml:space="preserve"> Gyths Gård</t>
  </si>
  <si>
    <t xml:space="preserve"> Forhuset samt sidelængerne mod Adelgade og Munkesøgade (1834)</t>
  </si>
  <si>
    <t>Udvidet 1973**</t>
  </si>
  <si>
    <t xml:space="preserve"> VP-Hallen</t>
  </si>
  <si>
    <t xml:space="preserve"> Badmintonhallen og det dermed sammenbyggede forhus (1942 af H.  Steudel og J.  Knudsen Pedersen samt civilingeniør Villum Kann Rasmussen)</t>
  </si>
  <si>
    <t>Aagaardsvej 11 og 11 B-C</t>
  </si>
  <si>
    <t xml:space="preserve"> Aagaard</t>
  </si>
  <si>
    <t xml:space="preserve"> Hovedbygningen (søndre sidefløj 1605, sydlige del af midterfløj  1645, siden udvidet mod vest, midterfløjens midterparti fra 1700-tallet, midterfløjens nordlige del og nordfløjfra 1911)</t>
  </si>
  <si>
    <t>Kerteminde Kommune</t>
  </si>
  <si>
    <t>Bogensøvej 306</t>
  </si>
  <si>
    <t xml:space="preserve"> Bogensøgård</t>
  </si>
  <si>
    <t xml:space="preserve"> De to fritliggende længer (det fireogtyvefags stuehus i bindingsværk fra midten af 1600-tallet, ombygget i beg af 1800-tallet, granitstensavlslængen 1863) og den herimellembeliggende pigstensbelægning</t>
  </si>
  <si>
    <t>Bøgebjergvej 445</t>
  </si>
  <si>
    <t xml:space="preserve"> Bøgebjerg</t>
  </si>
  <si>
    <t xml:space="preserve"> Hovedbygningen (1845) og bindingsværkslængen nordvest derfor (ca1700)</t>
  </si>
  <si>
    <t>Fynshovedvej 322</t>
  </si>
  <si>
    <t xml:space="preserve"> Dalby Præstegård</t>
  </si>
  <si>
    <t xml:space="preserve"> Stuehuset (1843)</t>
  </si>
  <si>
    <t>Fynshovedvej 417</t>
  </si>
  <si>
    <t xml:space="preserve"> Scheelenborg</t>
  </si>
  <si>
    <t xml:space="preserve"> Hovedbygningen (1843) med grave (middelalder) og vognbygningenved landevejen</t>
  </si>
  <si>
    <t>Hverringevej 206</t>
  </si>
  <si>
    <t xml:space="preserve"> Hverringe</t>
  </si>
  <si>
    <t xml:space="preserve"> Den trefløjede hovedbygning (ca 1785-90), den stensatte borgbanke, herunder gårdspladsen samt voldgraven med bro og den stensatte sydvestlige bred</t>
  </si>
  <si>
    <t>Udvidet i 2007</t>
  </si>
  <si>
    <t>Kertemindevejen 23</t>
  </si>
  <si>
    <t xml:space="preserve"> Selleberg</t>
  </si>
  <si>
    <t xml:space="preserve"> Stuehuset (midten af 1600-tallet, ombygget ca 1780), tårnbygningen(1958 med bygningsdele fra 1845) og mejeribygningen (1854)</t>
  </si>
  <si>
    <t>Kølstrup Bygade 25 A og B</t>
  </si>
  <si>
    <t xml:space="preserve"> Kølstrup Præstegård</t>
  </si>
  <si>
    <t xml:space="preserve"> Det firelængede anlæg med udbygninger (1600-1700-tallet og 1785)</t>
  </si>
  <si>
    <t>Langegade 12 og Strandgade 9</t>
  </si>
  <si>
    <t xml:space="preserve"> Langegade 12 og Strandgade 9</t>
  </si>
  <si>
    <t xml:space="preserve"> Forhuset mod Langegade medsidehus, forhus mod Strandgade med sidehus samt gårdspladsens brolægning</t>
  </si>
  <si>
    <t>Langegade 5-7, Vestergade 1 A-B, Sønderstræde</t>
  </si>
  <si>
    <t xml:space="preserve"> Andresens Gård</t>
  </si>
  <si>
    <t xml:space="preserve"> Hjørnehuset mod Langegade og Vestergade (1847, forhøjet 1902), forhuset mod Vestergade med sidehus (1847), forhuset mod Sønderstræde (1645), sidehuset i skel mod mnr 193 (slutn af 1800-tallet), gavlhuset mod Langegade (før1645), forhuset mod Langegade (1828) samt brolægningen på gårdspladsen og indkørsel</t>
  </si>
  <si>
    <t>Langegade 8</t>
  </si>
  <si>
    <t xml:space="preserve"> Kerteminde Museum</t>
  </si>
  <si>
    <t xml:space="preserve"> Forhuset (1630)</t>
  </si>
  <si>
    <t>Lundsgårdsvej 6</t>
  </si>
  <si>
    <t xml:space="preserve"> Lundsgård</t>
  </si>
  <si>
    <t xml:space="preserve"> Hovedbygningen (1765 af Georg Dietrich Tschierske)</t>
  </si>
  <si>
    <t>Mesinge Bygade 57</t>
  </si>
  <si>
    <t xml:space="preserve"> Mesinge Kirkelade</t>
  </si>
  <si>
    <t xml:space="preserve"> Hospitalsbygningen (opr. kirkelade ca 1580, ombygget tilhospital ca 1680 og senere)</t>
  </si>
  <si>
    <t>Møllebakken 9</t>
  </si>
  <si>
    <t xml:space="preserve"> Svanemøllen</t>
  </si>
  <si>
    <t xml:space="preserve"> Vindmøllen (1853)</t>
  </si>
  <si>
    <t>Måle Bygade 23</t>
  </si>
  <si>
    <t xml:space="preserve"> Målegården</t>
  </si>
  <si>
    <t xml:space="preserve"> Husmandsstedet (1943 af Knud Lehn Petersen), bestående af stuehuset, mellembygningen, den vinkelformede avlslænge, møddingspladsen og træet på gårdspladsen</t>
  </si>
  <si>
    <t>Præstegade 5B-C, Muusgården 1-11 (ulige nr) og 2-24 (lige nr)</t>
  </si>
  <si>
    <t xml:space="preserve"> Muusgården</t>
  </si>
  <si>
    <t xml:space="preserve"> Det firefløjede bygningsanlæg (ca 1820 og senere), det mod vest sammenbyggede forhus (ca 1810) og den mod syd sammenbyggede lagerbygning (ca 1900), de brolagte gårdspladser og havemuren</t>
  </si>
  <si>
    <t>Revninge Bygade 119</t>
  </si>
  <si>
    <t xml:space="preserve"> Revninge Hospital</t>
  </si>
  <si>
    <t xml:space="preserve"> Hospitalsbygningen (1736)</t>
  </si>
  <si>
    <t>Rødsbækvej 36</t>
  </si>
  <si>
    <t>Viby Mølle</t>
  </si>
  <si>
    <t xml:space="preserve"> Vindmøllen (1869)</t>
  </si>
  <si>
    <t>Rønninge Bygade 26</t>
  </si>
  <si>
    <t xml:space="preserve"> Rønninge Bygade 26</t>
  </si>
  <si>
    <t xml:space="preserve"> Det trelængede gårdanlæg (stuehuset 1810, længerne1850)</t>
  </si>
  <si>
    <t>Sarumgårdsvej 4 og 6</t>
  </si>
  <si>
    <t xml:space="preserve"> Klarskov</t>
  </si>
  <si>
    <t xml:space="preserve"> Hovedbygningen (1793, istandsat efter brand 1823), den trelængedeavlsgård, vognremisen og smedien</t>
  </si>
  <si>
    <t>Skovsbovej 155</t>
  </si>
  <si>
    <t xml:space="preserve"> Skovsbo</t>
  </si>
  <si>
    <t xml:space="preserve"> Den trefløjede hovedbygning (1572-79)</t>
  </si>
  <si>
    <t>Strandgade 3</t>
  </si>
  <si>
    <t xml:space="preserve"> Toldboden</t>
  </si>
  <si>
    <t xml:space="preserve"> Forhuset (ca 1590, 1735)</t>
  </si>
  <si>
    <t>Søgårdsvej 10</t>
  </si>
  <si>
    <t xml:space="preserve"> Rønningesøgård</t>
  </si>
  <si>
    <t xml:space="preserve"> Hovedbygningen (østfløjen 1596; vestfløjen, der er senere, er ombygget1757) og gravkapellet (1859 af Frederik Vilhelm Tvede)</t>
  </si>
  <si>
    <t xml:space="preserve"> Udvidet 1990</t>
  </si>
  <si>
    <t>Ulriksholmvej 96</t>
  </si>
  <si>
    <t xml:space="preserve"> Ulriksholm</t>
  </si>
  <si>
    <t xml:space="preserve"> Hovedbygningen (den lave fløj 1636; den høje 1646; tårnet forhøjet i slutnaf 1700-tallet)</t>
  </si>
  <si>
    <t>Vestergade 12 A</t>
  </si>
  <si>
    <t xml:space="preserve"> Vestergade 12 A</t>
  </si>
  <si>
    <t xml:space="preserve"> Forhuset og sidehuset (ca 1800) samt gårdspladsen</t>
  </si>
  <si>
    <t>Viby Bygade 12</t>
  </si>
  <si>
    <t xml:space="preserve"> Sognefogedgården</t>
  </si>
  <si>
    <t xml:space="preserve"> Det firelængede, sammenbyggede gårdanlæg (stuehuset 1730-40, forlænget 1840-44 med otte fag og i 1882 med to fag, østlængen (1840), sydlængen (1825) og vestlængen (beg af 1800-tallet)), den brolagte gårdsplads, stengærdet i kløvet kamp omkring haven mod nord samt deto stensatte brønde nord for gården</t>
  </si>
  <si>
    <t>* Udv. 2008</t>
  </si>
  <si>
    <t>Viby Bygade 13</t>
  </si>
  <si>
    <t xml:space="preserve"> Johannes Poulsens Gård</t>
  </si>
  <si>
    <t xml:space="preserve"> Det firelængede gårdanlæg (beg af 1800-tallet) og denbrolagte gårdsplads</t>
  </si>
  <si>
    <t>Viby Bygade 16</t>
  </si>
  <si>
    <t xml:space="preserve"> Viby Bygade 16</t>
  </si>
  <si>
    <t xml:space="preserve"> Det lille sammenbyggede, firelængede gårdanlæg (1826 med senereombygninger), den brolagte gårdsplads, stengærdet af marksten mod vejen ud for haven og den stensatte brønd nord for gården</t>
  </si>
  <si>
    <t xml:space="preserve"> Udv. 2008</t>
  </si>
  <si>
    <t>Viby Bygade 21</t>
  </si>
  <si>
    <t xml:space="preserve"> Viby Hospital</t>
  </si>
  <si>
    <t xml:space="preserve"> Den tidl hospitalsbygning (1785)</t>
  </si>
  <si>
    <t>Kolding Kommune</t>
  </si>
  <si>
    <t>Alpedalsvej 107 A og 109</t>
  </si>
  <si>
    <t xml:space="preserve"> Harteværket</t>
  </si>
  <si>
    <t xml:space="preserve"> Tilløbsbassinet med de to styrehuse, trykrøret og kraftværket (1919-21 projekteret af ingeniørerne M. Thomsen og professor Rung, udført under tilsyn af Eriksen og Sardemann og arkitektonisk bearbejdet af arkitekt Ernst Petersen) med tilhørende maskinværksted oggangbro (1937) samt transformertårnet mod vest (1937)</t>
  </si>
  <si>
    <t>Axeltorv 2 A</t>
  </si>
  <si>
    <t xml:space="preserve"> Den Borchske Gård</t>
  </si>
  <si>
    <t xml:space="preserve"> Forhuset (1595)</t>
  </si>
  <si>
    <t>Bramdrupskovvej 20</t>
  </si>
  <si>
    <t xml:space="preserve"> Hviidsminde</t>
  </si>
  <si>
    <t xml:space="preserve"> Hovedbygningen og de tre længer omkring gårdspladsen (beg af1800-tallet, laden 1805)</t>
  </si>
  <si>
    <t>Delken 8</t>
  </si>
  <si>
    <t xml:space="preserve"> Vonsild Præstegård</t>
  </si>
  <si>
    <t xml:space="preserve"> Præstegårdens tre længer (stuehus 1832, østlængen 1835, vestlængen1867)</t>
  </si>
  <si>
    <t>Gammel Kongevej 11</t>
  </si>
  <si>
    <t xml:space="preserve"> Stiftelsesbygningen (1824 formentlig af W. F. Meyer)</t>
  </si>
  <si>
    <t>Gammel Præstegårdsvej 11</t>
  </si>
  <si>
    <t xml:space="preserve"> Bulladen, Gammel Præstegårdsvej 11</t>
  </si>
  <si>
    <t xml:space="preserve"> Bulladen (ca 1660)</t>
  </si>
  <si>
    <t>Helligkorsgade 18</t>
  </si>
  <si>
    <t xml:space="preserve"> Helligkorsgade 18</t>
  </si>
  <si>
    <t xml:space="preserve"> Forhuset (1589)</t>
  </si>
  <si>
    <t>Helligkorsgade 20</t>
  </si>
  <si>
    <t xml:space="preserve"> Helligkorsgade 20</t>
  </si>
  <si>
    <t xml:space="preserve"> Forhuset (ca 1632, ombygget 1800-tallet)</t>
  </si>
  <si>
    <t>Hjarup Byvej 7</t>
  </si>
  <si>
    <t xml:space="preserve"> Hjarup Præstegård</t>
  </si>
  <si>
    <t xml:space="preserve"> Hovedbygningen (ca 1660-70)</t>
  </si>
  <si>
    <t>Hjerndrupvej 36</t>
  </si>
  <si>
    <t xml:space="preserve"> Christinero</t>
  </si>
  <si>
    <t xml:space="preserve"> Lunden og dens stier, kildevæld, søer, springvand, pavillon, kogehus, denspånklædte hytte, graven og monumentet over Christina Friderica v.  Holstein (død 1812) med dets gitter</t>
  </si>
  <si>
    <t>Hoppesvej 15</t>
  </si>
  <si>
    <t xml:space="preserve"> Sønderholm</t>
  </si>
  <si>
    <t xml:space="preserve"> Stuehuset og haven med dam og lund (1844)</t>
  </si>
  <si>
    <t>Hospitalsgade 4</t>
  </si>
  <si>
    <t xml:space="preserve"> Sankt Jørgens Hospital</t>
  </si>
  <si>
    <t xml:space="preserve"> Forhuset med sidefløj (1805)</t>
  </si>
  <si>
    <t>Kirkegårds Allé 4</t>
  </si>
  <si>
    <t xml:space="preserve"> Gudsageren Kirkegård, Christiansfeld</t>
  </si>
  <si>
    <t xml:space="preserve"> Kirkegårdens seks karreer med gravsten, pavillon og portal samt rækkerne af lindetræer omkring de enkelte karréer i hele kirkegårdsområdet oglangs kirkegårdsalleen (1773, senere udvidet) samt to mindesmærker (1848 og 1920)</t>
  </si>
  <si>
    <t>Kirkegårds Allé 6</t>
  </si>
  <si>
    <t xml:space="preserve"> Kirkegårds Allé 6, Christiansfeld</t>
  </si>
  <si>
    <t xml:space="preserve"> Lysthuset (ca 1800)</t>
  </si>
  <si>
    <t>Koldinghus 1 og Staldgården 1</t>
  </si>
  <si>
    <t xml:space="preserve"> Koldinghus</t>
  </si>
  <si>
    <t xml:space="preserve"> "Det firelængede slotsanlæg med ""Kæmpetårnet"" (1440-1726, brændt 1808, genopbygget 1972-92 af Johannes Exner) og mnr 1bk: slottets staldgård (1600-tallet)</t>
  </si>
  <si>
    <t>Kongensgade 11</t>
  </si>
  <si>
    <t xml:space="preserve"> Kongensgade 11, Christiansfeld</t>
  </si>
  <si>
    <t>Lindegade 10</t>
  </si>
  <si>
    <t xml:space="preserve"> Lindegade 10, Christiansfeld</t>
  </si>
  <si>
    <t xml:space="preserve"> Forhus (1797) og sidehus</t>
  </si>
  <si>
    <t>Lindegade 11 (tidl Lindegade 11-13)</t>
  </si>
  <si>
    <t xml:space="preserve"> Lindegade 11, Christiansfeld</t>
  </si>
  <si>
    <t xml:space="preserve"> Forhuset (1781)</t>
  </si>
  <si>
    <t>Lindegade 12 og 12 B</t>
  </si>
  <si>
    <t xml:space="preserve"> Posthuset i Christiansfeld</t>
  </si>
  <si>
    <t xml:space="preserve"> Forhuset (1797) og bygningen vest i gården</t>
  </si>
  <si>
    <t>Lindegade 13 (tidl Lindegade 15)</t>
  </si>
  <si>
    <t xml:space="preserve"> Drengeskolen, Christiansfeld</t>
  </si>
  <si>
    <t xml:space="preserve"> Forhuset (1788, forlænget med to fagmod øst 1796 og med to fag mod vest 1862)</t>
  </si>
  <si>
    <t>Lindegade 14</t>
  </si>
  <si>
    <t xml:space="preserve"> Lindegade 14, Christiansfeld</t>
  </si>
  <si>
    <t xml:space="preserve"> Forhus (1794) og sidehus (før 1878)</t>
  </si>
  <si>
    <t>Lindegade 15 (tidl Kirkepladsen)</t>
  </si>
  <si>
    <t xml:space="preserve"> Brødremenighedens Kirke, Christiansfeld</t>
  </si>
  <si>
    <t xml:space="preserve"> Kirken med sidefløje (1776-77 af Johan Gottfried Arndt; sidefløjene 1795-97)</t>
  </si>
  <si>
    <t>Lindegade 16</t>
  </si>
  <si>
    <t xml:space="preserve"> Lindegade 16, Christiansfeld</t>
  </si>
  <si>
    <t>Lindegade 17</t>
  </si>
  <si>
    <t>Første Hus, Christiansfeld</t>
  </si>
  <si>
    <t xml:space="preserve"> Forhuset (1773 ff af murermester Höpfner)</t>
  </si>
  <si>
    <t>Lindegade 18</t>
  </si>
  <si>
    <t xml:space="preserve"> Lindegade 18, Christiansfeld</t>
  </si>
  <si>
    <t xml:space="preserve"> Forhuset (1792), det vestlige sidehus og bygningen øst i gården(mellem 1812 og 1878)</t>
  </si>
  <si>
    <t>Lindegade 19</t>
  </si>
  <si>
    <t xml:space="preserve"> Lindegade 19, Christiansfeld</t>
  </si>
  <si>
    <t xml:space="preserve"> Forhuset (1781-82, forhøjet 1797) og de i vest (ca 1801) ogøst (ml.  1812 og 1872) sammenbyggede udhuse</t>
  </si>
  <si>
    <t>Lindegade 2</t>
  </si>
  <si>
    <t xml:space="preserve"> Lindegade 2, Christiansfeld</t>
  </si>
  <si>
    <t xml:space="preserve"> Forhuset (1824)</t>
  </si>
  <si>
    <t>Lindegade 20</t>
  </si>
  <si>
    <t xml:space="preserve"> Arndts Hus, Christiansfeld</t>
  </si>
  <si>
    <t xml:space="preserve"> Forhuset (1784 af Johan Gottfried Arndt)</t>
  </si>
  <si>
    <t>Lindegade 21</t>
  </si>
  <si>
    <t xml:space="preserve"> Apoteket, Christiansfeld</t>
  </si>
  <si>
    <t xml:space="preserve"> Forhuset (1783, muret kvist ca 1840)</t>
  </si>
  <si>
    <t>Lindegade 22</t>
  </si>
  <si>
    <t xml:space="preserve"> Lindegade 22, Christiansfeld</t>
  </si>
  <si>
    <t xml:space="preserve"> Forhuset (1783) og de to sammenbyggede sidehuse (nordre 1801,søndre ml.  1812 og 1878)</t>
  </si>
  <si>
    <t>Lindegade 23</t>
  </si>
  <si>
    <t xml:space="preserve"> Spielwerg, Christiansfeld</t>
  </si>
  <si>
    <t xml:space="preserve"> Forhuset (1778, ombygget 1856) og det dermedsammenbyggede sidehus mod Kongensgade (1856)</t>
  </si>
  <si>
    <t>Lindegade 24</t>
  </si>
  <si>
    <t xml:space="preserve"> Lindegade 24, Christiansfeld</t>
  </si>
  <si>
    <t>Lindegade 25, hj af Kongensgade</t>
  </si>
  <si>
    <t xml:space="preserve"> Hotellet, Gæstehuset (tidl), Christiansfeld</t>
  </si>
  <si>
    <t xml:space="preserve"> Forhuset (1773) medkoncertsalstilbygning (1899 af Magnus Hansen) og køkkentilbygningen (ca 1900)</t>
  </si>
  <si>
    <t>Lindegade 26</t>
  </si>
  <si>
    <t xml:space="preserve"> Christiansfeld Præstegård (Brødremenighedens præstebolig)</t>
  </si>
  <si>
    <t xml:space="preserve"> Forhuset (1773), sidehus i vest (ml. 1878 og 1909) og bindingsværkshuset i øst</t>
  </si>
  <si>
    <t>Lindegade 28</t>
  </si>
  <si>
    <t xml:space="preserve"> Lindegade 28, Christiansfeld</t>
  </si>
  <si>
    <t xml:space="preserve"> Forhuset (1773, forhøjet 1778) og bindingsværksbygningen i gården(ml.  1812 og 1878)</t>
  </si>
  <si>
    <t>Lindegade 34 og Kongensgade 9 og 9 E</t>
  </si>
  <si>
    <t xml:space="preserve"> Brødrehuset, Christiansfeld</t>
  </si>
  <si>
    <t xml:space="preserve"> Forhuset (1774) med sidehus ivest (1793), sidehus mod Kongensgade (1854) og baghuset (1854 og senere)</t>
  </si>
  <si>
    <t>Lindegade 4</t>
  </si>
  <si>
    <t xml:space="preserve"> Lindegade 4, Christiansfeld</t>
  </si>
  <si>
    <t xml:space="preserve"> Forhuset (1826)</t>
  </si>
  <si>
    <t xml:space="preserve"> Lindegade 6, Christiansfeld</t>
  </si>
  <si>
    <t xml:space="preserve"> Forhuset (1820)</t>
  </si>
  <si>
    <t>Lindegade 8</t>
  </si>
  <si>
    <t xml:space="preserve"> Lindegade 8, Christiansfeld</t>
  </si>
  <si>
    <t xml:space="preserve"> Forhuset (1813)</t>
  </si>
  <si>
    <t>Lindegade 9</t>
  </si>
  <si>
    <t xml:space="preserve"> Lindegade 9, Christiansfeld</t>
  </si>
  <si>
    <t xml:space="preserve"> Forhuset (1806)</t>
  </si>
  <si>
    <t>Låsbygade 56</t>
  </si>
  <si>
    <t xml:space="preserve"> Låsbygade 56</t>
  </si>
  <si>
    <t>Låsbygade 61-65</t>
  </si>
  <si>
    <t xml:space="preserve"> Låsbygade 61-65</t>
  </si>
  <si>
    <t xml:space="preserve"> Forhusbebyggelsen mod Låsbygade (nr 61: 1781, nr 63: før 1761,nr 65: 1882)</t>
  </si>
  <si>
    <t>Nørregade 1</t>
  </si>
  <si>
    <t xml:space="preserve"> Nørregade 1, Christiansfeld</t>
  </si>
  <si>
    <t xml:space="preserve"> Forhuset (1876, ombygget 1890)</t>
  </si>
  <si>
    <t xml:space="preserve"> Pigeskolen (tidl), Christiansfeld</t>
  </si>
  <si>
    <t xml:space="preserve"> Forhus (1784) med sidehus (antagelig 1797) i øst</t>
  </si>
  <si>
    <t>Nørregade 14</t>
  </si>
  <si>
    <t xml:space="preserve"> Søstrehuset, Christiansfeld</t>
  </si>
  <si>
    <t xml:space="preserve"> Det trefløjede anlæg (hovedfløj 1776, formentlig af Johan Gottfried Arndt, østfløj 1784-86, vestfløj 1799-1800) med to T-formede økonomibygninger (ml.  1798 og1878)</t>
  </si>
  <si>
    <t>Nørregade 16 og Birkevej 2</t>
  </si>
  <si>
    <t xml:space="preserve"> Enkehuset, Christiansfeld</t>
  </si>
  <si>
    <t xml:space="preserve"> Det vinkelformede bygningsanlæg (hovedfløj 1779-80 af Johan Gottfried Arndt, vestfløj og forbindelsesbygningen 1797-99) og det ottekantede havehus(1802)</t>
  </si>
  <si>
    <t>Nørregade 3</t>
  </si>
  <si>
    <t xml:space="preserve"> Nørregade 3, Christiansfeld</t>
  </si>
  <si>
    <t xml:space="preserve"> Forhus (østlige del 1778, vestlige del 1780) og det dermedsammenbyggede tofags sidehus (1830)</t>
  </si>
  <si>
    <t>Nørregade 5 og 7, hj af Kirkepladsen</t>
  </si>
  <si>
    <t xml:space="preserve"> Nørregade 5-7, Christiansfeld</t>
  </si>
  <si>
    <t xml:space="preserve"> Forhuset mod Nørregade (1773) ogforhuset mod Kirkepladsen (1780 af J. H. Høffner) </t>
  </si>
  <si>
    <t>Nørregade 9 (tidl Kirkepladsen 1)</t>
  </si>
  <si>
    <t xml:space="preserve"> Sprøjtehus (tidl), Christiansfeld</t>
  </si>
  <si>
    <t xml:space="preserve"> Gavlhuset (1778 af murermester Höpfner)</t>
  </si>
  <si>
    <t xml:space="preserve"> Borgerskolen og Katrinegadesalen</t>
  </si>
  <si>
    <t xml:space="preserve"> Borgerskolen (1856) og Katrinegadesalen (1881)</t>
  </si>
  <si>
    <t>Storgaden 54</t>
  </si>
  <si>
    <t xml:space="preserve"> Kirstinelyst</t>
  </si>
  <si>
    <t xml:space="preserve"> Det grundmurede stuehus (1846)</t>
  </si>
  <si>
    <t>Stubbumgårdvej 23</t>
  </si>
  <si>
    <t xml:space="preserve"> Stubbumgårdvej 23</t>
  </si>
  <si>
    <t xml:space="preserve"> Stuehuset (1688)</t>
  </si>
  <si>
    <t xml:space="preserve"> Lunderskov Station</t>
  </si>
  <si>
    <t xml:space="preserve"> Lunderskov Stations hovedbygning og pakhuset (1866 af NP Holsøe)</t>
  </si>
  <si>
    <t>København Kommune</t>
  </si>
  <si>
    <t>Abel Cathrinesgade 13</t>
  </si>
  <si>
    <t xml:space="preserve"> Abel Cathrines Stiftelse</t>
  </si>
  <si>
    <t xml:space="preserve"> Det firefløjede anlæg (1885-86 af H. B. Storck) </t>
  </si>
  <si>
    <t>Absalonsgade 12 og Istedgade 72-74</t>
  </si>
  <si>
    <t xml:space="preserve"> Skydemuren</t>
  </si>
  <si>
    <t xml:space="preserve"> Skydemuren, der danner den sydlige afgrænsning afskydebanehaven (1887 af Ludvig Knudsen)</t>
  </si>
  <si>
    <t>Admiralgade 17</t>
  </si>
  <si>
    <t xml:space="preserve"> Admiralgade 17</t>
  </si>
  <si>
    <t xml:space="preserve"> Pakhuset (1797)</t>
  </si>
  <si>
    <t>Admiralgade 19</t>
  </si>
  <si>
    <t xml:space="preserve"> Admiralgade 19</t>
  </si>
  <si>
    <t xml:space="preserve"> Forhus med side- og baghus (1796-97)</t>
  </si>
  <si>
    <t>Admiralgade 20</t>
  </si>
  <si>
    <t xml:space="preserve"> Buurmesters Gaard</t>
  </si>
  <si>
    <t xml:space="preserve"> Forhuset og baghuset (1797-98 af Ernst Burmeister)</t>
  </si>
  <si>
    <t>Udvidet 1988*</t>
  </si>
  <si>
    <t>Admiralgade 21, hj af Dybensgade</t>
  </si>
  <si>
    <t xml:space="preserve"> Admiralgade 21</t>
  </si>
  <si>
    <t xml:space="preserve"> Hjørnehuset (1798-99)</t>
  </si>
  <si>
    <t>Admiralgade 22</t>
  </si>
  <si>
    <t xml:space="preserve"> Admiralgade 22</t>
  </si>
  <si>
    <t xml:space="preserve"> Forhuset og de to sidehuse (1845-46) samt brolægningen i gården</t>
  </si>
  <si>
    <t xml:space="preserve"> Udvidet 1988*</t>
  </si>
  <si>
    <t>Admiralgade 23, hj af Dybensgade</t>
  </si>
  <si>
    <t xml:space="preserve"> Admiralgade 23</t>
  </si>
  <si>
    <t xml:space="preserve"> Hjørnebygningen (1800)</t>
  </si>
  <si>
    <t>Admiralgade 25, hj af Laksegade</t>
  </si>
  <si>
    <t xml:space="preserve"> Admiralgade 25</t>
  </si>
  <si>
    <t xml:space="preserve"> Hjørnebygningen (1797-98)</t>
  </si>
  <si>
    <t>Admiralgade 28, hj af Boldhusgade</t>
  </si>
  <si>
    <t xml:space="preserve"> Admiralgade 28 (tidl Boldhusgade 1)</t>
  </si>
  <si>
    <t xml:space="preserve"> Den gamle hjørneejendoms forhuse(1798-99 af Philip Lange og L.L.Thrane) </t>
  </si>
  <si>
    <t>Ahornsgade 15-19</t>
  </si>
  <si>
    <t xml:space="preserve"> Ahornsgade 15-19</t>
  </si>
  <si>
    <t xml:space="preserve"> Forhus, sidehus og værkstedbygning (opført 1886 af murermester T. Wilde) samt den brostensbelagte gårdsplads</t>
  </si>
  <si>
    <t>Amager Strandvej 110</t>
  </si>
  <si>
    <t xml:space="preserve"> Krudthuset, Amager Strandvej 110</t>
  </si>
  <si>
    <t xml:space="preserve"> Krudthuset (1799 af Wilhelm von Huth og ErnstPeymann)</t>
  </si>
  <si>
    <t>Amagertorv 1, hj af Højbro Plads og Læderstræde</t>
  </si>
  <si>
    <t xml:space="preserve"> Amagertorv 1</t>
  </si>
  <si>
    <t xml:space="preserve"> Hjørnehuset (1796-97, ombygget 1854af Christian Tybjerg)</t>
  </si>
  <si>
    <t>Amagertorv 20</t>
  </si>
  <si>
    <t xml:space="preserve"> Amagertorv 20</t>
  </si>
  <si>
    <t xml:space="preserve"> Forhuset med tilbygning til bagsiden (ca 1680, ombygget og forhøjet1731 og forhøjet yderligere 1857)</t>
  </si>
  <si>
    <t>Amagertorv 27</t>
  </si>
  <si>
    <t xml:space="preserve"> Amagertorv 27</t>
  </si>
  <si>
    <t xml:space="preserve"> Bygningsdele i kælder fra før 1536</t>
  </si>
  <si>
    <t>Amagertorv 29</t>
  </si>
  <si>
    <t xml:space="preserve"> Det Petersenske Jomfrukloster</t>
  </si>
  <si>
    <t xml:space="preserve"> Forhuset mod Amagertorv (1768-69 af C. F. Harsdorff, brændt 1795 og genrejst 1797-98 af Joseph Guione, forhøjet med en etage 1880)</t>
  </si>
  <si>
    <t>Amagertorv 6</t>
  </si>
  <si>
    <t xml:space="preserve"> Den gamle Borgmestergård</t>
  </si>
  <si>
    <t xml:space="preserve"> Forhuset (1616)</t>
  </si>
  <si>
    <t>Amaliegade 11</t>
  </si>
  <si>
    <t xml:space="preserve"> Amaliegade 11</t>
  </si>
  <si>
    <t xml:space="preserve"> Forhuset (1754-55 af Niels Eigtved, tredie etage forhøjet og fjerdepåbygget 1771-72) med sidehus (1874) og de to mellembygninger (1753)</t>
  </si>
  <si>
    <t>Amaliegade 12</t>
  </si>
  <si>
    <t xml:space="preserve"> Amaliegade 12</t>
  </si>
  <si>
    <t xml:space="preserve"> Forhuset (1753-55 af Niels Eigtved)</t>
  </si>
  <si>
    <t>Amaliegade 13</t>
  </si>
  <si>
    <t xml:space="preserve"> Amaliegade 13</t>
  </si>
  <si>
    <t xml:space="preserve"> Forhus (opført 1755, øverste etage forhøjet, frontispice og mansardtagpåbygget før 1783) med sidehus (1808, forkortet 1960)</t>
  </si>
  <si>
    <t xml:space="preserve"> Udv 1951*</t>
  </si>
  <si>
    <t>Amaliegade 14</t>
  </si>
  <si>
    <t xml:space="preserve"> Amaliegade 14</t>
  </si>
  <si>
    <t xml:space="preserve"> Forhus og sidehus (1755 af Niels Eigtved)</t>
  </si>
  <si>
    <t xml:space="preserve"> Udvidet 1951*</t>
  </si>
  <si>
    <t>Amaliegade 15-17</t>
  </si>
  <si>
    <t xml:space="preserve"> Amaliegade 15-17</t>
  </si>
  <si>
    <t xml:space="preserve"> Forhuse og sidehuse (1754-56 af Niels Eigtved som tosymmetriske huse, nr 15 forhøjet) samt baghusene</t>
  </si>
  <si>
    <t xml:space="preserve"> Udv. 1978*</t>
  </si>
  <si>
    <t>Amaliegade 16</t>
  </si>
  <si>
    <t xml:space="preserve"> Amaliegade 16</t>
  </si>
  <si>
    <t xml:space="preserve"> Forhus og dertil stødende sidehus (1756-57 af Lauritz de Thurah)</t>
  </si>
  <si>
    <t>Amaliegade 18 og Toldbodgade 43 D</t>
  </si>
  <si>
    <t xml:space="preserve"> Det Gule Palæ</t>
  </si>
  <si>
    <t xml:space="preserve"> Det Gule Palæ, forhuset (opført 1764 af Nicolas- Henri Jardin på ældre fundamenter), Amaliegade 18 og det bagved liggende hus, Gardestalden, Toldbodgade 43D (1842 af Jørgen Hansen Koch) samt mur og port (1890) mod Toldbodgade</t>
  </si>
  <si>
    <t xml:space="preserve"> Udv 2012</t>
  </si>
  <si>
    <t>Amaliegade 21 A-C</t>
  </si>
  <si>
    <t xml:space="preserve"> Morten Farums Gård</t>
  </si>
  <si>
    <t xml:space="preserve"> De to mellembygninger (den forreste fra 1751, den bageste fra1785-86) samt den forbindende sidebygning (1785-86)</t>
  </si>
  <si>
    <t xml:space="preserve"> Udv 1951</t>
  </si>
  <si>
    <t>Amaliegade 22</t>
  </si>
  <si>
    <t xml:space="preserve"> Amaliegade 22</t>
  </si>
  <si>
    <t xml:space="preserve"> Forhus med sidehus (ca 1750 af Niels Eigtved, ombygget 1845-46) ogbaghus (1846)</t>
  </si>
  <si>
    <t xml:space="preserve"> Udvidet 1988**</t>
  </si>
  <si>
    <t>Amaliegade 23-25</t>
  </si>
  <si>
    <t xml:space="preserve"> Fødselsstiftelsen (tidl)</t>
  </si>
  <si>
    <t xml:space="preserve"> Nr 23 sdr.  del: forhus (1750-52 formentlig af Niels Eigtved), sidehus og tværhus (1750-52) samt sidehus og baghus; nr 23 ndr. del: for- og sidehus (1787 af Joseph Guione), gangfløjen (1845) og havehuset (1792); nr 25: for-, side- og tværhus (1755-57 af Lauritz de Thurah, senere forhøjet), mansardsidehuset med tværhus (ombygget 1845-48), baghuset og matriklens haveanlæg samt de to brolagte gårde, der hører til nr 25 og de brolagte områder imellem for- ogtværhusene af nr 23</t>
  </si>
  <si>
    <t xml:space="preserve"> Udvidet 2017</t>
  </si>
  <si>
    <t>Amaliegade 27</t>
  </si>
  <si>
    <t xml:space="preserve"> Søndre Pavillon ved Kunstindustrimuseet (Amaliegade)</t>
  </si>
  <si>
    <t xml:space="preserve"> Pavillonbygningen med mure og gitter itilslutning til denne (1755-57 af Lauritz de Thurah) samt den omgivende brolægning</t>
  </si>
  <si>
    <t>Amaliegade 31</t>
  </si>
  <si>
    <t xml:space="preserve"> Nordre Pavillon ved Kunstindustrimuseet (Amaliegade)</t>
  </si>
  <si>
    <t>Amaliegade 33</t>
  </si>
  <si>
    <t xml:space="preserve"> Danmarks Rederiforening</t>
  </si>
  <si>
    <t xml:space="preserve"> Forhuset og sidehuset (1920-23 af Emanuel Monberg)</t>
  </si>
  <si>
    <t>Amaliegade 37</t>
  </si>
  <si>
    <t xml:space="preserve"> Amaliegade 37</t>
  </si>
  <si>
    <t xml:space="preserve"> Forhuset og det dertil stødende smalle sidehus (1781-82 af C. F. Harsdorff, portfløjen tilbygget 1921)</t>
  </si>
  <si>
    <t>Amaliegade 38</t>
  </si>
  <si>
    <t xml:space="preserve"> Amaliegade 38</t>
  </si>
  <si>
    <t>Amaliegade 4</t>
  </si>
  <si>
    <t xml:space="preserve"> Amaliegade 4</t>
  </si>
  <si>
    <t xml:space="preserve"> Forhus, sidehus og baghus omkring den første gård (1828-29)</t>
  </si>
  <si>
    <t>Amaliegade 40-42</t>
  </si>
  <si>
    <t xml:space="preserve"> Jan v. Ostens Gård</t>
  </si>
  <si>
    <t xml:space="preserve"> Amaliegade 40 samt det med nordre forhus sammenbyggede sidehus med samme gesimshøjde som forhuset. Endvidere de enetages længer med mandsardtag syd og øst for gårdspladsen. Desuden Amaliegade 42: Forhuset med sidehuset med samme gesimshøjde som forhuset samt den lave bagbygning med de to vognporte. Hertil kommer baghuset Amaliegade 40 A (1869- 70 af Vilhelm Tvede) samt murstykket, der forbinder forhus og baghus på Amaliegade 42, gitter, murpiller og belægningen mellem matr Nr 130 og De Engelske Rækkehuse i Toldbodgade, samt brostensbelægningen i gårdrummet bag Amaliegade 40, matrnr129 og 130 Sankt Annæ Øster Kvarter,Københavns Kommune</t>
  </si>
  <si>
    <t>* Udvidet 2008</t>
  </si>
  <si>
    <t>Amaliegade 41</t>
  </si>
  <si>
    <t xml:space="preserve"> Amaliegade 41</t>
  </si>
  <si>
    <t>Amaliegade 43</t>
  </si>
  <si>
    <t xml:space="preserve"> Amaliegade 43</t>
  </si>
  <si>
    <t xml:space="preserve"> Forhus med dertil stødende sidehus på seks fag (påbegyndt ca 1790 afJohan Martin Quist, fuldført 1792-93 af Andreas Hallander)</t>
  </si>
  <si>
    <t>Amaliegade 45</t>
  </si>
  <si>
    <t xml:space="preserve"> Amaliegade 45</t>
  </si>
  <si>
    <t xml:space="preserve"> Forhus med dertil stødende sidehus (1788-91 af Andreas Hallander,facaden fra 1801 formentlig af J. H. Rawert)</t>
  </si>
  <si>
    <t>Amaliegade 47</t>
  </si>
  <si>
    <t xml:space="preserve"> Amaliegade 47</t>
  </si>
  <si>
    <t xml:space="preserve"> Forhus med sidehus (1790 af Andreas Hallander)</t>
  </si>
  <si>
    <t>Amaliegade 49, hj af Esplanaden</t>
  </si>
  <si>
    <t xml:space="preserve"> Amaliegade 49</t>
  </si>
  <si>
    <t xml:space="preserve"> Forhusene mod Esplanaden og Amaliegade (1788 afAndreas Hallander)</t>
  </si>
  <si>
    <t>Amaliegade 8</t>
  </si>
  <si>
    <t xml:space="preserve"> Amaliegade 8</t>
  </si>
  <si>
    <t xml:space="preserve"> Forhus med smigfag og hertil stødende syvfags sidehus (1785 af AndreasPfützner)</t>
  </si>
  <si>
    <t>Amaliegade 9 og 9 B</t>
  </si>
  <si>
    <t xml:space="preserve"> Den Collinske Gård</t>
  </si>
  <si>
    <t xml:space="preserve"> Det tilbagetrukne forhus (1751-52, frontispice erstattet mednuværende kvist mellem 1768 og 1801) med tilstødende sidehus på seks fag og smedejernsgitter med sandstenspiller (ca 1800) mod Amaliegade samt baghuset</t>
  </si>
  <si>
    <t>Amalienborg</t>
  </si>
  <si>
    <t xml:space="preserve"> Amalienborg</t>
  </si>
  <si>
    <t xml:space="preserve"> "De fire palæer med sidebygninger og pavilloner af Niels Eigtved m.fl.  (sydlige palæ, ""Schacks palæ"", opført 1750-56; østlige palæ, ""Brockdorffs palæ"", opført 1750-60; nordlige palæ, ""Levetzaus palæ"", opført 1750-60, hovedbygningens facade ændret omkring de opr.  indgangsporte til vestibulen 1794; vestlige palæ, ""Moltkes palæ"", senere ""Chr VII's palæ"", opført 1750-54; samtlige mellembygninger mod pladsen forhøjet med en etage omkring 1794); kolonnaden (tilbygget 1794 af C. F. Harsdorff); volieren bag ""Chr VII's palæ"" (1760'erne af Nicolas-Henri Jardin) samtstaldbygninger mod Fredericiagade (ca 1800)</t>
  </si>
  <si>
    <t>Amalienborg Plads</t>
  </si>
  <si>
    <t xml:space="preserve"> Frederik V's rytterstatue</t>
  </si>
  <si>
    <t xml:space="preserve"> Rytterstatuen (1752-71 af Jacques François Joseph Saly, opstillet1768)</t>
  </si>
  <si>
    <t>Antonigade 3</t>
  </si>
  <si>
    <t xml:space="preserve"> Antonigade 3</t>
  </si>
  <si>
    <t xml:space="preserve"> Forhuset (før 1682 forhøjet mellem 1713 og 1733, ombygget mellem 1768 og1779)</t>
  </si>
  <si>
    <t>Antonigade 9</t>
  </si>
  <si>
    <t xml:space="preserve"> Antonigade 9</t>
  </si>
  <si>
    <t xml:space="preserve"> Forhuset (1766 af Hans Næss) med sidehuse og baghus</t>
  </si>
  <si>
    <t>Udvidet 2009</t>
  </si>
  <si>
    <t>Arendalsgade 6/ Classensgade 60</t>
  </si>
  <si>
    <t xml:space="preserve"> Classens Have</t>
  </si>
  <si>
    <t xml:space="preserve"> Haveanlægget "Classens Have" (1925 af stadsgartnerValdemar Fabricius Hansen)</t>
  </si>
  <si>
    <t>Artillerivej 73 B</t>
  </si>
  <si>
    <t xml:space="preserve"> Den tidl Ballonhangar</t>
  </si>
  <si>
    <t xml:space="preserve"> Ballonhangaren (1917) med alle udvendige støttestolper og de tooprindelige sidebygninger mod sydøst og nordvest</t>
  </si>
  <si>
    <t>August Bournonvilles Passage 1 (tidl Tordenskjoldsgade 1)</t>
  </si>
  <si>
    <t xml:space="preserve"> Brønnums Hus</t>
  </si>
  <si>
    <t xml:space="preserve"> Forhuset, sidehuset samtbaghuset (1856-66 af Ferdinand Vilhelm Jensen)</t>
  </si>
  <si>
    <t>August Bournonvilles Passage 5 (tidl Tordenskjoldsgade 5)</t>
  </si>
  <si>
    <t xml:space="preserve"> Stærekassen</t>
  </si>
  <si>
    <t xml:space="preserve"> Det Kongelige Teaters NyeScene (1929-32 af Holger Jacobsen)</t>
  </si>
  <si>
    <t>Axeltorv 12 og Studiestræde 54</t>
  </si>
  <si>
    <t xml:space="preserve"> Københavns Vandværk</t>
  </si>
  <si>
    <t xml:space="preserve"> Københavns gamle Vandværk, bestående af maskinhus, kedelhus, kulhus, kontorbygning mod Studiestræde, porthus, skorsten samt de tre boligbygninger, den brolagte belægning, gitterhegnet, der afgrænser Pumpehusets forplads, og plankeværket mod Hammerichsgade (1859&amp;nbsp; med senere ombygninger af arkitekt N. S. Nebelong, ,vandinspektør L. Colding og Ludvig Fenger)</t>
  </si>
  <si>
    <t xml:space="preserve"> </t>
  </si>
  <si>
    <t>Badstuestræde 10 A</t>
  </si>
  <si>
    <t xml:space="preserve"> Badstuestræde 10 A</t>
  </si>
  <si>
    <t xml:space="preserve"> Forhuset (1798-99 af Ernst Burmeister)</t>
  </si>
  <si>
    <t>Badstuestræde 12</t>
  </si>
  <si>
    <t xml:space="preserve"> Badstuestræde 12</t>
  </si>
  <si>
    <t xml:space="preserve"> Forhuset (1799-1800 af Ernst Burmeister)</t>
  </si>
  <si>
    <t>Badstuestræde 15</t>
  </si>
  <si>
    <t xml:space="preserve"> Badstuestræde 15</t>
  </si>
  <si>
    <t xml:space="preserve"> Forhuset (1798-1802 af Johan Bernhardt Schottmann og HansWeile) med sidehuset</t>
  </si>
  <si>
    <t xml:space="preserve"> Fredningen udvidet i 2008 med sidehuset*</t>
  </si>
  <si>
    <t>Badstuestræde 17</t>
  </si>
  <si>
    <t xml:space="preserve"> Badstuestræde 17</t>
  </si>
  <si>
    <t xml:space="preserve"> Forhus og sidehus (1829-32 af Carl Petersen)</t>
  </si>
  <si>
    <t>Udvidet 1979**</t>
  </si>
  <si>
    <t>Badstuestræde 18</t>
  </si>
  <si>
    <t xml:space="preserve"> Badstuestræde 18</t>
  </si>
  <si>
    <t xml:space="preserve"> Forhuset (1796-97)</t>
  </si>
  <si>
    <t>Badstuestræde 20</t>
  </si>
  <si>
    <t xml:space="preserve"> Badstuestræde 20</t>
  </si>
  <si>
    <t>Badstuestræde 7</t>
  </si>
  <si>
    <t xml:space="preserve"> Forhus med sidehus (1796-98)</t>
  </si>
  <si>
    <t>Badstuestræde 8</t>
  </si>
  <si>
    <t xml:space="preserve"> Badstuestræde 8</t>
  </si>
  <si>
    <t xml:space="preserve"> Forhuset (1797-98), sidehuset (1797-98, ombygget 1945) og baghus(1797-98)</t>
  </si>
  <si>
    <t xml:space="preserve"> Udvidet 1991*</t>
  </si>
  <si>
    <t>Bakkevej 1-51 og 2-52</t>
  </si>
  <si>
    <t xml:space="preserve"> Bakkehusene, Bakkevej</t>
  </si>
  <si>
    <t xml:space="preserve"> De to husrækker med tilhørende haver og hegnsmure(1921-22 af Thorkild Henningsen og Ivar Bentsen)</t>
  </si>
  <si>
    <t>Banegårdspladsen 4</t>
  </si>
  <si>
    <t xml:space="preserve"> Hotel Astoria</t>
  </si>
  <si>
    <t xml:space="preserve"> Hotelbygningen med arealet under de udkragede etager (1935 af OleFalkentorp)</t>
  </si>
  <si>
    <t>Bellahøjvej 20</t>
  </si>
  <si>
    <t xml:space="preserve"> Bellahøj</t>
  </si>
  <si>
    <t>Bernstorffsgade 10-22</t>
  </si>
  <si>
    <t xml:space="preserve"> Københavns Hovedbanegård</t>
  </si>
  <si>
    <t xml:space="preserve"> Banegårdskomplekset bestående af vestibulen, hovedhallen, de seks perronhaller, de to fløje mod Bernstorffsgade (1904-11 af Heinrich Wenck) samtforlængelsen af sydfløjen mod Bernstorffsgade (1922-25 af Heinrich Wenck)</t>
  </si>
  <si>
    <t xml:space="preserve"> Præc. 2008</t>
  </si>
  <si>
    <t>Bertel Thorvaldsens Plads 2 (tidl Porthusgade 2)</t>
  </si>
  <si>
    <t xml:space="preserve"> Thorvaldsens Museum</t>
  </si>
  <si>
    <t xml:space="preserve"> Det firefløjedemuseumskompleks (1839-48 af Gottlieb Bindesbøll)</t>
  </si>
  <si>
    <t>Bispebjerg Bakke 21-23</t>
  </si>
  <si>
    <t xml:space="preserve"> Bispebjerg Hospital</t>
  </si>
  <si>
    <t xml:space="preserve"> De oprindelige bygninger til Bispebjerg Hospital (1908- 1913, arkitekt Martin Nyrop og landskabsgartner Edvard Glæsel) bestående af administrationsbygning, de seks pavillonbygninger, de to operationsbygninger samt forbindelsesbygningerne mellem operationsbygningerne og de fire sydligste pavilloner, badebygningen, tre portbygninger med tilhørende udhuse og mure, kapel og lighus, køkkenbygning, vaskeribygning, maskin- og kedelhus med fritstående skorsten og muren omkring denne, sygeplejerskebygning og funktionærbygning, desuden tunnelerne i detaksefaste anlæg, have-anlæggene med og uden mure omkring de seks pavillonbygninger, trappeanlægget. i hospitalets akse, vejforløbet gennem de to buer i forbindelsesbygningerne kaldet 2. Tværvej, vejforløbet fra østre til vestre portbygning kaldet 3. Tværvej, de to nord-sydgående alléer: Østre Længdevej fra nordre portbygning til 1. Tværvej og Vestre Længdevej mellem 1.  Tværvej og 5.  Tværvej, de to cykelskure vedadministrationsbygningen samt overalt oprindelige mure og murpiller.</t>
  </si>
  <si>
    <t xml:space="preserve"> Udvidet 2013</t>
  </si>
  <si>
    <t>Blågårds Plads</t>
  </si>
  <si>
    <t xml:space="preserve"> Blågårds Plads</t>
  </si>
  <si>
    <t xml:space="preserve"> Den forsænkede plads med trapper, brystværn, skulpturer og talerstol samt den omgivende grusgang med lindetræer og pissoiret (1913-15 af Ivar Bentsen og Kai Nielsen)</t>
  </si>
  <si>
    <t>Boldhusgade 2, hj af Admiralgade</t>
  </si>
  <si>
    <t xml:space="preserve"> Boldhusgade 2</t>
  </si>
  <si>
    <t xml:space="preserve"> Hjørnebygningen med sidehus (1795-96)</t>
  </si>
  <si>
    <t>Boldhusgade 4</t>
  </si>
  <si>
    <t xml:space="preserve"> Boldhusgade 4</t>
  </si>
  <si>
    <t xml:space="preserve"> Forhuset (1795-96, forhøjet 1851) med sidehus</t>
  </si>
  <si>
    <t xml:space="preserve"> Udvidet1979*</t>
  </si>
  <si>
    <t>Boldhusgade 6</t>
  </si>
  <si>
    <t xml:space="preserve"> Boldhusgade 6</t>
  </si>
  <si>
    <t xml:space="preserve"> Forhuset samt de to sidehuse (1795-96, forhøjet 1833)</t>
  </si>
  <si>
    <t>Udvidet 1982*</t>
  </si>
  <si>
    <t>Borgergade 111</t>
  </si>
  <si>
    <t xml:space="preserve"> Søetatens Pigeskole</t>
  </si>
  <si>
    <t xml:space="preserve"> Den firefløjede tidl skolebygning, murene ud mod Borgergade ogGernersgade, den tidl portnerloge samt den tidl funktionærbolig (1858 af Bernhard Seidelin)</t>
  </si>
  <si>
    <t>Borgergade 140</t>
  </si>
  <si>
    <t xml:space="preserve"> Borgergade 140</t>
  </si>
  <si>
    <t xml:space="preserve"> Hjørnebygningen (1854 muligvis af P. C.  Hagemann)</t>
  </si>
  <si>
    <t>Borgergade 144</t>
  </si>
  <si>
    <t xml:space="preserve"> Borgergade 144</t>
  </si>
  <si>
    <t xml:space="preserve"> Hjørnebygningen (1854 muligvis af P.C.  Hagemann)</t>
  </si>
  <si>
    <t>Borups Allé 5-23</t>
  </si>
  <si>
    <t xml:space="preserve"> Hornbækhus</t>
  </si>
  <si>
    <t xml:space="preserve"> Karrébebyggelsen på Borups Allé 2-23, Hornbækgade 2-10,Skotterupgade 13-19 og Ågade 116-134, (1923 af Kay Fisker) med tilhørende indre friarealer (GN Brandt)</t>
  </si>
  <si>
    <t>Bredgade 24 og Sankt Annæ Plads 2</t>
  </si>
  <si>
    <t xml:space="preserve"> Bredgade 24 og Sankt Annæ Plads 2</t>
  </si>
  <si>
    <t xml:space="preserve"> Hjørnehuset med sidehus (1855 af N. S. Nebelong)</t>
  </si>
  <si>
    <t>Bredgade 26</t>
  </si>
  <si>
    <t xml:space="preserve"> Lindencrones Palæ</t>
  </si>
  <si>
    <t xml:space="preserve"> Forhuset (1751 af Niels Eigtved)</t>
  </si>
  <si>
    <t>Bredgade 28</t>
  </si>
  <si>
    <t xml:space="preserve"> Odd Fellow Palæet, Berckentins Palæ</t>
  </si>
  <si>
    <t xml:space="preserve"> "Det gamle palæs hovedbygning (1751-55 af Niels Eigtved og Gottfried Rosenberg), de to sidebygninger og de hermed sammenbyggede to pavillonbygninger, gitter og portparti, den brolagte gårdsplads samt hovedbygningens tilbygning indeholdende den ""LilleKoncertsal"" (1889 af Johan Schrøder og Georg Wittrock)</t>
  </si>
  <si>
    <t xml:space="preserve"> Udvidet 1990. Ændr. 1993*</t>
  </si>
  <si>
    <t>Bredgade 34 A</t>
  </si>
  <si>
    <t xml:space="preserve"> Den Kgl Silkemanufaktur (tidl). </t>
  </si>
  <si>
    <t xml:space="preserve"> Forhuset (1754, formentlig af Niels Eigtved)</t>
  </si>
  <si>
    <t>Bredgade 38</t>
  </si>
  <si>
    <t xml:space="preserve"> Bredgade 38</t>
  </si>
  <si>
    <t xml:space="preserve"> Alle på grunden stående bygninger samt hegnsmur mod nr 36 (1801 afAndreas Hallander)</t>
  </si>
  <si>
    <t>Bredgade 40-42, hj af Frederiksgade</t>
  </si>
  <si>
    <t xml:space="preserve"> Bernstorffs Palæ</t>
  </si>
  <si>
    <t xml:space="preserve"> Hovedbygning mod Bredgade samt sidebygning og mur mod Frederiksgade (1752-56 af Gottfried Rosenberg efter Niels Eigtveds fortegning)</t>
  </si>
  <si>
    <t>Udvidet 1951*</t>
  </si>
  <si>
    <t>Bredgade 4 og Store Strandstræde 3</t>
  </si>
  <si>
    <t xml:space="preserve"> Grandjeans Gaard</t>
  </si>
  <si>
    <t xml:space="preserve"> Forhuset mod Bredgade og Store Strandstræde(1853-54 af Christian Tybjerg)</t>
  </si>
  <si>
    <t>Bredgade 51</t>
  </si>
  <si>
    <t xml:space="preserve"> Bredgade 51</t>
  </si>
  <si>
    <t xml:space="preserve"> Forhuset mod Bredgade og Frederiksgade med udbygningen mod vest,muren med port omkring gården mod Frederiksgade samt støbejernsgitret ved sydgavlen (1880'erne af Ferdinand Meldahl)</t>
  </si>
  <si>
    <t>Bredgade 53</t>
  </si>
  <si>
    <t xml:space="preserve"> Aleksander Nevskij Kirke</t>
  </si>
  <si>
    <t xml:space="preserve"> Kirkebygningen (1881-83 af David Ivanovitch Grimm)</t>
  </si>
  <si>
    <t>Bredgade 54</t>
  </si>
  <si>
    <t xml:space="preserve"> Dehns Palæ</t>
  </si>
  <si>
    <t xml:space="preserve"> Forhuset (1752-55 af Gottfried Rosenberg efter Niels Eigtveds fortegning); seogså Frederiksgade 17</t>
  </si>
  <si>
    <t>Bredgade 60, hj af Fredericiagade</t>
  </si>
  <si>
    <t xml:space="preserve"> Titkens Gård</t>
  </si>
  <si>
    <t xml:space="preserve"> Hjørnehuset (1755-56), forhuset Fredericiagade 18(1835)</t>
  </si>
  <si>
    <t>Bredgade 62</t>
  </si>
  <si>
    <t xml:space="preserve"> Kirurgisk Akademi</t>
  </si>
  <si>
    <t xml:space="preserve"> Forhuset med sideporte (1785-87 af Peter Meyn)</t>
  </si>
  <si>
    <t>Bredgade 63 og 63 A</t>
  </si>
  <si>
    <t xml:space="preserve"> Bredgade 63 og 63 A</t>
  </si>
  <si>
    <t xml:space="preserve"> Forhus, to sidehuse og baghus (1886 af Ferdinand VilhelmJensen)</t>
  </si>
  <si>
    <t>Bredgade 64</t>
  </si>
  <si>
    <t xml:space="preserve"> Sankt Ansgars Kirke</t>
  </si>
  <si>
    <t xml:space="preserve"> Kirkebygningen med tilstødende præsteboliger samt gitteret modBredgade (1841-42 af G. F. Hetsch)</t>
  </si>
  <si>
    <t>Bredgade 65 og 65 A</t>
  </si>
  <si>
    <t xml:space="preserve"> Bredgade 65 og 65 A</t>
  </si>
  <si>
    <t xml:space="preserve"> Forhus, to sidehuse (Bredgade 65) samt baghus (Bredgade65 A) (1886 af Ferdinand Vilhelm Jensen)</t>
  </si>
  <si>
    <t>Bredgade 66</t>
  </si>
  <si>
    <t xml:space="preserve"> Søndre Pavillon (Bredgade)</t>
  </si>
  <si>
    <t xml:space="preserve"> Pavillonbygningen samt mure og gitter i tilslutning til denne (1755-57 af Lauritz de Thurah), hegnsmuren i det sydlige skel samt den omgivende brolægning</t>
  </si>
  <si>
    <t>Bredgade 68 og Amaliegade 29</t>
  </si>
  <si>
    <t xml:space="preserve"> Frederiks Hospital, Kunstindustrimuseet</t>
  </si>
  <si>
    <t xml:space="preserve"> Det firefløjede hospitalskompleks, gitre mod Bredgade, mure mellem hospitalsbygningen og de fire pavilloner (1752-57 afNiels Eigtved), mur og gitter langs sydskel, den omgivende brolægning samt den indre have kaldet, Grønnegården (1923-24 af GN Brandt)</t>
  </si>
  <si>
    <t xml:space="preserve"> Udvidet 1986* og 2007</t>
  </si>
  <si>
    <t>Bredgade 70-72</t>
  </si>
  <si>
    <t xml:space="preserve"> Nordre Pavillon ved Kunstindustrimuseet (Bredgade)</t>
  </si>
  <si>
    <t xml:space="preserve"> Pavillonbygningen samt gitteret og murene i tilslutning til denne (1755-57 af Lauritz de Thurah), hegnsmuren mod Bredgade, hegnsmur inordskel samt den omgivende brolægning</t>
  </si>
  <si>
    <t xml:space="preserve"> Udvidet 1986</t>
  </si>
  <si>
    <t>Bredgade 71</t>
  </si>
  <si>
    <t xml:space="preserve"> Bredgade 71</t>
  </si>
  <si>
    <t xml:space="preserve"> Forhus med side- og baghus (1853)</t>
  </si>
  <si>
    <t>Bredgade 74</t>
  </si>
  <si>
    <t xml:space="preserve"> Hegnsmur</t>
  </si>
  <si>
    <t xml:space="preserve"> Hegnsmur mod Bredgade, hegnsmur i nordskel samt brolægningen</t>
  </si>
  <si>
    <t>Bredgade 76</t>
  </si>
  <si>
    <t xml:space="preserve"> Bredgade 76</t>
  </si>
  <si>
    <t xml:space="preserve"> Forhus nr 76 med sidehus (1854-55) og dertil stødende baghus (1755-57)</t>
  </si>
  <si>
    <t>Bremerholm 39, Holmens Kanal 18</t>
  </si>
  <si>
    <t xml:space="preserve"> Skipperforeningen</t>
  </si>
  <si>
    <t xml:space="preserve"> Forhus mod Holmens Kanal og Bremerholm(1796)</t>
  </si>
  <si>
    <t>Brolæggerstræde 1, hj af Badstuestræde</t>
  </si>
  <si>
    <t xml:space="preserve"> Brolæggerstræde 1</t>
  </si>
  <si>
    <t xml:space="preserve"> Hjørnebygningen (1797 af C. F. Hollander) </t>
  </si>
  <si>
    <t>Brolæggerstræde 11</t>
  </si>
  <si>
    <t xml:space="preserve"> Brolæggerstræde 11</t>
  </si>
  <si>
    <t xml:space="preserve"> Forhuset og dermed sammenbygget sidehus på syv fag modmatrnr 74 (1795-97)</t>
  </si>
  <si>
    <t>Brolæggerstræde 12</t>
  </si>
  <si>
    <t xml:space="preserve"> Brolæggerstræde 12</t>
  </si>
  <si>
    <t xml:space="preserve"> Forhuset (1796)</t>
  </si>
  <si>
    <t>Brolæggerstræde 2, hj af Badstuestræde</t>
  </si>
  <si>
    <t xml:space="preserve"> Brolæggerstræde 2</t>
  </si>
  <si>
    <t xml:space="preserve"> Hjørnebygningen (1797)</t>
  </si>
  <si>
    <t>Brolæggerstræde 3</t>
  </si>
  <si>
    <t xml:space="preserve"> Brolæggerstræde 3</t>
  </si>
  <si>
    <t xml:space="preserve"> Forhuset (1796 af L.L. Thrane) </t>
  </si>
  <si>
    <t>Brolæggerstræde 4</t>
  </si>
  <si>
    <t xml:space="preserve"> Brolæggerstræde 4</t>
  </si>
  <si>
    <t xml:space="preserve"> Forhus med sidehus (1796-97 af A. C. Wilcken) og baghus</t>
  </si>
  <si>
    <t>Brolæggerstræde 5 og Knabrostræde 11-13</t>
  </si>
  <si>
    <t xml:space="preserve"> Brolæggerstræde 5 og Knabrostræde 11-13</t>
  </si>
  <si>
    <t xml:space="preserve"> Forhus mod Brolæggerstræde med sidehus, bryggeribygningen i gårdens østhjørne samt forhusene Knabrostræde 11- 13 (Brolæggerstræde 5 fra 1796-97, Knabrostræde 11-13 med pakhuset mod gaden fra 1796-99)</t>
  </si>
  <si>
    <t>Brolæggerstræde 6</t>
  </si>
  <si>
    <t xml:space="preserve"> Brolæggerstræde 6</t>
  </si>
  <si>
    <t xml:space="preserve"> Forhuset og dermed sammenbygget sidehus på fire fag modmnr 78 (1797-98)</t>
  </si>
  <si>
    <t>Brolæggerstræde 8, hj af Knabrostræde</t>
  </si>
  <si>
    <t xml:space="preserve"> Brolæggerstræde 8</t>
  </si>
  <si>
    <t xml:space="preserve"> Hjørnebygningen (1796-97 af ChristianMartens)</t>
  </si>
  <si>
    <t>Brolæggerstræde 9 og Knabrostræde 16</t>
  </si>
  <si>
    <t xml:space="preserve"> Gyldenfeldts Gård</t>
  </si>
  <si>
    <t xml:space="preserve"> Hjørnebygningen, forhuset modKnabrostræde og det dermed sammenbyggede pakhus (1796-98)</t>
  </si>
  <si>
    <t>Brønshøjvej 29</t>
  </si>
  <si>
    <t xml:space="preserve"> Brønshøj Vandtårn</t>
  </si>
  <si>
    <t xml:space="preserve"> Brønshøj Vandtårn (1928 af Ib Lunding)</t>
  </si>
  <si>
    <t>Børsgade 2</t>
  </si>
  <si>
    <t xml:space="preserve"> Børsen</t>
  </si>
  <si>
    <t xml:space="preserve"> Børsbygningen (1619-31 af Lorenz van Steenwinckel og Hans II van Steenwinckel) indbefattet rampen (fra 1745 af Niels Eigtved) med Neptun- og Mercurstatuerne (af Johan ChristophPetzold)</t>
  </si>
  <si>
    <t>Christiansborg Slot 1</t>
  </si>
  <si>
    <t xml:space="preserve"> Christiansborg</t>
  </si>
  <si>
    <t xml:space="preserve"> Ridebaneanlæggets bygninger og Marmorbroen med kajmuren  mod syd (1733-45 af Elias David Häusser og Niels Eigtved), slotskirken og de tre løngange samt slottets oghøjesterets facader mod Prins Jørgens Gård (1803-26 af C. F. Hansen)</t>
  </si>
  <si>
    <t>Christianshavns Vold og Grave, herunder Christianshavns Voldgade 50, 52 og 54, Krudtløbsvej 8,Langebrogade 4 og 10, Refshalevej 110 samt Torvegade 75 og 79</t>
  </si>
  <si>
    <t xml:space="preserve"> Christianshavns Vold og Grave</t>
  </si>
  <si>
    <t xml:space="preserve"> Fæstningsanlægget med grave og jordværker samt alle herpå liggende vejanlæg (1618 af Johan Semp, udvidet og ændret i 1670'erne samt 1685 og følgende år af Gottfried Hoffmann). Følgende på fæstningen stående bygninger: bindingsværkshuset delvist med træbeklædning (opført 1861) og det grundmurede hus (opført 1800),* begge på Quinti Lynette; krudttårnet i Charlotte Amalies Bastion (1744-45 af C. E.D. von Oetken) </t>
  </si>
  <si>
    <t>Classensgade 52-68</t>
  </si>
  <si>
    <t xml:space="preserve"> Ved Classens Have</t>
  </si>
  <si>
    <t xml:space="preserve"> "Etagebeboelseskomplekset ""Ved Classens Have"" med tilhørende køkkengårde, garageanlæg og havemur med låge, opført 1924-25 af Carl Petersen, PovlBaumann, Ole Falkentorp m.fl. </t>
  </si>
  <si>
    <t>Dampfærgevej 2, 4 og Amerikakaj 5</t>
  </si>
  <si>
    <t xml:space="preserve"> Frihavnens Elektriske Centralstation (tidl)</t>
  </si>
  <si>
    <t xml:space="preserve"> Dampfærgevej 2: Elektricitetsværket (1894-95 af Vilhelm Dahlerup) med tilføjelser (1899), Damfærgevej 4: Værkstedsbygning (1913 af Henning Jørgensen) og Amerikakaj 5: Kedelhuset med tilhørende skorsten(1899 af Fr. Levy)</t>
  </si>
  <si>
    <t>Dantes Plads 7</t>
  </si>
  <si>
    <t xml:space="preserve"> Ny Carlsberg Glyptotek</t>
  </si>
  <si>
    <t xml:space="preserve"> Ny Carlsberg Glyptoteks museumsbygning (1897-1906 afVilhelm Dahlerup og 1921-25 af Hack Kampmann) og indre gårdspladser samt forpladsen mod Dantes Plads og haveanlæggene mod Tietgensgade, Ved Glyptoteket og Niels Brocksgade</t>
  </si>
  <si>
    <t>Delfingade 2-56 m.fl. adresser</t>
  </si>
  <si>
    <t xml:space="preserve"> Nyboder</t>
  </si>
  <si>
    <t xml:space="preserve"> Delfingade 2-56, Elsdyrgade 1-49, Fredericiagade 54-74,Gammelvagt 2-6, Gernersgade 2-18, Haregade 1-22, Hjertensfrydsgade 1-17, Krokodillegade 2-22, OlfertFischersgade 19-43, Sankt Paulsgade 18-40, Store Kongensgade 107-151, Suensonsgade 1-52, 54, 56,58, 60, 62, 64 og 66, Svanegade 1-25 Tigergade 1-14, Vildandegade 1-12: de gule toetages længer (1631- 48, ombyggede fra enetages huse og for størstepartens vedkommende nybyggede ca 1750 og 1785-95). Sankt Paulsgade 20-40; enetages længe (1631-48, formentlig af Hans II van Steenwinckel og Leonhard Blasius). Den gamle Vagt (1787 af Peter Meyn)</t>
  </si>
  <si>
    <t xml:space="preserve"> Haregade23-35 (fortløbende numre) samt Kronprinsessegade 80, Gernersgade 24-46 (lige numre) samt Kronprinsessegade 78, Gernersgade 15-33 (ulige numre) samt Sankt Pauls Plads 12 og Borgergade 107, Rævegade 1-10 (fortløbende numre) samt Sankt Pauls Plads 10 og Borgergade 105, Rævegade 11-20 (fortløbende numre) samt Sankt Pauls Plads 8 og Borgergade 103, Sankt Paulsgade 13-33 (ulige numre) samt Sankt Pauls Plads 4 og Borgergade 99,Olfert Fischersgade 14-34 (lige numre) samt Sankt Pauls Plads 2 og Borgergade 97. Udvidet 2006</t>
  </si>
  <si>
    <t>Dronningensgade 11</t>
  </si>
  <si>
    <t xml:space="preserve"> Dronningensgade 11</t>
  </si>
  <si>
    <t xml:space="preserve"> Forhuset (ca 1788)</t>
  </si>
  <si>
    <t>Dronningensgade 13</t>
  </si>
  <si>
    <t xml:space="preserve"> Dronningensgade 13</t>
  </si>
  <si>
    <t xml:space="preserve"> Forhuset (ca 1775 over ældre kælder, forhøjet med førsteetage 1844)</t>
  </si>
  <si>
    <t>Dronningensgade 14</t>
  </si>
  <si>
    <t xml:space="preserve"> Dronningensgade 14</t>
  </si>
  <si>
    <t xml:space="preserve"> Forhuset (ca 1737)</t>
  </si>
  <si>
    <t>Dronningensgade 15</t>
  </si>
  <si>
    <t xml:space="preserve"> Dronningensgade 15</t>
  </si>
  <si>
    <t xml:space="preserve"> Forhuset (1775-76)</t>
  </si>
  <si>
    <t>Dronningensgade 21</t>
  </si>
  <si>
    <t xml:space="preserve"> Dronningensgade 21</t>
  </si>
  <si>
    <t xml:space="preserve"> Forhuset (1757)</t>
  </si>
  <si>
    <t>Dronningens Tværgade 10</t>
  </si>
  <si>
    <t xml:space="preserve"> Dronningens Tværgade 10</t>
  </si>
  <si>
    <t xml:space="preserve"> Forhus med sidehus (1802)</t>
  </si>
  <si>
    <t>Dronningens Tværgade 2, hj af Bredgade</t>
  </si>
  <si>
    <t xml:space="preserve"> Moltkes Palæ</t>
  </si>
  <si>
    <t xml:space="preserve"> Forhus mod Bredgade med tofags sidefløj mod Dr. Tværgade (1700-02 muligvis af Ernst Brandenburger, ombygget i 1720'rne af Johan Cornelius Krieger)</t>
  </si>
  <si>
    <t>Dronningens Tværgade 23-35 og Borgergade 15</t>
  </si>
  <si>
    <t xml:space="preserve"> Dronningegården</t>
  </si>
  <si>
    <t xml:space="preserve"> Det vinkelformede etageboligbyggerisamt  pladsen  afgrænset  af  bebyggelsen  Dronningens  Tværgade  og  Adelgade  (1943-44  af  Kay  Fisker, C. F.Møller og Eske Kristensen)</t>
  </si>
  <si>
    <t>Dronningens Tværgade 32-44 og Borgergade 17</t>
  </si>
  <si>
    <t xml:space="preserve"> Prinsessegården, del af Dronningegården</t>
  </si>
  <si>
    <t xml:space="preserve"> Det vinkelformede etageboligbyggeri samt pladsen afgrænset af bebyggelsen Dronningens Tværgade ogAdelgade (1956-58 af Kay Fisker, C.F. Møller og Eske Kristensen)</t>
  </si>
  <si>
    <t>Dronningens Tværgade 37-43</t>
  </si>
  <si>
    <t xml:space="preserve"> Christiansgården, del af Dronningegården</t>
  </si>
  <si>
    <t xml:space="preserve"> Det vinkelformede etageboligbyggeri samt pladsen afgrænset af bebyggelsen Dronningens Tværgade og Adelgade (1943 afKay Fisker, C.F.Møller og Eske Kristensen)</t>
  </si>
  <si>
    <t>Dronningens Tværgade 4</t>
  </si>
  <si>
    <t xml:space="preserve"> Palæ-garagerne</t>
  </si>
  <si>
    <t xml:space="preserve"> Palæ Garager.  Garageanlægget samt overdækningen af tankstationen ved anlæggets udkørsel (1933 af Oscar Gundlach-Pedersen og Højgaard &amp;amp; Schultz)</t>
  </si>
  <si>
    <t>Dronningens Tværgade 46-50</t>
  </si>
  <si>
    <t xml:space="preserve"> Kongegården, del af Dronningegården</t>
  </si>
  <si>
    <t xml:space="preserve"> Det vinkelformedeetageboligbyggeri samt pladsen afgrænset af bebyggelsen Dronningens Tværgade og Adelgade (1954-56 af Kay Fisker, C. F. Møller og Eske Kristensen)</t>
  </si>
  <si>
    <t>Dronningens Tværgade 5</t>
  </si>
  <si>
    <t xml:space="preserve"> Dronningens Tværgade 5</t>
  </si>
  <si>
    <t xml:space="preserve"> Forhuset og det dermed sammenbyggede sidehusaf samme højde som forhuset (1793-94 af H. C.  Ondrup), det bageste sidehus, det fritliggende baghus (ca 1850), brolægningen og porten i gården</t>
  </si>
  <si>
    <t>Dronningens Tværgade 56</t>
  </si>
  <si>
    <t xml:space="preserve"> Dronningens Tværgade 56</t>
  </si>
  <si>
    <t xml:space="preserve"> Forhus og dermed sammenbygget sidehus(1806-07 af Thomas Blom)</t>
  </si>
  <si>
    <t>Dronningens Tværgade 57</t>
  </si>
  <si>
    <t xml:space="preserve"> Dronningens Tværgade 57</t>
  </si>
  <si>
    <t xml:space="preserve"> Forhuset (1802-03 af Thomas Blom)</t>
  </si>
  <si>
    <t>Dronningens Tværgade 58</t>
  </si>
  <si>
    <t xml:space="preserve"> Dronningens Tværgade 58</t>
  </si>
  <si>
    <t xml:space="preserve"> Forhus og dermed sammenbygget sidehus samtenetages vognport (1808 af Thomas Blom)</t>
  </si>
  <si>
    <t>Dronningens Tværgade 59</t>
  </si>
  <si>
    <t xml:space="preserve"> Dronningens Tværgade 59</t>
  </si>
  <si>
    <t xml:space="preserve"> Forhuset (1803-04 af Thomas Blom)</t>
  </si>
  <si>
    <t>Dronningens Tværgade 61</t>
  </si>
  <si>
    <t xml:space="preserve"> Dronningens Tværgade 61</t>
  </si>
  <si>
    <t xml:space="preserve"> Forhuset (1804-05 af Thomas Blom)</t>
  </si>
  <si>
    <t>Dronningens Tværgade 7, 7A og 7B</t>
  </si>
  <si>
    <t xml:space="preserve"> Dronningens Tværgade 7 og 7 A-B</t>
  </si>
  <si>
    <t xml:space="preserve"> Forhuset med sidehus(murermester H.C. Ondrup og A. Giedde, 1794), mellemhuset (1800), baghuset med sidehus (1879) samt de tre brostensbelagte gårdrum</t>
  </si>
  <si>
    <t>Dybensgade 14</t>
  </si>
  <si>
    <t xml:space="preserve"> Dybensgade 14</t>
  </si>
  <si>
    <t>Dybensgade 21</t>
  </si>
  <si>
    <t xml:space="preserve"> Dybensgade 21</t>
  </si>
  <si>
    <t xml:space="preserve"> Forhus med sidehus (1800)</t>
  </si>
  <si>
    <t>Dybensgade 22</t>
  </si>
  <si>
    <t xml:space="preserve"> Dybensgade 22</t>
  </si>
  <si>
    <t xml:space="preserve"> Forhuset (1797 af Jens Dahl)</t>
  </si>
  <si>
    <t>Dybensgade 24</t>
  </si>
  <si>
    <t xml:space="preserve"> Dybensgade 24</t>
  </si>
  <si>
    <t xml:space="preserve"> Forhus med sidehus (1796 af Jens Dahl)</t>
  </si>
  <si>
    <t>Dyrkøb 3 og Skindergade 36</t>
  </si>
  <si>
    <t xml:space="preserve"> N. J.  Frænckels Alderdomshjem</t>
  </si>
  <si>
    <t xml:space="preserve"> De to forhuse og det mellemliggendesidehus (Dyrkøb 3 fra 1813-14, forhøjet med tre etager 1850-51; Skindergade 36 fra 1813, begge af Jens Hansen)</t>
  </si>
  <si>
    <t>Dyrkøb 7</t>
  </si>
  <si>
    <t xml:space="preserve"> Dyrkøb 7</t>
  </si>
  <si>
    <t xml:space="preserve"> Forhus med sidehus (ca 1870)</t>
  </si>
  <si>
    <t>Ehlersvej 17</t>
  </si>
  <si>
    <t xml:space="preserve"> Ehlersvej 17</t>
  </si>
  <si>
    <t xml:space="preserve"> Villaen med tilhørende garage og trappe samt mure med port (1930-31 af FritsSchlegel)</t>
  </si>
  <si>
    <t>Enghavevej 40</t>
  </si>
  <si>
    <t xml:space="preserve"> Folkets Hus</t>
  </si>
  <si>
    <t xml:space="preserve"> Forsamlingsbygningen (1953-56 af Vilhelm Lauritzen, gavlmosaik af DanSterup-Hansen)</t>
  </si>
  <si>
    <t>Esplanaden 15-17</t>
  </si>
  <si>
    <t xml:space="preserve"> Esplanaden 15-17</t>
  </si>
  <si>
    <t xml:space="preserve"> Den treetages bygning med tilbygget beværterpavillon (1856 afGF Hetsch)</t>
  </si>
  <si>
    <t>Esplanaden 6</t>
  </si>
  <si>
    <t xml:space="preserve"> Esplanaden 6</t>
  </si>
  <si>
    <t xml:space="preserve"> Vestre forhus (ca 1800, rimeligvis af Andreas Kirkerup)</t>
  </si>
  <si>
    <t>Ewaldsgade 5</t>
  </si>
  <si>
    <t xml:space="preserve"> Ewaldsgade 5</t>
  </si>
  <si>
    <t xml:space="preserve"> Villaen (1853 af N. S. Nebelong) </t>
  </si>
  <si>
    <t>Ewaldsgade 9 (tidl Ewaldsgade 7-9)</t>
  </si>
  <si>
    <t xml:space="preserve"> Ewaldsgade 9</t>
  </si>
  <si>
    <t xml:space="preserve"> Villaen (1858 af J. D. Herholdt) </t>
  </si>
  <si>
    <t>Fabriksområdet 111 A</t>
  </si>
  <si>
    <t xml:space="preserve"> Multihuset, Laboratoriets Hovedmagasin, Christiania</t>
  </si>
  <si>
    <t xml:space="preserve"> LandetatensLaboratoriums hovedmagasin, Multihuset, (1871 af ingeniørkaptajn Petersen)</t>
  </si>
  <si>
    <t>Fabriksområdet 56</t>
  </si>
  <si>
    <t xml:space="preserve"> Den grønne Hal, Christiania</t>
  </si>
  <si>
    <t xml:space="preserve"> Den grønne Hal (1847, opført som ridehus tilBådsmandsstrædes Kaserne)</t>
  </si>
  <si>
    <t>Fabriksområdet 76, Christiania</t>
  </si>
  <si>
    <t xml:space="preserve"> Det lille Krudthus, Christiania</t>
  </si>
  <si>
    <t xml:space="preserve"> Krudthuset i Ulriks Bastion, Det lilleKrudthus</t>
  </si>
  <si>
    <t>Farvergade 27 A-L og Løngangsstræde 24</t>
  </si>
  <si>
    <t xml:space="preserve"> Vartov</t>
  </si>
  <si>
    <t xml:space="preserve"> Bygningerne mod Farvergade, Vester Voldgade og Løngangsstræde (1724-54 af Johan Cornelius Krieger, ombygget og forhøjet 1855-60) samt tilbygningen til Løngangsstæde 24, beliggende i gårdens nordøstlige ende (1930 af Aage Rafn)</t>
  </si>
  <si>
    <t xml:space="preserve"> Udvidet1996**</t>
  </si>
  <si>
    <t>Fiolstræde 11</t>
  </si>
  <si>
    <t xml:space="preserve"> Fiolstræde 11</t>
  </si>
  <si>
    <t xml:space="preserve"> "Forhuset (1827-28 af P. M.  Quist) samt "løvhytte"-skuret i gården</t>
  </si>
  <si>
    <t>Fiolstræde 12-14</t>
  </si>
  <si>
    <t xml:space="preserve"> Fiolstræde 12-14</t>
  </si>
  <si>
    <t xml:space="preserve"> Forhuset (1838-39 af Mads Holm)</t>
  </si>
  <si>
    <t>Fiolstræde 13</t>
  </si>
  <si>
    <t xml:space="preserve">  Fiolstræde  13</t>
  </si>
  <si>
    <t xml:space="preserve">  Forhus  med  sidehus  (1830-31  af  F.C.  Balsløw)</t>
  </si>
  <si>
    <t>Fiolstræde 15</t>
  </si>
  <si>
    <t xml:space="preserve"> Fiolstræde 15</t>
  </si>
  <si>
    <t xml:space="preserve"> Forhuset (1833-34)</t>
  </si>
  <si>
    <t>Fiolstræde 16</t>
  </si>
  <si>
    <t xml:space="preserve"> Fiolstræde 16</t>
  </si>
  <si>
    <t xml:space="preserve"> Forhus (1728-32, istandsat og forhøjet med en etage 1807) med trappehus</t>
  </si>
  <si>
    <t>Fiolstræde 18, hj af Krystalgade</t>
  </si>
  <si>
    <t xml:space="preserve"> Fiolstræde 18</t>
  </si>
  <si>
    <t xml:space="preserve"> Hjørnehuset med side- og baghus (1734)</t>
  </si>
  <si>
    <t>Fiolstræde 19</t>
  </si>
  <si>
    <t xml:space="preserve"> Fiolstræde 19</t>
  </si>
  <si>
    <t xml:space="preserve"> Forhus med sidehus (1836 af Thomas Blom)</t>
  </si>
  <si>
    <t>Fiolstræde 20 og Krystalgade 16</t>
  </si>
  <si>
    <t xml:space="preserve"> Fiolstræde 20 og Krystalgade 16</t>
  </si>
  <si>
    <t xml:space="preserve"> Hjørnebygningen ved Krystalgade samt detfemfags forhus Krystalgade 16 (1810-11)</t>
  </si>
  <si>
    <t>Fiolstræde 21</t>
  </si>
  <si>
    <t xml:space="preserve"> Fiolstræde 21</t>
  </si>
  <si>
    <t xml:space="preserve"> Forhus med sidehus (1835-36 af Thomas Blom)</t>
  </si>
  <si>
    <t>Fiolstræde 23</t>
  </si>
  <si>
    <t xml:space="preserve"> Fiolstræde 23</t>
  </si>
  <si>
    <t xml:space="preserve"> Forhus med sidehus (1834-35 af Thomas Blom)</t>
  </si>
  <si>
    <t>Fiolstræde 24</t>
  </si>
  <si>
    <t xml:space="preserve"> Fiolstræde 24</t>
  </si>
  <si>
    <t xml:space="preserve"> Forhuset (1857 af Jacob Beierholm Wenzel)</t>
  </si>
  <si>
    <t>Fiolstræde 25 og 27</t>
  </si>
  <si>
    <t xml:space="preserve"> Fiolstræde 25-27</t>
  </si>
  <si>
    <t xml:space="preserve"> Forhuset nr 25 (1814-15)</t>
  </si>
  <si>
    <t>Fiolstræde 26</t>
  </si>
  <si>
    <t xml:space="preserve"> Fiolstræde 26</t>
  </si>
  <si>
    <t xml:space="preserve"> Forhuset (1808-09 af C.I.Schmidt) </t>
  </si>
  <si>
    <t>Fiolstræde 28</t>
  </si>
  <si>
    <t xml:space="preserve"> Fiolstræde 28</t>
  </si>
  <si>
    <t xml:space="preserve"> Forhus (1812-14) med side- og baghus (1851)</t>
  </si>
  <si>
    <t xml:space="preserve"> Udviddet 1976</t>
  </si>
  <si>
    <t>Fiolstræde 29</t>
  </si>
  <si>
    <t xml:space="preserve"> Fiolstræde 29</t>
  </si>
  <si>
    <t xml:space="preserve"> Forhuset (1810 af J.C.Wahl)</t>
  </si>
  <si>
    <t>Fiolstræde 30 og 32</t>
  </si>
  <si>
    <t xml:space="preserve"> Fiolstræde 30-32</t>
  </si>
  <si>
    <t xml:space="preserve"> Nr 30: forhuset (1823, forhøjet med tre etager 1848)*; nr 32: forhuset og de to sidehuse nærmest dette op mod mnr 179 (forhuset 1832, sidehusene 1809)</t>
  </si>
  <si>
    <t>Fiolstræde 34 og 36</t>
  </si>
  <si>
    <t xml:space="preserve"> Fiolstræde 34-36</t>
  </si>
  <si>
    <t xml:space="preserve"> Forhuset nr 34 (1810-11 af Poul Egeroed). Forhuset nr 36 og detdertil tilhørende sidehus med samme gesimshøjde (1812 af Poul Egeroed)</t>
  </si>
  <si>
    <t>Fiolstræde 38</t>
  </si>
  <si>
    <t xml:space="preserve"> Fiolstræde 38</t>
  </si>
  <si>
    <t xml:space="preserve"> Forhuset (1827)</t>
  </si>
  <si>
    <t>Fiolstræde 40-42, hj af Rosengården</t>
  </si>
  <si>
    <t xml:space="preserve"> Fiolstræde 40-42</t>
  </si>
  <si>
    <t xml:space="preserve"> Fiolstræde 40: forhus (1828), Fiolstræde 42:hjørnehus (1827) samt mellembygning (1973)</t>
  </si>
  <si>
    <t>Fiolstræde 4-6, hj af Store Kannikestræde</t>
  </si>
  <si>
    <t xml:space="preserve"> Metropolitanskolen (tidl)</t>
  </si>
  <si>
    <t xml:space="preserve"> Hovedbygningen, tidl gymnastiksalog mure mod gaderne (1811-16 af C.F. Hansen)</t>
  </si>
  <si>
    <t>Fiolstræde 7</t>
  </si>
  <si>
    <t xml:space="preserve"> Fiolstræde 7</t>
  </si>
  <si>
    <t xml:space="preserve"> Forhuset (1819)</t>
  </si>
  <si>
    <t>Fiolstræde 8, hj af Store Kannikestræde</t>
  </si>
  <si>
    <t xml:space="preserve"> Stiftsprovstboligen</t>
  </si>
  <si>
    <t xml:space="preserve"> Hjørnebygningen (ca 1840-41) og murenmod Fiolstræde</t>
  </si>
  <si>
    <t>Fiolstræde 9</t>
  </si>
  <si>
    <t xml:space="preserve"> Fiolstræde 9</t>
  </si>
  <si>
    <t xml:space="preserve"> Forhuset (1829 af F.C. Balsløw)</t>
  </si>
  <si>
    <t>Folke Bernadottes Allé 45</t>
  </si>
  <si>
    <t xml:space="preserve"> Toldvagten</t>
  </si>
  <si>
    <t xml:space="preserve"> Hovedbygningen (1894 af Erik Schiødte), sidelængen (1918 af J.C.M.  Agerskov) og den treetages tilbygning (1932 af John Dich) samt de omgivende perroner med støbejernssøjler</t>
  </si>
  <si>
    <t>Folmer Bendtsens Plads 17/ Nørrebrogade 253, tidl Lundtoftegade 147</t>
  </si>
  <si>
    <t xml:space="preserve"> Nørrebro Station</t>
  </si>
  <si>
    <t xml:space="preserve">Stationsbygningen (1929-30 af K. T. Seest) </t>
  </si>
  <si>
    <t>Fortunstræde 1, hj af Admiralgade</t>
  </si>
  <si>
    <t xml:space="preserve"> Fortunstræde 1</t>
  </si>
  <si>
    <t xml:space="preserve"> Hjørnebygningen med to sammenbyggede sidehuse(1797-98 af Johan Christopher Suhr, mansardtaget nyt)</t>
  </si>
  <si>
    <t>Fredericiagade 12</t>
  </si>
  <si>
    <t xml:space="preserve"> Fredericiagade 12</t>
  </si>
  <si>
    <t>Fredericiagade 14-14 A</t>
  </si>
  <si>
    <t xml:space="preserve"> Forhus med side- og baghus (1854)</t>
  </si>
  <si>
    <t>Fredericiagade 21, hj af Bredgade</t>
  </si>
  <si>
    <t xml:space="preserve"> Hansens Palæ</t>
  </si>
  <si>
    <t xml:space="preserve"> Forhuset på (1835 af Jørgen Hansen Koch)</t>
  </si>
  <si>
    <t>Fredericiagade 24-28 og Bredgade 59</t>
  </si>
  <si>
    <t xml:space="preserve"> Landsretsbygningen, Operahuset</t>
  </si>
  <si>
    <t xml:space="preserve"> Hovedbygningen (1701-03antagelig af Johan Conrad Ernst, ombygget 1769 af C. F. Harsdorff) og den lange bygning med gavl mod Fredericiagade</t>
  </si>
  <si>
    <t>Fredericiagade 4</t>
  </si>
  <si>
    <t xml:space="preserve"> Fredericiagade 4</t>
  </si>
  <si>
    <t xml:space="preserve"> Forhus i syv fag (1854)</t>
  </si>
  <si>
    <t>Fredericiagade 8</t>
  </si>
  <si>
    <t xml:space="preserve"> Forhus i syv fag (1852)</t>
  </si>
  <si>
    <t xml:space="preserve"> Fredericiagade 86 A</t>
  </si>
  <si>
    <t xml:space="preserve"> Forhuset (1600-tallets slutning)</t>
  </si>
  <si>
    <t>Fredericiagade 88</t>
  </si>
  <si>
    <t xml:space="preserve"> Fredericiagade 88</t>
  </si>
  <si>
    <t xml:space="preserve"> Forhus og sidehus mod mnr 452 (1600-tallets slutning)</t>
  </si>
  <si>
    <t>Fredericiagade 90</t>
  </si>
  <si>
    <t xml:space="preserve"> Fredericiagade 90</t>
  </si>
  <si>
    <t xml:space="preserve"> Forhuset (1746, forhøjet 1847)</t>
  </si>
  <si>
    <t>Fredericiagade 92</t>
  </si>
  <si>
    <t xml:space="preserve"> Fredericiagade 92</t>
  </si>
  <si>
    <t>Fredericiagade 94 (tidl også Rigensgade 18)</t>
  </si>
  <si>
    <t xml:space="preserve"> Fredericiagade 94</t>
  </si>
  <si>
    <t xml:space="preserve"> Forhuset mod Fredericiagade (1739,forhøjet 1855)</t>
  </si>
  <si>
    <t>Frederiksgade 10</t>
  </si>
  <si>
    <t xml:space="preserve"> Frederiksgade 10</t>
  </si>
  <si>
    <t xml:space="preserve"> Forhuset med de to udbygninger mod syd samt støbejernsgitreneomkring forhaven (1880'erne af Ferdinand Meldahl)</t>
  </si>
  <si>
    <t>Frederiksgade 11</t>
  </si>
  <si>
    <t xml:space="preserve"> Frederiksgade 11</t>
  </si>
  <si>
    <t xml:space="preserve"> Forhuset, de to sidehuse, baghuset samt støbejernsgitret omkringforhaven (1880'erne af Ferdinand Meldahl)</t>
  </si>
  <si>
    <t>Frederiksgade 12-14 og Bredgade 47-49</t>
  </si>
  <si>
    <t xml:space="preserve"> Frederiksgade 12-14 og Bredgade 47-49</t>
  </si>
  <si>
    <t xml:space="preserve"> Den samlede forhusbebyggelse mod Bredgade og Frederiksgade, de to udbygninger mod syd, muren med støbejernsport, gården mod Frederiksgade samt støbejernsgitrene omkring forhaverne (1880'erne afFerdinand Meldahl)</t>
  </si>
  <si>
    <t>Frederiksgade 17, hj af Bredgade</t>
  </si>
  <si>
    <t>Dehns Palæ</t>
  </si>
  <si>
    <t xml:space="preserve"> Dehns Palæ, del af Palæets hjørnepavillon og mellembygning(1752- 55 af Gottfried Rosenberg efter fortegning af Niels Eigtved)</t>
  </si>
  <si>
    <t>Frederiksgade 18 A</t>
  </si>
  <si>
    <t xml:space="preserve"> Dronningens Ridehus</t>
  </si>
  <si>
    <t xml:space="preserve"> Ridehuset (1800, muligvis Boye Magens)</t>
  </si>
  <si>
    <t>Frederiksgade 1 og Store Kongensgade 86-88</t>
  </si>
  <si>
    <t xml:space="preserve"> Frederiksgade 1 og Store Kongensgade 86-88</t>
  </si>
  <si>
    <t xml:space="preserve"> Denfirefløjede bebyggelse og støbejernsgitrene ved trappen i sydgavlen og omkring forhaven (1880'erne af Ferdinand Meldahl)</t>
  </si>
  <si>
    <t>Frederiksgade 5</t>
  </si>
  <si>
    <t xml:space="preserve"> Frederiksgade 5</t>
  </si>
  <si>
    <t xml:space="preserve"> Forhuset og støbejernsgitret omkring forhaven (1880'erne af FerdinandMeldahl)</t>
  </si>
  <si>
    <t>Frederiksgade 6</t>
  </si>
  <si>
    <t xml:space="preserve"> Frederiksgade 6</t>
  </si>
  <si>
    <t xml:space="preserve"> Forhuset, de to sidehuse og støbejernsgitret omkring forhaven(1880'erne af Ferdinand Meldahl)</t>
  </si>
  <si>
    <t>Frederiksgade 7</t>
  </si>
  <si>
    <t xml:space="preserve"> Frederiksgade 7</t>
  </si>
  <si>
    <t xml:space="preserve"> Forhuset, sidehuset og baghuset samt støbejernsgitrene omkringforhaven (1880'erne af Ferdinand Meldahl)</t>
  </si>
  <si>
    <t>Frederiksgade 8</t>
  </si>
  <si>
    <t xml:space="preserve"> Frederiksgade 8</t>
  </si>
  <si>
    <t xml:space="preserve"> Forhuset, de to sidehuse samt støbejernsgitret omkring forhaven(1880'erne af Ferdinand Meldahl)</t>
  </si>
  <si>
    <t>Frederiksgade 9</t>
  </si>
  <si>
    <t xml:space="preserve"> Frederiksgade 9</t>
  </si>
  <si>
    <t xml:space="preserve"> Forhuset, de to sidehuse, baghuset samt støbejernsgitrene omkringforhaven (1880'erne af Ferdinand Meldahl)</t>
  </si>
  <si>
    <t>Frederiksholms Kanal 12</t>
  </si>
  <si>
    <t xml:space="preserve"> Nationalmuseet, Prinsens Palæ</t>
  </si>
  <si>
    <t xml:space="preserve"> Palæet (1684, udvidet og ombygget 1726 ffaf Johan Cornelius Krieger, og 1743-44 af Niels Eigtved)</t>
  </si>
  <si>
    <t>Frederiksholms Kanal 16</t>
  </si>
  <si>
    <t xml:space="preserve"> Frederiksholms Kanal 16</t>
  </si>
  <si>
    <t xml:space="preserve"> Forhuset (1851-52 af H. C. Stilling) </t>
  </si>
  <si>
    <t>Frederiksholms Kanal 18</t>
  </si>
  <si>
    <t xml:space="preserve"> Frederiksholms Kanal 18</t>
  </si>
  <si>
    <t xml:space="preserve"> Forhuset (1851-52 af H.C. Stilling) samt det meddette sammenbyggede sidehus</t>
  </si>
  <si>
    <t xml:space="preserve"> Udvidet 1992*</t>
  </si>
  <si>
    <t>Frederiksholms Kanal 20 og Ny Kongensgade 4</t>
  </si>
  <si>
    <t xml:space="preserve"> Frederiksholms Kanal 20 og Ny Kongensgade 4</t>
  </si>
  <si>
    <t>Hjørnehuset (1700-tallet forhøjet og ombygget fuldstændigt i 1848) og pakhuset (1848) samt forhuset Ny Kongensgade 4 (1848)</t>
  </si>
  <si>
    <t>Frederiksholms Kanal 21-23 og Tøjhusgade 5-11</t>
  </si>
  <si>
    <t xml:space="preserve"> Staldmestergården og Havremagasinet</t>
  </si>
  <si>
    <t xml:space="preserve"> Staldmestergården på hj af Tøjhusgade (1703-06 af Wilhelm Friedrich von Platen og Christof Marselis) og bagved liggende enetages bygning.  Garagebygningen ved Christian IV's Bryghus, Havremagasinet (ca1820-40)</t>
  </si>
  <si>
    <t>Frederiksholms Kanal 24</t>
  </si>
  <si>
    <t xml:space="preserve"> Frederiksholms Kanal 24</t>
  </si>
  <si>
    <t xml:space="preserve"> Forhus og dermed sammenbygget etfagsbygningmod gaden op til mnr 289 (1740'rne)</t>
  </si>
  <si>
    <t>Frederiksholms Kanal 26-28 og Vester Voldgade 119</t>
  </si>
  <si>
    <t xml:space="preserve"> Hestgardekasernen og Materialgården</t>
  </si>
  <si>
    <t xml:space="preserve"> Den tidlhestgardekaserne (1792 af Andreas Kirkerup, brændt og genopført 1798); Materialgårdens lange bygning mod kanalen (opført 1771 af G. D.  Anthon) og bygningerne langs skellet til mnr 246</t>
  </si>
  <si>
    <t>Frederiksholms Kanal 29, hj af Christians Brygge</t>
  </si>
  <si>
    <t xml:space="preserve"> Christian IV's Bryghus</t>
  </si>
  <si>
    <t xml:space="preserve"> Bryghusbygningen (opført1616-18 på skansemure formentlig fra 1607-09; genopført og istandsat efter brande 1632 og 1767)</t>
  </si>
  <si>
    <t>Frederiksholms Kanal 30 og Bryghusgade 2</t>
  </si>
  <si>
    <t xml:space="preserve"> Fæstningens Materialgård</t>
  </si>
  <si>
    <t xml:space="preserve"> Forhuset mod kanalen (materialforvalterboligen 1740, ombygget 1940) med sammenhængende sidehuse og fløjene mod Bryghusgade (1768, udvidet 1818) og Vester Voldgade (magasinet 1748) og mure og porte mod gaderne</t>
  </si>
  <si>
    <t xml:space="preserve"> Fredningen udvidet 2007 med gårdrummet</t>
  </si>
  <si>
    <t>Frue Plads og Fiolstræde 1</t>
  </si>
  <si>
    <t xml:space="preserve"> Københavns Universitet</t>
  </si>
  <si>
    <t xml:space="preserve"> Hovedbygningen (1831-36 af Peder Malling), Konsistoriebygningen (ca 1420) og Universitetsbiblioteket (1857-61 af J. D. Herholdt) </t>
  </si>
  <si>
    <t xml:space="preserve"> Udvidet1950</t>
  </si>
  <si>
    <t>Fælledvej 4</t>
  </si>
  <si>
    <t xml:space="preserve"> Fælledvej 4</t>
  </si>
  <si>
    <t xml:space="preserve"> Det trefags baghus (1921 af H.P.N.Hedemann med indvendige dekorationer afRobert Storm Petersen (Storm P)</t>
  </si>
  <si>
    <t>Gammel Carlsberg Vej og Solbakken (mellem)</t>
  </si>
  <si>
    <t xml:space="preserve"> Carlsbergviadukten</t>
  </si>
  <si>
    <t xml:space="preserve"> Brokonstruktionen af stål samt defem piller, som konstruktionen hviler på (1899 af DSB ved ingeniør Kristen Møller)</t>
  </si>
  <si>
    <t>Gammel Mønt 17</t>
  </si>
  <si>
    <t xml:space="preserve"> Gammel Mønt 17</t>
  </si>
  <si>
    <t xml:space="preserve"> Forhus (1730-37, bagsiden grundmuret og forsynet med kvist før 1781, facadeudsmykning 1883-91), baghus og trappehus samt muren mod Sværtegade</t>
  </si>
  <si>
    <t>Gammel Mønt 19</t>
  </si>
  <si>
    <t xml:space="preserve"> Gammel Mønt 19</t>
  </si>
  <si>
    <t xml:space="preserve"> Forhuset (1732, forhøjet 1780)</t>
  </si>
  <si>
    <t>Gammel Mønt 21</t>
  </si>
  <si>
    <t xml:space="preserve"> Gammel Mønt 21</t>
  </si>
  <si>
    <t xml:space="preserve"> Forhus med sidehus (1730-37, forhøjet 1755-60, facadengrundmuret før 1780, mansard før 1785)</t>
  </si>
  <si>
    <t xml:space="preserve"> Udvidet 1980*</t>
  </si>
  <si>
    <t>Gammel Mønt 23</t>
  </si>
  <si>
    <t xml:space="preserve"> Gammel Mønt 23</t>
  </si>
  <si>
    <t xml:space="preserve"> Forhus og sidehus (1730-35, forhøjet før 1765, ombygget og facadengrundmuret mellem 1765 og 1804, bagsiden delvis grundmuret 1837)</t>
  </si>
  <si>
    <t>Gammel Mønt 25</t>
  </si>
  <si>
    <t xml:space="preserve"> Gammel Mønt 25</t>
  </si>
  <si>
    <t xml:space="preserve"> Forhus og sidehus (1729, grundmuret og forhøjet formentlig 1788-89,facadeudsmykning 1891)</t>
  </si>
  <si>
    <t>Gammel Mønt 27</t>
  </si>
  <si>
    <t xml:space="preserve"> Gammel Mønt 27</t>
  </si>
  <si>
    <t xml:space="preserve"> Forhus med trappehus (1730-35, forhøjet og bagsiden grundmuret1793-94)</t>
  </si>
  <si>
    <t>Gammel Mønt 29</t>
  </si>
  <si>
    <t xml:space="preserve"> Gammel Mønt 29</t>
  </si>
  <si>
    <t xml:space="preserve"> Forhus og sidehus (1730-35, forhøjet 1743, 1779 og 1847,gadesiden grundmuret 1779)</t>
  </si>
  <si>
    <t>Gammel Mønt 31</t>
  </si>
  <si>
    <t xml:space="preserve"> Gammel Mønt 31</t>
  </si>
  <si>
    <t xml:space="preserve"> Forhuset (1732, forhøjet 1831)</t>
  </si>
  <si>
    <t>Gammel Mønt 35</t>
  </si>
  <si>
    <t xml:space="preserve"> Gammel Mønt 35</t>
  </si>
  <si>
    <t xml:space="preserve"> Forhuset (1730-36, ombygget 1760-80, forhøjet mellem 1835 og1853)</t>
  </si>
  <si>
    <t>Gammel Mønt 37</t>
  </si>
  <si>
    <t xml:space="preserve"> Gammel Mønt 37</t>
  </si>
  <si>
    <t xml:space="preserve"> Forhus med side- og trappehus (1730-35, forhøjet og grundmuret før1793, fabriksetage ca 1850)</t>
  </si>
  <si>
    <t>Gammel Mønt 39</t>
  </si>
  <si>
    <t xml:space="preserve"> Gammel Mønt 39</t>
  </si>
  <si>
    <t xml:space="preserve"> Forhuset (1731, forhøjet og ombygget 1748-87 og senere)</t>
  </si>
  <si>
    <t>Gammel Mønt 41, hj af Møntergade</t>
  </si>
  <si>
    <t xml:space="preserve"> Gammel Mønt 41</t>
  </si>
  <si>
    <t xml:space="preserve"> Hjørnehuset (1734)</t>
  </si>
  <si>
    <t xml:space="preserve"> Udvidet 1984</t>
  </si>
  <si>
    <t>Gammel Strand 36</t>
  </si>
  <si>
    <t xml:space="preserve"> Gammel Strand 36</t>
  </si>
  <si>
    <t xml:space="preserve"> Forhus, sidehus og dermed sammenbygget baghus (1800-01 afJohan Christopher Suhr)</t>
  </si>
  <si>
    <t>Gammel Strand 38</t>
  </si>
  <si>
    <t xml:space="preserve"> Gammel Strand 38</t>
  </si>
  <si>
    <t xml:space="preserve"> Forhus og hele det med dette sammenbyggede sidehus (1798-99)</t>
  </si>
  <si>
    <t xml:space="preserve"> Udvidet 1990*</t>
  </si>
  <si>
    <t>Gammel Strand 40 og Læderstræde 9</t>
  </si>
  <si>
    <t xml:space="preserve"> Gammel Strand 40 og Læderstræde 9</t>
  </si>
  <si>
    <t xml:space="preserve"> Forhus mod Gammel Strandmed sidehus (1799-1801) og forhus mod Læderstræde (1830)</t>
  </si>
  <si>
    <t>Gammel Strand 42</t>
  </si>
  <si>
    <t xml:space="preserve"> Gammel Strand 42</t>
  </si>
  <si>
    <t xml:space="preserve"> Forhuset med sidehus samt baghus (1799-1800 af ChristopherChrane)</t>
  </si>
  <si>
    <t>Gammel Strand 44</t>
  </si>
  <si>
    <t xml:space="preserve"> Gammel Strand 44</t>
  </si>
  <si>
    <t xml:space="preserve"> Forhuset med de to sidehuse samt baghus (1797 af F.C.G. Koop, fjerde etage forhøjet 1855, kvisten fra 1930)</t>
  </si>
  <si>
    <t>Gammel Strand 46</t>
  </si>
  <si>
    <t xml:space="preserve"> Gammel Strand 46</t>
  </si>
  <si>
    <t xml:space="preserve"> Forhuset med side- og baghus (1732-33, genopbygget 1796-97 afAndreas Hallander)</t>
  </si>
  <si>
    <t>Gammel Strand 48 og Læderstræde 15</t>
  </si>
  <si>
    <t xml:space="preserve"> Gammel Strand 48 og Læderstræde 15</t>
  </si>
  <si>
    <t xml:space="preserve"> Forhuset med sidehus mod nord samt forhus mod Læderstræde med sidehus mod syd (Gammel Strand 48 fra 1750-51 af Philip de Lange, efter brand 1795 ombygget 1796-97, kvisten fra 1930; Læderstræde 15 fra 1796 af J. C. Taubert) </t>
  </si>
  <si>
    <t>Gammel Strand 50</t>
  </si>
  <si>
    <t xml:space="preserve"> Gammel Strand 50</t>
  </si>
  <si>
    <t xml:space="preserve"> Forhuset med sidehuse og baghus (1796-97, forhøjet med enetage 1853)</t>
  </si>
  <si>
    <t>Gammel Strand 52, hj af Naboløs</t>
  </si>
  <si>
    <t xml:space="preserve"> Gammel Strand 52</t>
  </si>
  <si>
    <t xml:space="preserve"> Hjørnebygningen (1797-98 af H.C.Ondrup) </t>
  </si>
  <si>
    <t>Gammeltorv</t>
  </si>
  <si>
    <t xml:space="preserve"> Caritasbrønden</t>
  </si>
  <si>
    <t xml:space="preserve"> Springvandet med underliggende brøndkammer (1607-09 af Peter Hoffmann, springvandsfiguren af Statius Otto; ombygget 1784-85, muligvis efter tegning af Georg Erdman Rosenberg, brønden overhvælvet af Henrich Brandemann, soklen under kummen stammer fra denneombygning; radikalt ændret 1890-92 af Ludvig Fenger)</t>
  </si>
  <si>
    <t>Gammeltorv 14</t>
  </si>
  <si>
    <t xml:space="preserve"> Gammeltorv 14</t>
  </si>
  <si>
    <t xml:space="preserve"> Forhus med side- og baghus (1798)</t>
  </si>
  <si>
    <t>Gammeltorv 18</t>
  </si>
  <si>
    <t xml:space="preserve"> Gammeltorv 18</t>
  </si>
  <si>
    <t xml:space="preserve"> Forhus med sidehus samt det nordvestre baghus på fem fag (1796-97)</t>
  </si>
  <si>
    <t>Gammeltorv 22</t>
  </si>
  <si>
    <t xml:space="preserve"> Den Suhrske Gård</t>
  </si>
  <si>
    <t xml:space="preserve"> Forhus med sidehus samt baghus af røde sten mod gården (1796-97)</t>
  </si>
  <si>
    <t>Gammeltorv 6</t>
  </si>
  <si>
    <t xml:space="preserve"> Stellings Hus</t>
  </si>
  <si>
    <t xml:space="preserve"> Hjørnehuset (1937 af Arne Jacobsen)</t>
  </si>
  <si>
    <t>Gammel Vartovvej 22</t>
  </si>
  <si>
    <t xml:space="preserve"> Gammel Vartovvej 22</t>
  </si>
  <si>
    <t xml:space="preserve"> Villaen (1920 af Aage Rafn, udvidet 1933 af Ole Jacobsen)med vindfang samt garagebygning (1949) og udhus</t>
  </si>
  <si>
    <t>Gasværksvej 25-27 og Istedgade 31</t>
  </si>
  <si>
    <t xml:space="preserve"> Skomagersvendebroderskabets Stiftelse</t>
  </si>
  <si>
    <t xml:space="preserve"> Stiftelsesbygningen (1858-59 afCarl Rasmussen)</t>
  </si>
  <si>
    <t xml:space="preserve">Georg Brandes Plads 2-8 og Sølvgade 40 </t>
  </si>
  <si>
    <t xml:space="preserve"> Sølvgades Kaserne</t>
  </si>
  <si>
    <t xml:space="preserve"> Det firefløjede anlæg med port og toportbygninger samt port og mur ved mnr 420b.  (1765-71 af Nicolas-Henri Jardin)</t>
  </si>
  <si>
    <t>Gothersgade 100 (tidl Øster Voldgade 2 A-F)</t>
  </si>
  <si>
    <t xml:space="preserve"> Garderkasernen</t>
  </si>
  <si>
    <t xml:space="preserve"> Kasernebygningen (den store bygnings midtpavillon oprindelig et lysthus, opført under Christian V, ombygget 1742 af Johan Cornelius Krieger til "laurierhus" og udvidet med lange sidefløje og endepavilloner, ombygget 1785 til garderkaserne af Ernst Peymann, bygningerne forhøjet med en etage og mansard i 1845-47, den mindre fløj mod nordøst,oprindelig domestikhus, fra 1742)</t>
  </si>
  <si>
    <t>Gothersgade 111, hj af Rosenborggade og hj af Åbenrå</t>
  </si>
  <si>
    <t xml:space="preserve"> Kirkebygningen, kirkegården med indhegninger, gravminder, brolægningen og træer (1688-94 af Hendrik Brokham, monument for søhelten Olfert Fischer af G. B. Hagen og Hans W. Larsen, 1920, indhegning 1902-3 af Christian L.Thuren)</t>
  </si>
  <si>
    <t>Gothersgade 140</t>
  </si>
  <si>
    <t xml:space="preserve"> Botanisk Laboratorium</t>
  </si>
  <si>
    <t xml:space="preserve"> Botanisk Laboratorium/Det Samfundsfaglige Fakultetsbibliotek bestående af hovedbygning med tværfløj og mure og piller omkring de to gårde, gitter mod Gothersgade, strækkende sig til afgrænsningen mod Botanisk Have, og mod Farimagsgade til afgrænsningen mod tilbygningen samt indgangspartiet med portpiller og to platantræer, (1888-90, arkitekt Johan DanielHerholdt)</t>
  </si>
  <si>
    <t>Gothersgade 143</t>
  </si>
  <si>
    <t xml:space="preserve"> Gothersgade 143</t>
  </si>
  <si>
    <t xml:space="preserve"> Hjørnehuset med sidehus (1878 af Henrik Hagemann)</t>
  </si>
  <si>
    <t>Gothersgade 160, hj af Søtorvet</t>
  </si>
  <si>
    <t xml:space="preserve"> Gothersgade 160</t>
  </si>
  <si>
    <t xml:space="preserve"> Forhuset (1873-76 af Vilhelm Petersen og FerdinandVilhelm Jensen) og det toetages, fritliggende baghus</t>
  </si>
  <si>
    <t>Gothersgade 29</t>
  </si>
  <si>
    <t xml:space="preserve"> Gothersgade 29</t>
  </si>
  <si>
    <t xml:space="preserve"> Forhus og trappehus (mellem 1677 og 1684, forhøjet 1765 og 1837-48,facadeudformning 1863) samt baghus (før 1710, senere forhøjet)</t>
  </si>
  <si>
    <t>Gothersgade 35</t>
  </si>
  <si>
    <t xml:space="preserve"> Gothersgade 35</t>
  </si>
  <si>
    <t xml:space="preserve"> Forhuset (1800-01)</t>
  </si>
  <si>
    <t>Gothersgade 41 og 41 A</t>
  </si>
  <si>
    <t xml:space="preserve"> Mathias Ortmanns Gård</t>
  </si>
  <si>
    <t xml:space="preserve"> Forhus i syv grundmurede fag (1735), sidehus i gårdens højre side på 24 bindingsværksfag med grundmuret gavl mod Ny Østergade (1733), det hermed sammenbyggede tværhus på 12 bindingsværksfag, den hermed sammenbyggede sidefløj med grundmuret gavl mod Ny Østergade (1733, ombygget 1918 og 1925), de to udstillingspavilloner mod Ny Østergade(1925) samt sidehus i gårdens venstre side i seks grundmurede fag (1735)</t>
  </si>
  <si>
    <t>Gothersgade 56</t>
  </si>
  <si>
    <t xml:space="preserve"> Gothersgade 56</t>
  </si>
  <si>
    <t xml:space="preserve"> Forhuset (1801-02)</t>
  </si>
  <si>
    <t>Gothersgade 89</t>
  </si>
  <si>
    <t xml:space="preserve"> Gothersgade 89</t>
  </si>
  <si>
    <t xml:space="preserve"> Forhuset (1729-32) og det hermed sammenbyggede sidehus</t>
  </si>
  <si>
    <t>Gothersgade 8 og 8 D</t>
  </si>
  <si>
    <t xml:space="preserve"> Baron Boltens Gård</t>
  </si>
  <si>
    <t xml:space="preserve"> Forhus med sidehus og dermed sammenbygget baghus (alle1771) samt det bag dette liggende bindingsværkspakhus (1755)</t>
  </si>
  <si>
    <t>Grønnegade 12 og 14</t>
  </si>
  <si>
    <t xml:space="preserve"> Grønnegade 12 og 14</t>
  </si>
  <si>
    <t xml:space="preserve"> Nr 12: Forhuset mod Grønnegade, forhuset mod Pistolstræde samt det mellemliggende trappehus med svaler (1753).  Nr 14: Forhuset (1752) samt de med dette sammenbyggede to sidehuse. </t>
  </si>
  <si>
    <t xml:space="preserve"> Nr. 12 Udvidet 1978. Nr. 14 udvidet 1979*</t>
  </si>
  <si>
    <t>Grønnegade 16</t>
  </si>
  <si>
    <t xml:space="preserve"> Grønnegade 16</t>
  </si>
  <si>
    <t xml:space="preserve"> Forhus mod Grønnegade (1756, forhøjet med en etage 1833), sidehus samt forhus til Pistolstræde (før 1734, forhøjet med en etage ca 1750; underetagen grundmuret 1833)</t>
  </si>
  <si>
    <t>Grønnegade 18</t>
  </si>
  <si>
    <t xml:space="preserve"> Grønnegade 18</t>
  </si>
  <si>
    <t xml:space="preserve"> Forhus mod Grønnegade (1742, forhøjet med en etage 1836), hjørnehus mod Ny Østergade og Pistolstræde (1732, underetagen grundmuret 1854; nuværende facade  fra 1870'erne), forhus mod Pistolstræde (1732, grundmuret 1826; nuværende facade fra 1870'erne)</t>
  </si>
  <si>
    <t>Grønnegade 27</t>
  </si>
  <si>
    <t xml:space="preserve"> Grønnegade 27</t>
  </si>
  <si>
    <t xml:space="preserve"> Forhus (før 1695, ombygget ca 1785 og 1834) med sidehus og baghus</t>
  </si>
  <si>
    <t>Grønnegade 29</t>
  </si>
  <si>
    <t xml:space="preserve"> Grønnegade 29</t>
  </si>
  <si>
    <t xml:space="preserve"> Forhus (1741, forhøjet mellem 1750 og 1773, gadefacaden ca 1880)med sidehus og baghus</t>
  </si>
  <si>
    <t>Grønnegade 31</t>
  </si>
  <si>
    <t xml:space="preserve"> Grønnegade 31</t>
  </si>
  <si>
    <t xml:space="preserve"> Forhus (1754, forhøjet ca 1850) med sidehus og baghus</t>
  </si>
  <si>
    <t>Udvidet 1979*</t>
  </si>
  <si>
    <t xml:space="preserve"> Snedkerlauget</t>
  </si>
  <si>
    <t xml:space="preserve"> Forhuset (1724, grundmuret før 1768), de to sidehuse og baghuset samtudløberfløjen mod syd (1861, i udløberfløjen snedkerlaugets sal af Vilhelm Dahlerup 1887)</t>
  </si>
  <si>
    <t>Grønnemose Allé</t>
  </si>
  <si>
    <t xml:space="preserve"> Haveanlægget, Grønnemose Allé</t>
  </si>
  <si>
    <t xml:space="preserve"> Det fælles haveanlæg (1942 af Cth Sørensen)beliggende ved kunstnerboligerne Grønnemose Alle 21A-21G, 23-29 og 35-49</t>
  </si>
  <si>
    <t>Grønnemose Allé 21 A-G</t>
  </si>
  <si>
    <t xml:space="preserve"> Grønnemose Allé 21 A-G</t>
  </si>
  <si>
    <t xml:space="preserve"> De syv grundmurede huse med tilhørende læskureog plankeværker (1942 af Viggo Møller-Jensen)</t>
  </si>
  <si>
    <t>Grønnemose Allé 23, 25, 27, 29, 31, 33 og 35</t>
  </si>
  <si>
    <t xml:space="preserve"> Grønnemose Allé 23-35</t>
  </si>
  <si>
    <t xml:space="preserve"> De syv grundmurede huse medtilhørende læskure og plankeværker (1942 af Viggo Møller-Jensen)</t>
  </si>
  <si>
    <t>Grønnemose Allé 37, 39, 41, 43, 45, 47 og 49</t>
  </si>
  <si>
    <t xml:space="preserve"> Grønnemose Allé 37-49</t>
  </si>
  <si>
    <t>Grønningen 7-9 og Hammerensgade 8</t>
  </si>
  <si>
    <t xml:space="preserve"> Champagnehuset</t>
  </si>
  <si>
    <t xml:space="preserve"> Etageejendommen (1936 af Ib Lunding)</t>
  </si>
  <si>
    <t>Gråbrødretorv 1, hj af Niels Hemmingsens Gade</t>
  </si>
  <si>
    <t xml:space="preserve"> Fiskebløderhuset</t>
  </si>
  <si>
    <t xml:space="preserve"> Forhus med side- og baghus (1731-32)</t>
  </si>
  <si>
    <t>Gråbrødretorv 11 og Valkendorfsgade 20</t>
  </si>
  <si>
    <t xml:space="preserve"> Gråbrødretorv 11</t>
  </si>
  <si>
    <t>Gråbrødretorv 12</t>
  </si>
  <si>
    <t xml:space="preserve"> Gråbrødretorv 12</t>
  </si>
  <si>
    <t xml:space="preserve"> Forhus (1813 af H. O.  Blom; forhøjet 1816 af samme) med sidehus(1815)</t>
  </si>
  <si>
    <t>Gråbrødretorv 13</t>
  </si>
  <si>
    <t xml:space="preserve"> Gråbrødretorv 13</t>
  </si>
  <si>
    <t xml:space="preserve"> Forhuset (1730-35, forhøjet 1784)</t>
  </si>
  <si>
    <t xml:space="preserve"> Gråbrødretorv 14</t>
  </si>
  <si>
    <t>Gråbrødretorv 14</t>
  </si>
  <si>
    <t xml:space="preserve"> Forhus med side- og baghus (1828)</t>
  </si>
  <si>
    <t>Gråbrødretorv 15</t>
  </si>
  <si>
    <t xml:space="preserve"> Gråbrødretorv 15</t>
  </si>
  <si>
    <t xml:space="preserve"> Forhuset og det østlige sidehus (ca 1730, stærkt ombygget ogforhøjet med to etager 1851-52), samt det vestlige sidehus (1851-52)</t>
  </si>
  <si>
    <t>Gråbrødretorv 16 og Gråbrødrestræde 18</t>
  </si>
  <si>
    <t xml:space="preserve"> Gråbrødretorv 16 og Gråbrødrestræde 18</t>
  </si>
  <si>
    <t xml:space="preserve"> Hjørnebygningmed sidehus (Gråbrødretorv 16: 1819-21 af Johan Didrich Backhausen; Gråbrødrestræde 18: 1825)</t>
  </si>
  <si>
    <t>Gråbrødretorv 17, 17 A-B og Valkendorfsgade 32</t>
  </si>
  <si>
    <t xml:space="preserve"> Gråbrødretorv 17, 17 A-B og Valkendorfsgade 32</t>
  </si>
  <si>
    <t xml:space="preserve"> Forhusmod Gråbrødretorv, forhus mod Valkendorfsgade samt to sidehuse og et pakhus i gården (1857)</t>
  </si>
  <si>
    <t>Gråbrødretorv 19-21, Gråbrødrestræde 23, Klosterstræde 20</t>
  </si>
  <si>
    <t xml:space="preserve"> Gråbrødretorv 19-21, Gråbrødrestræde 23 og Klosterstræde 20</t>
  </si>
  <si>
    <t xml:space="preserve"> Forhusbebyggelsen mod Gråbrødretorv, Gråbrødrestræde og Klosterstræde samt sidehus mod nordøst (Gråbrødretorv 19: ca 1730, ombygget 1808 og 1857-58; Gråbrødretorv 21,Gråbrødrestræde 23: 1813, ombygget 1857-58; Klosterstræde 20, hj af Gråbrødrestræde: 1815-16)</t>
  </si>
  <si>
    <t>Gråbrødretorv 2 og Løvstræde 14</t>
  </si>
  <si>
    <t xml:space="preserve"> Gråbrødretorv 2 og Løvstræde 14</t>
  </si>
  <si>
    <t xml:space="preserve"> Forhuset mod torvet (hus fra ca 1730, hvis kvist ombyggedes til en fuld fjerde etage i 1832) og sidehus langs Løvstræde (1832)</t>
  </si>
  <si>
    <t>Gråbrødretorv 3</t>
  </si>
  <si>
    <t xml:space="preserve"> Wessels Hus</t>
  </si>
  <si>
    <t xml:space="preserve"> Forhus med side- og baghus (1732, ombygget 1759; trappehus fra ca1816)</t>
  </si>
  <si>
    <t>Gråbrødretorv 4</t>
  </si>
  <si>
    <t xml:space="preserve"> Gråbrødretorv 4</t>
  </si>
  <si>
    <t xml:space="preserve"> Forhuset (1765) med side- og baghus</t>
  </si>
  <si>
    <t>Gråbrødretorv 5</t>
  </si>
  <si>
    <t xml:space="preserve"> Gråbrødretorv 5</t>
  </si>
  <si>
    <t xml:space="preserve"> Forhus med trappehus og baghus (1732, kvist, forsvundet ca 1816,genskabt 1964)</t>
  </si>
  <si>
    <t>Gråbrødretorv 6, hj af Niels Hemmingsens Gade</t>
  </si>
  <si>
    <t xml:space="preserve"> Gråbrødretorv 6</t>
  </si>
  <si>
    <t xml:space="preserve"> Hjørnebygningen (1729)</t>
  </si>
  <si>
    <t>Gråbrødretorv 7</t>
  </si>
  <si>
    <t xml:space="preserve"> Gråbrødretorv 7</t>
  </si>
  <si>
    <t xml:space="preserve"> Forhus med side- og baghus (1730-32)</t>
  </si>
  <si>
    <t>Gråbrødretorv 8</t>
  </si>
  <si>
    <t xml:space="preserve"> Petri Skole (tidl)</t>
  </si>
  <si>
    <t xml:space="preserve"> Forhuset (ca 1730, kvist ombygget til fuld tredje etage 1852, fjerdeetage tilføjet 1858)</t>
  </si>
  <si>
    <t>Gråbrødretorv 9</t>
  </si>
  <si>
    <t xml:space="preserve"> Gråbrødretorv 9</t>
  </si>
  <si>
    <t xml:space="preserve"> Forhuset mod Gråbrødretorv samt trappehusets tre bindingsværksfag igården (1729, ombygget 1779 fra toetages kvisthus til fire etager med kvist)</t>
  </si>
  <si>
    <t>Gunnar Nu Hansens Plads 11</t>
  </si>
  <si>
    <t xml:space="preserve"> Boldklubben af 1893's Tennishal</t>
  </si>
  <si>
    <t xml:space="preserve"> Boldklubben af 1893s Tennishal medden korte støttemur og portsøjler på Per Henrik Lings Allé, (1912 af Søren Lemche Jacobsen og ingeniør Edouard Suenson)</t>
  </si>
  <si>
    <t>Gunnar Nu Hansens Plads 5</t>
  </si>
  <si>
    <t xml:space="preserve"> Idrætshuset</t>
  </si>
  <si>
    <t xml:space="preserve"> Idrætshuset (1911-1914 af arkitekt Søren Lemche, ingeniørEduard Suenson) med stakit, portpiller og porte mod pladsen, samt de seks statuer mod Idrætsparken</t>
  </si>
  <si>
    <t>Gyldenløvesgade 24</t>
  </si>
  <si>
    <t xml:space="preserve"> Søpavillonen</t>
  </si>
  <si>
    <t xml:space="preserve"> Pavillonen og dens umiddelbare omgivelser (1894-95 af VilhelmDahlerup)</t>
  </si>
  <si>
    <t>H.C. Andersens Boulevard 10</t>
  </si>
  <si>
    <t xml:space="preserve"> Tegneskolen for Kvinder</t>
  </si>
  <si>
    <t xml:space="preserve"> Forhus og sidehus (1880-81 af Vilhelm Klein)</t>
  </si>
  <si>
    <t>H.C. Andersens Boulevard 80-82</t>
  </si>
  <si>
    <t xml:space="preserve"> Københavns Hovedbrandstation</t>
  </si>
  <si>
    <t xml:space="preserve"> Det trefløjede anlæg (1890-92 af Ludvig Fenger) og Rådhusets kedelbygning (1898-99 af Martin Nyrop)</t>
  </si>
  <si>
    <t>Halmtorvet 19-27</t>
  </si>
  <si>
    <t xml:space="preserve"> Den Hvide Kødby</t>
  </si>
  <si>
    <t xml:space="preserve"> Slagteboderne, Fjerkræhallen, Høker•••boderne, Kødboderne, forbindelsesbygningen, Flæske•hallen, Talgsmelteriet, Maskinhuset, Slagte•hallen, Svalehallen, Kølehuset samt de til••••hørende arealer mellem bygningerne (1931-34 af stadsarkitekt Poul Holsøe, bistået af Tage Rue, Curt Bie og R.C.C. Hedegaard samt for ingeniør•arbejderne, Carl Bruun og P. J. Børge). Kontorbygningen(1940 af arkitekt M.J. Kelde. </t>
  </si>
  <si>
    <t>Halmtorvet 9, 11 og 13</t>
  </si>
  <si>
    <t xml:space="preserve"> Den Brune Kødby</t>
  </si>
  <si>
    <t xml:space="preserve"> Bygningerne ved hovedindgangen fra Halmtorvet, øksnehallen, staldbygningerne på begge sider af kvægtorvet og hallen samt de to småbygninger ved hallens nordfacade (1878-1901 af Hans J.  Holm og Ludvig Fenger) samt arealerne mellem dissebygninger</t>
  </si>
  <si>
    <t xml:space="preserve"> (* Bevaringsdeklaration gældende for Halmtorvet 9 G)</t>
  </si>
  <si>
    <t>Hausergade 34</t>
  </si>
  <si>
    <t xml:space="preserve"> Hausergade 34</t>
  </si>
  <si>
    <t xml:space="preserve"> Forhuset (1857, facade 1866)</t>
  </si>
  <si>
    <t>Hausergade 36, hj Sankt Gertruds Stræde</t>
  </si>
  <si>
    <t xml:space="preserve"> Hausergade 36</t>
  </si>
  <si>
    <t xml:space="preserve"> Hjørnehuset (1824-25)</t>
  </si>
  <si>
    <t>Hauser Plads 12</t>
  </si>
  <si>
    <t xml:space="preserve"> Forhuset (1836)</t>
  </si>
  <si>
    <t>Hauser Plads 14, hj af Suhmsgade</t>
  </si>
  <si>
    <t xml:space="preserve"> Hauser Plads 14</t>
  </si>
  <si>
    <t xml:space="preserve"> Hjørnehuset (1835 af Mads Holm)</t>
  </si>
  <si>
    <t>Hauser Plads 16</t>
  </si>
  <si>
    <t xml:space="preserve"> Hauser Plads 16</t>
  </si>
  <si>
    <t xml:space="preserve"> Forhuset (1831)</t>
  </si>
  <si>
    <t>Hauser Plads 18</t>
  </si>
  <si>
    <t xml:space="preserve"> Hauser Plads 18</t>
  </si>
  <si>
    <t xml:space="preserve"> Forhuset (1838-39)</t>
  </si>
  <si>
    <t>Hauser Plads 24 og Åbenrå 23</t>
  </si>
  <si>
    <t xml:space="preserve"> Hauser Plads 24 og Åbenrå 23</t>
  </si>
  <si>
    <t xml:space="preserve"> Den sammenbyggede forhusbebyggelsemod Hauser Plads og Åbenrå (forhus mod Hauser Plads 1733, ombygget 1807; forhus mod Åbenrå 1733)</t>
  </si>
  <si>
    <t>Hauser Plads 26</t>
  </si>
  <si>
    <t xml:space="preserve"> Hauser Plads 26</t>
  </si>
  <si>
    <t xml:space="preserve"> Forhuset (1853-54)</t>
  </si>
  <si>
    <t>Hauser Plads 28</t>
  </si>
  <si>
    <t xml:space="preserve"> Hauser Plads 28</t>
  </si>
  <si>
    <t xml:space="preserve"> Forhuset (1855-57)</t>
  </si>
  <si>
    <t>Havnegade 23</t>
  </si>
  <si>
    <t xml:space="preserve"> Navigationsskole (tidl)</t>
  </si>
  <si>
    <t xml:space="preserve"> Forhuset (1864-65 af Ferdinand Meldahl)</t>
  </si>
  <si>
    <t>Havnegade 29, hj af Tordenskjoldsgade</t>
  </si>
  <si>
    <t xml:space="preserve"> Levins Gård</t>
  </si>
  <si>
    <t xml:space="preserve"> Hjørnebygningen (1866 af J. D. Herholdt) </t>
  </si>
  <si>
    <t>Havnegade 39</t>
  </si>
  <si>
    <t xml:space="preserve"> Pakhuset, Havnegade 39</t>
  </si>
  <si>
    <t xml:space="preserve"> Pakhuset med gavl mod Havnegade (1869 af J. Kern) </t>
  </si>
  <si>
    <t>Havnegade 5</t>
  </si>
  <si>
    <t xml:space="preserve"> Danmarks Nationalbank</t>
  </si>
  <si>
    <t xml:space="preserve"> Danmarks Nationalbank samt det kileformede fortovsanlæg modHavnegade (1965-1978, af Arne Jacobsen)</t>
  </si>
  <si>
    <t>Hedebygade 24, 24 A, 26 og 26 A</t>
  </si>
  <si>
    <t xml:space="preserve"> Hedebygade 24-24 A og 26-26 A</t>
  </si>
  <si>
    <t xml:space="preserve"> Forhuset og baghuset (1886)</t>
  </si>
  <si>
    <t>Hedebygade 28 og 28 A</t>
  </si>
  <si>
    <t xml:space="preserve"> Hedebygade 28 og 28 A</t>
  </si>
  <si>
    <t xml:space="preserve"> Forhuset og baghuset (1884)</t>
  </si>
  <si>
    <t>Hedebygade 30 og 30 A</t>
  </si>
  <si>
    <t xml:space="preserve"> Hedebygade 30 og 30 A</t>
  </si>
  <si>
    <t>Heibergsgade 9</t>
  </si>
  <si>
    <t xml:space="preserve"> Den Gule Længe</t>
  </si>
  <si>
    <t xml:space="preserve"> Længen, som udgør resterne af den tidl reberbane (1592-94, ombygget 1858 og indrettet til professorbolig af Christian Hansen) og det dermed sammenbyggede tidlsejl- og garnmagasin (1580, afkortet og forhøjet)</t>
  </si>
  <si>
    <t>Hermodsgade 24 og Sigurdsgade 25</t>
  </si>
  <si>
    <t xml:space="preserve"> Kaffebrænderiet Merkur</t>
  </si>
  <si>
    <t xml:space="preserve"> Kaffebrænderibygning (1932 af Carl Servais)</t>
  </si>
  <si>
    <t>Hestemøllestræde 3</t>
  </si>
  <si>
    <t xml:space="preserve"> Hestemøllestræde 3</t>
  </si>
  <si>
    <t xml:space="preserve"> Forhus og dermed sammenbygget sidehus modarrestbygningen (1796, forhøjet med en etage 1832)</t>
  </si>
  <si>
    <t>Holmen</t>
  </si>
  <si>
    <t xml:space="preserve"> Holmen</t>
  </si>
  <si>
    <t xml:space="preserve">På Arsenaløen: Værftbrovagten med de to vagtbygninger (1863 af J.G. Zinn)*, Artillerigårdens to længer (1742-43 af Philip de Lange), Kongeporten (1744 af Philip de Lange og Jacob Fortling), de to fløje og de to forbindelsesbygninger til Artillerigårdens længer (1771-72 i alt væsentligt efter Philip de Langes tegninger) samt gårdrummet Kuglegården mellem bygningerne.På Dokøen: De to kraner med tilhørende jernbroer med nære omgivelser (1927 og ca 1935), pumpestationen for dokken (1858 af Alfred Giles), Dokken (1858 af Alfred Giles).På Frederiksholm: Søndre Mærsehus (1829 af Kolbye), Søndre Masteskure (ca 1745-1830), Nordre Hovedmagasin og Søndre Hovedmagasin (1767-72 af Philip de Lange og Johan Bernhardt Schottmann, forhøjet med een etage 1860), Bohlendachhuset (1801 af Boye Magens)*, Bådeværftet (1865 af C.T. Andersen)*, de seks kanonbådskure (1805-27), Gymnastik- og Eksercerhuset (1892 af C.T. Andersen), Kobbersmedien (1884 af C.T. Andersen), Kabysse- og vandkassemagasin (1860-62 af Ferdinand Meldahl, forlænget med fire fag mod syd, 1892 af C.T. Andersen), Nordre kedelsmedie og elværk (1887 af C.T. Andersen), Grov- og Kleinsmedien (1861af Ferdinand Meldahl), Modelsamlingsbygningen (1893 af C.T. Andersen), Beklædningsmagasinet (1888 af
C.T. Andersen).På Nyholm: Vestre Takkelagehus, østre del og vestre del (1729 af Olaus Judichær), Østre Takkelagehus (1729 af Olaus Judichær), Kontorbygningen i forlængelse af Østre Takkelagehus (1801 af Boye Magens), Spanteloftsbygningen (1742-43 af J.G. Kreysig og S. Sørensen), Planbygningen (1763-64 af Philip de Lange, tagkonstruktionen ændret 1913-14), Mastekranen (1748-51 af Philip de Lange), Hovedvagten (1744-45 af Philip de Lange), Torpedobådsskuret (1879 af C. Keyper m.fl.), Søminevæsenets Værksted (1878-94 af C.T. Andersen m.fl., fabrikskvist tilbygget 1931 af Jens Klok), Søminevæsenets Kontorbygning (1887 af C.T. Andersen m.fl.), Marinekasernebygningen (1908-10 af V. Birkmand), Pavillonbygningen (1908-10 af V. Birkmand), Arresthuset (1890 af C.T. Andersen) samt murerne, der forbinder kasernen med arrest og pavillon, Torpedobåds-kamrene og Torpedomagasinet (nord- og østlænge 1910 af Olaf Schmidth, sydlænge 1931 af Chr Olrik) samt Torpedoværkstedet med tilhørende beskyttelsesrum mod øst og depotskure af beton mod vest (1938, udv. 1954 af Jens Klok) samt Velfærdsbygningen (1938 af Jens Klok), Ubådsbygningen (1915 af Olaf Schmidth), Søværnets Officersskole med beskyttelsesrum og cykelskure (1939 af Jens Klok), Vagt- og vaskebygning (1938 af Jens Klok) på Elefanten, alle bygningers nære omgivelser herunder bolværker og kajer, beplantninger, elskabe, hydranter, fortøjningspæle mv. samt Schrødersee's monument på Batteriet Sixtus (1804 af C.F. Køppen), ankeret fra orlogsskibet Dannebrog (1692) opsat på Arresthusets nordmur og monumentet til minde om Slaget på Reden (1902 af Thorvald Bindesbøll).På Margretheholm: Hangar H med tilhørende fritstående skorsten (1921 af Kampmann, Kierulff &amp;amp; Saxild og Christian Olrik, udvidet med to lave sidefløje 1941-42 af Jens Klok). </t>
  </si>
  <si>
    <t>Udvidet 1924, 1950, 1964, 1997, 1999, 2016, 2022*</t>
  </si>
  <si>
    <t>Holmens Kanal</t>
  </si>
  <si>
    <t xml:space="preserve"> Niels Juel-statuen</t>
  </si>
  <si>
    <t xml:space="preserve"> Niels Juel-statuen med belægninger, omgivende gitter samt de tolygtestander af støbejern (1877-78 af billedhuggeren Johan Carl Henrik Theobald Stein, opstillet 1881)</t>
  </si>
  <si>
    <t>Holmens Kanal 10-12</t>
  </si>
  <si>
    <t xml:space="preserve"> Peschiers Gård</t>
  </si>
  <si>
    <t xml:space="preserve"> Forhusene (1795 af C. F. Harsdorff, forhøjet og ombygget 1850 afGF Hetsch)</t>
  </si>
  <si>
    <t>Holmens Kanal 14</t>
  </si>
  <si>
    <t xml:space="preserve"> Holmens Kanal 14</t>
  </si>
  <si>
    <t xml:space="preserve"> Forhuset (1897-98 af H. B. Storck)</t>
  </si>
  <si>
    <t>Holmens Kanal 2, hj af Laksegade</t>
  </si>
  <si>
    <t xml:space="preserve"> Erichsens Palæ</t>
  </si>
  <si>
    <t xml:space="preserve"> Den vinkelformede palæbygning med hovedfacademod Kongens Nytorv og ni fag mod Holmens Kanal (1797-99 af C. F. Harsdorff)</t>
  </si>
  <si>
    <t>Holmens Kanal 7</t>
  </si>
  <si>
    <t xml:space="preserve"> Grøns Pakhus</t>
  </si>
  <si>
    <t xml:space="preserve"> Varepakhuset ud mod Holmens Kanal (1862-63 af J. D. Herholdt) </t>
  </si>
  <si>
    <t>Hulgårdsvej 19-73</t>
  </si>
  <si>
    <t xml:space="preserve"> Bakkehusene, Hulgårdsvej</t>
  </si>
  <si>
    <t xml:space="preserve"> Husrækken med tilhørende haver og hegnsmure (1921-22 af Thorkild Henningsen og Ivar Bentsen)</t>
  </si>
  <si>
    <t>Hyskenstræde 14</t>
  </si>
  <si>
    <t xml:space="preserve"> Hyskenstræde 14</t>
  </si>
  <si>
    <t xml:space="preserve"> Forhuset (1798 af Mathias Casse)</t>
  </si>
  <si>
    <t>Hyskenstræde 16</t>
  </si>
  <si>
    <t xml:space="preserve"> Forhuset (1797 af L. L. Thrane) </t>
  </si>
  <si>
    <t>Hyskenstræde 3-5</t>
  </si>
  <si>
    <t xml:space="preserve"> Hyskenstræde 3-5</t>
  </si>
  <si>
    <t xml:space="preserve"> Forhuset og de to hermed sammenhængende, symmetrisksammenbyggede sidehuse (1854-55)</t>
  </si>
  <si>
    <t>Hyskenstræde 7</t>
  </si>
  <si>
    <t xml:space="preserve"> Hyskenstræde 7</t>
  </si>
  <si>
    <t xml:space="preserve"> Forhuset med smigfag og sidehus (1800)</t>
  </si>
  <si>
    <t>Hyskenstræde 9</t>
  </si>
  <si>
    <t xml:space="preserve"> Hyskenstræde 9</t>
  </si>
  <si>
    <t xml:space="preserve"> Forhuset (1798-99, totalt ombygget på nær gadefacaden 1834)</t>
  </si>
  <si>
    <t>Højbro Plads 13, hj af Lille Kirkestræde</t>
  </si>
  <si>
    <t xml:space="preserve"> Højbro Plads 13</t>
  </si>
  <si>
    <t xml:space="preserve"> Forhus og dermed sammenbygget sidehus pået fag (1796)</t>
  </si>
  <si>
    <t>Højbro Plads 15</t>
  </si>
  <si>
    <t xml:space="preserve"> Højbro Plads 15</t>
  </si>
  <si>
    <t xml:space="preserve"> Forhus og dermed sammenbygget sidehus (1797)</t>
  </si>
  <si>
    <t>Højbro Plads 17</t>
  </si>
  <si>
    <t xml:space="preserve"> Højbro Plads 17</t>
  </si>
  <si>
    <t xml:space="preserve"> Forhus med sidehus (1797-98)</t>
  </si>
  <si>
    <t>Højbro Plads 19</t>
  </si>
  <si>
    <t xml:space="preserve"> Højbro Plads 19</t>
  </si>
  <si>
    <t xml:space="preserve"> Forhus med sidehus (1798-99 af Andreas Hallander)</t>
  </si>
  <si>
    <t>Højbro Plads 21, 21A, 21B, hj af Ved Stranden 20</t>
  </si>
  <si>
    <t xml:space="preserve"> Forhuset* og det tidl pakhus (1798-99 af Andreas Hallander), sidehuset* (slutningen af 1800-tallet) samt det brolagte gårdrum</t>
  </si>
  <si>
    <t>Udvidet 2002</t>
  </si>
  <si>
    <t>Højbro Plads 6</t>
  </si>
  <si>
    <t xml:space="preserve"> Højbro Plads 6</t>
  </si>
  <si>
    <t xml:space="preserve"> Forhuset (1804-06 af N. Kurtzhals)</t>
  </si>
  <si>
    <t>Højbro Plads 9-11 og Lille Kirkestræde 6-8</t>
  </si>
  <si>
    <t xml:space="preserve"> Højbro Plads 9-11 og Lille Kirkestræde 6-8</t>
  </si>
  <si>
    <t xml:space="preserve"> Alle på grunden ståendebygninger samt muren mod Lille Kirkestræde (1796-99)</t>
  </si>
  <si>
    <t>Jagtvej 200, Serridslevvej 34-40, Borgmester Jensens Allé 22, Ove Rodes Plads 1 og Kanslergade 2-8</t>
  </si>
  <si>
    <t>Kanslergården</t>
  </si>
  <si>
    <t xml:space="preserve"> Etagebeboelseskomplekset bestående af syv forhuse og et sidehus med de to indre gårde (1919 af Henning Hansen)</t>
  </si>
  <si>
    <t>Jagtvej 226</t>
  </si>
  <si>
    <t xml:space="preserve"> Telefonkiosken</t>
  </si>
  <si>
    <t xml:space="preserve"> Telefonkiosken (1896 af Fritz Koch)</t>
  </si>
  <si>
    <t>Jernbanegade 8</t>
  </si>
  <si>
    <t xml:space="preserve"> Cirkusbygningen</t>
  </si>
  <si>
    <t xml:space="preserve"> Cirkusbygningen med udbygning mod nord (1886 af Henrik VilhelmBrinkopff, med frise af Frederik Hammeleff, ombygget efter brand i 1914)</t>
  </si>
  <si>
    <t>Kalkbrænderiløbskaj 2</t>
  </si>
  <si>
    <t xml:space="preserve"> Paustians Hus</t>
  </si>
  <si>
    <t xml:space="preserve"> Paustians Hus (1987 Jørn Utzon, med tilbygning fra 2010 af Kim Utzon) bestående af møbelhus med tilbygning, restaurantbygninger samt omgivende arealer</t>
  </si>
  <si>
    <t>Kapelvej 2 og Nørrebrogade 56</t>
  </si>
  <si>
    <t xml:space="preserve"> Assistens Kirkegård</t>
  </si>
  <si>
    <t xml:space="preserve"> Kirkegårdsmurene mod Kapelvej (1760 og 1881), Nørrebrogade (1760 og 1806), Nørrebros Runddel (1806) og Jagtvej (1881) med de dertil hørende gitre, gitterlåger og porte samt murene mellem kirkegårdens afdelinger, dog undtaget de gravmonumenter, der erfastgjort til murene</t>
  </si>
  <si>
    <t>Karlslundevej 23</t>
  </si>
  <si>
    <t xml:space="preserve"> Husum Skole</t>
  </si>
  <si>
    <t xml:space="preserve"> Hovedbygningen med de to dermed sammenbyggede sidebygninger(1930 af Edvard Thomsen og Frits Schlegel)</t>
  </si>
  <si>
    <t>Kastellet 1-110</t>
  </si>
  <si>
    <t xml:space="preserve"> Citadellet Frederikshavn (Kastellet)</t>
  </si>
  <si>
    <t xml:space="preserve"> Fæstningsanlægget med grave og jordværker indbefattet Smedelinien samt alle til voldanlægget hørende porte med broværker, dæmning, forværker og hovedvagtbygninger ved hovedportene (volde og grave 1662-63 af Henrick Ruse, Kongeporten 1663 af Henrick Ruse med François Dieussarts buste af Frederik III samt Norgesporten 1663 af Henrick Ruse). Følgende på voldanlægget og fæstningsterrænet stående bygninger: Kastelskirken (1703-04 formentlig af Georg Philip Müller) og den dermed sammenbyggede gamle arrest (1725 af Elias David Häusser); Kommandantgården (1725 af Elias David Häusser); Stjerne-, Artilleri-, Elefant-, Fortun-, General- og Svanestok (1600-tallets slutning og senere); nordre og søndre magasin (1660'erne, stræbepillerne fra1752, bygningerne delvis nedbrudt og genopført 1824-40); krudthus i Dronningens Bastion (1712 af Domenico Pelli); Smedehuset på Falsters Contregarde (1745, ombygget 1838); vindmøllen i KongensBastion (1847); Materialgården (1842) og Hovedvagt med arrest (1873-74)</t>
  </si>
  <si>
    <t>Kastelsvej 60</t>
  </si>
  <si>
    <t xml:space="preserve"> Blindeinstituttet</t>
  </si>
  <si>
    <t xml:space="preserve"> Det firefløjede anlæg (1857-58 og 1879-80 af Ferdinand Meldahl) og de tozinkfigurer ved hovedindgangen (Peter Daniel)</t>
  </si>
  <si>
    <t>Kattesundet 10-10 A</t>
  </si>
  <si>
    <t xml:space="preserve"> Kattesundet 10-10 A</t>
  </si>
  <si>
    <t xml:space="preserve"> Forhuset med sidehuset (1795-1800)</t>
  </si>
  <si>
    <t>Kattesundet 12</t>
  </si>
  <si>
    <t xml:space="preserve"> Kattesundet 12</t>
  </si>
  <si>
    <t xml:space="preserve"> Forhuset (1797-99)</t>
  </si>
  <si>
    <t>Kattesundet 14</t>
  </si>
  <si>
    <t xml:space="preserve"> Kattesundet 14</t>
  </si>
  <si>
    <t xml:space="preserve"> Forhus og dermed sammenbygget sidehus (1799-1801)</t>
  </si>
  <si>
    <t>Kattesundet 16</t>
  </si>
  <si>
    <t xml:space="preserve"> Kattesundet 16</t>
  </si>
  <si>
    <t xml:space="preserve"> Forhuset (1828)</t>
  </si>
  <si>
    <t>Kattesundet 18, hj af Lavendelstræde</t>
  </si>
  <si>
    <t xml:space="preserve"> Kattesundet 18</t>
  </si>
  <si>
    <t xml:space="preserve"> Forhuset (1802 af Christian Martens)</t>
  </si>
  <si>
    <t>Klareboderne 10</t>
  </si>
  <si>
    <t xml:space="preserve"> Klareboderne 10</t>
  </si>
  <si>
    <t xml:space="preserve"> Forhuset med sidehus (mellem 1730 og 1737, forhøjet 1845)</t>
  </si>
  <si>
    <t>Klareboderne 14</t>
  </si>
  <si>
    <t xml:space="preserve"> Klareboderne 14</t>
  </si>
  <si>
    <t xml:space="preserve"> Forhus og sidehus (1735, forhøjet 1779 og 1847)</t>
  </si>
  <si>
    <t>Klareboderne 16</t>
  </si>
  <si>
    <t xml:space="preserve"> Klareboderne 16</t>
  </si>
  <si>
    <t xml:space="preserve"> Forhuset (1730, forhøjet 1754 og 1838) og det hermedsammenbyggede sidehus</t>
  </si>
  <si>
    <t>Klareboderne 3</t>
  </si>
  <si>
    <t xml:space="preserve"> Klareboderne 3</t>
  </si>
  <si>
    <t xml:space="preserve"> Forhuset (1731-34 af Abraham Stoy)</t>
  </si>
  <si>
    <t>Klareboderne 8</t>
  </si>
  <si>
    <t xml:space="preserve"> Klareboderne 8</t>
  </si>
  <si>
    <t xml:space="preserve"> Forhuset med sidehus (1733, forhøjet med en etage 1864)</t>
  </si>
  <si>
    <t>Klerkegade 10 A-B</t>
  </si>
  <si>
    <t xml:space="preserve"> Klerkegade 10-A-B</t>
  </si>
  <si>
    <t xml:space="preserve"> Logebygningen (1869 af Vilhelm Tvede) med sidehus og baghus(10A) (1876) samt forhuset (10B) (1883)</t>
  </si>
  <si>
    <t>Klerkegade 25</t>
  </si>
  <si>
    <t xml:space="preserve"> A.F. Den Wintherfeldtske Stiftelse</t>
  </si>
  <si>
    <t xml:space="preserve"> Det nittenfags forhus (de 13 østlige fag: 1837, de seksvestlige: 1846-47)</t>
  </si>
  <si>
    <t>Klerkegade 25 G-H</t>
  </si>
  <si>
    <t xml:space="preserve"> Den Treschowske Stiftelse</t>
  </si>
  <si>
    <t xml:space="preserve"> Den fire etagers bygning (1847) i gården bag DenWintherfeldtske Stiftelse</t>
  </si>
  <si>
    <t xml:space="preserve"> Klosterstræde 16</t>
  </si>
  <si>
    <t xml:space="preserve"> Forhuset og sidehuset (ca 1731, forhøjet mellem 1778 og 1793, sidehuset senere forlænget med en grundmuret tilbygning) samt den brolagte gårdsplads</t>
  </si>
  <si>
    <t>Klosterstræde 21</t>
  </si>
  <si>
    <t xml:space="preserve"> Klosterstræde 21</t>
  </si>
  <si>
    <t xml:space="preserve"> Forhuset (1817)</t>
  </si>
  <si>
    <t>Klosterstræde 22, hj af Gråbrødrestræde</t>
  </si>
  <si>
    <t xml:space="preserve"> Klosterstræde 22</t>
  </si>
  <si>
    <t xml:space="preserve"> Hjørnebygningen (1828 af Johan DidrichBackhausen)</t>
  </si>
  <si>
    <t>Klosterstræde 23</t>
  </si>
  <si>
    <t xml:space="preserve"> Klosterstræde 23</t>
  </si>
  <si>
    <t xml:space="preserve"> Forhuset (1811-12), baghuset og de to sidehuse (1808-09)</t>
  </si>
  <si>
    <t>Klosterstræde 24, hj af Skindergade</t>
  </si>
  <si>
    <t xml:space="preserve"> Klosterstræde 24</t>
  </si>
  <si>
    <t xml:space="preserve"> Hjørnebygningen (1821, udvidet med tre fag iKlosterstræde 1827, forhøjet med tre etager 1833)</t>
  </si>
  <si>
    <t>Klosterstræde 8</t>
  </si>
  <si>
    <t xml:space="preserve"> Klosterstræde 8</t>
  </si>
  <si>
    <t xml:space="preserve"> Forhuset (1732, forhøjet og ombygget mellem 1782 og 1795)</t>
  </si>
  <si>
    <t>Knabrostræde 14, hj af Brolæggerstræde</t>
  </si>
  <si>
    <t xml:space="preserve"> Knabrostræde 14</t>
  </si>
  <si>
    <t xml:space="preserve"> Hjørnebygningen (1799-1801)</t>
  </si>
  <si>
    <t>Knabrostræde 15</t>
  </si>
  <si>
    <t xml:space="preserve"> Knabrostræde 15</t>
  </si>
  <si>
    <t xml:space="preserve"> Forhuset (1797-99 af H. C. Ondrup, fuldført 1804 af AndreasHallander)</t>
  </si>
  <si>
    <t>Knabrostræde 19 og Kompagnistræde 19</t>
  </si>
  <si>
    <t xml:space="preserve"> Knabrostræde 19 og Kompagnistræde 19</t>
  </si>
  <si>
    <t xml:space="preserve"> Hjørnebygningen (1797-98af Johan Martin Quist)</t>
  </si>
  <si>
    <t>Knabrostræde 22</t>
  </si>
  <si>
    <t xml:space="preserve"> Knabrostræde 22</t>
  </si>
  <si>
    <t xml:space="preserve"> Forhuset (1735, ombygget 1775, 1871 og 1896)</t>
  </si>
  <si>
    <t>Knabrostræde 25, hj af Snaregade</t>
  </si>
  <si>
    <t xml:space="preserve"> Knabrostræde 25</t>
  </si>
  <si>
    <t xml:space="preserve"> Hjørnebygningen med sidehus (1838)</t>
  </si>
  <si>
    <t>Knabrostræde 26</t>
  </si>
  <si>
    <t xml:space="preserve"> Soli Deo Gloria</t>
  </si>
  <si>
    <t xml:space="preserve"> Forhuset (1783) med side- og baghus (1728-45, senere ombygget,gården overdækket i 1850'erne)</t>
  </si>
  <si>
    <t>Knabrostræde 3</t>
  </si>
  <si>
    <t xml:space="preserve"> Knabrostræde 3</t>
  </si>
  <si>
    <t xml:space="preserve"> Forhus og dermed sammenbygget sidehus på et fag (1797,fuldstændig ombygget 1826, forhusets facade fra 1856)</t>
  </si>
  <si>
    <t>Knabrostræde 30, hj af Nybrogade</t>
  </si>
  <si>
    <t xml:space="preserve"> Det Ferske Fiskehandler-Kompagnis Hus</t>
  </si>
  <si>
    <t xml:space="preserve"> Forhuset (1733)</t>
  </si>
  <si>
    <t>Knabrostræde 5</t>
  </si>
  <si>
    <t xml:space="preserve"> Knabrostræde 5</t>
  </si>
  <si>
    <t xml:space="preserve"> Forhuset (1798-1800)</t>
  </si>
  <si>
    <t>Knabrostræde 9, hj af Brolæggerstræde</t>
  </si>
  <si>
    <t xml:space="preserve"> Knabrostræde 9</t>
  </si>
  <si>
    <t xml:space="preserve"> Hjørnebygningen (1799-1800 af ErnstBurmeister)</t>
  </si>
  <si>
    <t>Kompagnistræde 10, hj af Badstuestræde</t>
  </si>
  <si>
    <t xml:space="preserve"> Kompagnistræde 10</t>
  </si>
  <si>
    <t>Kompagnistræde 11</t>
  </si>
  <si>
    <t xml:space="preserve"> Kompagnistræde 11</t>
  </si>
  <si>
    <t xml:space="preserve"> Forhuset med sidehus (1797-98, forh. 1847)</t>
  </si>
  <si>
    <t>Kompagnistræde 12</t>
  </si>
  <si>
    <t xml:space="preserve"> Kompagnistræde 12</t>
  </si>
  <si>
    <t xml:space="preserve"> Forhuset (1797-98 af Hans Weile)</t>
  </si>
  <si>
    <t>Kompagnistræde 14</t>
  </si>
  <si>
    <t xml:space="preserve"> Kompagnistræde 14</t>
  </si>
  <si>
    <t xml:space="preserve"> Forhus med trappehus (1797-98 af Michael Bälckow) samtbaghus med trappehus</t>
  </si>
  <si>
    <t>Kompagnistræde 16</t>
  </si>
  <si>
    <t xml:space="preserve"> Kompagnistræde 16</t>
  </si>
  <si>
    <t xml:space="preserve"> Forhus (1798) og baghus</t>
  </si>
  <si>
    <t>Kompagnistræde 17</t>
  </si>
  <si>
    <t xml:space="preserve"> Forhuset (1798 af Michael Bälckow)</t>
  </si>
  <si>
    <t>Kompagnistræde 18, hj af Knabrostræde</t>
  </si>
  <si>
    <t xml:space="preserve"> Kompagnistræde 18</t>
  </si>
  <si>
    <t xml:space="preserve"> Hjørnebygningen (1797 af AndreasHallander)</t>
  </si>
  <si>
    <t>Kompagnistræde 2, hj af Hyskenstræde</t>
  </si>
  <si>
    <t xml:space="preserve"> Kompagnistræde 2</t>
  </si>
  <si>
    <t xml:space="preserve"> Hjørnebygningen (1798 af L. L. Thrane) </t>
  </si>
  <si>
    <t>Kompagnistræde 20 og Knabrostræde 18</t>
  </si>
  <si>
    <t xml:space="preserve"> Kompagnistræde 20 og Knabrostræde 18</t>
  </si>
  <si>
    <t xml:space="preserve"> Kompagnistræde 20: forhus med trappehus, side- og baghus (1796); Knabrostræde 18: forhuset (1796, forhøjet med enetage 1829)</t>
  </si>
  <si>
    <t>Kompagnistræde 21, hj af Knabrostræde</t>
  </si>
  <si>
    <t xml:space="preserve"> Kompagnistræde 21</t>
  </si>
  <si>
    <t xml:space="preserve"> Forhusbebyggelsen modKompagnistræde og Knabrostræde med side- og baghus (ca 1741) </t>
  </si>
  <si>
    <t xml:space="preserve"> Udvidet 1951</t>
  </si>
  <si>
    <t>Kompagnistræde 23</t>
  </si>
  <si>
    <t xml:space="preserve"> Kompagnistræde 23</t>
  </si>
  <si>
    <t xml:space="preserve"> Forhuset (1734, forhøjet med en etage mellem 1739 og 1762)</t>
  </si>
  <si>
    <t>Kompagnistræde 24</t>
  </si>
  <si>
    <t xml:space="preserve"> Kompagnistræde 24</t>
  </si>
  <si>
    <t xml:space="preserve"> Forhuset (1797-98, forhøjet 1849) og retiradebygningen igården</t>
  </si>
  <si>
    <t>Kompagnistræde 25</t>
  </si>
  <si>
    <t xml:space="preserve"> Kompagnistræde 25</t>
  </si>
  <si>
    <t xml:space="preserve"> Forhuset (1730'rne, ombygget og forhøjet 1837)</t>
  </si>
  <si>
    <t>Kompagnistræde 29</t>
  </si>
  <si>
    <t xml:space="preserve"> Kompagnistræde 29</t>
  </si>
  <si>
    <t xml:space="preserve"> Forhus med sidehus (1831)</t>
  </si>
  <si>
    <t>Kompagnistræde 3</t>
  </si>
  <si>
    <t xml:space="preserve"> Kompagnistræde 3</t>
  </si>
  <si>
    <t xml:space="preserve"> Forhuset (1796, forhøjet 1803 og 1835) og det hermedsammenbyggede sidehus</t>
  </si>
  <si>
    <t>Kompagnistræde 31</t>
  </si>
  <si>
    <t xml:space="preserve"> Kompagnistræde 31</t>
  </si>
  <si>
    <t xml:space="preserve"> Forhus (1734, forhøjet 1844) med sidehus (1734, senereombygget)</t>
  </si>
  <si>
    <t>Kompagnistræde 32</t>
  </si>
  <si>
    <t xml:space="preserve"> Kompagnistræde 32</t>
  </si>
  <si>
    <t xml:space="preserve"> Forhuset (1798-99 af Andreas Hallander, forhøjet med enetage 1846)</t>
  </si>
  <si>
    <t>Kompagnistræde 4</t>
  </si>
  <si>
    <t xml:space="preserve"> Kompagnistræde 4</t>
  </si>
  <si>
    <t xml:space="preserve"> Forhuset (1798)</t>
  </si>
  <si>
    <t>Kompagnistræde 5</t>
  </si>
  <si>
    <t xml:space="preserve"> Kompagnistræde 5</t>
  </si>
  <si>
    <t xml:space="preserve"> Forhuset med sidehus (1798)</t>
  </si>
  <si>
    <t xml:space="preserve"> Kompagnistræde 7-7 A</t>
  </si>
  <si>
    <t xml:space="preserve"> Forhus og baghus (1797-98)</t>
  </si>
  <si>
    <t>Kompagnistræde 8, hj af Badstuestræde</t>
  </si>
  <si>
    <t xml:space="preserve"> Kompagnistræde 8</t>
  </si>
  <si>
    <t xml:space="preserve"> Hjørnebygningen med sidehus (1799-1800af Hans Weile)</t>
  </si>
  <si>
    <t>Kompagnistræde 9</t>
  </si>
  <si>
    <t xml:space="preserve"> Kompagnistræde 9</t>
  </si>
  <si>
    <t xml:space="preserve"> Forhuset og sidehus (1796-97 af C. C. Jennerick) </t>
  </si>
  <si>
    <t>Udvidet 2003*</t>
  </si>
  <si>
    <t>Kongens Nytorv</t>
  </si>
  <si>
    <t xml:space="preserve"> Christian V's rytterstatue</t>
  </si>
  <si>
    <t xml:space="preserve"> Rytterstatuen (1685-87 af Abraham César Lamoureux,fornyet 1946) samt det indre gitter omkring rytterstatuen</t>
  </si>
  <si>
    <t xml:space="preserve"> Udv 1998</t>
  </si>
  <si>
    <t>Kongens Nytorv 1</t>
  </si>
  <si>
    <t xml:space="preserve"> Charlottenborg</t>
  </si>
  <si>
    <t xml:space="preserve"> Det firefløjede anlæg (1672 ff formentlig af Ewert Janssen) med denhermed sammenbyggede bygning i sydøst (ca 1730, Thorvaldsens lejlighed)</t>
  </si>
  <si>
    <t>Kongens Nytorv 19, hj af Lille Kongensgade</t>
  </si>
  <si>
    <t xml:space="preserve"> Kongens Nytorv 19</t>
  </si>
  <si>
    <t xml:space="preserve"> Forhuset Kongens Nytorv 19 (1767,forhøjet med en etage 1801)*, forhuset Lille Kongensgade 4 (1767)</t>
  </si>
  <si>
    <t>Kongens Nytorv 2, hj af Bredgade og Store Strandstræde</t>
  </si>
  <si>
    <t xml:space="preserve"> Kanneworffs Hus</t>
  </si>
  <si>
    <t xml:space="preserve"> Hjørnebygning (1600-tallet,ombygget ca 1790)</t>
  </si>
  <si>
    <t>Kongens Nytorv 3-5</t>
  </si>
  <si>
    <t xml:space="preserve"> Harsdorffs Hus</t>
  </si>
  <si>
    <t xml:space="preserve"> Hjørnebebyggelsen med to sidehuse (1779-80 af C. F. Harsdorff)</t>
  </si>
  <si>
    <t>Kongens Nytorv 9</t>
  </si>
  <si>
    <t xml:space="preserve"> Det Kongelige Teater</t>
  </si>
  <si>
    <t xml:space="preserve"> Teaterbygningen mellem Kongens Nytorv og Heibergsgade(1872-74 af Vilhelm Dahlerup og Ove Petersen)</t>
  </si>
  <si>
    <t>Kronprinsensgade 5</t>
  </si>
  <si>
    <t xml:space="preserve"> Kronprinsensgade 5</t>
  </si>
  <si>
    <t xml:space="preserve"> Forhuset (1803 af Christian Martens)</t>
  </si>
  <si>
    <t xml:space="preserve"> * </t>
  </si>
  <si>
    <t>Kronprinsensgade 7</t>
  </si>
  <si>
    <t xml:space="preserve"> Kronprinsensgade 7</t>
  </si>
  <si>
    <t xml:space="preserve"> Forhuset (1805-07 af Peder Friis)</t>
  </si>
  <si>
    <t>Kronprinsessegade 10-12</t>
  </si>
  <si>
    <t xml:space="preserve"> Kronprinsessegade 10-12</t>
  </si>
  <si>
    <t xml:space="preserve"> Forhusene med sidehuse i nord og syd (nr 10:1803-04; nr 12: 1805-06; begge af Johan Martin Quist)</t>
  </si>
  <si>
    <t>Kronprinsessegade 1-25, Gothersgade 60 og Sølvgade 23 Z</t>
  </si>
  <si>
    <t xml:space="preserve"> Kongens Have</t>
  </si>
  <si>
    <t xml:space="preserve"> Gitret med de mod Kronprinsessegade liggende pavilloner og porte (1803-05 af Peter Meyn, de store vinduer i pavillonernes facader senere) samt muren mod Sølvgade (1732 og senere), Herkulespavillonen (1773 af C. F. Harsdorff) samt Løven og Hesten (1617-24 af Peter Husum efter original på Capitol)</t>
  </si>
  <si>
    <t>Kronprinsessegade 14</t>
  </si>
  <si>
    <t xml:space="preserve"> Kronprinsessegade 14</t>
  </si>
  <si>
    <t xml:space="preserve"> Forhus med sidehus og den dermed sammenbyggedemellembygning (1805 af Johan Martin Quist)</t>
  </si>
  <si>
    <t>Kronprinsessegade 16</t>
  </si>
  <si>
    <t xml:space="preserve"> Kronprinsessegade 16</t>
  </si>
  <si>
    <t xml:space="preserve"> Forhuset med sidehus (1806 af Johan Martin Quist)</t>
  </si>
  <si>
    <t>Kronprinsessegade 18</t>
  </si>
  <si>
    <t xml:space="preserve"> Kronprinsessegade 18</t>
  </si>
  <si>
    <t xml:space="preserve"> Forhus med sidehus og den dermed sammenbyggedemellembygning (1807 af Johan Martin Quist)</t>
  </si>
  <si>
    <t>Kronprinsessegade 2, hj af Gothersgade</t>
  </si>
  <si>
    <t xml:space="preserve"> Lars Larsens Gård</t>
  </si>
  <si>
    <t xml:space="preserve"> Forhuset (1801)</t>
  </si>
  <si>
    <t>Kronprinsessegade 20</t>
  </si>
  <si>
    <t xml:space="preserve"> Kronprinsessegade 20</t>
  </si>
  <si>
    <t xml:space="preserve"> Forhuset med sidehus (1805 af Andreas Hallander),baghuset på ni fag og muren mod mnr 661</t>
  </si>
  <si>
    <t xml:space="preserve"> Forhusene (1807-08 af Andreas Hallander og A. C. Wilcken) </t>
  </si>
  <si>
    <t>Kronprinsessegade 26</t>
  </si>
  <si>
    <t xml:space="preserve"> Kronprinsessegade 26</t>
  </si>
  <si>
    <t xml:space="preserve"> Forhus og dermed sammenbygget sidehus på 13 fag(1805-06 af J. H. Rawert) </t>
  </si>
  <si>
    <t>Kronprinsessegade 28</t>
  </si>
  <si>
    <t xml:space="preserve"> Kronprinsessegade 28</t>
  </si>
  <si>
    <t xml:space="preserve"> Forhuset (1805-06 af J. H. Rawert, facaden senere)</t>
  </si>
  <si>
    <t>Kronprinsessegade 30</t>
  </si>
  <si>
    <t xml:space="preserve"> Kronprinsessegade 30</t>
  </si>
  <si>
    <t xml:space="preserve"> Forhus med sidehus på seks fag (1806-07 af J. H. Rawert)og dettes forlængelse</t>
  </si>
  <si>
    <t>Kronprinsessegade 32</t>
  </si>
  <si>
    <t xml:space="preserve"> Kronprinsessegade 32</t>
  </si>
  <si>
    <t xml:space="preserve"> Forhuset (1804-05 af Johan Didrich Backhausen)</t>
  </si>
  <si>
    <t>Kronprinsessegade 34</t>
  </si>
  <si>
    <t xml:space="preserve"> Kronprinsessegade 34</t>
  </si>
  <si>
    <t xml:space="preserve"> Forhuset med tilstødende sidehus på to fag (1805-06)</t>
  </si>
  <si>
    <t>Kronprinsessegade 36</t>
  </si>
  <si>
    <t xml:space="preserve"> Kronprinsessegade 36</t>
  </si>
  <si>
    <t xml:space="preserve"> Forhus med sidehus (1824-25 af Thomas Blom, kvistensenere) og baghus (1820)</t>
  </si>
  <si>
    <t>Kronprinsessegade 38, hj af Dronningens Tværgade</t>
  </si>
  <si>
    <t xml:space="preserve"> Kronprinsessegade 38</t>
  </si>
  <si>
    <t xml:space="preserve"> Hjørnehuset (1805-06 afThomas Blom)</t>
  </si>
  <si>
    <t>Kronprinsessegade 40, hj af Dronningens Tværgade</t>
  </si>
  <si>
    <t xml:space="preserve"> Kronprinsessegade 40</t>
  </si>
  <si>
    <t xml:space="preserve"> Hjørnehuset (1810-11 afThomas Blom)</t>
  </si>
  <si>
    <t>Kronprinsessegade 42</t>
  </si>
  <si>
    <t xml:space="preserve"> Kronprinsessegade 42</t>
  </si>
  <si>
    <t xml:space="preserve"> Forhuset med sidehus (1815-16 af Thomas Blom)</t>
  </si>
  <si>
    <t>Kronprinsessegade 44</t>
  </si>
  <si>
    <t xml:space="preserve"> Kronprinsessegade 44</t>
  </si>
  <si>
    <t>Forhus, side- og baghus (1804-05, bygningen forhøjet, og facaden på forhuset ombygget 1847)</t>
  </si>
  <si>
    <t>Kronprinsessegade 46 A-E</t>
  </si>
  <si>
    <t xml:space="preserve"> Artillerikasernen</t>
  </si>
  <si>
    <t xml:space="preserve"> Artillerikasernen.  Forhus og tilstødende længe i gårdensamt portpiller mod Kronprinsessegade (1803 af Philip Lange, portpillerne ombygget flere gange). Forhuset og baghuset (1805-06 af Andreas Hallander og J. H. Rawert)</t>
  </si>
  <si>
    <t xml:space="preserve"> Udvidet 1979 *</t>
  </si>
  <si>
    <t>Kronprinsessegade 46 A og E</t>
  </si>
  <si>
    <t xml:space="preserve"> Kronprinsessegade 46 A og E</t>
  </si>
  <si>
    <t xml:space="preserve"> Forhuset og baghuset (1805-06 afAndreas Hallander og J. H. Rawert) </t>
  </si>
  <si>
    <t>Kronprinsessegade 6</t>
  </si>
  <si>
    <t xml:space="preserve"> Kronprinsessegade 6</t>
  </si>
  <si>
    <t xml:space="preserve"> Forhus med sidehus samt den dermed sammenbyggedemellembygning (1803-04 af Johan Martin Quist, senere ombygget og forhøjet med en etage)</t>
  </si>
  <si>
    <t>Kronprinsessegade 8</t>
  </si>
  <si>
    <t xml:space="preserve"> Kronprinsessegade 8</t>
  </si>
  <si>
    <t xml:space="preserve"> Forhus med sidehus samt baghus (1803-04)</t>
  </si>
  <si>
    <t>Krystalgade 11</t>
  </si>
  <si>
    <t xml:space="preserve"> Krystalgade 11</t>
  </si>
  <si>
    <t xml:space="preserve"> Forhuset og det hermed sammenbyggede sidehus (1730-35, forhøjetflere gange mellem 1766 og 1788)</t>
  </si>
  <si>
    <t>Krystalgade 12 Z</t>
  </si>
  <si>
    <t xml:space="preserve"> Synagogen</t>
  </si>
  <si>
    <t xml:space="preserve"> Synagogebygningen (1831-33 af GF Hetsch) og gitret mod Krystalgade</t>
  </si>
  <si>
    <t>Krystalgade 25-27</t>
  </si>
  <si>
    <t xml:space="preserve"> Zoologisk Museum (tidl)</t>
  </si>
  <si>
    <t xml:space="preserve"> Museumsbygningen (1863-69 af Christian Hansen)</t>
  </si>
  <si>
    <t>Krystalgade 3</t>
  </si>
  <si>
    <t xml:space="preserve"> Krystalgade 3</t>
  </si>
  <si>
    <t xml:space="preserve"> Forhuset (1808-09)</t>
  </si>
  <si>
    <t>Krystalgade 5-5 B</t>
  </si>
  <si>
    <t xml:space="preserve"> Krystalgade 5-5 B</t>
  </si>
  <si>
    <t xml:space="preserve"> Forhuset med side- og baghus (mellem 1730 og 1740, forhøjet 1857-58), retiradebygningen i gården (ca 1913) samt bro- og chausséstensbelægningen i gårdrummet</t>
  </si>
  <si>
    <t xml:space="preserve"> Udvidet 2010*</t>
  </si>
  <si>
    <t>Krystalgade 6, hj af Peder Hvitfeldts Stræde</t>
  </si>
  <si>
    <t xml:space="preserve"> Krystalgade 6</t>
  </si>
  <si>
    <t xml:space="preserve"> Hjørnehuset (1834-35 af GN Sibbern)</t>
  </si>
  <si>
    <t>Krystalgade 9-9 A</t>
  </si>
  <si>
    <t xml:space="preserve"> Krystalgade 9-9 A</t>
  </si>
  <si>
    <t xml:space="preserve"> Forhuset med sidehus (1786) og baghus (ca 1860)</t>
  </si>
  <si>
    <t>Kvæsthusgade 3</t>
  </si>
  <si>
    <t xml:space="preserve"> Kvæsthusgade 3</t>
  </si>
  <si>
    <t xml:space="preserve"> Forhuset (1751, forhøjet 1812, karnapperne 1900-tallet)</t>
  </si>
  <si>
    <t>Kvæsthusgade 5</t>
  </si>
  <si>
    <t xml:space="preserve"> Kvæsthusgade 5</t>
  </si>
  <si>
    <t xml:space="preserve"> Forhuset (1736, forhøjet med to etager og ombygget i 1845)</t>
  </si>
  <si>
    <t>Københavns Havn</t>
  </si>
  <si>
    <t xml:space="preserve"> Langebro</t>
  </si>
  <si>
    <t xml:space="preserve"> Langebro med brotårnet, bropiller og ramper (1954 af Kaj Gottlob), beliggende mellem H. C. Andersens Boulevard og Amager Boulevard, umatrikuleret areal i KøbenhavnsHavn, Københavns Kommune</t>
  </si>
  <si>
    <t xml:space="preserve"> Knippelsbro</t>
  </si>
  <si>
    <t xml:space="preserve"> Knippelsbro med brotårne, bropiller og ramper, beliggende mellemBørsgade og Torvegade, (1937 af Kaj Gottlob), umatrikuleret areal, Københavns Havn, Københavns Kommune</t>
  </si>
  <si>
    <t>Købmagergade 13</t>
  </si>
  <si>
    <t xml:space="preserve"> Købmagergade 13</t>
  </si>
  <si>
    <t xml:space="preserve"> Forhus (1729-30, ombygget 1852) med sidehuse af bindingsværk(før 1759), trappehus (1847), mellembygning (1729, forhøjet 1800), sidehus i bageste gård (1801) samt baghuse (før 1800 og 1898)</t>
  </si>
  <si>
    <t>Købmagergade 33 og Valkendorfsgade 2-4</t>
  </si>
  <si>
    <t xml:space="preserve"> Postgården</t>
  </si>
  <si>
    <t xml:space="preserve"> Det gamle palæ med dertil hørende sidefløjlangs Valkendorfsgade (1729-32 af Philip de Lange)</t>
  </si>
  <si>
    <t>Købmagergade 5</t>
  </si>
  <si>
    <t xml:space="preserve"> Købmagergade 5</t>
  </si>
  <si>
    <t xml:space="preserve"> Den fireetages bebyggelse, bestående af forhus og to sidehuse(1729, oprindelig treetages, men forhøjet sidst i 1700-tallet) og baghuset på fire etager, der forbinder de to sidehuse (1807)</t>
  </si>
  <si>
    <t>Købmagergade 52</t>
  </si>
  <si>
    <t xml:space="preserve"> Købmagergade 52</t>
  </si>
  <si>
    <t xml:space="preserve"> Forhuset med side- og baghus (1750-60)</t>
  </si>
  <si>
    <t>Købmagergade 52A</t>
  </si>
  <si>
    <t xml:space="preserve"> Trinitatis Kirkeplads</t>
  </si>
  <si>
    <t xml:space="preserve"> Det selvstændige landskabsarkitektoniske værk Trinitatis Kirkeplads bestående af den flisebelagte plads, trappeanlæg med rampe, skulptur, konsoller, monument forJohan Herman Wessel og Carl Ewald, gravsten, ligsten, gitter, træer, arkade, lamper (1984 af Sven-Ingvar. Andersson og Steen Høyer samt Inger og Johannes Exner)</t>
  </si>
  <si>
    <t>Købmagergade 52 A</t>
  </si>
  <si>
    <t xml:space="preserve"> Rundetårn</t>
  </si>
  <si>
    <t xml:space="preserve"> Det runde tårn tilbygget Trinitatis kirke (1637-42 af Hans II vanSteenwinckel, Jørgen Scheffel og Leonhard Blasius, restaureret 1952 af Thomas Havning)</t>
  </si>
  <si>
    <t>Købmagergade 7</t>
  </si>
  <si>
    <t xml:space="preserve"> Købmagergade 7</t>
  </si>
  <si>
    <t xml:space="preserve"> Forhus (1729 af Philip de Lange, forhøjet i 1790'erne), sidehus ogbaghus</t>
  </si>
  <si>
    <t>Laksegade 26 og Nikolajgade 24</t>
  </si>
  <si>
    <t xml:space="preserve"> Laksegade 26 og Nikolajgade 24</t>
  </si>
  <si>
    <t>Laksegade 30</t>
  </si>
  <si>
    <t xml:space="preserve"> Laksegade 30</t>
  </si>
  <si>
    <t>Landemærket 53</t>
  </si>
  <si>
    <t xml:space="preserve"> Landemærket 53</t>
  </si>
  <si>
    <t xml:space="preserve"> Forhuset (mellem 1730 og 1735, gavlkvist retableret 1969-70)</t>
  </si>
  <si>
    <t>Landemærket 55</t>
  </si>
  <si>
    <t xml:space="preserve"> Landemærket 55</t>
  </si>
  <si>
    <t xml:space="preserve"> Forhuset (mellem 1730 og 1736, gavlkvist retableret 1969-70)</t>
  </si>
  <si>
    <t>Langebrogade 8-8 A</t>
  </si>
  <si>
    <t xml:space="preserve"> Langebrogade 8-8 A</t>
  </si>
  <si>
    <t xml:space="preserve"> De to sammenbyggede forhuse (1802 og 1814)</t>
  </si>
  <si>
    <t>Langelinie (beliggende syd for)</t>
  </si>
  <si>
    <t xml:space="preserve"> Gefionbroen</t>
  </si>
  <si>
    <t xml:space="preserve"> Jernbetonbroen (1894-95 af A. S. Ostenfeld og VilhelmDahlerup, 1999 istandsat og flyttet til nuværende placering)</t>
  </si>
  <si>
    <t>Langelinie 10</t>
  </si>
  <si>
    <t xml:space="preserve"> Langelinie Pavillonen</t>
  </si>
  <si>
    <t xml:space="preserve"> Langeliniepavillonen med terrasse og trapper samt mure (1956 afNils og Eva Koppel)</t>
  </si>
  <si>
    <t>Langelinie Allé 15-21, tidl Langelinievej 7</t>
  </si>
  <si>
    <t xml:space="preserve"> Dahlerups Pakhus</t>
  </si>
  <si>
    <t xml:space="preserve"> Pakhuset (1893-94 af Vilhelm Dahlerup ogHCV Møller)</t>
  </si>
  <si>
    <t>Langelinie Allé 4-58 og Langeliniekaj 5-7, tidl Langelinievej 4</t>
  </si>
  <si>
    <t xml:space="preserve"> Langeliniepromenaden</t>
  </si>
  <si>
    <t xml:space="preserve"> Den hævede promenade med hegn, træer og monumentet for Holger Hammerich samt underliggende pakhusskure(1894 af Vilhelm Dahlerup)</t>
  </si>
  <si>
    <t>Larsbjørnsstræde 11</t>
  </si>
  <si>
    <t xml:space="preserve"> Larsbjørnsstræde 11</t>
  </si>
  <si>
    <t xml:space="preserve"> Forhuset (1796-98)</t>
  </si>
  <si>
    <t>Larsbjørnsstræde 13</t>
  </si>
  <si>
    <t xml:space="preserve"> Larsbjørnsstræde 13</t>
  </si>
  <si>
    <t xml:space="preserve"> Forhuset med side- og baghus (1795-96)</t>
  </si>
  <si>
    <t xml:space="preserve">Udvidet 1987* </t>
  </si>
  <si>
    <t>Larsbjørnsstræde 14</t>
  </si>
  <si>
    <t xml:space="preserve"> Larsbjørnsstræde 14</t>
  </si>
  <si>
    <t>Larsbjørnsstræde 16, hj af Studiestræde</t>
  </si>
  <si>
    <t xml:space="preserve"> Larsbjørnsstræde 16</t>
  </si>
  <si>
    <t xml:space="preserve"> Hjørnehuset med sidehus (1798 afChristian Martens)</t>
  </si>
  <si>
    <t>Larsbjørnsstræde 17, hj af Studiestræde</t>
  </si>
  <si>
    <t xml:space="preserve"> Larsbjørnsstræde 17</t>
  </si>
  <si>
    <t xml:space="preserve"> Hjørnehuset med sidehus (1796)</t>
  </si>
  <si>
    <t>Larsbjørnsstræde 18, hj af Studiestræde</t>
  </si>
  <si>
    <t xml:space="preserve"> Larsbjørnsstræde 18</t>
  </si>
  <si>
    <t xml:space="preserve"> Hjørnehuset (1796-97)</t>
  </si>
  <si>
    <t>Larsbjørnsstræde 19</t>
  </si>
  <si>
    <t xml:space="preserve"> Larsbjørnsstræde 19</t>
  </si>
  <si>
    <t>Larsbjørnsstræde 21</t>
  </si>
  <si>
    <t xml:space="preserve"> Larsbjørnsstræde 21</t>
  </si>
  <si>
    <t>Larsbjørnsstræde 23</t>
  </si>
  <si>
    <t xml:space="preserve"> Larsbjørnsstræde 23</t>
  </si>
  <si>
    <t xml:space="preserve"> Forhuset (1807-08)</t>
  </si>
  <si>
    <t>Larsbjørnsstræde 25</t>
  </si>
  <si>
    <t xml:space="preserve"> Larsbjørnsstræde 25</t>
  </si>
  <si>
    <t>Larsbjørnsstræde 5</t>
  </si>
  <si>
    <t xml:space="preserve"> Larsbjørnsstræde 5</t>
  </si>
  <si>
    <t xml:space="preserve"> Forhuset*, forhusets to sidehuse (1797-98 af J. C. Wahl) ogmellemhuset med sidehus (slutningen af 1800-tallet)</t>
  </si>
  <si>
    <t>Larsbjørnsstræde 6</t>
  </si>
  <si>
    <t xml:space="preserve"> Larsbjørnsstræde 6</t>
  </si>
  <si>
    <t xml:space="preserve"> Forhuset (1798 af Philip Lange og L. L. Thrane) </t>
  </si>
  <si>
    <t>Larsbjørnsstræde 7</t>
  </si>
  <si>
    <t xml:space="preserve"> Larsbjørnsstræde 7</t>
  </si>
  <si>
    <t>Larsbjørnsstræde 8</t>
  </si>
  <si>
    <t xml:space="preserve"> Larsbjørnsstræde 8</t>
  </si>
  <si>
    <t xml:space="preserve"> Forhuset (1797 af Philip Lange og L. L. Thrane) </t>
  </si>
  <si>
    <t>Larslejsstræde 1, hj af Sankt Peders Stræde</t>
  </si>
  <si>
    <t xml:space="preserve"> Larslejsstræde 1</t>
  </si>
  <si>
    <t xml:space="preserve"> Hjørnehuset (1838)</t>
  </si>
  <si>
    <t>Larslejsstræde 2, hj af Sankt Peders Stræde</t>
  </si>
  <si>
    <t xml:space="preserve"> Sankt Petri Kirkes Præstegård (tidl)</t>
  </si>
  <si>
    <t xml:space="preserve"> Forhus med mur modLarslejsstræde og bygningen mod Sankt Peders Stræde (1820)</t>
  </si>
  <si>
    <t>Larslejsstræde 3</t>
  </si>
  <si>
    <t xml:space="preserve"> Larslejsstræde 3</t>
  </si>
  <si>
    <t xml:space="preserve"> Forhuset (opført 1823 som pakhus, ombygget 1829 til beboelse)</t>
  </si>
  <si>
    <t>Larslejsstræde 7</t>
  </si>
  <si>
    <t xml:space="preserve"> Sankt Petri Plejehus, Thymes og Pelts Stiftelse</t>
  </si>
  <si>
    <t xml:space="preserve"> Det trefløjede bygningsanlæg samtgårdhaveanlægget, som omkranses af bebyggelsen (1899 af Fr. L. Levy) </t>
  </si>
  <si>
    <t>Lavendelstræde 10</t>
  </si>
  <si>
    <t xml:space="preserve"> Lavendelstræde 10</t>
  </si>
  <si>
    <t xml:space="preserve"> Forhuset og de to dermed sammenbyggede sidehuse (1796-97)</t>
  </si>
  <si>
    <t>Lavendelstræde 1 og Hestemøllestræde 2</t>
  </si>
  <si>
    <t xml:space="preserve"> Lavendelstræde 1 og Hestemøllestræde 2</t>
  </si>
  <si>
    <t xml:space="preserve"> Hjørnehuset (1806-07 af L.L. Thrane, udvidet med fem fag 1892-93)</t>
  </si>
  <si>
    <t>Lavendelstræde 4-6</t>
  </si>
  <si>
    <t xml:space="preserve"> Lavendelstræde 4-6</t>
  </si>
  <si>
    <t xml:space="preserve"> Forhusene og det tofags sidehus til nr 4 (nr 4: 1799,mansardtag ca 1910; nr 6: 1799)</t>
  </si>
  <si>
    <t>Lille Kannikestræde 3</t>
  </si>
  <si>
    <t xml:space="preserve"> Lille Kannikestræde 3</t>
  </si>
  <si>
    <t xml:space="preserve"> Den toetages lagerbygning, der ligger som sidehus medgavlen mod gaden (1876) samt bagbygningen (1814, ombygget ca 1840)</t>
  </si>
  <si>
    <t>Lille Kannikestræde 4</t>
  </si>
  <si>
    <t xml:space="preserve"> Krigsraad Mørks Minde</t>
  </si>
  <si>
    <t xml:space="preserve"> Forhuset (1830-31 af C. O. Aagaard) </t>
  </si>
  <si>
    <t>Lille Kirkestræde 1 og Nikolaj Plads 28</t>
  </si>
  <si>
    <t xml:space="preserve"> Lille Kirkestræde 1 og Nikolaj Plads 28</t>
  </si>
  <si>
    <t xml:space="preserve"> Hjørnebygningen med sidehus(1797 af Andreas Hallander)</t>
  </si>
  <si>
    <t>Lille Kirkestræde 3</t>
  </si>
  <si>
    <t xml:space="preserve"> Lille Kirkestræde 3</t>
  </si>
  <si>
    <t xml:space="preserve"> Forhus og hermed sammenbygget sidehus (1798-99 af MichaelBälckow og Ernst Burmeister)</t>
  </si>
  <si>
    <t>Lille Kongensgade 6</t>
  </si>
  <si>
    <t xml:space="preserve"> Lille Kongensgade 6</t>
  </si>
  <si>
    <t xml:space="preserve"> Forhuset (før 1720, forhøjet og gadesiden grundmuret ca1770)</t>
  </si>
  <si>
    <t>Lille Strandstræde 10</t>
  </si>
  <si>
    <t xml:space="preserve"> Lille Strandstræde 10</t>
  </si>
  <si>
    <t xml:space="preserve"> Det firefags forhus (ca 1750, ombygget 1888), det nifagssidehus og det tofags baghus (før 1750) samt den brolagte gårdsplads</t>
  </si>
  <si>
    <t xml:space="preserve"> Udvidet 1990**</t>
  </si>
  <si>
    <t>Lille Strandstræde 12</t>
  </si>
  <si>
    <t xml:space="preserve"> Lille Strandstræde 12</t>
  </si>
  <si>
    <t xml:space="preserve"> Forhus (beg af 1700-tallet, omb.  1857), sidehus (1700-tallet) og mellembygning (1732) omkring den første gård</t>
  </si>
  <si>
    <t>Lille Strandstræde 13-15</t>
  </si>
  <si>
    <t xml:space="preserve"> Lille Strandstræde 13-15</t>
  </si>
  <si>
    <t xml:space="preserve"> Hjørneejendommen Lille Strandstræde 15 medsidehus, forhuset Lille Strandstræde 13 og det bagvedliggende pakhus</t>
  </si>
  <si>
    <t>Lille Strandstræde 14 A</t>
  </si>
  <si>
    <t xml:space="preserve"> Brigadér Hallings Gård</t>
  </si>
  <si>
    <t xml:space="preserve"> Forhus med trappehus af bindingsværk og det hermed sammenbyggede fire fag lange sidehus mod sydøst (1600-tallet, ombygget 1773-76 formentlig af HansNæss)</t>
  </si>
  <si>
    <t>Lille Strandstræde 16</t>
  </si>
  <si>
    <t xml:space="preserve"> Lille Strandstræde 16</t>
  </si>
  <si>
    <t xml:space="preserve"> Forhuset (1700-tallet og senere)</t>
  </si>
  <si>
    <t>Lille Strandstræde 18</t>
  </si>
  <si>
    <t xml:space="preserve"> Lille Strandstræde 18</t>
  </si>
  <si>
    <t xml:space="preserve"> Forhus og dermed sammenbygget sidehus af samme højdesom forhuset (1833-34)</t>
  </si>
  <si>
    <t>Lille Strandstræde 20</t>
  </si>
  <si>
    <t xml:space="preserve"> Lille Strandstræde 20</t>
  </si>
  <si>
    <t xml:space="preserve"> Forhuset (1797, forhøjet med en etage 1855), to sidehuseog det med sidehusene sammenbyggede baghus (1858)</t>
  </si>
  <si>
    <t>Lille Strandstræde 3</t>
  </si>
  <si>
    <t xml:space="preserve"> Lille Strandstræde 3</t>
  </si>
  <si>
    <t xml:space="preserve"> Forhus med sidehus (1785, forhøjet 1832, facadeudsmykning1832)</t>
  </si>
  <si>
    <t>Lille Strandstræde 6</t>
  </si>
  <si>
    <t xml:space="preserve"> Verrayons Gård</t>
  </si>
  <si>
    <t xml:space="preserve"> Forhus med sidehus (1769 muligvis af Nicolas-Henri Jardin) og det dermed sammenbyggede baghus (ca 1680), pakhustilbygningen (1805) og de to brolagte gårdrum</t>
  </si>
  <si>
    <t>Lille Strandstræde 8</t>
  </si>
  <si>
    <t xml:space="preserve"> Lille Strandstræde 8</t>
  </si>
  <si>
    <t xml:space="preserve"> Forhuset (1700-tallet, ombygget og forhøjet med to etager1786) og det dermed sammenbyggede sidehus (1832)</t>
  </si>
  <si>
    <t>Lundevangsvej 12</t>
  </si>
  <si>
    <t xml:space="preserve"> Lundevangsvej 12</t>
  </si>
  <si>
    <t xml:space="preserve"> Villaen med hegnsmure (1908 af Carl Brummer)</t>
  </si>
  <si>
    <t>Lygten 2 A</t>
  </si>
  <si>
    <t xml:space="preserve"> Lygten Station</t>
  </si>
  <si>
    <t xml:space="preserve"> Stationshovedbygningen (1906 af H.E.C. Wenck) </t>
  </si>
  <si>
    <t>Læderstræde 11 B</t>
  </si>
  <si>
    <t xml:space="preserve"> Læderstræde 11 B</t>
  </si>
  <si>
    <t xml:space="preserve"> Det vestre forhus (syv fag fra 1806 udvidet mod øst med to fag1813) med tilstødende side- og baghus</t>
  </si>
  <si>
    <t>Læderstræde 13</t>
  </si>
  <si>
    <t xml:space="preserve"> Læderstræde 13</t>
  </si>
  <si>
    <t xml:space="preserve"> Forhus med sidehus (1795-96)</t>
  </si>
  <si>
    <t>Læderstræde 36, hj af Hyskenstræde</t>
  </si>
  <si>
    <t xml:space="preserve"> Læderstræde 36</t>
  </si>
  <si>
    <t xml:space="preserve"> Hjørnebygningen (1798-99 af ChristopherChrane)</t>
  </si>
  <si>
    <t>Læderstræde 5</t>
  </si>
  <si>
    <t xml:space="preserve"> Læderstræde 5</t>
  </si>
  <si>
    <t xml:space="preserve"> Forhuset (1797-98 af Henrich Kaiser) med toetages sidehus (1870)</t>
  </si>
  <si>
    <t>Læderstræde 7</t>
  </si>
  <si>
    <t xml:space="preserve"> Læderstræde 7</t>
  </si>
  <si>
    <t xml:space="preserve"> Forhus med sidehus (1796-97 af Jens Jansen)</t>
  </si>
  <si>
    <t>Magstræde 12</t>
  </si>
  <si>
    <t xml:space="preserve"> Magstræde 12</t>
  </si>
  <si>
    <t xml:space="preserve"> Forhus mod Magstræde og mellemhus samt de forbindende sidehuse(1731-32, forhøjet og ombygget 1810; forreste sidehus 1600-tallet)</t>
  </si>
  <si>
    <t>Magstræde 16</t>
  </si>
  <si>
    <t xml:space="preserve"> Magstræde 16</t>
  </si>
  <si>
    <t xml:space="preserve"> Forhus (mellem 1730 og 1735) og trappehus</t>
  </si>
  <si>
    <t>Magstræde 17-19 og Nybrogade 30</t>
  </si>
  <si>
    <t xml:space="preserve"> Magstræde 17-19 og Nybrogade 30</t>
  </si>
  <si>
    <t xml:space="preserve"> Magstræde 17-19: de togavlhuse (1600-tallet); Nybrogade 30; forhus med trappehus (1740-80, ombygget 1845)</t>
  </si>
  <si>
    <t>Magstræde 18</t>
  </si>
  <si>
    <t xml:space="preserve"> Magstræde 18</t>
  </si>
  <si>
    <t xml:space="preserve"> Forhus (ca 1730) med side- og baghus</t>
  </si>
  <si>
    <t>Magstræde 20</t>
  </si>
  <si>
    <t xml:space="preserve"> Magstræde 20</t>
  </si>
  <si>
    <t xml:space="preserve"> Forhus (1600-tallet, forhøjet og grundmuret 1730-68) med trappehus(1768) og baghus (1600-tallet, forhøjet efter 1728)</t>
  </si>
  <si>
    <t>Magstræde 6</t>
  </si>
  <si>
    <t xml:space="preserve"> Magstræde 6</t>
  </si>
  <si>
    <t xml:space="preserve"> Forhus med tilstødende sidehus af pudset bindingsværk (1733-34 af Philip deLange)</t>
  </si>
  <si>
    <t>Magstræde 7</t>
  </si>
  <si>
    <t xml:space="preserve"> Magstræde 7</t>
  </si>
  <si>
    <t xml:space="preserve"> Forhuset (ca 1730, ombygget 1803 af Poul Egeroed)</t>
  </si>
  <si>
    <t>Magstræde 8</t>
  </si>
  <si>
    <t xml:space="preserve"> Magstræde 8</t>
  </si>
  <si>
    <t xml:space="preserve"> Forhuset (ca 1730-50, ombygget ca 1780-90)</t>
  </si>
  <si>
    <t>Markvej 1-51 og 2-54</t>
  </si>
  <si>
    <t xml:space="preserve"> Bakkehusene, Markvej</t>
  </si>
  <si>
    <t>Middelgrundsfortet 1</t>
  </si>
  <si>
    <t xml:space="preserve"> Middelgrundsfortet</t>
  </si>
  <si>
    <t xml:space="preserve"> Middelgrundsfortet - hele fortanlægget (1891-94)</t>
  </si>
  <si>
    <t>Midtdyssen 35</t>
  </si>
  <si>
    <t xml:space="preserve"> Fakirskolen, Christiania</t>
  </si>
  <si>
    <t xml:space="preserve"> Krudtmagasinet i 4.  Redan, kaldet Fakirskolen</t>
  </si>
  <si>
    <t>Midtdyssen 55</t>
  </si>
  <si>
    <t xml:space="preserve"> Autogena, Christiania</t>
  </si>
  <si>
    <t xml:space="preserve"> Krudthuset i 3.  Redan, kaldet Autogena, samt de hertil hørendemurstykker og det med disse sammenbyggede vagthus (1780)</t>
  </si>
  <si>
    <t>Mælkebøtten 162 A-E, 192 A, 170A-D</t>
  </si>
  <si>
    <t xml:space="preserve"> Mælkebøtten, Christiania</t>
  </si>
  <si>
    <t xml:space="preserve"> De sammenbyggede port-, vagt- og laboratoriebygninger benævnt Landetatens Laboratorium, den her overfor liggende bygning, kaldet Rådhuset samt de med portbygningen sammenbyggede hegnsmure, beliggende i Sophie Hedvigs Bastion (1845-47, hegnsmurstykkerne dog fra før 1832, formodentlig fra slutningen af 1600-tallet)</t>
  </si>
  <si>
    <t>Mælkevejen 63</t>
  </si>
  <si>
    <t xml:space="preserve"> Den grå Hal, Christiania</t>
  </si>
  <si>
    <t xml:space="preserve"> Den grå Hal (1853, flyttet fra Holcks Bastion, genopført 1891)</t>
  </si>
  <si>
    <t>Møllegade 12</t>
  </si>
  <si>
    <t xml:space="preserve"> Begravelsespladsen med monumenter, gravsten og gravplader, den høje hegnsmur mod Møllegade, Guldbergsgade og Birkegade samt bolig- og indgangsbygningen ved Møllegade (anlagt 1694 ff, mur og bygninger 1873 af Vilhelm Tvede)</t>
  </si>
  <si>
    <t>Møntergade 10</t>
  </si>
  <si>
    <t xml:space="preserve"> Møntergade 10</t>
  </si>
  <si>
    <t xml:space="preserve"> Forhuset (1732, facaden 1857)</t>
  </si>
  <si>
    <t>Møntergade 12</t>
  </si>
  <si>
    <t xml:space="preserve"> Møntergade 12</t>
  </si>
  <si>
    <t xml:space="preserve"> Forhuset og de to sidehuse (1730)</t>
  </si>
  <si>
    <t>Møntergade 14</t>
  </si>
  <si>
    <t xml:space="preserve"> Møntergade 14</t>
  </si>
  <si>
    <t xml:space="preserve"> Forhus (mellem 1730 og 1736, helt ombygget 1763) med sidehus ogbaghus</t>
  </si>
  <si>
    <t>Møntergade 16</t>
  </si>
  <si>
    <t xml:space="preserve"> Møntergade 16</t>
  </si>
  <si>
    <t xml:space="preserve"> Forhuset, baghuset og det mellemliggende trappehus (1730'rne, forhøjet1770)</t>
  </si>
  <si>
    <t>Møntergade 4</t>
  </si>
  <si>
    <t xml:space="preserve"> Møntergade 4</t>
  </si>
  <si>
    <t xml:space="preserve"> Forhuset (1730-37, forhøjet ca 1775) med trappehus (ca 1830)</t>
  </si>
  <si>
    <t>Møntergade 6</t>
  </si>
  <si>
    <t xml:space="preserve"> Møntergade 6</t>
  </si>
  <si>
    <t xml:space="preserve"> Forhuset (mellem 1730 og 1749, forhøjet 1775, facadeudsmykningen1839)</t>
  </si>
  <si>
    <t>Møntergade 8</t>
  </si>
  <si>
    <t xml:space="preserve"> Møntergade 8</t>
  </si>
  <si>
    <t xml:space="preserve"> Forhuset (1730-35, forhøjet og facaden grundmuret mellem 1829 og 1832)samt sidehus og baghus</t>
  </si>
  <si>
    <t>* Udvidet 2016</t>
  </si>
  <si>
    <t>Naboløs 1, hj af Læderstræde</t>
  </si>
  <si>
    <t xml:space="preserve"> Naboløs 1</t>
  </si>
  <si>
    <t xml:space="preserve"> Hjørnebygningen med sidehus (1798-99 af H. C. Ondrup)</t>
  </si>
  <si>
    <t>Naboløs 2, hj af Kompagnistræde</t>
  </si>
  <si>
    <t xml:space="preserve"> Naboløs 2</t>
  </si>
  <si>
    <t xml:space="preserve"> Hjørnebygningen med sidehus (1797 af Philip Lange og L. L. Thrane) </t>
  </si>
  <si>
    <t>Naboløs 3</t>
  </si>
  <si>
    <t xml:space="preserve"> Naboløs 3</t>
  </si>
  <si>
    <t xml:space="preserve"> Forhuset (1798 af H. C. Ondrup) </t>
  </si>
  <si>
    <t>Naboløs 4 og Snaregade 4</t>
  </si>
  <si>
    <t xml:space="preserve"> Naboløs 4 og Snaregade 4</t>
  </si>
  <si>
    <t xml:space="preserve"> Naboløs 4: forhus og sidehus; Snaregade 4:forhus med sidehus (1802 af J. L. Thrane) </t>
  </si>
  <si>
    <t>Naboløs 6, hj af Snaregade</t>
  </si>
  <si>
    <t xml:space="preserve"> Henriette Melchiors Stiftelse</t>
  </si>
  <si>
    <t xml:space="preserve"> Hjørnebygningen (1796-97, facaden ombygget1829 og 1849)</t>
  </si>
  <si>
    <t>Nansensgade 1</t>
  </si>
  <si>
    <t xml:space="preserve"> Frederik VII's Stiftelse</t>
  </si>
  <si>
    <t xml:space="preserve"> Stiftelsesbygningen samt gitret med støbejernsbalustre ogdobbeltlåge (1873-75 af Theodor Zeltner)</t>
  </si>
  <si>
    <t xml:space="preserve"> Udvidet 1992**</t>
  </si>
  <si>
    <t>Niels Hemmingsens Gade 1, hj af Amagertorv</t>
  </si>
  <si>
    <t xml:space="preserve"> Niels Hemmingsens Gade 1</t>
  </si>
  <si>
    <t xml:space="preserve"> Forhusbebyggelsen mod Niels Hemmingsens Gade og Amagertorv med side- og baghus (1736, alle på grunden stående bygninger forhøjet med en etage 1762.  Forhuset forhøjet med en etage 1855 og atter forandret i 1900-tallet)</t>
  </si>
  <si>
    <t>Niels Hemmingsens Gade 23</t>
  </si>
  <si>
    <t xml:space="preserve"> Niels Hemmingsens Gade 23</t>
  </si>
  <si>
    <t xml:space="preserve"> Forhus og sidehus (ca 1730)</t>
  </si>
  <si>
    <t>Niels Hemmingsens Gade 3</t>
  </si>
  <si>
    <t xml:space="preserve"> Niels Hemmingsens Gade 3</t>
  </si>
  <si>
    <t xml:space="preserve"> Forhuset med to sidehuse (1736, ombygget ogforhøjet 1786.  En ca 1798 i tagetagen anbragt altan fjernet senere)</t>
  </si>
  <si>
    <t>Niels Hemmingsens Gade 32</t>
  </si>
  <si>
    <t xml:space="preserve"> Niels Hemmingsens Gade 32</t>
  </si>
  <si>
    <t xml:space="preserve"> Forhus (mellem 1739 og 1744, ombygget 1853-54) og sidehus (mellem 1762 og 1777, ombygget 1853-54, forhøjet mellem 1869 og 1873)</t>
  </si>
  <si>
    <t>Nikolajgade 18</t>
  </si>
  <si>
    <t xml:space="preserve"> Nikolajgade 18</t>
  </si>
  <si>
    <t xml:space="preserve"> Forhuset (1817-18, pakhus)</t>
  </si>
  <si>
    <t>Nikolajgade 20, hj af Dybensgade</t>
  </si>
  <si>
    <t xml:space="preserve"> Nikolajgade 20</t>
  </si>
  <si>
    <t xml:space="preserve"> Hjørnebygningen med sidehus (1799 af A. C. Wilcken. Brændt og genopbygget 1855)</t>
  </si>
  <si>
    <t>Nikolajgade 22, Dybensgade 19</t>
  </si>
  <si>
    <t xml:space="preserve"> Nikolajgade 22 og Dybensgade 19</t>
  </si>
  <si>
    <t xml:space="preserve"> Forhus mod Nikolajgade ogDybensgade samt pakhus mod Dybensgade (1799)</t>
  </si>
  <si>
    <t>Nikolaj Plads 10</t>
  </si>
  <si>
    <t xml:space="preserve"> Nikolaj Tårn</t>
  </si>
  <si>
    <t xml:space="preserve"> Tårnet (1582-ca 1600; spiret 1907-09)</t>
  </si>
  <si>
    <t>Nikolaj Plads 11</t>
  </si>
  <si>
    <t xml:space="preserve"> Nikolaj Plads 11</t>
  </si>
  <si>
    <t xml:space="preserve"> Forhuset (1848-49 af P. C. Hagemann) </t>
  </si>
  <si>
    <t>Nikolaj Plads 23, hj af Nikolajgade</t>
  </si>
  <si>
    <t xml:space="preserve"> Nikolaj Plads 23</t>
  </si>
  <si>
    <t xml:space="preserve"> Hjørnebygningen (1800 af H. C. Schmidt) </t>
  </si>
  <si>
    <t>Nikolaj Plads 27, hj af Admiralgade</t>
  </si>
  <si>
    <t xml:space="preserve"> Nikolaj Plads 27</t>
  </si>
  <si>
    <t xml:space="preserve"> Forhus mod Nikolaj Plads og Admiralgade (1796-97) og sidehuset (1800)</t>
  </si>
  <si>
    <t xml:space="preserve"> Udvidet 1992</t>
  </si>
  <si>
    <t>Nikolaj Plads 3, hj af Lille Kongensgade</t>
  </si>
  <si>
    <t xml:space="preserve"> Nikolaj Plads 3</t>
  </si>
  <si>
    <t xml:space="preserve"> Hjørnebygningen med sidehus (vestre forhus1758, søndre forhus 1728, grundmuret 1830)</t>
  </si>
  <si>
    <t>Nikolaj Plads 30</t>
  </si>
  <si>
    <t xml:space="preserve"> Sankt Nikolaj Fattige Kirkeskole (tidl)</t>
  </si>
  <si>
    <t xml:space="preserve"> Forhus med side- og baghus (1795 af Andreas Kirkerupog Andreas Hallander, facaden senere ændret)</t>
  </si>
  <si>
    <t>Nikolaj Plads 32</t>
  </si>
  <si>
    <t xml:space="preserve"> Nikolaj Plads 32</t>
  </si>
  <si>
    <t xml:space="preserve"> Forhus med sidehus (delvis fra 1796 af Andreas Hallander)</t>
  </si>
  <si>
    <t>Nikolaj Plads 7</t>
  </si>
  <si>
    <t xml:space="preserve"> Nikolaj Plads 7</t>
  </si>
  <si>
    <t>Nikolaj Plads 9</t>
  </si>
  <si>
    <t xml:space="preserve"> Nikolaj Plads 9</t>
  </si>
  <si>
    <t>Norddyssen 63 A-G</t>
  </si>
  <si>
    <t xml:space="preserve"> Aircondition, Christiania</t>
  </si>
  <si>
    <t xml:space="preserve"> Krudtmagasinet i 2. Redan, kaldet Aircondition, samt dehertil hørende murstykker og det med disse sammenbyggede vagthus (1789)</t>
  </si>
  <si>
    <t>Nordområdet 262 A og B</t>
  </si>
  <si>
    <t xml:space="preserve"> Kommandørhuset i Vilhelms Bastion, Christiania</t>
  </si>
  <si>
    <t xml:space="preserve"> Bindingsværksbygningen benævntKommandørhuset i Vilhelms Bastion (1735)</t>
  </si>
  <si>
    <t>Nordområdet 270</t>
  </si>
  <si>
    <t xml:space="preserve"> Krudthuset i Vilhelms Bastion, Christiania</t>
  </si>
  <si>
    <t xml:space="preserve"> Krudthuset i Vilhelms Bastion (1688, af Hans V. Steenwinckel den yngste)</t>
  </si>
  <si>
    <t>Nordre Toldbod 2</t>
  </si>
  <si>
    <t xml:space="preserve"> Løveport</t>
  </si>
  <si>
    <t xml:space="preserve"> Bygningen med arkaden samt den hertil hørende "Løveport" (1856 af GFHetsch)</t>
  </si>
  <si>
    <t>Nordre Toldbod 3 (tidl nr 1)</t>
  </si>
  <si>
    <t xml:space="preserve"> Visitationsbygningen (tidl)</t>
  </si>
  <si>
    <t xml:space="preserve"> Den tidl visitationsbygning med arkaden ogtilbygget beværterpavillon (1856 af GF Hetsch)</t>
  </si>
  <si>
    <t>Nordre Toldbod 7-11</t>
  </si>
  <si>
    <t xml:space="preserve"> Havneadministrationen</t>
  </si>
  <si>
    <t xml:space="preserve"> Administrationsbygningen (1868 af Vilhelm Dahlerup og Frederik Bøttger, forhøjet 1939-40 af Einar Madvig), de to portvagtbygninger (1869 af Vilhelm Dahlerup og Frederik Bøttger med skulpturer 1870 af C. C.  Peters), det originale gitterværk med hovedport samt de trestøbejernskraner ved havnebassinet. </t>
  </si>
  <si>
    <t xml:space="preserve"> Udv. 2021</t>
  </si>
  <si>
    <t>Ny Adelgade 6-6 A</t>
  </si>
  <si>
    <t xml:space="preserve"> Ny Adelgade 6-6 A</t>
  </si>
  <si>
    <t xml:space="preserve"> Forhuset (1738, gavlkvisten mellem 1802 og 1837) og baghuset(1738)</t>
  </si>
  <si>
    <t>Ny Adelgade 9</t>
  </si>
  <si>
    <t xml:space="preserve"> Ny Adelgade 9</t>
  </si>
  <si>
    <t xml:space="preserve"> Hjørnehuset (1802-03)</t>
  </si>
  <si>
    <t>Nyborggade 17</t>
  </si>
  <si>
    <t xml:space="preserve"> Østre Gasværk</t>
  </si>
  <si>
    <t xml:space="preserve"> Den murede gasbeholder (1881-83 af Martin Nyrop)</t>
  </si>
  <si>
    <t>Nybrogade 10 og Snaregade 7</t>
  </si>
  <si>
    <t xml:space="preserve"> Nybrogade 10 og Snaregade 7</t>
  </si>
  <si>
    <t xml:space="preserve"> Nybrogade 10: forhus (ca 1740, forhøjetog ombygget 1853-54) med sidehus (1700-tallet); Snaregade 7: forhus (1853-54)</t>
  </si>
  <si>
    <t>Nybrogade 12, hj af Knabrostræde</t>
  </si>
  <si>
    <t xml:space="preserve"> Hofkonditor Zieglers Gård</t>
  </si>
  <si>
    <t xml:space="preserve"> Det firefløjede anlæg (1732 af Philip deLange, østlige del 1748)</t>
  </si>
  <si>
    <t>Nybrogade 16 og Magstræde 3</t>
  </si>
  <si>
    <t xml:space="preserve"> Nybrogade 16 og Magstræde 3</t>
  </si>
  <si>
    <t xml:space="preserve"> De to forhuse (1734-35) og detmellemliggende trappehus (mellem 1745 og 1790)</t>
  </si>
  <si>
    <t>Nybrogade 18</t>
  </si>
  <si>
    <t xml:space="preserve"> Nybrogade 18</t>
  </si>
  <si>
    <t xml:space="preserve"> Forhus mod Nybrogade samt sidehus (1732, forhøjet med en etage 1854)</t>
  </si>
  <si>
    <t>Nybrogade 2</t>
  </si>
  <si>
    <t xml:space="preserve"> Assistenshuset</t>
  </si>
  <si>
    <t xml:space="preserve"> Det firefløjede anlæg (1729-30, ombygget 1765 af Philip de Lange) medudløberfløj langs Snaregade</t>
  </si>
  <si>
    <t>Nybrogade 20</t>
  </si>
  <si>
    <t xml:space="preserve"> Nybrogade 20</t>
  </si>
  <si>
    <t xml:space="preserve"> Forhuset (1731)</t>
  </si>
  <si>
    <t>Nybrogade 22 og Magstræde 9</t>
  </si>
  <si>
    <t xml:space="preserve"> Nybrogade 22 og Magstræde 9</t>
  </si>
  <si>
    <t xml:space="preserve"> Nybrogade 22: for- og sidehus (1852-53); Magstræde 9: forhus (1755)</t>
  </si>
  <si>
    <t>Nybrogade 24 og Magstræde 11</t>
  </si>
  <si>
    <t xml:space="preserve"> Nybrogade 24 og Magstræde 11</t>
  </si>
  <si>
    <t xml:space="preserve"> Nybrogade 24: for- og sidehus (1815-17, forhøjet med en etage 1853); Magstræde 11: forhus (1700-tallet, ombygget 1815-17)</t>
  </si>
  <si>
    <t>Nybrogade 26 og Magstræde 13</t>
  </si>
  <si>
    <t xml:space="preserve"> Nybrogade 26 og Magstræde 13</t>
  </si>
  <si>
    <t xml:space="preserve"> Forhusene mod Nybrogade og Magstræde (Nybrogade 26: 1700-tallet, ombygget 1827 og senere; Magstræde 13: 1808-09, forhøjet 1827)</t>
  </si>
  <si>
    <t>Nybrogade 28 og Magstræde 15</t>
  </si>
  <si>
    <t xml:space="preserve"> Nybrogade 28 og Magstræde 15</t>
  </si>
  <si>
    <t xml:space="preserve"> Forhusene mod Nybrogade ogMagstræde (Nybrogade 28: 1852; Magstræde 15: 1731-32, forhøjet 1852)</t>
  </si>
  <si>
    <t>Nybrogade 4</t>
  </si>
  <si>
    <t xml:space="preserve"> Pæretræet</t>
  </si>
  <si>
    <t xml:space="preserve"> Forhus (1729-30, forhøjet med en etage 1846) med sidehus (1729)</t>
  </si>
  <si>
    <t>Nybrogade 6 og Snaregade 3</t>
  </si>
  <si>
    <t xml:space="preserve"> Nybrogade 6 og Snaregade 3</t>
  </si>
  <si>
    <t xml:space="preserve"> Forhus til Nybrogade (1762-84, forhøjet1797, 1828 og 1845), forhus til Snaregade (1733, forkortet seks fag 1845) med sidehus</t>
  </si>
  <si>
    <t>Nybrogade 8 og Snaregade 5</t>
  </si>
  <si>
    <t xml:space="preserve"> Nybrogade 8 og Snaregade 5</t>
  </si>
  <si>
    <t xml:space="preserve"> Nybrogade 8: forhus med sidehus (1768, forhøjet med en etage 1843); Snaregade 5: forhus (1730-32, forhøjet 1768) med sidehus i nord (mellem1732 og 1764) samt sidehus i syd (mellem 1768 og 1784)</t>
  </si>
  <si>
    <t>Nyhavn 1, hj af Store Strandstræde</t>
  </si>
  <si>
    <t xml:space="preserve"> Nyhavn 1</t>
  </si>
  <si>
    <t xml:space="preserve"> Hjørnehuset (1753) og muren langs Nyhavn; StoreStrandstræde 2: forhuset (før 1731, sammenbygget 1817) med sidehus (1817-18)</t>
  </si>
  <si>
    <t>Nyhavn 10-12</t>
  </si>
  <si>
    <t xml:space="preserve"> Nyhavn 10-12</t>
  </si>
  <si>
    <t xml:space="preserve"> Forhuset nr 10 (1772-73, kvist ombygget til fuld etage 1850) samt det 6 fag lange sidehus (1772-73, forhøjet 1850), forhuset nr 12 og det dermed sammenbyggede 13 fag langesidehus (ca 1770, sidehuset 1796)</t>
  </si>
  <si>
    <t>Nyhavn 11</t>
  </si>
  <si>
    <t xml:space="preserve"> Nyhavn 11</t>
  </si>
  <si>
    <t xml:space="preserve"> Forhuset (1835-36)</t>
  </si>
  <si>
    <t>Nyhavn 13</t>
  </si>
  <si>
    <t xml:space="preserve"> Nyhavn 13</t>
  </si>
  <si>
    <t xml:space="preserve"> Forhuset (ca 1690, kvist erstattet af de to øverste etager 1842)</t>
  </si>
  <si>
    <t>Nyhavn 14-16</t>
  </si>
  <si>
    <t xml:space="preserve"> Den Sorte Ravn</t>
  </si>
  <si>
    <t xml:space="preserve"> De to forhuse (1755 og senere) og det vinkelformede baghus</t>
  </si>
  <si>
    <t>Nyhavn 15</t>
  </si>
  <si>
    <t xml:space="preserve"> Nyhavn 15</t>
  </si>
  <si>
    <t xml:space="preserve"> Forhuset (1600-tallet, forhøjet med en etage 1851)</t>
  </si>
  <si>
    <t>Nyhavn 17, hj af Lille Strandstræde</t>
  </si>
  <si>
    <t xml:space="preserve"> Nyhavn 17</t>
  </si>
  <si>
    <t xml:space="preserve"> Forhus mod Nyhavn (slutningen af 1600-tallet, grundmuret og forhøjet ved midten af 1700-tallet) og sidehus med Lille Strandstræde (1786)</t>
  </si>
  <si>
    <t>Nyhavn 18</t>
  </si>
  <si>
    <t xml:space="preserve"> Nyhavn 18</t>
  </si>
  <si>
    <t xml:space="preserve"> Forhuset (ca 1779, kvist til gaden ombygget til fuld etage 1846 af C.  Unger)</t>
  </si>
  <si>
    <t>Nyhavn 19, hj af Lille Strandstræde</t>
  </si>
  <si>
    <t xml:space="preserve"> Nyhavn 19</t>
  </si>
  <si>
    <t xml:space="preserve"> Forhus (før 1713, forhøjet mellem 1766 og 1787) medtrappehus (mellem 1787 og 1801)</t>
  </si>
  <si>
    <t>Nyhavn 2</t>
  </si>
  <si>
    <t xml:space="preserve"> Charlottenborgs Udstillingsbygning</t>
  </si>
  <si>
    <t xml:space="preserve"> "Det trefløjede anlæg (1883 af Ferdinand Meldahl og Albert Jensen), ""Billedhugger-haven"" (1777) og havemuren mod Heibergsgade</t>
  </si>
  <si>
    <t>Nyhavn 20</t>
  </si>
  <si>
    <t xml:space="preserve"> Nyhavn 20</t>
  </si>
  <si>
    <t xml:space="preserve"> Forhuset (ca 1780)</t>
  </si>
  <si>
    <t>Nyhavn 21 og Lille Strandstræde 4</t>
  </si>
  <si>
    <t xml:space="preserve"> Nyhavn 21 og Lille Strandstræde 4</t>
  </si>
  <si>
    <t xml:space="preserve"> Forhus (1600-tallet, forhøjet med en etage 1793), trappehus (1850) og baghus (1748), forhus mod Lille Strandstræde (1789) med tilbygning(1843)</t>
  </si>
  <si>
    <t>Nyhavn 23</t>
  </si>
  <si>
    <t xml:space="preserve"> Nyhavn 23</t>
  </si>
  <si>
    <t xml:space="preserve"> Forhus og sidehus (1803)</t>
  </si>
  <si>
    <t>Nyhavn 25</t>
  </si>
  <si>
    <t xml:space="preserve"> Nyhavn 25</t>
  </si>
  <si>
    <t xml:space="preserve"> Forhus med sidehus (ca 1730, forhøjet ca 1790)</t>
  </si>
  <si>
    <t>Nyhavn 27</t>
  </si>
  <si>
    <t xml:space="preserve"> Nyhavn 27</t>
  </si>
  <si>
    <t xml:space="preserve"> Forhuset (ca 1700, forhøjet 1784, forlænget 1789)</t>
  </si>
  <si>
    <t>Nyhavn 29</t>
  </si>
  <si>
    <t xml:space="preserve"> Nyhavn 29</t>
  </si>
  <si>
    <t xml:space="preserve"> Forhuset og østre sidehus (ca 1730)</t>
  </si>
  <si>
    <t>Nyhavn 3</t>
  </si>
  <si>
    <t xml:space="preserve"> Nyhavn 3</t>
  </si>
  <si>
    <t xml:space="preserve"> Forhuset (1600-tallet, ombygget 1738, 1776 og 1852) samt trappehuset (ca 1800)</t>
  </si>
  <si>
    <t>Nyhavn 31</t>
  </si>
  <si>
    <t xml:space="preserve"> Nyhavn 31</t>
  </si>
  <si>
    <t xml:space="preserve"> Forhuset (ca 1700, forhøjet 1731) samt de to hermed sammenbyggede sidehuse(det forreste ca 1800, det bageste fra 1. halvdel af 1700-tallet)</t>
  </si>
  <si>
    <t>Nyhavn 33</t>
  </si>
  <si>
    <t xml:space="preserve"> Nyhavn 33</t>
  </si>
  <si>
    <t xml:space="preserve"> Forhuset (1696, forhøjet 1767 og 1853), det østre sidehus (1784, forhøjet 1853),det vestre sidehus (nordlige del 1784, forhøjet 1833, sydlige del 1833) samt hegnsmuren mellem østre og vestre sidehus</t>
  </si>
  <si>
    <t xml:space="preserve"> Udvidet 1951, udvidet 2001</t>
  </si>
  <si>
    <t>Nyhavn 35</t>
  </si>
  <si>
    <t xml:space="preserve"> Nyhavn 35</t>
  </si>
  <si>
    <t xml:space="preserve"> Forhuset (ca 1700, kvist ombygget til fuld etage ca 1783, etage påbygget 1835)og det hermed sammenbyggede sidehus</t>
  </si>
  <si>
    <t>Nyhavn 37</t>
  </si>
  <si>
    <t xml:space="preserve"> Nyhavn 37</t>
  </si>
  <si>
    <t xml:space="preserve"> Forhuset (ca 1700, forhøjet med en etage 1791)</t>
  </si>
  <si>
    <t>Nyhavn 39</t>
  </si>
  <si>
    <t xml:space="preserve"> Nyhavn 39</t>
  </si>
  <si>
    <t xml:space="preserve"> Forhuset (ca 1700, forhøjet med en etage 1850)</t>
  </si>
  <si>
    <t>Nyhavn 41</t>
  </si>
  <si>
    <t xml:space="preserve"> Nyhavn 41</t>
  </si>
  <si>
    <t xml:space="preserve"> Forhuset (1698, kvist ombygget til fuld etage og ny kvist påbygget ca 1752) medside- og baghus</t>
  </si>
  <si>
    <t>Nyhavn 43</t>
  </si>
  <si>
    <t xml:space="preserve"> Nyhavn 43</t>
  </si>
  <si>
    <t xml:space="preserve"> Forhuset (ca 1787, ombygget 1874)</t>
  </si>
  <si>
    <t>Nyhavn 45</t>
  </si>
  <si>
    <t xml:space="preserve"> Nyhavn 45</t>
  </si>
  <si>
    <t xml:space="preserve"> Forhus (1740, forhøjet med en etage 1794) med sidehus (1794) og baghus (1794)og den brolagte gårdsplads med muren mod naboskel</t>
  </si>
  <si>
    <t>Nyhavn 47, hj af Toldbodgade</t>
  </si>
  <si>
    <t xml:space="preserve"> Nyhavn 47</t>
  </si>
  <si>
    <t xml:space="preserve"> Hjørnehuset, sidehuset og muren mod Nyhavn (1737-38,ombygget 1845 af J. A. Blom) </t>
  </si>
  <si>
    <t>Nyhavn 49, hj af Toldbodgade</t>
  </si>
  <si>
    <t xml:space="preserve"> Nyhavn 49</t>
  </si>
  <si>
    <t xml:space="preserve"> Forhuset (1746, forhøjet med en etage 1886)</t>
  </si>
  <si>
    <t>Nyhavn 5</t>
  </si>
  <si>
    <t xml:space="preserve"> Nyhavn 5</t>
  </si>
  <si>
    <t xml:space="preserve"> Forhuset (1600-tallet, ombygget og forhøjet ca 1790 og 1843) med side- og baghus</t>
  </si>
  <si>
    <t>Nyhavn 51</t>
  </si>
  <si>
    <t xml:space="preserve"> Nyhavn 51</t>
  </si>
  <si>
    <t xml:space="preserve"> Forhuset (1766)</t>
  </si>
  <si>
    <t>Nyhavn 53</t>
  </si>
  <si>
    <t xml:space="preserve"> Nyhavn 53</t>
  </si>
  <si>
    <t xml:space="preserve"> Forhuset (1753-54, forhøjet med en etage 1874) og det dermed sammenbyggedesidehus</t>
  </si>
  <si>
    <t>Nyhavn 55</t>
  </si>
  <si>
    <t xml:space="preserve"> Nyhavn 55</t>
  </si>
  <si>
    <t xml:space="preserve"> Forhuset (ca 1700, ombygget 1906) og det sydøstre sidehus (før 1756, seneredelvis grundmuret)</t>
  </si>
  <si>
    <t>Nyhavn 57</t>
  </si>
  <si>
    <t xml:space="preserve"> Nyhavn 57</t>
  </si>
  <si>
    <t xml:space="preserve"> Forhuset (ca 1690, ca 1850-60) og det hermed sammenbyggede sidehus, mellemhuset og baghuset (beg af 1700-tallet, ombygget 1889) og de tilhørende befæstede arealer igårdforløbene på matriklen</t>
  </si>
  <si>
    <t xml:space="preserve"> Udvidet 2017*</t>
  </si>
  <si>
    <t>Nyhavn 59</t>
  </si>
  <si>
    <t xml:space="preserve"> Guldmagerens Hus</t>
  </si>
  <si>
    <t xml:space="preserve"> Forhuset (1689 og senere) med side- og baghus</t>
  </si>
  <si>
    <t>Nyhavn 6</t>
  </si>
  <si>
    <t xml:space="preserve"> Nyhavn 6</t>
  </si>
  <si>
    <t>Nyhavn 61</t>
  </si>
  <si>
    <t xml:space="preserve"> Nyhavn 61</t>
  </si>
  <si>
    <t xml:space="preserve"> Forhuset (ca 1700 og senere) med side- og baghus</t>
  </si>
  <si>
    <t>Nyhavn 63</t>
  </si>
  <si>
    <t xml:space="preserve"> Nyhavn 63</t>
  </si>
  <si>
    <t xml:space="preserve"> Forhuset og de bygninger, der omgiver den umiddelbart bag forhuset liggendegårdsplads (muligvis 1756, ombygget ca 1770)</t>
  </si>
  <si>
    <t>Nyhavn 65</t>
  </si>
  <si>
    <t xml:space="preserve"> Mahnfeldts Gård</t>
  </si>
  <si>
    <t xml:space="preserve"> Forhuset (1737), sidehus i vest (mellem 1739 og 1756), sidehus i øst(mellem 1756 og 1801), vestlige baghus (1731) og østlige baghus (ca 1700)</t>
  </si>
  <si>
    <t>Nyhavn 67</t>
  </si>
  <si>
    <t xml:space="preserve"> Nyhavn 67</t>
  </si>
  <si>
    <t xml:space="preserve"> Forhuset (1737, forhøjet med to etager 1846)</t>
  </si>
  <si>
    <t>Nyhavn 7</t>
  </si>
  <si>
    <t xml:space="preserve"> Nyhavn 7</t>
  </si>
  <si>
    <t xml:space="preserve"> Forhuset (1600-tallet, ombygget og forhøjet 1846), baghuset og det mellemliggendetrappehus, der omslutter den lille trekantede gård</t>
  </si>
  <si>
    <t>Nyhavn 71, hj af Kvæsthusgade</t>
  </si>
  <si>
    <t xml:space="preserve"> Suhrs Pakhus</t>
  </si>
  <si>
    <t xml:space="preserve"> Pakhuset (1805)</t>
  </si>
  <si>
    <t>Nyhavn 8</t>
  </si>
  <si>
    <t xml:space="preserve"> Nyhavn 8</t>
  </si>
  <si>
    <t xml:space="preserve"> Forhuset (1774, forhøjet med en etage 1846) samt sidehuset (1774)</t>
  </si>
  <si>
    <t>Udvidet 1999*</t>
  </si>
  <si>
    <t>Nyhavn 9</t>
  </si>
  <si>
    <t xml:space="preserve"> Nyhavn 9</t>
  </si>
  <si>
    <t xml:space="preserve"> Forhuset (1681) med side-, bag- og tværhus (før 1729)</t>
  </si>
  <si>
    <t>Ny Kongensgade 1, hj af Frederiksholms Kanal</t>
  </si>
  <si>
    <t xml:space="preserve"> Barchmanns Palæ</t>
  </si>
  <si>
    <t xml:space="preserve"> Forhuse mod Ny Kongensgade og Frederiksholms Kanal (1740 af Philip de Lange) og det fem fags sidehus i tre etager og mansard til forhusetmod Ny Kongensgade</t>
  </si>
  <si>
    <t>Ny Kongensgade 11</t>
  </si>
  <si>
    <t xml:space="preserve"> Ny Kongensgade 11</t>
  </si>
  <si>
    <t xml:space="preserve"> Forhuset og det hermed sammenbyggedebindingsværkssidehus (1730'rne)</t>
  </si>
  <si>
    <t>Ny Kongensgade 3</t>
  </si>
  <si>
    <t xml:space="preserve"> Ny Kongensgade 3</t>
  </si>
  <si>
    <t xml:space="preserve"> Forhus og sidehus (1757, stærkt ombygget 1916 af BentHelweg-Møller) med trappetårn (1916)</t>
  </si>
  <si>
    <t>Ny Kongensgade 5</t>
  </si>
  <si>
    <t xml:space="preserve"> Ny Kongensgade 5</t>
  </si>
  <si>
    <t xml:space="preserve"> Forhus (før 1732, forhøjet med en etage i 1740'rne, facadenpudset i 1860'erne) med sidehus (1751) samt retirade (beg af 1800-tallet)</t>
  </si>
  <si>
    <t>Ny Kongensgade 6</t>
  </si>
  <si>
    <t xml:space="preserve"> Ny Kongensgade 6</t>
  </si>
  <si>
    <t xml:space="preserve"> Det østlige forhus på grunden (1754)</t>
  </si>
  <si>
    <t>Ny Kongensgade 7</t>
  </si>
  <si>
    <t xml:space="preserve"> Ny Kongensgade 7</t>
  </si>
  <si>
    <t xml:space="preserve"> Forhus (1769) med sidehus (1770'erne) samt baghus (1813)</t>
  </si>
  <si>
    <t>Ny Kongensgade 9</t>
  </si>
  <si>
    <t xml:space="preserve"> Ny Kongensgade 9</t>
  </si>
  <si>
    <t xml:space="preserve"> Forhus med tilstødende sidehus (1804)</t>
  </si>
  <si>
    <t>Nytorv 15 og Rådhusstræde 2 A-B</t>
  </si>
  <si>
    <t xml:space="preserve"> Nytorv 15 og Rådhusstræde 2 A-B</t>
  </si>
  <si>
    <t xml:space="preserve"> Hjørnehuset (1796-97) samt forhusetRådhusstræde 2 (1798) med mur og port</t>
  </si>
  <si>
    <t>Nytorv 17</t>
  </si>
  <si>
    <t xml:space="preserve"> Nytorv 17</t>
  </si>
  <si>
    <t xml:space="preserve"> Forhuset (1795-96)</t>
  </si>
  <si>
    <t>Nytorv 19</t>
  </si>
  <si>
    <t xml:space="preserve"> Nytorv 19</t>
  </si>
  <si>
    <t xml:space="preserve"> Forhuset, sidehuset samt det vinkelret herpå sammenbyggede trappehus (1797)</t>
  </si>
  <si>
    <t xml:space="preserve"> Udvidet 1996**</t>
  </si>
  <si>
    <t>Nytorv 21, Slutterigade 1 og Hestemøllestræde 1</t>
  </si>
  <si>
    <t xml:space="preserve"> Arrestbygningen</t>
  </si>
  <si>
    <t xml:space="preserve"> Det samlede bygningskompleks med facade mod Slutterigade, facade og port mod Hestemøllestræde (1805-15 af C.F. Hansen, ombygget og restaureret 1938-42 af Kaj Gottlob) samt den selvstændige bygning mod Nytorv (1888-89,formentlig af Ludvig Fenger)</t>
  </si>
  <si>
    <t>Nytorv 25 og Kattesundet 13</t>
  </si>
  <si>
    <t xml:space="preserve"> Københavns Domhus</t>
  </si>
  <si>
    <t xml:space="preserve"> Hele komplekset også mod Slutterigade,Kattesundet samt porten mod Frederiksberggade (1805-15 af C. F. Hansen) </t>
  </si>
  <si>
    <t>Nytorv 5</t>
  </si>
  <si>
    <t xml:space="preserve"> Frischs Gård</t>
  </si>
  <si>
    <t xml:space="preserve"> Forhuset (1799-1803 af Nicolai Abildgaard)</t>
  </si>
  <si>
    <t>Nytorv 7 A-B og 11</t>
  </si>
  <si>
    <t xml:space="preserve"> Nytorv 7</t>
  </si>
  <si>
    <t xml:space="preserve"> Forhuset (1795-96, evt.  tømrermester Andreas Kirkerup), sidehus (1796) ogbaghus (1796)</t>
  </si>
  <si>
    <t>* Udvidet 2006</t>
  </si>
  <si>
    <t>Nytorv 9</t>
  </si>
  <si>
    <t xml:space="preserve"> Nytorv 9</t>
  </si>
  <si>
    <t xml:space="preserve"> Forhus med sidehus (1796-97)</t>
  </si>
  <si>
    <t>Ny Vestergade 11</t>
  </si>
  <si>
    <t xml:space="preserve"> Ny Vestergade 11</t>
  </si>
  <si>
    <t xml:space="preserve"> Forhuset (1821, ombygget 1858 af N. S. Nebelong) og det vinkelbyggede baghus (opført som Universitetets kemiske laboratorium 1857-59 af N.S. Nebelong)</t>
  </si>
  <si>
    <t>Ny Vestergade 13</t>
  </si>
  <si>
    <t xml:space="preserve"> Ny Vestergade 13</t>
  </si>
  <si>
    <t xml:space="preserve"> Forhuset (1792, forhøjet 1857) og den dermed sammenbyggedemindre udbygning</t>
  </si>
  <si>
    <t>Ny Vestergade 9</t>
  </si>
  <si>
    <t xml:space="preserve"> Ny Vestergade 9</t>
  </si>
  <si>
    <t xml:space="preserve"> Forhuset (ca 1700, ombygget 1771-73) samt de hermedsammenbyggede sidehuse, det vestre på to fag (før 1770) og det østre i hele længden (før 1770)</t>
  </si>
  <si>
    <t>Nørrebrogade 174-176, Allersgade 1, Gormsgade 2A og 2B, Zøllnerhus</t>
  </si>
  <si>
    <t xml:space="preserve"> Zøllnerhus</t>
  </si>
  <si>
    <t xml:space="preserve"> Det trefløjedeetagehus med bagvedliggende terrasse, gård, garage, retirade og cykelnedkørsel (1934-36 af Charles I.  Schou og Erik Kragh)</t>
  </si>
  <si>
    <t>Nørrebrogade 45</t>
  </si>
  <si>
    <t xml:space="preserve"> Rud. Rasmussens Snedkerier</t>
  </si>
  <si>
    <t xml:space="preserve"> Det kombinerede bolig- og industrianlæg bestående af fabriksbygning i 4 etager mod Stengade fra 1876, det 5 etagers forhus mod Nørrebrogade med sidefløje opført 1894-95 til beboelse, fabriksbygning i gård i 4 etager og mansardetage fra 1911, tegnet af arkitektAlfred Thomsen, samt bag denne det lille havehus og retiradebygning</t>
  </si>
  <si>
    <t>Nørrebrogade 67</t>
  </si>
  <si>
    <t xml:space="preserve"> Assistens Kirkegårds Graverbolig</t>
  </si>
  <si>
    <t xml:space="preserve"> Graverboligen (1805 af Jens Bang)</t>
  </si>
  <si>
    <t>Nørrebrogade og Frederiksborggade (mellem)</t>
  </si>
  <si>
    <t xml:space="preserve"> Dronning Louises Bro</t>
  </si>
  <si>
    <t xml:space="preserve"> "Broen med de fire afrundede, stensatte ramper, støbejernsrækværket, de fire lygtestandere på hvert brystværn, de to flagstænger for hver broende samt de fire grønne anlæg med stensætninger og kædeindhegninger (1885-87 af Vilhelm Dahlerup og Charles Ambt), de tre buede bænkerækker og skulpturerne: ""To siddende unge mennesker"" (1940 af Johannes Hansen), ""Nilen"" og ""Tiberen"" (afstøbninger efter romerske originaler fra ca 100 e.Kr.) </t>
  </si>
  <si>
    <t>Nørregade 10 (tidl 8-10)</t>
  </si>
  <si>
    <t xml:space="preserve"> Kommunitetsbygningen og Professorboligen</t>
  </si>
  <si>
    <t xml:space="preserve"> Kommunitetsbygningen (1731) ogProfessorboligen (ca 1732 af Johan Cornelius Krieger)</t>
  </si>
  <si>
    <t>Nørregade 11</t>
  </si>
  <si>
    <t xml:space="preserve"> Bispegården</t>
  </si>
  <si>
    <t xml:space="preserve"> Forhuset med de to sidehuse mod Studiestræde (1731-32, ombygget 1896)</t>
  </si>
  <si>
    <t>Nørregade 13</t>
  </si>
  <si>
    <t xml:space="preserve"> Nørregade 13</t>
  </si>
  <si>
    <t xml:space="preserve"> Forhuset til Nørregade (1730-32)</t>
  </si>
  <si>
    <t>Nørregade 18</t>
  </si>
  <si>
    <t xml:space="preserve"> Nørregade 18</t>
  </si>
  <si>
    <t xml:space="preserve"> Forhuset og det dermed sammenbyggede sidehus (1834-35)</t>
  </si>
  <si>
    <t>Nørregade 27-29</t>
  </si>
  <si>
    <t xml:space="preserve"> Nørregade 27-29</t>
  </si>
  <si>
    <t xml:space="preserve"> Ejendommens to nordligste forhuse mod Nørregade (1832 og 1808)</t>
  </si>
  <si>
    <t xml:space="preserve"> Nørregade 31</t>
  </si>
  <si>
    <t xml:space="preserve"> Forhus med sidehus (1832-33 af C. F. Weber) </t>
  </si>
  <si>
    <t>Nørregade 33</t>
  </si>
  <si>
    <t xml:space="preserve"> Nørregade 33</t>
  </si>
  <si>
    <t xml:space="preserve"> Forhuset mod Nørregade med nærmeste sidehus på 11 fag (1831-32)</t>
  </si>
  <si>
    <t xml:space="preserve"> Forhus med sidehus (1811)</t>
  </si>
  <si>
    <t>Nørregade 6, hj af Dyrkøb</t>
  </si>
  <si>
    <t xml:space="preserve"> Nørregade 6</t>
  </si>
  <si>
    <t xml:space="preserve"> Forhuset mod Nørregade og Dyrkøb (1812-14, anden til fjerde etage påbygget 1827-28) sidehuset (1812, forhøjet 1827) samt baghuset (1812, forhøjet 1852)</t>
  </si>
  <si>
    <t xml:space="preserve"> Udviddet 1996*</t>
  </si>
  <si>
    <t>Nørre Søgade 7</t>
  </si>
  <si>
    <t xml:space="preserve"> Nørre Søgade 7</t>
  </si>
  <si>
    <t xml:space="preserve"> Forhus og sidehus (1873-76 af Vilhelm Petersen og Ferdinand VilhelmJensen)</t>
  </si>
  <si>
    <t>Nørre Voldgade 1</t>
  </si>
  <si>
    <t xml:space="preserve"> Gitterdragerbroen i Ørstedsparken</t>
  </si>
  <si>
    <t xml:space="preserve"> Brokonstruktionen (1856) med fundamenter ogbrofæster, herunder de 2 naturstenssøjler (1873) på hver side af broen</t>
  </si>
  <si>
    <t>Nørre Voldgade 102</t>
  </si>
  <si>
    <t xml:space="preserve"> Nørre Voldgade 102</t>
  </si>
  <si>
    <t xml:space="preserve"> Forhus med sidehus (1857)</t>
  </si>
  <si>
    <t>Nørre Voldgade 104</t>
  </si>
  <si>
    <t xml:space="preserve"> Nørre Voldgade 104</t>
  </si>
  <si>
    <t xml:space="preserve"> Hjørnehuset (1857)</t>
  </si>
  <si>
    <t>Nørre Voldgade 16</t>
  </si>
  <si>
    <t xml:space="preserve"> Nørre Voldgade 16</t>
  </si>
  <si>
    <t xml:space="preserve"> Forhus med sidehus (1836-37)</t>
  </si>
  <si>
    <t>Nørre Voldgade 22</t>
  </si>
  <si>
    <t xml:space="preserve"> Nørre Voldgade 22</t>
  </si>
  <si>
    <t xml:space="preserve"> Forhus, med fire fag mod Teglgårdsstræde og seks fag modNørre Voldgade samt hjørnefag og sidehus på fire fag (1852-53 af J. K. Gyldendal) </t>
  </si>
  <si>
    <t>Olfert Fischers Gade 5</t>
  </si>
  <si>
    <t xml:space="preserve"> Olfert Fischers Gade 5</t>
  </si>
  <si>
    <t xml:space="preserve"> Forhuset (beg af 1700-tallet)</t>
  </si>
  <si>
    <t>Olfert Fischersgade 7</t>
  </si>
  <si>
    <t xml:space="preserve"> Olfert Fischersgade 7</t>
  </si>
  <si>
    <t xml:space="preserve"> De to forhuse (det østre før 1740, forhøjet mellem 1740 og1766, det vestre før 1767, mansarden opsat mellem 1767 og 1788) samt bindingsværksmuren ved skellet. til mnr 76</t>
  </si>
  <si>
    <t>Oslo Plads 1</t>
  </si>
  <si>
    <t xml:space="preserve"> Den Frie Udstilling</t>
  </si>
  <si>
    <t xml:space="preserve"> Udstillingsbygningen (1898 af J. F.Willumsen, med udvidelser1913 af Frederik V. Kiørboe og J.F.Willumsen, 1921 og 1934)</t>
  </si>
  <si>
    <t>Oslo Plads 6-10</t>
  </si>
  <si>
    <t xml:space="preserve"> Østerport Station</t>
  </si>
  <si>
    <t xml:space="preserve"> Hovedbygningen (1896 af Heinrich Wenck, senere ombygget 1910,1915, 1917 og 1976-84) og de to perrontage (1914-15)</t>
  </si>
  <si>
    <t>Otto Mønsteds Gade 2 (tidl Polititorvet 14)</t>
  </si>
  <si>
    <t xml:space="preserve"> Politigården</t>
  </si>
  <si>
    <t xml:space="preserve"> Bebyggelsen inkl indre gårde (1919-24 af HackKampmann, Holger Jacobsen, Aage Rafn, Hans Jørgen Kampmann og Anton Frederiksen)</t>
  </si>
  <si>
    <t>Overgaden neden Vandet 11</t>
  </si>
  <si>
    <t xml:space="preserve"> Heerings Gård</t>
  </si>
  <si>
    <t xml:space="preserve"> Forhuset (1785, muligvis af Georg Erdman Rosenberg), femfag af det med forhusets nordhjørne sammenbyggede sidehus (ca 1804) og de langs gårdspladsens sydvestlige side beliggende bygninger, herunder det tidl bryghus (1759)</t>
  </si>
  <si>
    <t>Overgaden neden Vandet 15</t>
  </si>
  <si>
    <t xml:space="preserve"> Overgaden neden Vandet 15</t>
  </si>
  <si>
    <t xml:space="preserve"> Forhus med sidehus (1858), baghuset (begaf 1800-tallet, ombygget 1961) samt gårdspladsens brolægning</t>
  </si>
  <si>
    <t>Overgaden neden Vandet 19</t>
  </si>
  <si>
    <t xml:space="preserve"> Pakhusene, Overgaden neden Vandet 19</t>
  </si>
  <si>
    <t xml:space="preserve"> Det store pakhus (1806), det ombyggede pakhus nordøstligst på grunden samt det lille baghus ved ejendommens nordvestre skel</t>
  </si>
  <si>
    <t>Overgaden neden Vandet 31</t>
  </si>
  <si>
    <t xml:space="preserve"> Overgaden neden Vandet 31</t>
  </si>
  <si>
    <t xml:space="preserve"> Det mod gaden liggende femfags kvisthus medsidehus (1746-47)</t>
  </si>
  <si>
    <t>Overgaden neden Vandet 33</t>
  </si>
  <si>
    <t xml:space="preserve"> Hans Caspersens Gård</t>
  </si>
  <si>
    <t xml:space="preserve"> Det femetages forhus med sidehus (ca 1740,forhøjet 1783)</t>
  </si>
  <si>
    <t>Overgaden neden Vandet 37</t>
  </si>
  <si>
    <t xml:space="preserve"> Overgaden neden Vandet 37</t>
  </si>
  <si>
    <t xml:space="preserve"> Forhus og baghus (ca 1750)</t>
  </si>
  <si>
    <t>Overgaden neden Vandet 39</t>
  </si>
  <si>
    <t xml:space="preserve"> Forhuset og de dermed sammenbyggede tosidehuse i den udstrækning, de har samme gesimshøjde som forhuset (1770)</t>
  </si>
  <si>
    <t>Overgaden neden Vandet 45-47</t>
  </si>
  <si>
    <t xml:space="preserve"> Pakhusene, Overgaden neden Vandet 45-47</t>
  </si>
  <si>
    <t xml:space="preserve"> Pakhusene mod gaden (nr 45:1800-1801, nr 47: 1799-1800)</t>
  </si>
  <si>
    <t>Overgaden neden Vandet 49, 51 A-B og Wildersgade 60-62</t>
  </si>
  <si>
    <t xml:space="preserve"> Wildersgades Kaserne</t>
  </si>
  <si>
    <t xml:space="preserve"> Bygninger og muremod Overgaden neden Vandet og Bådsmandsstræde samt forhuset mod Wildersgade med sidebygningen (1802 af J. H. Rawert) </t>
  </si>
  <si>
    <t>Overgaden neden Vandet 9</t>
  </si>
  <si>
    <t xml:space="preserve"> Overgaden neden Vandet 9</t>
  </si>
  <si>
    <t xml:space="preserve"> Det på grundens østre hjørne ud modChristianshavns Kanal beliggende forhus (1799)</t>
  </si>
  <si>
    <t>Overgaden oven Vandet 10</t>
  </si>
  <si>
    <t xml:space="preserve"> Potters Gård</t>
  </si>
  <si>
    <t xml:space="preserve"> Forhus med østre sidehus (1785)</t>
  </si>
  <si>
    <t>Overgaden oven Vandet 12-14</t>
  </si>
  <si>
    <t xml:space="preserve"> Overgaden oven Vandet 12-14</t>
  </si>
  <si>
    <t xml:space="preserve"> Forhus og de dermed sammenbyggede to firefagssidehuse (ombygget 1797)</t>
  </si>
  <si>
    <t>Overgaden oven Vandet 18</t>
  </si>
  <si>
    <t xml:space="preserve"> Overgaden oven Vandet 18</t>
  </si>
  <si>
    <t>Overgaden oven Vandet 20</t>
  </si>
  <si>
    <t xml:space="preserve"> Overgaden oven Vandet 20</t>
  </si>
  <si>
    <t>Overgaden oven Vandet 22</t>
  </si>
  <si>
    <t xml:space="preserve"> Overgaden oven Vandet 22</t>
  </si>
  <si>
    <t xml:space="preserve"> Forhuset (ca 1650, forhøjet 1786, facaden ca 1800)</t>
  </si>
  <si>
    <t>Overgaden oven Vandet 24</t>
  </si>
  <si>
    <t xml:space="preserve"> Overgaden oven Vandet 24</t>
  </si>
  <si>
    <t xml:space="preserve"> Forhuset (ca 1730)</t>
  </si>
  <si>
    <t>Overgaden oven Vandet 26</t>
  </si>
  <si>
    <t xml:space="preserve"> Overgaden oven Vandet 26</t>
  </si>
  <si>
    <t xml:space="preserve"> Forhus med sidehus (ca 1750)</t>
  </si>
  <si>
    <t>Overgaden oven Vandet 28</t>
  </si>
  <si>
    <t xml:space="preserve"> Overgaden oven Vandet 28</t>
  </si>
  <si>
    <t xml:space="preserve"> Forhus og det dermed sammenbyggedesidehus på fem fag (ca 1730)</t>
  </si>
  <si>
    <t>Overgaden oven Vandet 32 A-B og Sofiegade 1</t>
  </si>
  <si>
    <t xml:space="preserve"> Steinfass' Gård</t>
  </si>
  <si>
    <t xml:space="preserve"> Forhuse mod Overgaden og Sofiegade(ca 1770)</t>
  </si>
  <si>
    <t>Overgaden oven Vandet 50</t>
  </si>
  <si>
    <t xml:space="preserve"> Forhuset og det dermed sammenbyggede sidehus(1769, ca 1850)</t>
  </si>
  <si>
    <t>Overgaden oven Vandet 52</t>
  </si>
  <si>
    <t xml:space="preserve"> Overgaden oven Vandet 52</t>
  </si>
  <si>
    <t xml:space="preserve"> Forhus (1772, forhøjet 1846) med sidehuse i nord ogsyd</t>
  </si>
  <si>
    <t>Overgaden oven Vandet 54</t>
  </si>
  <si>
    <t xml:space="preserve"> Overgaden oven Vandet 54</t>
  </si>
  <si>
    <t xml:space="preserve"> Forhuset og de dermed sammenbyggede tosidehuse (før 1745, ombygget 1846)</t>
  </si>
  <si>
    <t>Overgaden oven Vandet 56, hj af Bådsmandsstræde</t>
  </si>
  <si>
    <t xml:space="preserve"> Overgaden oven Vandet 56</t>
  </si>
  <si>
    <t xml:space="preserve"> Hjørnehuset (1700- tallet)</t>
  </si>
  <si>
    <t>Overgaden oven Vandet 58-64</t>
  </si>
  <si>
    <t xml:space="preserve"> Søkvæsthuset, Dæksofficerskolen</t>
  </si>
  <si>
    <t xml:space="preserve"> Fløjen mod Bådsmandsstræde (1780-81 af Johan Bernhardt Schottmann), "Heibergs hus", havehuset (1779 af Georg Erdman Rosenberg, genopbygget 1838 efter brand) samt "Opfostringshuset" med mure og småhuse mod kanalen (1754-55 afJohan Christian Conradi)</t>
  </si>
  <si>
    <t>Overgaden oven Vandet 66-74 og 84-88</t>
  </si>
  <si>
    <t xml:space="preserve"> Overgaden oven Vandet 66-74 og 84-88</t>
  </si>
  <si>
    <t>Bygningskompleksets fløje (1851 af N.S. Nebelong for Aktieselskabet til Oprettelse af Boliger for Arbejderklassen)</t>
  </si>
  <si>
    <t>Overgaden oven Vandet 6 A-B og Lille Søndervoldstræde 1</t>
  </si>
  <si>
    <t xml:space="preserve"> Stanleys Gård</t>
  </si>
  <si>
    <t xml:space="preserve"> Forhuset (1755 muligvis af S.C. Stanley)</t>
  </si>
  <si>
    <t>Overgaden oven Vandet 76-82</t>
  </si>
  <si>
    <t xml:space="preserve"> Treschows Stiftelse</t>
  </si>
  <si>
    <t xml:space="preserve"> De to bygninger (1853 og 1857) med gård- oghaverum omgivet af hegn og mur</t>
  </si>
  <si>
    <t>Overgaden oven Vandet 8, hj af Store Søndervoldstræde</t>
  </si>
  <si>
    <t xml:space="preserve"> Overgaden oven Vandet 8</t>
  </si>
  <si>
    <t xml:space="preserve"> Hjørnebygningen(1700-tallet)</t>
  </si>
  <si>
    <t>Peder Hvitfeldts Stræde 1, hj af Krystalgade</t>
  </si>
  <si>
    <t xml:space="preserve"> Vor Frue Kirkes Skole</t>
  </si>
  <si>
    <t xml:space="preserve"> Hjørnebygningen (1820)</t>
  </si>
  <si>
    <t>Peder Hvitfeldts Stræde 10</t>
  </si>
  <si>
    <t xml:space="preserve"> Peder Hvitfeldts Stræde 10</t>
  </si>
  <si>
    <t xml:space="preserve"> Forhuset og de to korte sidehuse (1811 af J.H.Breede) </t>
  </si>
  <si>
    <t>Peder Hvitfeldts Stræde 12</t>
  </si>
  <si>
    <t xml:space="preserve"> Peder Hvitfeldts Stræde 12</t>
  </si>
  <si>
    <t xml:space="preserve"> Forhuset og de hermed sammenbyggede to sidehuse(1809-18)</t>
  </si>
  <si>
    <t>Peder Hvitfeldts Stræde 13</t>
  </si>
  <si>
    <t xml:space="preserve"> Peder Hvitfeldts Stræde 13</t>
  </si>
  <si>
    <t xml:space="preserve"> Forhuset og det nordlige sidehus (1832)</t>
  </si>
  <si>
    <t>Peder Skramsgade 10</t>
  </si>
  <si>
    <t xml:space="preserve"> Peder Skramsgade 10</t>
  </si>
  <si>
    <t xml:space="preserve"> Den tårnagtige tilbygning til baghuset (1885 af JohanSchrøder, det tidl malerværksted dekoreret af Bernhard Schrøder)</t>
  </si>
  <si>
    <t>Pilestræde 33</t>
  </si>
  <si>
    <t xml:space="preserve"> Pilestræde 33</t>
  </si>
  <si>
    <t xml:space="preserve"> Forhuset samt sidehus og baghus (forhus 1745, ombygget 1769-98,ombygget 1851)</t>
  </si>
  <si>
    <t>Pilestræde 37, hj af Kronprinsensgade</t>
  </si>
  <si>
    <t xml:space="preserve"> Pilestræde 37</t>
  </si>
  <si>
    <t xml:space="preserve"> Hjørnehuset (1784-86 af J.  Boye Junge)</t>
  </si>
  <si>
    <t>Pilestræde 39</t>
  </si>
  <si>
    <t xml:space="preserve"> Pilestræde 39</t>
  </si>
  <si>
    <t xml:space="preserve"> Forhuset og det dermed sammenbyggede sidehus (1784-86 af J.  BoyeJunge, ombygget 1901)</t>
  </si>
  <si>
    <t>Pilestræde 40 og Sværtegade 1</t>
  </si>
  <si>
    <t xml:space="preserve"> Pilestræde 40 og Sværtegade 1</t>
  </si>
  <si>
    <t xml:space="preserve"> Hjørnehuset (1728 af Gotfrid Schustermed dele af Christian IV's gjethus 1610, forhøjet 1812 og 1850)</t>
  </si>
  <si>
    <t>Pilestræde 41-45</t>
  </si>
  <si>
    <t xml:space="preserve"> Pilestræde 41-45</t>
  </si>
  <si>
    <t xml:space="preserve"> Forhusene, de hermed sammenbyggede sidehuse (41: 1784-86; 43-45: 1784-85; alle af J.  Boye Junge) samt de to fritliggende baghuse</t>
  </si>
  <si>
    <t>Pilestræde 42-44</t>
  </si>
  <si>
    <t xml:space="preserve"> Pilestræde 42-44</t>
  </si>
  <si>
    <t xml:space="preserve"> De to forhuse (dele af Christian IV's gjethus 1610; 42: genopført 1735, forhøjet mellem 1770 og 1798, facaden 1854 og 1897; 44: istandsat 1728, forhøjet 1785 og 1829,facaden 1829)</t>
  </si>
  <si>
    <t>Pilestræde 47, hj af Klareboderne</t>
  </si>
  <si>
    <t xml:space="preserve"> Pilestræde 47</t>
  </si>
  <si>
    <t xml:space="preserve"> Forhuset mod Pilestræde og Klareboderne (ca 1780-90)</t>
  </si>
  <si>
    <t>Prags Boulevard 69</t>
  </si>
  <si>
    <t xml:space="preserve"> Krudthuset på Prags Boulevard</t>
  </si>
  <si>
    <t>Prinsessegade 18</t>
  </si>
  <si>
    <t xml:space="preserve"> Prinsessegade 18</t>
  </si>
  <si>
    <t xml:space="preserve"> Forhuset (1785)</t>
  </si>
  <si>
    <t>Prinsessegade 52</t>
  </si>
  <si>
    <t xml:space="preserve"> Prinsessegade 52</t>
  </si>
  <si>
    <t xml:space="preserve"> Forhuset (ca 1750 muligvis af Johan Christian Conradi, forlænget1783, forhøjet 1833) og det dermed sammenbyggede sidehus i fire etager (1857)</t>
  </si>
  <si>
    <t>Prinsessegade 54</t>
  </si>
  <si>
    <t xml:space="preserve"> Philip de Langes hus, (tidl Inspektørboligen)</t>
  </si>
  <si>
    <t xml:space="preserve"> Det toetages grundmurede hus bagest på grunden(ca 1760 af Philip de Lange)</t>
  </si>
  <si>
    <t>Randbølvej 13</t>
  </si>
  <si>
    <t xml:space="preserve"> Randbølvej 13</t>
  </si>
  <si>
    <t xml:space="preserve"> Villa (1949 af Edvard Heiberg) med have og redskabsskur (1949 af CthSørensen)</t>
  </si>
  <si>
    <t>Refshalevej 20 (tidl Refshalevej 70)</t>
  </si>
  <si>
    <t xml:space="preserve"> Krudthuset på Carls Bastion, Christiania</t>
  </si>
  <si>
    <t xml:space="preserve"> Krudthuset på CarlsBastion og den smalle brostensbelægning, der omkranser bygningen (1690, af Hans V.  Steenwinckel den yngste)</t>
  </si>
  <si>
    <t>Refshalevej 28 (tidl Refshalevej 80)</t>
  </si>
  <si>
    <t xml:space="preserve"> Krudthuset på Frederiks Bastion, Christiania</t>
  </si>
  <si>
    <t xml:space="preserve"> Krudthuset på Frederiks Bastion og brostensbelægningen, der omkranser bygningen (opført 1744-45 efter tegning af C.E.D. von Oetken)</t>
  </si>
  <si>
    <t>Rentemestervej 14</t>
  </si>
  <si>
    <t xml:space="preserve"> Nielsen &amp; Jespersens Plastvarefabrik</t>
  </si>
  <si>
    <t xml:space="preserve"> Fabrikskomplekset bestående af en toetages bygning (1934), en toetages vinkelbygning (1942) samt en hal (1944) (af Marx Ishøy, A. Jespersen &amp; Sønsamt A.  Jespersen &amp; P.  Kerrn-Jespersen). </t>
  </si>
  <si>
    <t>Rigensgade 11</t>
  </si>
  <si>
    <t xml:space="preserve"> Munderingsdepot (tidl)</t>
  </si>
  <si>
    <t xml:space="preserve"> Forhus med tegltag samt mur med port op til Rigensgade 9(1799-1800 af Andreas Kirkerup)</t>
  </si>
  <si>
    <t>Rigensgade 9 A-G og 11 A</t>
  </si>
  <si>
    <t xml:space="preserve"> Det Kgl. Uldmanufaktur</t>
  </si>
  <si>
    <t xml:space="preserve"> Forhuset med porten nærmest nr 11 samt sidehuset mod nord (1759-60 af Georg Volmeister og forlænget 1776).  Opført til Det Kgl.  Uldmanufaktur, fra 1818Garnisons Sygehus, fra 1928 kaserne</t>
  </si>
  <si>
    <t>Rigsdagsgården 11 A-B og 13 B</t>
  </si>
  <si>
    <t xml:space="preserve"> Haveanlægget på Slotsholmen</t>
  </si>
  <si>
    <t xml:space="preserve"> "De to toetages og den enetages ældrebygning ved Rigsarkivet (""Artillerigeneralens kontor"" (nærmest Tøjhuset) ca 1700, forhøjet 1826; den lille vagtbygning 1769)</t>
  </si>
  <si>
    <t>Rigsdagsgården 5-9 og 15</t>
  </si>
  <si>
    <t xml:space="preserve"> Rigsarkivet</t>
  </si>
  <si>
    <t xml:space="preserve"> Den gamle biblioteks- og kunstkammerbygning (1665-73 afAlbertus Mathiesen), Geheimearkivets bygning med Generalstabsporten (1715-21 af Johan Conrad Ernst) samt den Zuberske eller Harsdorffske fløj (1781-85 af Christian Joseph Zuber)</t>
  </si>
  <si>
    <t>Rigsdagsgården 7 A (og 5 B) og Proviantpassagen 1 (tidl Rigsdagsgården 9)</t>
  </si>
  <si>
    <t xml:space="preserve"> Proviantgården</t>
  </si>
  <si>
    <t>Proviantgården (generalstaben) med vagtbygningen ved Generalstabsporten (1598-1611, rimeligvis af Christian IV; Vagten 1818)</t>
  </si>
  <si>
    <t>Rosenborggade 10, hj af Sankt Gertrudsstræde</t>
  </si>
  <si>
    <t xml:space="preserve"> Rosenborggade 10</t>
  </si>
  <si>
    <t xml:space="preserve"> Forhuset (1801 af L.L. Thrane) </t>
  </si>
  <si>
    <t>Rosenborggade 12</t>
  </si>
  <si>
    <t xml:space="preserve"> Pjaltenborg</t>
  </si>
  <si>
    <t xml:space="preserve"> Hjørnehuset (ca 1850) samt vaskehuset i gården</t>
  </si>
  <si>
    <t>Rosenborggade 15-17</t>
  </si>
  <si>
    <t xml:space="preserve"> Rosenborg-Annekset</t>
  </si>
  <si>
    <t xml:space="preserve"> Hjørnebygningen langs Tornebuskegade ogRosenborggade (1915-17 af Henning Hansen)</t>
  </si>
  <si>
    <t>Rosenborggade 19 og Gothersgade 113</t>
  </si>
  <si>
    <t xml:space="preserve"> Rosenborggade 19 og Gothersgade 113</t>
  </si>
  <si>
    <t xml:space="preserve"> Hjørnehuset (1766 af tømrermesterJacob Iwers) og det toetages hus mod Gothersgade (1825)</t>
  </si>
  <si>
    <t>Rosenborggade 7-9, hj af Tornebuskegade</t>
  </si>
  <si>
    <t xml:space="preserve"> Rosenborggade 7-9</t>
  </si>
  <si>
    <t xml:space="preserve"> Forhusene (nr 7: 1847; nr 9: 1810,forhøjet med to etager 1846-47), side- og baghus til nr 7 samt pakhuset i gården</t>
  </si>
  <si>
    <t>Rosengade 6-12 og Fredericiagade 73-79</t>
  </si>
  <si>
    <t xml:space="preserve"> Rosengade 6-12 og Fredericiagade 73-79</t>
  </si>
  <si>
    <t xml:space="preserve"> Fire forhuse, beliggende Fredericiagade 73-79, og fire forhuse, beliggende Rosengade 6-12 (ca 1780 og restaureret ca1975 af Erik Møller)</t>
  </si>
  <si>
    <t>Rosengården 13</t>
  </si>
  <si>
    <t xml:space="preserve"> Rosengården 13</t>
  </si>
  <si>
    <t xml:space="preserve"> Forhus med sidehus (1841-42)</t>
  </si>
  <si>
    <t>Rosengården 5</t>
  </si>
  <si>
    <t xml:space="preserve"> Forhuset (1844-45)</t>
  </si>
  <si>
    <t>Rosengården 6</t>
  </si>
  <si>
    <t xml:space="preserve"> Rosengården 6</t>
  </si>
  <si>
    <t xml:space="preserve"> Forhus med sidehus (1810-11 af Henrik Thyberg)</t>
  </si>
  <si>
    <t>Rosengården 7</t>
  </si>
  <si>
    <t xml:space="preserve"> Rosengården 7</t>
  </si>
  <si>
    <t>Rosenvængets Allé 46</t>
  </si>
  <si>
    <t xml:space="preserve"> C. F. Aagaards Villa</t>
  </si>
  <si>
    <t xml:space="preserve"> Villaen (1875 af Vilhelm Dahlerup) samtrækken af marmorborner langs havegangen (opr.  foran Det gamle kgl Teater)</t>
  </si>
  <si>
    <t>Rosenvængets Hovedvej 27</t>
  </si>
  <si>
    <t xml:space="preserve"> P. C. Skovgaards Villa </t>
  </si>
  <si>
    <t xml:space="preserve"> Villaen (1860 af J. D. Herholdt) </t>
  </si>
  <si>
    <t>Ryesgade 104 og Sortedam Dossering 85</t>
  </si>
  <si>
    <t xml:space="preserve"> Soldenfeldts Stiftelse</t>
  </si>
  <si>
    <t xml:space="preserve"> Det firefløjede anlæg med spærre- ogportmure (1893-94 af H.B.Storck) </t>
  </si>
  <si>
    <t>Ryvangs Allé 79</t>
  </si>
  <si>
    <t xml:space="preserve"> Hellerup Station</t>
  </si>
  <si>
    <t xml:space="preserve"> Perrontaget (ca 1910) ved spor 2/3 og de tre trappehuse (ca 1895-1900) ved spor 2/3, 4/5 og 7/8 over nedgangene til perrontunnelen på Hellerup Station</t>
  </si>
  <si>
    <t>Rødkildevej 2-76</t>
  </si>
  <si>
    <t xml:space="preserve"> Bakkehusene, Rødkildevej</t>
  </si>
  <si>
    <t xml:space="preserve"> Husrækken med tilhørende haver og hegnsmure (1921-22af Thorkild Henningsen og Ivar Bentsen)</t>
  </si>
  <si>
    <t>Rømersgade 22</t>
  </si>
  <si>
    <t xml:space="preserve"> Arbejdernes Forsamlingsbygning</t>
  </si>
  <si>
    <t xml:space="preserve"> Forhuset med forbindelsesbygning og baghus (1879 af RasmusLangeland Mathiesen)</t>
  </si>
  <si>
    <t xml:space="preserve"> Københavns Rådhus</t>
  </si>
  <si>
    <t xml:space="preserve"> Rådhuskomplekset med trappen foran hovedindgangen oghaveanlægget i gården (1892-1905 af Martin Nyrop)</t>
  </si>
  <si>
    <t>Rådhuspladsen 57 og Mikkel Bryggersgade 8</t>
  </si>
  <si>
    <t xml:space="preserve"> Palace Hotel</t>
  </si>
  <si>
    <t xml:space="preserve"> Det samlede bygningskompleks mellemRådhuspladsen og Mikkel Bryggersgade (1909-10 af Anton Rosen)</t>
  </si>
  <si>
    <t>Rådhusstræde 1, hj af Brolæggerstræde</t>
  </si>
  <si>
    <t xml:space="preserve"> Rådhusstræde 1</t>
  </si>
  <si>
    <t xml:space="preserve"> Hjørnebygningen (1797-98 af AndreasHallander, Brolæggerstræde 13 helt ombygget 1851)</t>
  </si>
  <si>
    <t>Rådhusstræde 10, hj af Vandkunsten</t>
  </si>
  <si>
    <t xml:space="preserve"> Rådhusstræde 10</t>
  </si>
  <si>
    <t xml:space="preserve"> Hjørnehuset (1750) med trappehus (1750 og1835), baghus (1835), sidehus med gavl mod gaden (1851) samt mur langs Rådhusstræde (1797 og 1851)</t>
  </si>
  <si>
    <t>Rådhusstræde 11</t>
  </si>
  <si>
    <t xml:space="preserve"> Rådhusstræde 11</t>
  </si>
  <si>
    <t>Rådhusstræde 13</t>
  </si>
  <si>
    <t xml:space="preserve"> Rådhusstræde 13</t>
  </si>
  <si>
    <t xml:space="preserve"> Forhus mod Rådhusstræde (ca 1740, stærkt ombygget 1852-53)</t>
  </si>
  <si>
    <t>Rådhusstræde 15</t>
  </si>
  <si>
    <t xml:space="preserve"> Rådhusstræde 15</t>
  </si>
  <si>
    <t xml:space="preserve"> Forhus med sidehus (1730-32, ombygget 1888)</t>
  </si>
  <si>
    <t>Rådhusstræde 17, hj af Magstræde</t>
  </si>
  <si>
    <t xml:space="preserve"> Rådhusstræde 17</t>
  </si>
  <si>
    <t xml:space="preserve"> Hjørnebygningen med sidehus (formentlig ca1700)</t>
  </si>
  <si>
    <t>Rådhusstræde 3</t>
  </si>
  <si>
    <t xml:space="preserve"> Rådhusstræde 3</t>
  </si>
  <si>
    <t xml:space="preserve"> Forhuset, sidehuset, mellembygningen og baghuset (alle fra 1796-97)samt den brostensbelagte gård</t>
  </si>
  <si>
    <t>Rådhusstræde 5</t>
  </si>
  <si>
    <t xml:space="preserve"> Rådhusstræde 5</t>
  </si>
  <si>
    <t xml:space="preserve"> Forhuset (1795-96, forhøjet 1830)</t>
  </si>
  <si>
    <t>Rådhusstræde 6, hj af Kompagnistræde</t>
  </si>
  <si>
    <t xml:space="preserve"> Rådhusstræde 6</t>
  </si>
  <si>
    <t xml:space="preserve"> Hjørnehuset (1797 af Andreas Hallander)</t>
  </si>
  <si>
    <t>Rådhusstræde 7, hj af Kompagnistræde</t>
  </si>
  <si>
    <t xml:space="preserve"> Rådhusstræde 7</t>
  </si>
  <si>
    <t xml:space="preserve"> Forhuset mod Rådhusstræde ogKompagnistræde samt det nordvestre sidehus (1797-98)</t>
  </si>
  <si>
    <t>Rådhusstræde 8, hj af Kompagnistræde</t>
  </si>
  <si>
    <t xml:space="preserve"> Rådhusstræde 8</t>
  </si>
  <si>
    <t xml:space="preserve"> Forhus mod Rådhusstræde ogKompagnistræde (1783-84 af Andreas Wilhelm Egeroed, forhøjet 1846)</t>
  </si>
  <si>
    <t>Rådhusstræde 9, hj af Kompagnistræde</t>
  </si>
  <si>
    <t xml:space="preserve"> Rådhusstræde 9</t>
  </si>
  <si>
    <t xml:space="preserve"> Forhus mod Rådhusstræde ogKompagnistræde (1734, ombygget 1844)</t>
  </si>
  <si>
    <t>Samosvej 50</t>
  </si>
  <si>
    <t xml:space="preserve"> Skolen ved Sundet</t>
  </si>
  <si>
    <t xml:space="preserve"> Hovedskolens bygninger med nagelfaste bænke og overdækkede opholdsarealer, omfattende den trefløjede skolebygning, de tre gymnastiksale, skolebetjentens bolig, de to små toiletbygninger, den tidl inspektørbolig, de omgivende mure med tidl sygeplejebygning samt gennemgående pergola og læskuret, der afgrænser bygningerne mod de tidl skolehaver. Friluftsskolen, med haven mod syd, omfattende den firefløjede skolebygning med nagelfaste elementer, den tidl økonomabolig og legepladsens drikkefontæne med gårdbelægningen og omgivende pergola (begge skoleropført 1938 af Kaj Gottlob)</t>
  </si>
  <si>
    <t>Sankt Annæ Gade 12</t>
  </si>
  <si>
    <t xml:space="preserve"> Sankt Annæ Gade 12</t>
  </si>
  <si>
    <t xml:space="preserve"> Forhuset (før 1779)</t>
  </si>
  <si>
    <t>Sankt Annæ Gade 14</t>
  </si>
  <si>
    <t xml:space="preserve"> Sankt Annæ Gade 14</t>
  </si>
  <si>
    <t xml:space="preserve"> Forhuset (ca 1650)</t>
  </si>
  <si>
    <t>Sankt Annæ Gade 16</t>
  </si>
  <si>
    <t xml:space="preserve"> Sankt Annæ Gade 16</t>
  </si>
  <si>
    <t xml:space="preserve"> Forhuset (før 1753)</t>
  </si>
  <si>
    <t xml:space="preserve"> Sankt Annæ Gade 18</t>
  </si>
  <si>
    <t>Hans Burmands Hus</t>
  </si>
  <si>
    <t>Sankt Annæ Gade 20-22, hj af Overgaden neden Vandet</t>
  </si>
  <si>
    <t xml:space="preserve"> Sankt Annæ Gade 20-22</t>
  </si>
  <si>
    <t xml:space="preserve"> Hjørnebygningen(1804, ombygget 1860)</t>
  </si>
  <si>
    <t>Sankt Annæ Gade 3 B</t>
  </si>
  <si>
    <t xml:space="preserve"> Sankt Annæ Gade 3 B</t>
  </si>
  <si>
    <t xml:space="preserve"> Forhus på seks fag og dermed sammenbygget sidehusmod mnr 73 på to fag (1700-tallet)</t>
  </si>
  <si>
    <t>Sankt Annæ Gade 4</t>
  </si>
  <si>
    <t xml:space="preserve"> Sankt Annæ Gade 4</t>
  </si>
  <si>
    <t xml:space="preserve"> Toetages forhus på 12 fag (ca 1622-24)</t>
  </si>
  <si>
    <t>Sankt Annæ Gade 6 og Wildersgade 45</t>
  </si>
  <si>
    <t xml:space="preserve"> Sankt Annæ Gade 6 og Wildersgade 45</t>
  </si>
  <si>
    <t xml:space="preserve"> Hjørnebygningen og de todermed sammenbyggede sidehuse (1847-48)</t>
  </si>
  <si>
    <t xml:space="preserve"> Udvidet 1978 og 1983*</t>
  </si>
  <si>
    <t>Sankt Annæ Plads 10 A-C</t>
  </si>
  <si>
    <t xml:space="preserve"> Sankt Annæ Plads 10 A-C</t>
  </si>
  <si>
    <t xml:space="preserve"> "Forhuset (1785 af Andreas Hallander med delvis bibeholdelse af en ældre bygnings bagfacade, forhøjet med en etage 1875), sidehus i otte fag (1757), den med sidehuset sammenbyggede udstillingsbygning kaldet ""Templet"" (1875) og det hermedsammenbyggede femetages beboelseshus (1873)</t>
  </si>
  <si>
    <t>Sankt Annæ Plads 11</t>
  </si>
  <si>
    <t xml:space="preserve"> Sankt Annæ Plads 11</t>
  </si>
  <si>
    <t xml:space="preserve"> Forhus med side- og baghus (1801 af J. H. Rawert) </t>
  </si>
  <si>
    <t>Sankt Annæ Plads 1-3</t>
  </si>
  <si>
    <t xml:space="preserve"> Sankt Annæ Plads 1-3</t>
  </si>
  <si>
    <t xml:space="preserve"> Forhuset og sidehuset i den udstrækning, det har sammehøjde som forhuset (1847-49 af GF Hetsch)</t>
  </si>
  <si>
    <t>Sankt Annæ Plads 13, hj af Amaliegade</t>
  </si>
  <si>
    <t xml:space="preserve"> Sankt Annæ Plads 13</t>
  </si>
  <si>
    <t xml:space="preserve"> Forhuset mod Amaliegade (1750'erne ogsenere)</t>
  </si>
  <si>
    <t>Sankt Annæ Plads 5</t>
  </si>
  <si>
    <t xml:space="preserve"> Sankt Annæ Plads 5</t>
  </si>
  <si>
    <t xml:space="preserve"> Forhuset (1796 af J. H. Rawert) </t>
  </si>
  <si>
    <t>Sankt Annæ Plads 6, hj af Lille Strandstræde</t>
  </si>
  <si>
    <t xml:space="preserve"> Sankt Annæ Plads 6</t>
  </si>
  <si>
    <t xml:space="preserve"> Forhuset mod Lille Strandstræde (ca1760) og tilbygningen mod Sankt Annæ Plads</t>
  </si>
  <si>
    <t>Sankt Annæ Plads 7</t>
  </si>
  <si>
    <t xml:space="preserve"> Sankt Annæ Plads 7</t>
  </si>
  <si>
    <t xml:space="preserve"> Forhuset (ca 1750 af Niels Eigtved, ombygget ca 1850)</t>
  </si>
  <si>
    <t>Sankt Annæ Plads 9</t>
  </si>
  <si>
    <t xml:space="preserve"> Sankt Annæ Plads 9</t>
  </si>
  <si>
    <t xml:space="preserve"> Forhus med dertil stødende sidehus på seks fag (ca 1750 afNiels Eigtved, ombygget ca 1850)</t>
  </si>
  <si>
    <t>Sankt Gertruds Stræde 10</t>
  </si>
  <si>
    <t xml:space="preserve"> Sankt Gertruds Stræde 10</t>
  </si>
  <si>
    <t xml:space="preserve"> Forhus (ca 1740, forhøjet med en etage 1866), sidehus på syv fag (mellem 1730 og 1757), sidehus på fem fag (1826) samt baghus (mellem 1730 og 1757,forhøjet 1861)</t>
  </si>
  <si>
    <t>Sankt Gertruds Stræde 3</t>
  </si>
  <si>
    <t xml:space="preserve"> Sankt Gertruds Stræde 3</t>
  </si>
  <si>
    <t xml:space="preserve"> Forhuset (1844)</t>
  </si>
  <si>
    <t>Sankt Gertruds Stræde 4</t>
  </si>
  <si>
    <t xml:space="preserve"> Sankt Gertruds Stræde 4</t>
  </si>
  <si>
    <t xml:space="preserve"> Forhuset (1815)</t>
  </si>
  <si>
    <t>Sankt Gertruds Stræde 6</t>
  </si>
  <si>
    <t xml:space="preserve"> Sankt Gertruds Stræde 6</t>
  </si>
  <si>
    <t xml:space="preserve"> Forhuset (1736-37, ombygget og forhøjet 1838)</t>
  </si>
  <si>
    <t>Sankt Gertruds Stræde 8</t>
  </si>
  <si>
    <t xml:space="preserve"> Sankt Gertruds Stræde 8</t>
  </si>
  <si>
    <t xml:space="preserve"> Forhus mod nord (1735) med side- og baghus(ombygget i slutn af 1800-tallet), forhus mod syd (1735, forhøjet i slutn af 1700-tallet) med side- og baghus (slutn af 1700-tallet, ombygget 1816-36)</t>
  </si>
  <si>
    <t>Sankt Peders Stræde 14</t>
  </si>
  <si>
    <t xml:space="preserve"> Valkendorfs Kollegium</t>
  </si>
  <si>
    <t xml:space="preserve"> Hovedbygningen (1865-66 af Christian Hansen),plankeværket (forment 1865-66) mod Sankt Pederstræde og havemurene (1743-44) </t>
  </si>
  <si>
    <t>Sankt Peders Stræde 17</t>
  </si>
  <si>
    <t xml:space="preserve"> Sankt Peders Stræde 17</t>
  </si>
  <si>
    <t xml:space="preserve"> Forhuset i fem fag (1809 og 1834)</t>
  </si>
  <si>
    <t>Sankt Peders Stræde 18, hj af Teglgårdsstræde</t>
  </si>
  <si>
    <t xml:space="preserve"> Sankt Peders Stræde 18</t>
  </si>
  <si>
    <t xml:space="preserve"> Hjørnehuset (1797-98)</t>
  </si>
  <si>
    <t>Sankt Peders Stræde 2</t>
  </si>
  <si>
    <t xml:space="preserve"> Petri Kirke</t>
  </si>
  <si>
    <t xml:space="preserve"> Kirkebygningen med tårnet (ca 1450-1500 og senere), nordre korsfløj (1631 og 1691), søndre korsfløj (1634), begravelseskapellerne ved skibets nordvestre hjørne (1648 og 1658-59), store gravkapel (1681-83 af Hans III van Steenwinckel) samt hegnsmure og porte mod Nørregade, Sankt Peder Stræde, Larslejstræde og tilstødende ejendomme mod sydvest og nord</t>
  </si>
  <si>
    <t>Sankt Peders Stræde 27</t>
  </si>
  <si>
    <t xml:space="preserve"> Sankt Peders Stræde 27</t>
  </si>
  <si>
    <t xml:space="preserve"> Forhuset (1808-09) og det hermed sammenbyggedesidehus</t>
  </si>
  <si>
    <t xml:space="preserve"> Udvidet 1981*</t>
  </si>
  <si>
    <t>Sankt Peders Stræde 28</t>
  </si>
  <si>
    <t xml:space="preserve"> Sankt Peders Stræde 28</t>
  </si>
  <si>
    <t xml:space="preserve"> Forhuset (1797-98)</t>
  </si>
  <si>
    <t>Sankt Peders Stræde 29-31, hj af Larsbjørnsstræde</t>
  </si>
  <si>
    <t xml:space="preserve"> Sankt Peders Stræde 29-31</t>
  </si>
  <si>
    <t xml:space="preserve"> De to forhuse (ialt syvfag) og det med nr 29 sammenbyggede firefags sidehus (1796)</t>
  </si>
  <si>
    <t>Sankt Peders Stræde 32</t>
  </si>
  <si>
    <t xml:space="preserve"> Sankt Peders Stræde 32</t>
  </si>
  <si>
    <t>Sankt Peders Stræde 41</t>
  </si>
  <si>
    <t xml:space="preserve"> Sankt Peders Stræde 41</t>
  </si>
  <si>
    <t xml:space="preserve"> Forhuset med sidehus (1796-97)</t>
  </si>
  <si>
    <t xml:space="preserve"> Udvidet2008 *</t>
  </si>
  <si>
    <t>Silkegade 6-8</t>
  </si>
  <si>
    <t xml:space="preserve"> Sparekassen Bikuben (tidl)</t>
  </si>
  <si>
    <t xml:space="preserve"> Den tidl sparekasse Bikuben, bestående af de fire fløje (1881-1884 af J. D. Herholdt),  hjørnebygningen (1927-29 af Gotfred Tvede), tilbygningen (1959 af PoulKjærgaard) og det mellem fløjene beliggende gårdrum</t>
  </si>
  <si>
    <t>Sjællandsbroen</t>
  </si>
  <si>
    <t xml:space="preserve"> Manøvrehuset på Sjællandsbroen</t>
  </si>
  <si>
    <t xml:space="preserve"> Manøvrehuset på Sjællandsbroen (1958-59 af NielsRohweder) umatrikuleret areal, Københavns Kommune</t>
  </si>
  <si>
    <t>Sjællandsgade 12 A</t>
  </si>
  <si>
    <t xml:space="preserve"> Sjællandsgades Badeanstalt</t>
  </si>
  <si>
    <t xml:space="preserve"> Sjællandsgades Badeanstalt (1916-17, stadsarkitekt HansWright)</t>
  </si>
  <si>
    <t>Skindergade 13, hj af Niels Hemmingsens Gade</t>
  </si>
  <si>
    <t xml:space="preserve"> Skindergade 13</t>
  </si>
  <si>
    <t xml:space="preserve"> Hjørnehuset (mellem 1730 og 1734)</t>
  </si>
  <si>
    <t>Skindergade 19, hj af Kejsergade</t>
  </si>
  <si>
    <t xml:space="preserve"> Skindergade 19</t>
  </si>
  <si>
    <t xml:space="preserve"> Hjørnehuset (ca 1835)</t>
  </si>
  <si>
    <t>Skindergade 21</t>
  </si>
  <si>
    <t xml:space="preserve"> Skindergade 21</t>
  </si>
  <si>
    <t xml:space="preserve"> Forhus og sidehus (1833-34)</t>
  </si>
  <si>
    <t>Skindergade 22</t>
  </si>
  <si>
    <t xml:space="preserve"> Skindergade 22</t>
  </si>
  <si>
    <t xml:space="preserve"> Hjørnehuset med sidebygning (1809-10)</t>
  </si>
  <si>
    <t>Skindergade 23</t>
  </si>
  <si>
    <t xml:space="preserve"> Skindergade 23</t>
  </si>
  <si>
    <t>Skindergade 32 og Fiolstræde 2</t>
  </si>
  <si>
    <t xml:space="preserve"> Skindergade 32 og Fiolstræde 2</t>
  </si>
  <si>
    <t xml:space="preserve"> Hjørnebygningen (1837-38 af Thomas Blom)</t>
  </si>
  <si>
    <t>Skindergade 34 og Dyrkøb 1</t>
  </si>
  <si>
    <t xml:space="preserve"> Soldins Stiftelse</t>
  </si>
  <si>
    <t xml:space="preserve"> Forhus til Skindergade med to korte fløje og mur modDyrkøb (1812-15 af C. F. Hansen) </t>
  </si>
  <si>
    <t>Skindergade 38 og Dyrkøb 5</t>
  </si>
  <si>
    <t xml:space="preserve"> Skindergade 38 og Dyrkøb 5</t>
  </si>
  <si>
    <t xml:space="preserve"> Forhuse mod Dyrkøb og Skindergade(Dyrkøb 5 fra 1812-14; Skindergade 38 fra 1820-22)</t>
  </si>
  <si>
    <t>Skindergade 40</t>
  </si>
  <si>
    <t xml:space="preserve"> Skindergade 40</t>
  </si>
  <si>
    <t xml:space="preserve"> Forhus mod Skindergade (1817, forhøjet med en etage 1851-52)</t>
  </si>
  <si>
    <t>Skindergade 42</t>
  </si>
  <si>
    <t xml:space="preserve"> Skindergade 42</t>
  </si>
  <si>
    <t xml:space="preserve"> Forhuset (1810-11 af Henrich Scholle)</t>
  </si>
  <si>
    <t>Skindergade 44</t>
  </si>
  <si>
    <t xml:space="preserve"> Forhuset (1798-99)</t>
  </si>
  <si>
    <t>Skindergade 5</t>
  </si>
  <si>
    <t xml:space="preserve"> Skindergade 5</t>
  </si>
  <si>
    <t xml:space="preserve"> Forhuset (1976 af Erik Korshagen)</t>
  </si>
  <si>
    <t>Skindergade 6</t>
  </si>
  <si>
    <t xml:space="preserve"> Skindergade 6</t>
  </si>
  <si>
    <t xml:space="preserve"> Forhus og dermed sammenbygget tifags bindingsværkslænge (1730-34)</t>
  </si>
  <si>
    <t>Skindergade 8</t>
  </si>
  <si>
    <t xml:space="preserve"> Skindergade 8</t>
  </si>
  <si>
    <t>Slotsholmsgade 10</t>
  </si>
  <si>
    <t xml:space="preserve"> Det Lercheske Palæ, Württembergske Palæ</t>
  </si>
  <si>
    <t xml:space="preserve"> Forhuset (1741-42 af J. A. Soherr, forhøjetsenere)</t>
  </si>
  <si>
    <t>Slotsholmsgade 4</t>
  </si>
  <si>
    <t xml:space="preserve"> Kancellibygningen</t>
  </si>
  <si>
    <t xml:space="preserve"> Hovedfløjen mod Slotsholmsgade med sidebygninger modnordvest (Slotspladsen) og sydøst (1715-20 af Johan Conrad Ernst)</t>
  </si>
  <si>
    <t>Slotsholmsgade 6</t>
  </si>
  <si>
    <t xml:space="preserve"> Slotsholmsgade 6</t>
  </si>
  <si>
    <t xml:space="preserve"> Forhuset (1783 af C. F. Harsdorff) </t>
  </si>
  <si>
    <t>Slotsholmsgade 8</t>
  </si>
  <si>
    <t xml:space="preserve"> Den Stormske Gård, Anna Sophie Reventlows Gård</t>
  </si>
  <si>
    <t xml:space="preserve"> Forhuset (1696) med tilbygget sidehusmod vest</t>
  </si>
  <si>
    <t>Snaregade 10</t>
  </si>
  <si>
    <t xml:space="preserve"> Snaregade 10</t>
  </si>
  <si>
    <t xml:space="preserve"> Forhus med side- og baghuse (1797 af Johan Martin Quist, det nordrebaghus: 1808) opført om en halvcirkelformet gård</t>
  </si>
  <si>
    <t>Snaregade 12-14 og Knabrostræde 23</t>
  </si>
  <si>
    <t xml:space="preserve"> Snaregade 12-14 og Knabrostræde 23</t>
  </si>
  <si>
    <t xml:space="preserve"> De to treetages forhuse og muren mod Snaregade samt pakhuset mod Knabrostræde (1795-98 af Michael Bälckow, pakhuset1810-13)</t>
  </si>
  <si>
    <t>Snaregade 6</t>
  </si>
  <si>
    <t xml:space="preserve"> Snaregade 6</t>
  </si>
  <si>
    <t xml:space="preserve"> Forhuset (1798-99 af Poul Egeroed)</t>
  </si>
  <si>
    <t>Snaregade 8</t>
  </si>
  <si>
    <t xml:space="preserve"> Snaregade 8</t>
  </si>
  <si>
    <t xml:space="preserve"> Forhus med side- og baghus (1806-07 af Poul Egeroed)</t>
  </si>
  <si>
    <t>Sofiegade 15 A-B</t>
  </si>
  <si>
    <t xml:space="preserve"> Sofiebadet</t>
  </si>
  <si>
    <t xml:space="preserve"> Den tidl badeanstalt (1909 af stadsarkitekt Hans Wright)</t>
  </si>
  <si>
    <t>Sortedam Dossering 55</t>
  </si>
  <si>
    <t xml:space="preserve"> Sortedam Dossering 55</t>
  </si>
  <si>
    <t xml:space="preserve"> Villaen (1869 af Georg Møller) og de to bygningerumiddelbart vest for denne</t>
  </si>
  <si>
    <t>Stockholmsgade 20</t>
  </si>
  <si>
    <t xml:space="preserve"> Den Hirschsprungske Samling</t>
  </si>
  <si>
    <t xml:space="preserve"> Museumsbygningen (1908-11 af H.B. Storck), deforsænkede gårde og omgivende mure samt forpladsen med gitteret langs gaden</t>
  </si>
  <si>
    <t>Store Kannikestræde 10</t>
  </si>
  <si>
    <t xml:space="preserve"> Admiral Geddes Gård</t>
  </si>
  <si>
    <t xml:space="preserve"> Forhus med sidehus og det dermed sammenbyggedetværhus (1730-36, kvisten ombygget og udvidet fra tre til fem fag 1749) samt baghus og dertil bygget trappehus</t>
  </si>
  <si>
    <t>Store Kannikestræde 11</t>
  </si>
  <si>
    <t xml:space="preserve"> Professorgården</t>
  </si>
  <si>
    <t xml:space="preserve"> Forhus og baghus (1752-53 af Joachim Frederik Ramus)</t>
  </si>
  <si>
    <t>Store Kannikestræde 12</t>
  </si>
  <si>
    <t xml:space="preserve"> Borchs Kollegium</t>
  </si>
  <si>
    <t xml:space="preserve"> Forhuset (1824-25 af Peder Malling)</t>
  </si>
  <si>
    <t>Store Kannikestræde 13</t>
  </si>
  <si>
    <t xml:space="preserve"> Store Kannikestræde 13</t>
  </si>
  <si>
    <t xml:space="preserve"> Forhuset (1752-53 af Joachim Frederik Ramus, kvistombygget til fuld etage 1869)</t>
  </si>
  <si>
    <t>Store Kannikestræde 15, hj af Lille Kannikestræde</t>
  </si>
  <si>
    <t xml:space="preserve"> Store Kannikestræde 15</t>
  </si>
  <si>
    <t xml:space="preserve"> Hjørnehuset (1828-29 af C.O.Aagaard</t>
  </si>
  <si>
    <t>Store Kannikestræde 2</t>
  </si>
  <si>
    <t xml:space="preserve"> Regensen</t>
  </si>
  <si>
    <t xml:space="preserve"> Det firefløjede anlæg (fløjen mod Store Kannikestræde 1623-28, efter brand 1728 istandsat 1749, en etage påbygget 1777; Krystalgadefløjen 1731; Kirkefløjen 1743, buegangen1906-09)</t>
  </si>
  <si>
    <t>Store Kannikestræde 6</t>
  </si>
  <si>
    <t xml:space="preserve"> Store Kannikestræde 6</t>
  </si>
  <si>
    <t xml:space="preserve"> Forhuset (1734-37, forhøjet med en etage 1790),sidehus på fire fag, et baghus på fem fag samt endnu et sidehus på et fag</t>
  </si>
  <si>
    <t xml:space="preserve"> Udv. 1989*</t>
  </si>
  <si>
    <t>Store Kannikestræde 8</t>
  </si>
  <si>
    <t xml:space="preserve"> Store Kannikestræde 8</t>
  </si>
  <si>
    <t xml:space="preserve"> Forhuset samt sidehus med samme gesimshøjde somforhus (1730'rne, forhøjet med en etage i slutn af 1700-tallet)</t>
  </si>
  <si>
    <t>Store Kannikestræde 9</t>
  </si>
  <si>
    <t xml:space="preserve"> Elers Kollegium</t>
  </si>
  <si>
    <t xml:space="preserve"> Forhuset (1702-05 af Johan Conrad Ernst), de to havepavilloner (1730 af Johan Cornelius Krieger) og hegnsmurene (1730) samt smedejernsgitteret (antagelig 1739)</t>
  </si>
  <si>
    <t>Store Kirkestræde 3, hj af Højbro Plads 3</t>
  </si>
  <si>
    <t xml:space="preserve"> Store Kirkestræde 3 og Højbro Plads 3</t>
  </si>
  <si>
    <t xml:space="preserve"> Forhus med sidehus (1798-99)</t>
  </si>
  <si>
    <t>Store Kongensgade 108 og 108 A, B, D</t>
  </si>
  <si>
    <t xml:space="preserve"> Christians Plejehus (tidl)</t>
  </si>
  <si>
    <t xml:space="preserve"> Forhuset (1765-69 af C. C. Pflueg)forreste sidehus, tværhus og bageste sidehus</t>
  </si>
  <si>
    <t>Store Kongensgade 110</t>
  </si>
  <si>
    <t xml:space="preserve"> Store Kongensgade 110</t>
  </si>
  <si>
    <t xml:space="preserve"> Forhuset og det dermed sammenbyggede sidehus(1801-04)</t>
  </si>
  <si>
    <t xml:space="preserve"> Udvidet 1975*</t>
  </si>
  <si>
    <t>Store Kongensgade 23 og 23 A</t>
  </si>
  <si>
    <t xml:space="preserve"> Bernhard Hertz Sølvvarefabrik</t>
  </si>
  <si>
    <t xml:space="preserve"> Forhus med sammenbygget sidehus(1850-51 af C.O.  Aagaard), samt den i gården beliggende femfags fabriksbygning (1850 af Bernhard Hertz som sølvvarefabrik)</t>
  </si>
  <si>
    <t>Store Kongensgade 56, hj af Dronningens Tværgade</t>
  </si>
  <si>
    <t xml:space="preserve"> Store Kongensgade 56 og Dronningens Tværgade11</t>
  </si>
  <si>
    <t xml:space="preserve"> Hjørnebygningen (før 1754 og 1808, ombygget 1846) med sidehus</t>
  </si>
  <si>
    <t>Store Kongensgade 59</t>
  </si>
  <si>
    <t xml:space="preserve"> Store Kongensgade 59</t>
  </si>
  <si>
    <t xml:space="preserve"> Forhuset (1782 og senere)</t>
  </si>
  <si>
    <t>Store Kongensgade 62</t>
  </si>
  <si>
    <t xml:space="preserve"> Store Kongensgade 62</t>
  </si>
  <si>
    <t xml:space="preserve"> Forhuset med sidehus (1807) og baghus (1808, forhøjet1835)</t>
  </si>
  <si>
    <t>Store Kongensgade 67 A-C</t>
  </si>
  <si>
    <t xml:space="preserve"> Mekanicus Kretz' Gård</t>
  </si>
  <si>
    <t xml:space="preserve"> Forhus med de dertil stødende sidehuse (1836-38),det nordlige sidehus' forlængelse, tværhuset (ca 1750) samt sidehuset i baggård (mellem 1807 og 1835)</t>
  </si>
  <si>
    <t>Store Kongensgade 68</t>
  </si>
  <si>
    <t xml:space="preserve"> Danneskjold-Laurvigs Palæ, Jernmagasinet</t>
  </si>
  <si>
    <t xml:space="preserve"> Forhuset (ca 1745, formentlig af J.A. Soherr, senere forhøjet med en etage)</t>
  </si>
  <si>
    <t>Store Kongensgade 72</t>
  </si>
  <si>
    <t xml:space="preserve"> Den Barnekowske Ejendom, De Conincks Gård</t>
  </si>
  <si>
    <t xml:space="preserve"> Forhuset med de dertil stødende sidehuse samt den med søndre sidehus sammenbyggede mellembygning (1797, muligvis afJoseph-Jacques Ramée)</t>
  </si>
  <si>
    <t>Store Kongensgade 77</t>
  </si>
  <si>
    <t xml:space="preserve"> Store Kongensgade 77</t>
  </si>
  <si>
    <t xml:space="preserve"> Forhus og sidehus (1832)</t>
  </si>
  <si>
    <t>Store Kongensgade 78</t>
  </si>
  <si>
    <t xml:space="preserve"> Store Kongensgade 78</t>
  </si>
  <si>
    <t xml:space="preserve"> Forhus (før 1732, helt ombygget 1769) med sidehus ogbaghus</t>
  </si>
  <si>
    <t>Store Kongensgade 79 A</t>
  </si>
  <si>
    <t xml:space="preserve"> Store Kongensgade 79 A</t>
  </si>
  <si>
    <t xml:space="preserve"> Forhuset inkl smigfaget mod sidehuset (1832- 33)</t>
  </si>
  <si>
    <t>Store Kongensgade 80</t>
  </si>
  <si>
    <t xml:space="preserve"> Store Kongensgade 80</t>
  </si>
  <si>
    <t xml:space="preserve"> Forhuset (1748, forhøjet og delvis grundmuret mellem1748 og 1783)</t>
  </si>
  <si>
    <t>Store Kongensgade 81 A-D</t>
  </si>
  <si>
    <t xml:space="preserve"> Store Kongensgade 81 A-D</t>
  </si>
  <si>
    <t xml:space="preserve"> Forhuset, sidehuset, mellemhuset samt de tohermed sammenbyggede sidehuse i baggården og de to baghuse (forhuset 1784-85 af murermester M.H. Petermann, sidehus og mellemhus 1750'erne)</t>
  </si>
  <si>
    <t>Store Kongensgade 82</t>
  </si>
  <si>
    <t xml:space="preserve"> Store Kongensgade 82</t>
  </si>
  <si>
    <t xml:space="preserve"> Forhus (før 1734, helt ombygget 1795,facadeudsmykningen fra 1840'rne) med sidehus og baghus</t>
  </si>
  <si>
    <t>Store Strandstræde 18 A</t>
  </si>
  <si>
    <t xml:space="preserve"> Waagepetersens Gård</t>
  </si>
  <si>
    <t xml:space="preserve"> Forhuset (1792-93 af Johan Martin Quist)</t>
  </si>
  <si>
    <t>Store Strandstræde 19-21</t>
  </si>
  <si>
    <t xml:space="preserve"> Store Strandstræde 19-21</t>
  </si>
  <si>
    <t xml:space="preserve"> De to forhuse, de fire sidehuse med kældre underde to gårdspladser samt værkstedsbygningen (1907-08 af Aage Langeland-Mathiesen)</t>
  </si>
  <si>
    <t>Store Strandstræde 20</t>
  </si>
  <si>
    <t xml:space="preserve"> Store Strandstræde 20</t>
  </si>
  <si>
    <t xml:space="preserve"> Hjørnehuset (1788-89)</t>
  </si>
  <si>
    <t>Store Strandstræde 4</t>
  </si>
  <si>
    <t xml:space="preserve"> Store Strandstræde 4</t>
  </si>
  <si>
    <t xml:space="preserve"> Forhus med sidehus (trappehus) (1853)</t>
  </si>
  <si>
    <t>Store Strandstræde 6</t>
  </si>
  <si>
    <t xml:space="preserve"> Store Strandstræde 6</t>
  </si>
  <si>
    <t xml:space="preserve"> Forhus og sidehus (før 1731, forhøjet og grundmuret facade 1783, grundmuret bagside samt gadefacadens nuværende udformning fra midten af 1800-tallet)</t>
  </si>
  <si>
    <t>Store Strandstræde 7</t>
  </si>
  <si>
    <t xml:space="preserve"> Store Strandstræde 7</t>
  </si>
  <si>
    <t xml:space="preserve"> Alle ejendommens bygninger: forhus på tre grundmuredefag (1781, nuværende facade 1848 og 1892), sidehus på fem fag i grundmur (1781) og det med trappen sammenbyggede baghus i to grundmurede fag (1801)</t>
  </si>
  <si>
    <t>Stormgade 10-12</t>
  </si>
  <si>
    <t xml:space="preserve"> Holsteins Palæ</t>
  </si>
  <si>
    <t xml:space="preserve"> Forhuset nr 10 med sidelænger samt bindingsværksbaghus (forhuset fra 1687 muligvis af Lambert van Haven, udvidet med brede endefag mellem 1711 og 1740, forhøjet og ombygget 1756 af Jacob Fortling; sidefløjenes nordender fra 1706 muligvis af Johan Conrad Ernst, sammenbygget med hovedbygningen inden 1760; bindingsværksbaghus fra sidste halvdel af 1600-tallet)</t>
  </si>
  <si>
    <t>Stormgade 14 E</t>
  </si>
  <si>
    <t xml:space="preserve"> Det Harboeske Enkefruekloster</t>
  </si>
  <si>
    <t xml:space="preserve"> Forhuset (ældre mindre bygning ombygget 1741 af Elias David Häusser udvidet og omformet til to store pavilloner med toetages forbindelsesbygning 1754-60 efter Lauritz de Thurahs tegning; forbindelsesbygningen forhøjet 1772 af C. F. Harsdorff) </t>
  </si>
  <si>
    <t>Stormgade 18</t>
  </si>
  <si>
    <t xml:space="preserve"> Overformynderiet (tidl)</t>
  </si>
  <si>
    <t xml:space="preserve"> Det trefløjede bygningskompleks med foranliggende hegnsmur(1893-94 af Hans J. Holm)</t>
  </si>
  <si>
    <t>Stormgade 6</t>
  </si>
  <si>
    <t xml:space="preserve"> Stormgade 6</t>
  </si>
  <si>
    <t xml:space="preserve"> Forhuset (1850-51, portalen 1755)</t>
  </si>
  <si>
    <t>Stormgade 8</t>
  </si>
  <si>
    <t xml:space="preserve"> Stormgade 8</t>
  </si>
  <si>
    <t xml:space="preserve"> Forhuset (to huse fra før 1737, sammenbygget 1748 og forhøjet med en etage1845) og sidehuset (før 1737, sammenbygget med forhuset formentlig 1748)</t>
  </si>
  <si>
    <t>Strandagervej 28</t>
  </si>
  <si>
    <t xml:space="preserve"> J.F. Willumsens Villa. </t>
  </si>
  <si>
    <t xml:space="preserve"> Villaen og havelågen (1906-07 af J. F. Willumsen)</t>
  </si>
  <si>
    <t>Strandboulevarden 35</t>
  </si>
  <si>
    <t xml:space="preserve"> Strandboulevarden 35</t>
  </si>
  <si>
    <t xml:space="preserve"> Etagebeboelseshuset med sidehus (1902 af EugenJørgensen)</t>
  </si>
  <si>
    <t xml:space="preserve"> I. B.  Schottmanns Gård</t>
  </si>
  <si>
    <t xml:space="preserve"> Forhuset (1668 (se nr 8), ombygget 1775 af Johan Bernhardt Schottmann) med grundmuret sidehus, bindingsværkssidehus og baghus samt gårdrummet</t>
  </si>
  <si>
    <t>Udvidet 2007*</t>
  </si>
  <si>
    <t>Strandgade 104-106 (tidl Strandgade 100) og Krøyers Plads</t>
  </si>
  <si>
    <t xml:space="preserve"> Grønlandske Handels Plads</t>
  </si>
  <si>
    <t xml:space="preserve"> Det storepakhus på 23 fag (1766-67 af Johan Christian Conradi), ""Skindpakhuset"" (1805-06)* samt ""Det brede Pakhus"", også kaldet ""Det store Bakkehus"" (1781)*</t>
  </si>
  <si>
    <t xml:space="preserve"> Udvidet 2002</t>
  </si>
  <si>
    <t xml:space="preserve"> Forhuset med tilstødende syv fag lange sidehus (1762-94, sidehus opført1731-47)</t>
  </si>
  <si>
    <t>Strandgade 1-2</t>
  </si>
  <si>
    <t xml:space="preserve"> To huse ved Christianskirkens indgang</t>
  </si>
  <si>
    <t xml:space="preserve"> De to små huse ved Christianskirkens indgang</t>
  </si>
  <si>
    <t>Strandgade 14, hj af Torvegade</t>
  </si>
  <si>
    <t xml:space="preserve"> Den Rohdeske Gård</t>
  </si>
  <si>
    <t xml:space="preserve"> Hjørnebygningen (ca 1640; svungne gavleerstattet af to etager og frontoner 1785 og 1792) og baghuset</t>
  </si>
  <si>
    <t xml:space="preserve"> Cort Adelers Gård</t>
  </si>
  <si>
    <t xml:space="preserve"> Forhus med sidelænge (ca 1630, ombygget 1670, forhøjet 1769;sidelænge 1769) samt hegnsmuren*</t>
  </si>
  <si>
    <t>Strandgade 24</t>
  </si>
  <si>
    <t xml:space="preserve"> Strandgade 24</t>
  </si>
  <si>
    <t xml:space="preserve"> Forhus med sidehus og dertil stødende tværhus samt hegnsmuren (ca1670, forhøjet med en etage 1748)</t>
  </si>
  <si>
    <t>Strandgade 25</t>
  </si>
  <si>
    <t xml:space="preserve"> Det Asiatiske Kompagni</t>
  </si>
  <si>
    <t xml:space="preserve"> De to ensdannede forhuse (det sydvestre 1738 af Philip de Lange, det nordøstre 1781) med den forbindende mur og det med det nordøstre forhus sammenbyggedepakhus (1781) samt det 21 fag lange pakhus (1748-50 af Niels Eigtved)</t>
  </si>
  <si>
    <t>Strandgade 26</t>
  </si>
  <si>
    <t xml:space="preserve"> Behagens Gård</t>
  </si>
  <si>
    <t xml:space="preserve"> Alle på grunden stående bygninger samt mur mod mnr 413 og de tomurede piller i sydøstre del af gården (to gavlhuse fra 1626 sammenbygget og forhøjet 1769)</t>
  </si>
  <si>
    <t>Strandgade 28-30 og Wildersgade 41-43</t>
  </si>
  <si>
    <t xml:space="preserve"> Sigvert Grubbes Gård</t>
  </si>
  <si>
    <t xml:space="preserve"> "Gavlhuset nr 28, ""Sigvert Grubbes gård"" (1622), den bag dette liggende otte fags bindingsværksbygning, det med dettes østhjørne sammenbyggede sidehus og det hermed sammenbyggede forhus nr 41 mod Wildersgade; forhuset nr 30 mod Strandgade (ca 1635, porten fra 1710) og de med dette sammenbyggede to lige lange sidehuse (det nordøstre 1636, det sydvestre 1709-13) samt hegnsmurene; endvidere forhuset nr 43 mod Wildersgademed den korte sidefløj (1829) og det hermed sammenbyggede treetages pakhus (ca 1800)</t>
  </si>
  <si>
    <t>Strandgade 32, hj af Sankt Annæ Gade</t>
  </si>
  <si>
    <t xml:space="preserve"> Mikkel Vibes Gård</t>
  </si>
  <si>
    <t xml:space="preserve"> Forhus mod Strandgade (formentlig 1624, ny etageinddeling mellem 1816 og 1839) og Sankt Annæ Gade (ca 1622-24) samt det sydligst på grundenbeliggende baghus</t>
  </si>
  <si>
    <t>Strandgade 34, hj af Sankt Annæ Gade</t>
  </si>
  <si>
    <t xml:space="preserve"> Topps Gård, Brydes Gård</t>
  </si>
  <si>
    <t xml:space="preserve"> Forhus med pakhus (1733, pakhuset 1777-78)</t>
  </si>
  <si>
    <t>Strandgade 36 og Wildersgade 51</t>
  </si>
  <si>
    <t xml:space="preserve"> Niels Brocks Gård</t>
  </si>
  <si>
    <t xml:space="preserve"> Forhus med de mod nr 38 beliggende sidehuse(1780 og senere) og pakhus mod Wildersgade</t>
  </si>
  <si>
    <t>Strandgade 38</t>
  </si>
  <si>
    <t xml:space="preserve"> Strandgade 38</t>
  </si>
  <si>
    <t xml:space="preserve"> Forhus og dermed sammenbyggede sidehus (1688, stærkt ombygget)</t>
  </si>
  <si>
    <t>Strandgade 40</t>
  </si>
  <si>
    <t xml:space="preserve"> Strandgade 40</t>
  </si>
  <si>
    <t xml:space="preserve"> Forhuset (1600-tallet og 1780)</t>
  </si>
  <si>
    <t>Strandgade 42</t>
  </si>
  <si>
    <t xml:space="preserve"> Strandgade 42</t>
  </si>
  <si>
    <t xml:space="preserve"> Forhus med sidehus (1600-tallet og 1780-1800)</t>
  </si>
  <si>
    <t>Strandgade 44 A, B, og H, hj af Bådsmandsstræde</t>
  </si>
  <si>
    <t xml:space="preserve"> Irgens Gård, Den gamle Artillerikaserne</t>
  </si>
  <si>
    <t xml:space="preserve"> De to forhuse med port mod Strandgade, forhusbebyggelsen mod Bådsmandsstræde, forhus mod Wildersgademed sidehus, pakhus og fritliggende hus i gården (ca 1630, ca 1664, ombygget 1775 og senere)</t>
  </si>
  <si>
    <t>Strandgade 46 og 46 A og Bådsmandsstræde 3</t>
  </si>
  <si>
    <t xml:space="preserve"> Andreas Bjørns Gård</t>
  </si>
  <si>
    <t xml:space="preserve"> Forhusene mod Strandgade(1733-34; portpartiet ca 1760) og Bådsmandsstræde (1761, forhøjet med en etage 1830)</t>
  </si>
  <si>
    <t>Strandgade 4 og 4 B</t>
  </si>
  <si>
    <t xml:space="preserve"> Strandgade 4 og 4 B</t>
  </si>
  <si>
    <t xml:space="preserve"> Beboelseshus (ca 1789) og pakhus (1819)</t>
  </si>
  <si>
    <t>Strandgade 52-54</t>
  </si>
  <si>
    <t xml:space="preserve"> Strandgade 52-54</t>
  </si>
  <si>
    <t xml:space="preserve"> Den toetages bygning (ca 1741 af Andreas Bjørn, mindreændringer siden)</t>
  </si>
  <si>
    <t>Strandgade 6</t>
  </si>
  <si>
    <t xml:space="preserve"> Lehns Gård, Tordenskjolds Gård</t>
  </si>
  <si>
    <t xml:space="preserve"> Forhus med tilstødende sidelænge til og med den igården fremspringende pavillon (1703, ombygget ca 1850; pavillon 1743)</t>
  </si>
  <si>
    <t>Strandgade 71-75</t>
  </si>
  <si>
    <t xml:space="preserve"> Pakhuset, Strandgade 71-75</t>
  </si>
  <si>
    <t xml:space="preserve"> Det store pakhus på 16 fag (1762-63 af Johan ChristianConradi, senere ombygninger)</t>
  </si>
  <si>
    <t>Strandgade 8</t>
  </si>
  <si>
    <t xml:space="preserve"> Strandgade 8</t>
  </si>
  <si>
    <t xml:space="preserve"> Forhuset med smigfag til gården (1668, forhøjet 1816-39), det syv fag lange sidehus (1816-39) samt det i forlængelse heraf byggede sidehus i tre fag (1853, ombygget 1933)</t>
  </si>
  <si>
    <t>Studiestræde 10</t>
  </si>
  <si>
    <t xml:space="preserve"> Studiestræde 10</t>
  </si>
  <si>
    <t xml:space="preserve"> Forhuset (1800-01 af Christopher Chrane)</t>
  </si>
  <si>
    <t>Studiestræde 12</t>
  </si>
  <si>
    <t xml:space="preserve"> Forhuset (1798-99 af Jens Dahl)</t>
  </si>
  <si>
    <t>Studiestræde 13 og 13 A</t>
  </si>
  <si>
    <t xml:space="preserve"> Studiestræde 13-13 A</t>
  </si>
  <si>
    <t xml:space="preserve"> Forhusene (1798 af Niels Zimmer)</t>
  </si>
  <si>
    <t>Studiestræde 14</t>
  </si>
  <si>
    <t xml:space="preserve"> Studiestræde 14</t>
  </si>
  <si>
    <t xml:space="preserve"> Forhuset (1801-02 af J. J. Schlage) </t>
  </si>
  <si>
    <t>Studiestræde 17 og 17 B</t>
  </si>
  <si>
    <t xml:space="preserve"> Studiestræde 17 og 17 B</t>
  </si>
  <si>
    <t xml:space="preserve"> Det trefags forhus med sidehus samt det trefagsbaghus med 10 m.  dyb kælder (alle grundmur og opført 1822)</t>
  </si>
  <si>
    <t>Studiestræde 21</t>
  </si>
  <si>
    <t xml:space="preserve"> Studiestræde 21</t>
  </si>
  <si>
    <t xml:space="preserve"> Forhuset (1797 af Christian Martens, forhøjet med en etage 1890)</t>
  </si>
  <si>
    <t>Studiestræde 24</t>
  </si>
  <si>
    <t xml:space="preserve"> Studiestræde 24</t>
  </si>
  <si>
    <t>Studiestræde 25 A, hj af Larsbjørnsstræde</t>
  </si>
  <si>
    <t xml:space="preserve"> Studiestræde 25 A</t>
  </si>
  <si>
    <t xml:space="preserve"> Hjørnebygningen med otte fag modStudiestræde (1796, forhøjet med en etage 1851)</t>
  </si>
  <si>
    <t>Studiestræde 35</t>
  </si>
  <si>
    <t xml:space="preserve"> Studiestræde 35</t>
  </si>
  <si>
    <t>Studiestræde 5, 7 og 9</t>
  </si>
  <si>
    <t xml:space="preserve"> Studiestræde 5-9</t>
  </si>
  <si>
    <t xml:space="preserve"> Forhusene (nr 5: 1796; nr 7: 1807-08 af Jacob Lynge; nr 9:1798-99 af Michael Bälckow)</t>
  </si>
  <si>
    <t>Studiestræde 8</t>
  </si>
  <si>
    <t xml:space="preserve"> Noahs Ark</t>
  </si>
  <si>
    <t xml:space="preserve"> Forhuset samt halvtagsbygningen og den brolagte baggård (1798 af ChristianMartens)</t>
  </si>
  <si>
    <t>Sundbyvestervej 29-31</t>
  </si>
  <si>
    <t xml:space="preserve"> Sundbyvestervej 29-31</t>
  </si>
  <si>
    <t xml:space="preserve"> Villaen med tilhørende garage og havemur samtflisebelægningen (1936 af Arne Jacobsen)</t>
  </si>
  <si>
    <t>Sundevedsgade 4</t>
  </si>
  <si>
    <t xml:space="preserve"> Sundevedsgade 4</t>
  </si>
  <si>
    <t xml:space="preserve"> Forhuset (1858)</t>
  </si>
  <si>
    <t>Sværtegade 3</t>
  </si>
  <si>
    <t xml:space="preserve"> Sværtegade 3</t>
  </si>
  <si>
    <t xml:space="preserve"> Forhus (ca 1730 af Gotfrid Schuster, forhøjet med to etager 1791, kunstdrejer Schwartz' butik indrettet 1847 af H. C. Stilling) med side- og baghusbygningen (1826)</t>
  </si>
  <si>
    <t>Sværtegade 5</t>
  </si>
  <si>
    <t xml:space="preserve"> Sværtegade 5</t>
  </si>
  <si>
    <t xml:space="preserve"> Forhuset (1736, forhøjet og ombygget 1800, facaden fra 1855, forhøjet meden etage i 1900-tallet) samt det hermed sammenbyggede side- og baghus</t>
  </si>
  <si>
    <t>Sværtegade 7</t>
  </si>
  <si>
    <t xml:space="preserve"> Det Norske Selskab</t>
  </si>
  <si>
    <t xml:space="preserve"> Forhus og dermed sammenbygget syvfags bindingsværkslænge(1738)</t>
  </si>
  <si>
    <t>Sværtegade 9</t>
  </si>
  <si>
    <t xml:space="preserve"> Sværtegade 9</t>
  </si>
  <si>
    <t xml:space="preserve"> Forhuset (1756, forhøjet 1847, facaden 1847)</t>
  </si>
  <si>
    <t>Syddyssen 9</t>
  </si>
  <si>
    <t xml:space="preserve"> Den kosmiske Blomst, Christiania</t>
  </si>
  <si>
    <t xml:space="preserve"> Krudtmagasinet i 5.  Redan, kaldet Den kosmiske Blomst</t>
  </si>
  <si>
    <t>Sydområdet 4 A, Christiania</t>
  </si>
  <si>
    <t xml:space="preserve"> Loppen, Christiania</t>
  </si>
  <si>
    <t xml:space="preserve"> Artillerimagasinet langs Prinsessegade, kaldetLoppebygningen (1863 af arkitekt Johan Henrik Nebelong)</t>
  </si>
  <si>
    <t>Sølvgade 16</t>
  </si>
  <si>
    <t xml:space="preserve"> Sølvgades Skole</t>
  </si>
  <si>
    <t xml:space="preserve"> Sølvgades Skole, bestående af hovedbygningen (1846-47 af P. C. Hagemann), gitteret (1864) mod Sølvgade samt skolegårdens akacietræ og flagstang</t>
  </si>
  <si>
    <t>udvidet 2006</t>
  </si>
  <si>
    <t>Sølvgade 20</t>
  </si>
  <si>
    <t xml:space="preserve"> Sølvgade 20</t>
  </si>
  <si>
    <t xml:space="preserve"> Forhuset og de dermed sammenbyggede to sidehuse (1826-27 af ThomasBlom)</t>
  </si>
  <si>
    <t>Sølvgade 22</t>
  </si>
  <si>
    <t xml:space="preserve"> Sølvgade 22</t>
  </si>
  <si>
    <t xml:space="preserve"> Forhuset og de dermed sammenbyggede to sidehuse (1830-31 af ThomasBlom)</t>
  </si>
  <si>
    <t>Sølvgade 30</t>
  </si>
  <si>
    <t xml:space="preserve"> Fredning Sølvgade 30</t>
  </si>
  <si>
    <t xml:space="preserve"> Forhuset og de dermed sammenbyggede to sidehuse (1853) samt baghuset med de dermed sammenbyggede to lagerbygninger og den heroverfor liggende tidl hestestald</t>
  </si>
  <si>
    <t>Sølvgade 34</t>
  </si>
  <si>
    <t xml:space="preserve"> Fredning Sølvgade 34</t>
  </si>
  <si>
    <t xml:space="preserve"> Forhus og sidehus (1834)</t>
  </si>
  <si>
    <t>Sølvgade 38 og 38 A</t>
  </si>
  <si>
    <t xml:space="preserve"> Jacob Holmblads Gård</t>
  </si>
  <si>
    <t xml:space="preserve"> Forhus med sidefløj (1776) og dermed sammenbyggettreetages lagerbygning (1776)</t>
  </si>
  <si>
    <t>Søtorvet 1-3, hj af Vendersgade og Frederiksborggade</t>
  </si>
  <si>
    <t xml:space="preserve"> Søtorvet 1-3</t>
  </si>
  <si>
    <t xml:space="preserve"> Forhuset med sidebygninger, dogikke den toetages bagbygning mellem sidehusene (1873-76 af Vilhelm Petersen og Ferdinand Vilhelm Jensen)</t>
  </si>
  <si>
    <t>Søtorvet 2, hjørnerne af Gothersgade og Frederiksborggade</t>
  </si>
  <si>
    <t xml:space="preserve"> Søtorvet 2</t>
  </si>
  <si>
    <t xml:space="preserve"> Forhus med sidebygninger(1873-76 af Vilhelm Petersen og Ferdinand Vilhelm Jensen)</t>
  </si>
  <si>
    <t>Søtorvet 5, hj af Vendersgade</t>
  </si>
  <si>
    <t xml:space="preserve"> Søtorvet 5</t>
  </si>
  <si>
    <t xml:space="preserve"> Forhuset og det toetages fritliggende baghus (1873-76 afVilhelm Petersen og Ferdinand Vilhelm Jensen)</t>
  </si>
  <si>
    <t>Tagensvej 83 B-F</t>
  </si>
  <si>
    <t xml:space="preserve"> Arbejderboligerne til Holger Petersens Fabrik</t>
  </si>
  <si>
    <t xml:space="preserve"> Arbejderboligerne til Holger PetersensFabrik (1885 af Carl Thorning)</t>
  </si>
  <si>
    <t>Tagensvej 85 C-F</t>
  </si>
  <si>
    <t>Holger Petersens Manufakturvarefabrik</t>
  </si>
  <si>
    <t xml:space="preserve"> Den lille fladebygning medshedtag, tidl farveri (1883 af Johan Schrøder) og den hermed sammenbyggede kontor- og lagerbygning (1887-88, forhøjet 1897)</t>
  </si>
  <si>
    <t>Teglgårdsstræde 12</t>
  </si>
  <si>
    <t xml:space="preserve"> Fredning Teglgårdsstræde 12</t>
  </si>
  <si>
    <t xml:space="preserve"> Forhus (1791), sidehus (før 1781), tværhus (1730) og baghus(1729)</t>
  </si>
  <si>
    <t>Teglgårdsstræde 16 og 16A</t>
  </si>
  <si>
    <t xml:space="preserve"> Teglgårdsstræde 16</t>
  </si>
  <si>
    <t xml:space="preserve"> Forhuset og baghuset (1805 af Poul Egeroed) samtgårdspladsens brolægning</t>
  </si>
  <si>
    <t>Teglgårdsstræde 5-7</t>
  </si>
  <si>
    <t xml:space="preserve"> Teglgårdsstræde 5-7</t>
  </si>
  <si>
    <t xml:space="preserve"> Forhusene (nr 5: 1799-1802 af Christopher Chrane; nr7:1801)</t>
  </si>
  <si>
    <t>Toldbodgade 12</t>
  </si>
  <si>
    <t xml:space="preserve"> Toldbodgade 12</t>
  </si>
  <si>
    <t xml:space="preserve"> Forhuset (1807, pakhus)</t>
  </si>
  <si>
    <t>Toldbodgade 24-28</t>
  </si>
  <si>
    <t xml:space="preserve"> Korntørringsmagasinet</t>
  </si>
  <si>
    <t xml:space="preserve"> De to store sammenbyggede pakhuse (1787,mellembygningen fra 1885)</t>
  </si>
  <si>
    <t>Toldbodgade 36 A og B</t>
  </si>
  <si>
    <t xml:space="preserve"> Blå Pakhus</t>
  </si>
  <si>
    <t xml:space="preserve"> Pakhusbygningen (1781-83 af C.F.Harsdorff)</t>
  </si>
  <si>
    <t>Toldbodgade 38</t>
  </si>
  <si>
    <t xml:space="preserve"> Gule Pakhus</t>
  </si>
  <si>
    <t xml:space="preserve"> Pakhusbygningen (1777-83 af Georg Erdman Rosenberg, ombygget ogrestaureret 1978-79)</t>
  </si>
  <si>
    <t>Toldbodgade 40</t>
  </si>
  <si>
    <t xml:space="preserve"> Vestindisk Pakhus</t>
  </si>
  <si>
    <t xml:space="preserve"> Pakhusbygningen (1780-81 af C.F.Harsdorff) samtportpillerne ved indkørslen fra Toldbodgade (opr. Botanisk Have i Amaliegade, ca 1752)</t>
  </si>
  <si>
    <t>Toldbodgade 5</t>
  </si>
  <si>
    <t xml:space="preserve"> Toldbodgade 5</t>
  </si>
  <si>
    <t xml:space="preserve"> Forhuset (mellem 1716 og 1733, forhøjet 1793) med sidehus og baghus(1793)</t>
  </si>
  <si>
    <t>Toldbodgade 7</t>
  </si>
  <si>
    <t xml:space="preserve"> Toldbodgade 7</t>
  </si>
  <si>
    <t xml:space="preserve"> Forhuset med sidehus (1846 af Mogens Sørensen) og baghuset (fra før1733, forhøjet 1733 og ombygget 1846) og den trefags trappemellembygning</t>
  </si>
  <si>
    <t>Toldbodgade 71</t>
  </si>
  <si>
    <t xml:space="preserve"> Toldbodgade 71, De Engelske Rækkehuse</t>
  </si>
  <si>
    <t xml:space="preserve"> Forhuset (1870-74 af Vilhelm Tvede) og detnaturstensbelagte fortov samt granitkantstenene</t>
  </si>
  <si>
    <t xml:space="preserve"> Udvidet 2012*</t>
  </si>
  <si>
    <t>Toldbodgade 73</t>
  </si>
  <si>
    <t xml:space="preserve"> Toldbodgade 73, De Engelske Rækkehuse</t>
  </si>
  <si>
    <t>Toldbodgade 75</t>
  </si>
  <si>
    <t xml:space="preserve"> Toldbodgade 75, De Engelske Rækkehuse</t>
  </si>
  <si>
    <t>Toldbodgade 77</t>
  </si>
  <si>
    <t xml:space="preserve"> Toldbodgade 77, De Engelske Rækkehuse</t>
  </si>
  <si>
    <t>Toldbodgade 79</t>
  </si>
  <si>
    <t xml:space="preserve"> Toldbodgade 79, De Engelske Rækkehuse</t>
  </si>
  <si>
    <t>Toldbodgade 81</t>
  </si>
  <si>
    <t xml:space="preserve"> Toldbodgade 81, De Engelske Rækkehuse</t>
  </si>
  <si>
    <t>Toldbodgade 83</t>
  </si>
  <si>
    <t xml:space="preserve"> Toldbodgade 83, De Engelske Rækkehuse</t>
  </si>
  <si>
    <t>Toldbodgade 85</t>
  </si>
  <si>
    <t xml:space="preserve"> Toldbodgade 85, De Engelske Rækkehuse</t>
  </si>
  <si>
    <t>Toldbodgade 87</t>
  </si>
  <si>
    <t xml:space="preserve"> Toldbodgade 87, De Engelske Rækkehuse</t>
  </si>
  <si>
    <t>Toldbodgade 9</t>
  </si>
  <si>
    <t xml:space="preserve"> Toldbodgade 9</t>
  </si>
  <si>
    <t xml:space="preserve"> Forhuset og side- og baghus (før 1789, forhuset ombygget 1857)</t>
  </si>
  <si>
    <t>Torvegade 22</t>
  </si>
  <si>
    <t xml:space="preserve"> Torvegade 22</t>
  </si>
  <si>
    <t xml:space="preserve"> Forhus og hermed sammenbygget sidehus samt baghus af samme højdesom sidehus (1600-tallet og senere)</t>
  </si>
  <si>
    <t>Torvegade 24</t>
  </si>
  <si>
    <t xml:space="preserve"> Torvegade 24</t>
  </si>
  <si>
    <t xml:space="preserve"> Forhuset (1793, ombygget ca 1900) og trappehuset (1793, tidl del af tosidehuse)</t>
  </si>
  <si>
    <t>Torvegade 28</t>
  </si>
  <si>
    <t xml:space="preserve"> Torvegade 28</t>
  </si>
  <si>
    <t xml:space="preserve"> Hjørnehuset (ca 1740, forhøjet 1852, ombygget slutning af 1990'erne) samt bygningen mod Wildersgade (Pakhus ca 1790, forhøjet 1852, ombygget slutningen af 1990'erne)med side- og baghus (ca 1780 ombygget slutningen af 1990'erne)</t>
  </si>
  <si>
    <t>Torvegade 30</t>
  </si>
  <si>
    <t xml:space="preserve"> Torvegade 30</t>
  </si>
  <si>
    <t xml:space="preserve"> Forhuset (1769) og baghuset (før 1729, ombygget før 1838)</t>
  </si>
  <si>
    <t>Udvidet 1997*</t>
  </si>
  <si>
    <t>Torvegade 32</t>
  </si>
  <si>
    <t xml:space="preserve"> Torvegade 32</t>
  </si>
  <si>
    <t xml:space="preserve"> Forhus med sidehus (1756-57, forhøjet 1846)</t>
  </si>
  <si>
    <t>Trekroner 1, Københavns havn</t>
  </si>
  <si>
    <t xml:space="preserve"> Trekroner Fort</t>
  </si>
  <si>
    <t xml:space="preserve"> Søfortet med alle anlæg og bygninger (1787 og senere)</t>
  </si>
  <si>
    <t>Tøjhusgade 3</t>
  </si>
  <si>
    <t xml:space="preserve"> Tøjhuset</t>
  </si>
  <si>
    <t xml:space="preserve"> Tøjhusbygningen (1598-1611 af Christian IV og Berendt Petersen)</t>
  </si>
  <si>
    <t>Valdemarsgade 5, 7 og 9</t>
  </si>
  <si>
    <t xml:space="preserve"> Den Suhrske Stiftelse</t>
  </si>
  <si>
    <t xml:space="preserve"> """Den Suhrske Stiftelse"", bestående af de trebeboelsesbygninger (1877 af Ludvig Fenger)</t>
  </si>
  <si>
    <t>Valkendorfsgade 11</t>
  </si>
  <si>
    <t xml:space="preserve"> Zeises Hus</t>
  </si>
  <si>
    <t xml:space="preserve"> Nordøstre forhus og det dermed sammenbyggede sidehus (1732)</t>
  </si>
  <si>
    <t>Valkendorfsgade 15</t>
  </si>
  <si>
    <t xml:space="preserve"> Valkendorfsgade 15</t>
  </si>
  <si>
    <t xml:space="preserve"> Forhus og sidehus (1736 med svale til gårdsiden, facaden fraca 1889)</t>
  </si>
  <si>
    <t>Valkendorfsgade 17</t>
  </si>
  <si>
    <t xml:space="preserve"> Valkendorfsgade 17</t>
  </si>
  <si>
    <t xml:space="preserve"> Forhuset med sidehus og trappehus (1761)</t>
  </si>
  <si>
    <t>Valkendorfsgade 23</t>
  </si>
  <si>
    <t xml:space="preserve"> Helligåndshuset</t>
  </si>
  <si>
    <t xml:space="preserve"> Helligåndshuset (ca 1470, restaureret og ombygget af H. B. Storck 1894-96)</t>
  </si>
  <si>
    <t>Valkendorfsgade 3</t>
  </si>
  <si>
    <t xml:space="preserve"> Valkendorfsgade 3</t>
  </si>
  <si>
    <t xml:space="preserve"> Forhuset (de fire vestlige fag opført 1730-34 af Jens Olsen, de toøstlige fag fra 1756)</t>
  </si>
  <si>
    <t>Valkendorfsgade 36</t>
  </si>
  <si>
    <t xml:space="preserve"> Valkendorfsgade 36</t>
  </si>
  <si>
    <t xml:space="preserve"> Forhus med sidehus (1737)</t>
  </si>
  <si>
    <t>Valkendorfsgade 5</t>
  </si>
  <si>
    <t xml:space="preserve"> Valkendorfsgade 5</t>
  </si>
  <si>
    <t xml:space="preserve"> Forhuset (1731, facaden fra ca 1850) og de to sidehuse: det venstre på to bindingsværksfag og det højre på tre brede bindingsværksfag samt to grundmurede fag(1731 og 1751)</t>
  </si>
  <si>
    <t>Vandkunsten 10, hj af Gåsegade</t>
  </si>
  <si>
    <t xml:space="preserve"> Vandkunsten 10</t>
  </si>
  <si>
    <t>Vandkunsten 11</t>
  </si>
  <si>
    <t xml:space="preserve"> Vandkunsten 11</t>
  </si>
  <si>
    <t xml:space="preserve"> Forhuset (før 1735, forhøjet og facaden grundmuret 1777) medsidehus</t>
  </si>
  <si>
    <t>Vandkunsten 13</t>
  </si>
  <si>
    <t xml:space="preserve"> Vandkunsten 13</t>
  </si>
  <si>
    <t xml:space="preserve"> Forhuset (1754) og det nordlige sidehus (1783)</t>
  </si>
  <si>
    <t>Vandkunsten 8 og Kompagnistræde 39</t>
  </si>
  <si>
    <t xml:space="preserve"> Vandkunsten 8 og Kompagnistræde 39</t>
  </si>
  <si>
    <t xml:space="preserve"> Forhuse mod Vandkunsten og Kompagnistræde med forbindende sidehuse (Vandkunsten 8: ca 1750, men heltombygget 1803-08; Kompagnistræde 39: 1803, de to østlige fag tilføjet 1859)</t>
  </si>
  <si>
    <t>Ved Stranden 10, hj af Boldhusgade</t>
  </si>
  <si>
    <t xml:space="preserve"> Sundorphs Hus</t>
  </si>
  <si>
    <t xml:space="preserve"> Forhus mod Ved Stranden og Boldhusgade samtsidehus (1796-97)</t>
  </si>
  <si>
    <t>Ved Stranden 12</t>
  </si>
  <si>
    <t xml:space="preserve"> Ved Stranden 12</t>
  </si>
  <si>
    <t xml:space="preserve"> Forhus med sidehus (1796)</t>
  </si>
  <si>
    <t>Ved Stranden 14 og Admiralgade 24</t>
  </si>
  <si>
    <t xml:space="preserve"> Gustmeyers Gård</t>
  </si>
  <si>
    <t xml:space="preserve"> Forhus mod Ved Stranden og tilstødende  sidehus med samme gesimshøjde som forhus (1796 af Johan Martin Quist, salen indrettet 1874-75 af Hans J.  Holm), mur med portpiller på tværs af gården og hermed sammenbygget enetages udhus samt forhusetmod Admiralgade</t>
  </si>
  <si>
    <t>Ved Stranden 16</t>
  </si>
  <si>
    <t xml:space="preserve"> Ved Stranden 16</t>
  </si>
  <si>
    <t xml:space="preserve"> Forhuset (1748 af Philip de Lange, forhøjet 1886) og de to sammenbyggede sidehuse på fire fag og seks fag (1795 og 1796, forhøjet 1844, som forhuset)</t>
  </si>
  <si>
    <t>Ved Stranden 8, hj af Boldhusgade</t>
  </si>
  <si>
    <t xml:space="preserve"> Ved Stranden 8</t>
  </si>
  <si>
    <t xml:space="preserve"> Hjørnebygningen (1796-97)</t>
  </si>
  <si>
    <t>Vestagervej 29</t>
  </si>
  <si>
    <t xml:space="preserve"> Vestagervej 29</t>
  </si>
  <si>
    <t xml:space="preserve"> Villaen (1924 af Johannes Magdahl Nielsen) og haven (1924 af GNBrandt)</t>
  </si>
  <si>
    <t xml:space="preserve">Vesterbrogade </t>
  </si>
  <si>
    <t xml:space="preserve"> Frihedsstøtten, København</t>
  </si>
  <si>
    <t xml:space="preserve"> Frihedsstøtten (1792-97 af Nicolai Abildgaard, restaureret 1999)</t>
  </si>
  <si>
    <t>Vesterbrogade 140-142</t>
  </si>
  <si>
    <t xml:space="preserve"> Tvedes Bryggeri (tidl)</t>
  </si>
  <si>
    <t xml:space="preserve"> Østre forhus (1862), vestre forhus med sidehus (1884 afChristian L. Thuren) </t>
  </si>
  <si>
    <t>Vesterbrogade 144</t>
  </si>
  <si>
    <t xml:space="preserve"> Tvedes Stiftelse</t>
  </si>
  <si>
    <t xml:space="preserve"> Forhuset (1878 af C.A.C.Leser) </t>
  </si>
  <si>
    <t>Vesterbrogade 148</t>
  </si>
  <si>
    <t xml:space="preserve"> Sorte Hest</t>
  </si>
  <si>
    <t xml:space="preserve"> Forhuset (1771, forhøjet ca 1825), hjørnebygningen (1797) med sidehusforlængelse (1872, forhøjet 1929) samt mellembygning (1788 opr.  kakkelovnsfabrik) og denbrolagte gårdsplads</t>
  </si>
  <si>
    <t>Vesterbrogade 3</t>
  </si>
  <si>
    <t xml:space="preserve"> Parterrehaven, Tivoli</t>
  </si>
  <si>
    <t xml:space="preserve"> Det selvstændige landskabsarkitektoniske værk Parterrehaven iTivoli (1943 af GN Brandt i samarbejde med Poul Henningsen)</t>
  </si>
  <si>
    <t>Vesterbrogade 3, Tivoli</t>
  </si>
  <si>
    <t xml:space="preserve"> Pantomimeteatret</t>
  </si>
  <si>
    <t xml:space="preserve"> Teaterbygningen (1874 af Vilhelm Dahlerup)</t>
  </si>
  <si>
    <t>Vesterbrogade 34</t>
  </si>
  <si>
    <t xml:space="preserve"> Forhuset med side- og tværhus (1906-07 af Anton Rosen)</t>
  </si>
  <si>
    <t>Vesterbrogade 59</t>
  </si>
  <si>
    <t xml:space="preserve"> Den Kgl. Skydebane</t>
  </si>
  <si>
    <t xml:space="preserve"> Hovedbygningen (1782-87 antagelig af Henrich Brandemann)med sidefløje mod syd (1886) og nord (1896) samt den hermed sammenbyggede portbygning</t>
  </si>
  <si>
    <t>Vesterbrogade 60 og 60 A-C</t>
  </si>
  <si>
    <t xml:space="preserve"> Wegeners Gård</t>
  </si>
  <si>
    <t xml:space="preserve"> Forhuset med sidehus (1854) samt tværhuset og denhermed sammenbyggede biblioteksbygning (1867 af Carl Rasmussen)</t>
  </si>
  <si>
    <t>Vesterbrogade 72 og 72 A-B</t>
  </si>
  <si>
    <t xml:space="preserve"> Vesterbro Apotek</t>
  </si>
  <si>
    <t xml:space="preserve"> Forhus med sidehus (1853 af P. C. Hagemann) samthavehuset og laboratoriebygningen (1883)</t>
  </si>
  <si>
    <t xml:space="preserve">Vesterfælledvej 100 (m.fl. Adresser) </t>
  </si>
  <si>
    <t xml:space="preserve"> Carlsberg Bryggeri</t>
  </si>
  <si>
    <t xml:space="preserve"> Gl. Carlsberg: Porthuset (1886-87 af C.F. Thomsen) samt støbejernsrækværket og portene mod Gl. Carlsbergvej, bryghuset (1867 af N.S. Nebelong) og svalehuset med gærkældre (1859 af N.S. Nebelong, brændt og genopført 1867), malteriet med lagerkældre (1856, brændt og genopført 1867 af N.S. Nebelong) samt det dermed sammenbyggede støbekartårn (1855-56, brændt og genopført 1867), den søndre lagerbygning med lagerkældre (1855, brændt og genopført 1867, ombygget 1923-24 til funktionærboliger), den nordre lagerbygning med lagerkældre (1847, ombygget 1862-63 og forhøjet med en etage 1875), kornmagasinet (1866, ombygget efter brand 1867 af N.S. Nebelong), kedelhuset (1875) og de to skorstene (1875 og 1879), stalden (1847 af H.C. Stilling, ombygget 1858), staldbygningen (1876), kørehallen med lagerkældre (1878), lagerbygningen med lagerkældre (1860/1868), kørehallen med lagerkældre (1857-1860, ombygget til lagerrum 1935, ombygget til stald 1991), hovedbygningen (Æresboligen) med den tilhørende mur mod nord (1853-54 af N.S. Nebelong), vinterhaven (1858 af Peter Christian Bønecke), Pompeji (1876 af Peter Christian Bønecke) samt den italienske pergola (1851) syd for Pompeji og den søndre lagerbygning.Ny Carlsberg: Vagttårnet (1905 af Hack Kampmann), museumsbygningen, Glyptoteket (1885-95 af Vilhelm Dahlerup og Hack Kampmann), Carl Jacobsens villa (1890-92), indkørslen med port, den sydlige del af haven med skulpturer og Den Venetianske Tepavillon (1895) samt ishuset (1896, alle af Hack Kampmann), Kvaltek, kontor- oglaboratoriebygningen (1873 ombygget 1901 af Hack Kampmann). </t>
  </si>
  <si>
    <t>Vestergade 1, hj af Vestergade og Gammeltorv</t>
  </si>
  <si>
    <t xml:space="preserve"> Vestergade 1</t>
  </si>
  <si>
    <t>Vestergade 14-16, hj af Larsbjørnsstræde</t>
  </si>
  <si>
    <t xml:space="preserve"> Vestergade 14-16, hj af Larsbjørnsstræde</t>
  </si>
  <si>
    <t xml:space="preserve"> Forhuse mod Vestergade og Larsbjørnsstræde samt muren langs Larsbjørnsstræde og det mod gården bag denne mur liggende side- og baghus (hjørnehuset samt bebyggelsen mod Larsbjørnsstræde 1796 af L. L. Thrane og C.F.Hollander)</t>
  </si>
  <si>
    <t>Vestergade 15, hj af Kattesundet</t>
  </si>
  <si>
    <t xml:space="preserve"> Vestergade 15</t>
  </si>
  <si>
    <t xml:space="preserve"> Hjørnebygningen med sidehus (1797-98 af Philip Langeog L.L.Thrane)</t>
  </si>
  <si>
    <t>Vestergade 2</t>
  </si>
  <si>
    <t xml:space="preserve"> Obels Gård</t>
  </si>
  <si>
    <t>Vestergade 20</t>
  </si>
  <si>
    <t xml:space="preserve"> Forhuset (1797 af A.C. Wilcken) </t>
  </si>
  <si>
    <t>Vestergade 21</t>
  </si>
  <si>
    <t xml:space="preserve"> Vestergade 21</t>
  </si>
  <si>
    <t xml:space="preserve"> Forhus med side- og baghus (1795-96)</t>
  </si>
  <si>
    <t>Vestergade 22</t>
  </si>
  <si>
    <t>Vestergade 24</t>
  </si>
  <si>
    <t xml:space="preserve"> Vestergade 24</t>
  </si>
  <si>
    <t>Vestergade 26</t>
  </si>
  <si>
    <t xml:space="preserve"> Vestergade 26</t>
  </si>
  <si>
    <t>Vestergade 27</t>
  </si>
  <si>
    <t xml:space="preserve"> Vestergade 27</t>
  </si>
  <si>
    <t xml:space="preserve"> Forhuset med to sidehuse og baghuset (1797-99 af J. W.  Steenberg)</t>
  </si>
  <si>
    <t xml:space="preserve"> Forhuset, side- og baghus (1795-96)</t>
  </si>
  <si>
    <t xml:space="preserve"> Vestergade 5</t>
  </si>
  <si>
    <t>Vestergade 7</t>
  </si>
  <si>
    <t xml:space="preserve"> Vestergade 7</t>
  </si>
  <si>
    <t xml:space="preserve"> Forhuset med side- og baghus (1797-98 af Andreas Kirkerup, baghusetforhøjet 1875)</t>
  </si>
  <si>
    <t>Vester Søgade 44-78 og Gyldenløvesgade 21 og 25</t>
  </si>
  <si>
    <t xml:space="preserve"> Vestersøhus</t>
  </si>
  <si>
    <t xml:space="preserve"> Etageejendommen (1935-36 og 1938-39 af Kay Fisker og C. F. Møller)</t>
  </si>
  <si>
    <t>Vester Voldgade 19, hj af Studiestræde</t>
  </si>
  <si>
    <t xml:space="preserve"> Vester Voldgade 19</t>
  </si>
  <si>
    <t xml:space="preserve"> Forhuset (1796-97, forhøjet 1845)</t>
  </si>
  <si>
    <t>Viktoriagade 10</t>
  </si>
  <si>
    <t xml:space="preserve"> Viktoriagade 10</t>
  </si>
  <si>
    <t xml:space="preserve"> Forhuset (1867)</t>
  </si>
  <si>
    <t>Viktoriagade 12</t>
  </si>
  <si>
    <t xml:space="preserve"> Viktoriagade 12</t>
  </si>
  <si>
    <t xml:space="preserve"> Forhuset (1863) og sidehuset (1881)</t>
  </si>
  <si>
    <t>Viktoriagade 8</t>
  </si>
  <si>
    <t xml:space="preserve"> Viktoriagade 8</t>
  </si>
  <si>
    <t>Vingårdsstræde 22 og Nikolaj Plads 15 (tidl Nikolaj Plads 13)</t>
  </si>
  <si>
    <t xml:space="preserve"> Vingårdsstræde 22 og Nikolaj Plads 15</t>
  </si>
  <si>
    <t xml:space="preserve">Hjørnebygningen (1848-49 af P.C.Hagemann) </t>
  </si>
  <si>
    <t>Vingårdstræde 19</t>
  </si>
  <si>
    <t xml:space="preserve"> Vingårdstræde 19</t>
  </si>
  <si>
    <t xml:space="preserve"> Forhuset (1796-97 af Niels Hansen og H.C.Schmidt) </t>
  </si>
  <si>
    <t>Vingårdstræde 20</t>
  </si>
  <si>
    <t xml:space="preserve"> Vingårdstræde 20</t>
  </si>
  <si>
    <t xml:space="preserve"> Forhuset (1851 af P.C. Hagemann) </t>
  </si>
  <si>
    <t>Vingårdstræde 21, hj af Nikolajgade</t>
  </si>
  <si>
    <t xml:space="preserve"> Vingårdstræde 21</t>
  </si>
  <si>
    <t xml:space="preserve"> Hjørnebygningen med sidehus (1797)</t>
  </si>
  <si>
    <t>Vingårdstræde 6</t>
  </si>
  <si>
    <t xml:space="preserve"> Kong Hans' Vingård</t>
  </si>
  <si>
    <t xml:space="preserve"> Det middelalderlige hus (1400-tallet, forhøjet med to etager 1783-84, nuværende facade fra 1796) samt det tilstødende hus med port vest herfor (1830-31)</t>
  </si>
  <si>
    <t>Wagnersvej 19</t>
  </si>
  <si>
    <t xml:space="preserve"> Dansepavillon</t>
  </si>
  <si>
    <t xml:space="preserve"> Dansepavillonen ved Karens Minde</t>
  </si>
  <si>
    <t>Wildersgade 15</t>
  </si>
  <si>
    <t xml:space="preserve"> Wildersgade 15</t>
  </si>
  <si>
    <t xml:space="preserve"> Forhuset (ca 1778)</t>
  </si>
  <si>
    <t>Wildersgade 17</t>
  </si>
  <si>
    <t xml:space="preserve"> Wildersgade 17</t>
  </si>
  <si>
    <t xml:space="preserve"> Forhuset med det lille trappehus (slutningen af 1700-tallet)</t>
  </si>
  <si>
    <t>Wildersgade 19</t>
  </si>
  <si>
    <t xml:space="preserve"> Wildersgade 19</t>
  </si>
  <si>
    <t xml:space="preserve"> Forhuset (slutningen af 1700-tallet, ombygget ca 1850)</t>
  </si>
  <si>
    <t>Wildersgade 20, Overgaden neden Vandet 17</t>
  </si>
  <si>
    <t xml:space="preserve"> Wildersgade 20 og Overgaden neden Vandet 17</t>
  </si>
  <si>
    <t xml:space="preserve"> Forhuset Wildersgade 20 (1790), forhuset og det lille mellemhus i Overgaden neden Vandet 17 (1887 af Frederik Bøttger)</t>
  </si>
  <si>
    <t>Wildersgade 34</t>
  </si>
  <si>
    <t xml:space="preserve"> Wildersgade 34</t>
  </si>
  <si>
    <t xml:space="preserve"> De to forhuse (1764, forhøjet 1780) samt det nordøstlige sidehus</t>
  </si>
  <si>
    <t>Wildersgade 36</t>
  </si>
  <si>
    <t xml:space="preserve"> Wildersgade 36</t>
  </si>
  <si>
    <t xml:space="preserve"> Forhuset, svalen og baghuset (forhus 1725, baghus 1780 af JohanBernhardt Schottmann, svalen lukket ved ombygning 1832)</t>
  </si>
  <si>
    <t>Udvidet 1987**</t>
  </si>
  <si>
    <t>Wildersgade 37</t>
  </si>
  <si>
    <t xml:space="preserve"> Wildersgade 37</t>
  </si>
  <si>
    <t xml:space="preserve"> Forhus (opr.  to huse fra beg af 1700-tallet, sammenlagt 1750, forhøjet1776, facadeudsmykning ca 1850-1900) med sidehus (1776, forkortet 1978)</t>
  </si>
  <si>
    <t>Wildersgade 40</t>
  </si>
  <si>
    <t xml:space="preserve"> Wildersgade 40</t>
  </si>
  <si>
    <t xml:space="preserve"> Forhuset (1738, grundmuret til gaden og forhøjet med to etager i 1793)</t>
  </si>
  <si>
    <t>Wildersgade 46</t>
  </si>
  <si>
    <t xml:space="preserve"> Brænderigaarden</t>
  </si>
  <si>
    <t xml:space="preserve"> Forhuset (1760, forhøjet 1801) og det dermed sammenbyggedesidehus</t>
  </si>
  <si>
    <t>Wildersgade 49 A-B</t>
  </si>
  <si>
    <t xml:space="preserve"> Wildersgade 49 A-B</t>
  </si>
  <si>
    <t xml:space="preserve"> Forhuset (mellem 1783 og 1801)</t>
  </si>
  <si>
    <t>Wildersgade 52, hj af Sankt Annæ Gade</t>
  </si>
  <si>
    <t xml:space="preserve"> Wildersgade 52</t>
  </si>
  <si>
    <t xml:space="preserve"> Forhus og baghus (ca 1700)</t>
  </si>
  <si>
    <t>Wildersgade 53</t>
  </si>
  <si>
    <t xml:space="preserve"> Wildersgade 53</t>
  </si>
  <si>
    <t xml:space="preserve"> Forhuset (1731, ombygget og forhøjet 1776)</t>
  </si>
  <si>
    <t>Wildersgade 58</t>
  </si>
  <si>
    <t xml:space="preserve"> Wildersgade 58</t>
  </si>
  <si>
    <t xml:space="preserve"> Forhuset (beg 1700-tallet)</t>
  </si>
  <si>
    <t>Wildersgade 64-66</t>
  </si>
  <si>
    <t xml:space="preserve"> Wildersgade 64-66</t>
  </si>
  <si>
    <t xml:space="preserve"> Pakhuset (før 1725, ombygget 1794 og 1884)</t>
  </si>
  <si>
    <t>Wilders Plads 7 (tidl 10)</t>
  </si>
  <si>
    <t xml:space="preserve"> Wilders Plads 7 (tidl 10)</t>
  </si>
  <si>
    <t xml:space="preserve"> Gavlkvisthus ved Wilders Kanal (1736)</t>
  </si>
  <si>
    <t>Østbanegade 11, Trondhjems Plads 2</t>
  </si>
  <si>
    <t xml:space="preserve"> Glacisgaarden</t>
  </si>
  <si>
    <t xml:space="preserve"> "Etagebeboelseshuset ""Glacisgaarden"" (1903-04af Aage Langeland-Mathiesen)</t>
  </si>
  <si>
    <t>Østbanegade 19</t>
  </si>
  <si>
    <t xml:space="preserve"> Gefion</t>
  </si>
  <si>
    <t xml:space="preserve"> "Etagebeboelseshuset ""Gefion"" med mellemliggende portbygning (1902 afPhilip Smidth)</t>
  </si>
  <si>
    <t>Østbanegade 21</t>
  </si>
  <si>
    <t xml:space="preserve"> Gylfe</t>
  </si>
  <si>
    <t xml:space="preserve"> "Etagebeboelseshuset ""Gylfe"" med mellemliggende portbygning (1902 af PhilipSmidth)</t>
  </si>
  <si>
    <t>Østerbrogade 158-160 og Nyborggade 2</t>
  </si>
  <si>
    <t xml:space="preserve"> Vibensgård</t>
  </si>
  <si>
    <t xml:space="preserve"> Den trefløjede fem etages beboelsesejendom(1903-05 af Anton Rosen)</t>
  </si>
  <si>
    <t>Østerbrogade 29 B, tidl Trianglen 1Z</t>
  </si>
  <si>
    <t xml:space="preserve"> Bien</t>
  </si>
  <si>
    <t xml:space="preserve"> Ventesalsbygningen midt på Trianglen (1904-07 af P. V. Jensen-Klint) </t>
  </si>
  <si>
    <t>Østerbrogade 57</t>
  </si>
  <si>
    <t xml:space="preserve"> Lægeforeningens Boliger (Brumleby)</t>
  </si>
  <si>
    <t xml:space="preserve"> "Mnr 157b: de otte boligblokke (1853-57 af Gottlieb Bindesbøll, blok D genopført 1870 af Vilhelm Klein) med tilhørende udhuse (1870 af Vilhelm Klein), "Vaskehuset" (1855 af Gottlieb Bindesbøll, genopført 1995), "Kontorbygningen" (1854 af Gottlieb Bindesbøll, genopført 1870 af Vilhelm Klein), huset mod Øster Allé med tilhørende sidehus (1906 af Andreas Clemmensen), "Badeanstalten" (1892 af Georg A.  Rasmussen og Charles Ambt) samt friarealerne. Mnr 542: de ti boligblokke med tilhørende udhuse (1866-72 af Vilhelm Klein), "Kakkelovnsskuret" (1889), mødesalen "Kostalden" mod Øster Allé (1897 af Andreas Clemmensen) samtfriarealerne.</t>
  </si>
  <si>
    <t>Øster Farimagsgade 2 C</t>
  </si>
  <si>
    <t xml:space="preserve"> Botanisk Have</t>
  </si>
  <si>
    <t xml:space="preserve"> Væksthusbygningen, terrassen med balustrade og trappe og det runde bassin syd herfor, de to lave væksthuse op ad terrassen samt det fritliggende væksthus øst herfor(1872-74 af J.C. Jacobsen og Frederik Emil Kerrn)</t>
  </si>
  <si>
    <t>Øster Farimagsgade 3-7</t>
  </si>
  <si>
    <t xml:space="preserve"> Kommunehospitalet</t>
  </si>
  <si>
    <t xml:space="preserve"> Kommunehospitalet, bestående af hovedfløjen med de to krumme forbindelsesgange og sidepavillonerne mod Øster Farimagsgade, den hermed parallelle fløj, de to forbindelsesfløje og disses forlængelse mod nordvest samt den tidl funktionærbolig og det fritliggende kapel mod Bartholinsgade (alt 1859-63 af Christian Hansen) samt den tidl vaskeribygning (1863, 1923), den tidl bygning for sindslidende (1863, 1888, 1905), den tidl bygning for patienter med smitsomme sygdomme (1863, 1935), den tidl lægeboligbygning (1924), den tidl sygeplejeboligbygning med vinterhave(1905) samt plankeværket omkring hospitalet</t>
  </si>
  <si>
    <t xml:space="preserve"> Udvidet 2001*</t>
  </si>
  <si>
    <t>Østergade 15</t>
  </si>
  <si>
    <t xml:space="preserve"> Karel van Manders Gård</t>
  </si>
  <si>
    <t xml:space="preserve"> Forhuse til Østergade (1600-tallets midte, forhøjet med en etage1918) og Lille Kongensgade (1600-tallets midte og 1877-79) samt mellemliggende sidebygninger og tværhuset</t>
  </si>
  <si>
    <t>Østergade 16</t>
  </si>
  <si>
    <t xml:space="preserve"> Østergade 16</t>
  </si>
  <si>
    <t xml:space="preserve"> Forhuset (før 1732, udvidet og forhøjet 1758, helt ombygget 1852). De tosidehuse (1852) og baghuset (mellem 1781 og 1791)</t>
  </si>
  <si>
    <t>Østergade 18, hj af Ny Østergade</t>
  </si>
  <si>
    <t xml:space="preserve"> Svaneapoteket</t>
  </si>
  <si>
    <t xml:space="preserve"> Hjørneejendommen (1934 af Bent Helweg-Møller ogingeniører C.N. Nøkkentved og Svend Friis Jespersen)</t>
  </si>
  <si>
    <t>Øster Søgade 8</t>
  </si>
  <si>
    <t xml:space="preserve"> Øster Søgade 8</t>
  </si>
  <si>
    <t xml:space="preserve"> Forhuset og sidehuset samt det toetages fritliggende baghus (1873-76 af Vilhelm Petersen og Ferdinand Vilhelm Jensen) samt baggårdens brostensbelægning (ca 1875)</t>
  </si>
  <si>
    <t xml:space="preserve"> Udvidet 1998*</t>
  </si>
  <si>
    <t>Øster Voldgade 3</t>
  </si>
  <si>
    <t xml:space="preserve"> Astronomisk Laboratorium</t>
  </si>
  <si>
    <t xml:space="preserve"> Observatoriekomplekset (1859-61 af Christian Hansen)</t>
  </si>
  <si>
    <t>Øster Voldgade 4 A</t>
  </si>
  <si>
    <t xml:space="preserve"> Rosenborg</t>
  </si>
  <si>
    <t xml:space="preserve"> Slottet (1606-17 af Christian IV og muligvis Willum Cornelissen; trappetårnet 1633-34 muligvis af Hans II van Steenwinckel), portbygningen (ca 1610 med tilbygninger i sydvest og nordøst ca 1680), kommandantboligen (1760-63 af Jacob Fortling) samt murene med tilhørende port (1672 af Lambert van Haven) og den nordøstlige, tidl staldbygning mod gaden</t>
  </si>
  <si>
    <t>Øster Voldgade 4 B</t>
  </si>
  <si>
    <t xml:space="preserve"> Slotsforvalterboligen</t>
  </si>
  <si>
    <t xml:space="preserve"> Forhuset (1688, forhøjet 1777) med tilhørende sidehus (slutningen af 1700-tallet) og baghus (ca 1850) samt den én-etages længe med slotsgartnerbolig(slutningen af 1600-tallet) og overvintringshuset (slutningen af 1700-tallet)</t>
  </si>
  <si>
    <t>Åbenrå 25</t>
  </si>
  <si>
    <t xml:space="preserve"> Åbenrå 25</t>
  </si>
  <si>
    <t>Åbenrå 26</t>
  </si>
  <si>
    <t xml:space="preserve"> Åbenrå 26</t>
  </si>
  <si>
    <t>Åbenrå 27</t>
  </si>
  <si>
    <t xml:space="preserve"> Åbenrå 27</t>
  </si>
  <si>
    <t xml:space="preserve"> Forhus med sidehus (1761, facaden ændret ca 1860)</t>
  </si>
  <si>
    <t>Åbenrå 32-34</t>
  </si>
  <si>
    <t xml:space="preserve"> Reformert Kirkes Præstegård</t>
  </si>
  <si>
    <t xml:space="preserve"> Forhusene og den med disse sammenbyggede fælles sidefløje(1730-33)</t>
  </si>
  <si>
    <t>Åboulevard 12-14</t>
  </si>
  <si>
    <t xml:space="preserve"> Åhusene</t>
  </si>
  <si>
    <t xml:space="preserve"> Den sammenhængende forhusbebyggelse med tilhørende sidebygninger(1896 af Ulrik Plesner og Fridlev Jacobsen)</t>
  </si>
  <si>
    <t>Åboulevard 16-18</t>
  </si>
  <si>
    <t xml:space="preserve"> De to forhuse med hertil hørende fire sidehuse (1898 af Ulrik Plesner)</t>
  </si>
  <si>
    <t>Åboulevard 84-86, Hans Egedes Gade 19-15, Henrik Runges Gade 14-18, Jesper Brochmands Gade 17</t>
  </si>
  <si>
    <t>Linoleumshuset</t>
  </si>
  <si>
    <t xml:space="preserve"> Linoleumshuset (1931 af Povl Baumann) samt granitbelægningen omkring bygningen</t>
  </si>
  <si>
    <t>Ådalsvej 5</t>
  </si>
  <si>
    <t xml:space="preserve"> Ådalsvej 5</t>
  </si>
  <si>
    <t xml:space="preserve"> Villaen (1939 af Edvard Heiberg) og haven (1939 af C. Th. Sørensen) </t>
  </si>
  <si>
    <t>Køge Kommune</t>
  </si>
  <si>
    <t>Billesborgvej 59 A</t>
  </si>
  <si>
    <t xml:space="preserve"> Billesborg</t>
  </si>
  <si>
    <t xml:space="preserve"> Hovedbygningen (1721-22 af Johan Cornelius Krieger)</t>
  </si>
  <si>
    <t>Borup-Lammestrup strækning</t>
  </si>
  <si>
    <t xml:space="preserve"> Jernbanebro på Borup-Lammestrup strækning 48,906 km fra København</t>
  </si>
  <si>
    <t xml:space="preserve"> Jernbanebroen over vestbanen på vejstrækningen Borup-Lammestrup, 48,906 km. Fra København (ca 1920)</t>
  </si>
  <si>
    <t>Borupvej 96, 98 A, 98 B og 100</t>
  </si>
  <si>
    <t xml:space="preserve"> Svenstrup</t>
  </si>
  <si>
    <t xml:space="preserve"> Hovedbygningen med to sidefløje (1781-84 af Johan Christian Kitzling), de to lygter på gårdspladsen, stalden med de to tjenesteboliger, murene mellem stalden og tjenesteboligerne med hundehuset, gitteret mellem de to tjenesteboliger samt havepavillonen ogfårestalden (1894-96 af Vilhelm Holck)</t>
  </si>
  <si>
    <t>Brogade 1</t>
  </si>
  <si>
    <t xml:space="preserve"> Forhuset med sidefløj og sidelænge (1660'erne, ombygget ca 1800 og 1865)</t>
  </si>
  <si>
    <t>Brogade 16</t>
  </si>
  <si>
    <t xml:space="preserve"> Brogade 016</t>
  </si>
  <si>
    <t xml:space="preserve"> Forhuset (1636) og den nordre sidebygning (mellem 1761 og 1791)</t>
  </si>
  <si>
    <t xml:space="preserve"> Udv 1983*</t>
  </si>
  <si>
    <t>Brogade 18</t>
  </si>
  <si>
    <t xml:space="preserve"> Brogade 18</t>
  </si>
  <si>
    <t xml:space="preserve"> Forhus (1634, facaden grundmuret 1867) og sidehus (ca 1800, forhøjet1867)</t>
  </si>
  <si>
    <t>Brogade 21 og Bag Haverne 52 A</t>
  </si>
  <si>
    <t xml:space="preserve"> Brogade 021 og Bag Haverne 052 A</t>
  </si>
  <si>
    <t xml:space="preserve"> Forhus med sidehus (mellem 1847 og1854) samt pakhuset (1853)</t>
  </si>
  <si>
    <t>Brogade 22</t>
  </si>
  <si>
    <t xml:space="preserve"> Brogade 22</t>
  </si>
  <si>
    <t xml:space="preserve"> Forhuset (midten af 1600-tallet, ombygget før 1817) og sidebygningensbindingsværksdel</t>
  </si>
  <si>
    <t>Brogade 23, hj af Fennediget</t>
  </si>
  <si>
    <t xml:space="preserve"> Brogade 23, hj af Fennediget</t>
  </si>
  <si>
    <t xml:space="preserve"> Forhuset (de ni nordre fag opført 1638, deotte søndre fag 1649-51) samt sidehus og sidelænge (1638, ombygget)</t>
  </si>
  <si>
    <t>Brogade 26</t>
  </si>
  <si>
    <t xml:space="preserve"> Brogade 26</t>
  </si>
  <si>
    <t xml:space="preserve"> Forhus mod gaden og sidelængen langs åen (1700- og 1800-tallet)</t>
  </si>
  <si>
    <t>Brogade 5-7</t>
  </si>
  <si>
    <t xml:space="preserve"> Brogade 5-7</t>
  </si>
  <si>
    <t xml:space="preserve"> Sidelængen (1600-tallet) og nordre pakhus (1855)</t>
  </si>
  <si>
    <t>Brogade - Vordingborgvej</t>
  </si>
  <si>
    <t xml:space="preserve"> Køge Bro</t>
  </si>
  <si>
    <t xml:space="preserve"> Broen (1633 af Hans II van Steenwinckel, udvidet i bredden i 1802,1923, 1935 og 1994)</t>
  </si>
  <si>
    <t>Gammel Køgegård 3</t>
  </si>
  <si>
    <t xml:space="preserve"> Gammel Køgegård</t>
  </si>
  <si>
    <t xml:space="preserve"> Hovedbygningen (1791) med sidefløje (1856) og densammenbyggede nordfløj af bindingsværk (1603)</t>
  </si>
  <si>
    <t>Hovedgaden 41</t>
  </si>
  <si>
    <t xml:space="preserve"> Borup gamle Skole</t>
  </si>
  <si>
    <t xml:space="preserve"> Den tifags bindingsværkslænge (1661)</t>
  </si>
  <si>
    <t>Kirkestræde 10</t>
  </si>
  <si>
    <t>Asylgården</t>
  </si>
  <si>
    <t xml:space="preserve"> Forhuset (ca 1620)</t>
  </si>
  <si>
    <t xml:space="preserve"> Kirkestræde 011</t>
  </si>
  <si>
    <t xml:space="preserve"> Forhuset (to ældre bindingsværksbygninger fra før 1761 medgrundmurede gadesider, den nordre mellem 1847 og 1857, den søndre 1863)</t>
  </si>
  <si>
    <t>Kirkestræde 13</t>
  </si>
  <si>
    <t xml:space="preserve"> Smedegården</t>
  </si>
  <si>
    <t xml:space="preserve"> Forhuset (den lave søndre del formentlig fra 1600-tallet, den nordre del påto etager formentlig fra midten af 1500-tallet, døren 1696) med de to bislagsten (ca 1520) samt nordre sidelænge (ca 1650)</t>
  </si>
  <si>
    <t>Kirkestræde 15</t>
  </si>
  <si>
    <t xml:space="preserve"> Kirkestræde 15</t>
  </si>
  <si>
    <t xml:space="preserve"> Forhuset (bindingsværksbygning fra før 1761, delvis grundmuret 1857)</t>
  </si>
  <si>
    <t>Kirkestræde 17</t>
  </si>
  <si>
    <t xml:space="preserve"> Kirkestræde 17</t>
  </si>
  <si>
    <t xml:space="preserve"> Forhuset (bindingsværksbygning fra før 1791, gadesiden grundmuret ogforhøjet til to etager 1861) med sidehus</t>
  </si>
  <si>
    <t>Kirkestræde 20</t>
  </si>
  <si>
    <t xml:space="preserve"> Kirkestræde 20</t>
  </si>
  <si>
    <t xml:space="preserve"> Forhuset (trefags lejevåning 1527)</t>
  </si>
  <si>
    <t>Kirkestræde 21</t>
  </si>
  <si>
    <t xml:space="preserve"> Kirkestræde 21</t>
  </si>
  <si>
    <t xml:space="preserve"> Hjørnebygningen (1810, den vestre halvdel af Lille Kirkestrædefløjen1847)</t>
  </si>
  <si>
    <t>Kirkestræde 23</t>
  </si>
  <si>
    <t xml:space="preserve"> Kirkestræde 23</t>
  </si>
  <si>
    <t xml:space="preserve"> Middelalderligt murværk</t>
  </si>
  <si>
    <t>Kirkestræde 25-27</t>
  </si>
  <si>
    <t xml:space="preserve"> Kirkestræde 25-27</t>
  </si>
  <si>
    <t xml:space="preserve"> Forhuset (1600-tallet, ombygget)</t>
  </si>
  <si>
    <t xml:space="preserve"> Kirkestræde 3</t>
  </si>
  <si>
    <t xml:space="preserve"> Forhuset (1638)</t>
  </si>
  <si>
    <t>Kirkestræde 5</t>
  </si>
  <si>
    <t xml:space="preserve"> Kirkestræde 5</t>
  </si>
  <si>
    <t xml:space="preserve"> Forhuset (formentlig fra 1600-tallet, den grundmurede gadeside mellem1847 og 1857)</t>
  </si>
  <si>
    <t>Kirkestræde 6</t>
  </si>
  <si>
    <t xml:space="preserve"> Kirkestræde 6</t>
  </si>
  <si>
    <t xml:space="preserve"> Forhuset (ca 1600)</t>
  </si>
  <si>
    <t>Kirkestræde 8</t>
  </si>
  <si>
    <t xml:space="preserve"> Kirkestræde 8</t>
  </si>
  <si>
    <t xml:space="preserve"> Forhus med sidehus (beg af 1600-tallet, gadesiden delvis ombygget ca1845 og ca 1870-80)</t>
  </si>
  <si>
    <t>Kirkestræde 9</t>
  </si>
  <si>
    <t xml:space="preserve"> Kirkestræde 9</t>
  </si>
  <si>
    <t xml:space="preserve"> Forhus (to bindingsværksbygninger formentlig fra 1600-tallet, som før 1791 havde mistet deres øverste etage; den fælles, grundmurede gadeside fra 1847) med sidehus i nord</t>
  </si>
  <si>
    <t>Kirkevej 3 og 3 A</t>
  </si>
  <si>
    <t xml:space="preserve"> Scheels Hospital</t>
  </si>
  <si>
    <t xml:space="preserve"> Hospitalet med havepavillon (1720'rne)</t>
  </si>
  <si>
    <t>Laugshusgade 8</t>
  </si>
  <si>
    <t xml:space="preserve"> Laugshusgade 8</t>
  </si>
  <si>
    <t xml:space="preserve"> Forhuset (1882)</t>
  </si>
  <si>
    <t>Niels Juelsgade 1</t>
  </si>
  <si>
    <t xml:space="preserve"> Norske Løve</t>
  </si>
  <si>
    <t xml:space="preserve"> Forhuset (mellem 1801 og 1811)</t>
  </si>
  <si>
    <t>Nørregade 22</t>
  </si>
  <si>
    <t xml:space="preserve"> Nørregade 022</t>
  </si>
  <si>
    <t xml:space="preserve"> Forhuset (slutningen af 1600-tallet, gadefacaden 1877)</t>
  </si>
  <si>
    <t xml:space="preserve"> Nørregade 031</t>
  </si>
  <si>
    <t xml:space="preserve"> Forhuset (mellem 1612 og 1615)</t>
  </si>
  <si>
    <t xml:space="preserve"> Museet</t>
  </si>
  <si>
    <t xml:space="preserve"> Forhuset med sidelænge (opr.  dobbeltgård, sdr. halvdel opført ca 1610-15, nordre del med de syv vestlige fag af det opr. to etager høje sidehus 1619, den midterste del af sidebygningen - ca 11 fag - hidrører fra den sdr. gårds sidebygning, også opr. to etager høj, de 13 østligste fag formentligfra 2. halvdel af 1600-tallet)</t>
  </si>
  <si>
    <t>Nørregade 41</t>
  </si>
  <si>
    <t xml:space="preserve"> Nørregade 041</t>
  </si>
  <si>
    <t xml:space="preserve"> Forhus og nordre sidelænge (1846-47)</t>
  </si>
  <si>
    <t>Nørregade 43</t>
  </si>
  <si>
    <t xml:space="preserve"> Tøxens Skole</t>
  </si>
  <si>
    <t xml:space="preserve"> Skolens hovedbygning (1859)</t>
  </si>
  <si>
    <t>Nørregade 5</t>
  </si>
  <si>
    <t xml:space="preserve"> Nørregade 5</t>
  </si>
  <si>
    <t>Stationsvej 16</t>
  </si>
  <si>
    <t xml:space="preserve"> Herfølge Station</t>
  </si>
  <si>
    <t xml:space="preserve"> Hovedbygningen, pakhus- og toiletbygning, plankeværk med portherimellem og signalhuset (1908 af Heinrich Wenck)</t>
  </si>
  <si>
    <t xml:space="preserve"> Køge Rådhus</t>
  </si>
  <si>
    <t xml:space="preserve"> Forhuset (1552 ff, nordlige del antageligt ca 1570, stærkt ombygget 1803)</t>
  </si>
  <si>
    <t>Torvet 1 (tidl Bygårdsstræde 1)</t>
  </si>
  <si>
    <t xml:space="preserve"> Arresthuset (tidl), Køge</t>
  </si>
  <si>
    <t xml:space="preserve"> Den tidl arrestbygning (1855) med tilhørendemur mod Nørregade (1857)</t>
  </si>
  <si>
    <t xml:space="preserve"> Torvet 013</t>
  </si>
  <si>
    <t xml:space="preserve"> Forhuset (formentlig 1580-1600, forhuset delvis nybygget og forlænget hen overÅstræde ca 1635-45) og sidehuset (formentlig 1580-1600)</t>
  </si>
  <si>
    <t xml:space="preserve"> Udvidelse 1983</t>
  </si>
  <si>
    <t xml:space="preserve"> Torvet 19</t>
  </si>
  <si>
    <t xml:space="preserve"> Pakhuset (1844) og lysthuset</t>
  </si>
  <si>
    <t>Torvet 21</t>
  </si>
  <si>
    <t xml:space="preserve"> Manufakturgården</t>
  </si>
  <si>
    <t xml:space="preserve"> Forhuset med sidehus og trappetårn (middelalder og 1634, ombygget1824-26)</t>
  </si>
  <si>
    <t xml:space="preserve"> Udvidelsen 1983*</t>
  </si>
  <si>
    <t>Torvet 28</t>
  </si>
  <si>
    <t xml:space="preserve"> Torvet 28</t>
  </si>
  <si>
    <t xml:space="preserve"> Forhuset (ca 1550, ombygget i 1800-tallet)</t>
  </si>
  <si>
    <t xml:space="preserve"> Vestergade 16</t>
  </si>
  <si>
    <t xml:space="preserve"> Forhuset (1644)</t>
  </si>
  <si>
    <t>Vestergade 29 A-C</t>
  </si>
  <si>
    <t xml:space="preserve"> Køge Jernstøberi</t>
  </si>
  <si>
    <t xml:space="preserve"> Forhuset (1875), sidehuset (den smalle del 1837, den brede del1842) samt baghuset (støberibygningen 1865)</t>
  </si>
  <si>
    <t>Vestergade 31</t>
  </si>
  <si>
    <t xml:space="preserve"> Vestergade 31</t>
  </si>
  <si>
    <t xml:space="preserve"> Forhuset (1857, gadesiden forhøjet 1886)</t>
  </si>
  <si>
    <t>Vestergade 33</t>
  </si>
  <si>
    <t xml:space="preserve"> Vestergade 33</t>
  </si>
  <si>
    <t xml:space="preserve"> Forhuset (1801, afkortet)</t>
  </si>
  <si>
    <t xml:space="preserve"> Forhuset (1850)</t>
  </si>
  <si>
    <t>Vestergade 6</t>
  </si>
  <si>
    <t xml:space="preserve"> Blikkenslagergården</t>
  </si>
  <si>
    <t xml:space="preserve"> Forhuset (ca 1580) med udskud (efter 1863) og sidelænge</t>
  </si>
  <si>
    <t>Vestergade 7 og 7 A</t>
  </si>
  <si>
    <t xml:space="preserve"> Garvergården</t>
  </si>
  <si>
    <t xml:space="preserve"> Forhuset med sidehus og dettes nu fritstående tre sydligste fag (ca1600)</t>
  </si>
  <si>
    <t>Vordingborgvej 82</t>
  </si>
  <si>
    <t xml:space="preserve"> Hegnetslund Overførsterbolig</t>
  </si>
  <si>
    <t>Ågade 1</t>
  </si>
  <si>
    <t xml:space="preserve"> Privatmejeriet Vasebæk (tidl)</t>
  </si>
  <si>
    <t xml:space="preserve"> Mejeribygningen (1930)</t>
  </si>
  <si>
    <t>Langeland Kommune</t>
  </si>
  <si>
    <t>Brogade 14</t>
  </si>
  <si>
    <t xml:space="preserve"> Sankt Ansgarius Stiftelse</t>
  </si>
  <si>
    <t xml:space="preserve"> Bindingsværkshjørnehuset Gåsetorvet 1/Brogade 14 samtbindingsværkssidehuset mod Kirkestræde (1700-tallet)</t>
  </si>
  <si>
    <t>Brogade 15</t>
  </si>
  <si>
    <t xml:space="preserve"> Forhuset (1856), de to sidehuse med havepavillon i øst, hegnsmuren samtgårdspladsens brolægning</t>
  </si>
  <si>
    <t>Bygaden 1</t>
  </si>
  <si>
    <t xml:space="preserve"> Bjerreby Mølle</t>
  </si>
  <si>
    <t xml:space="preserve"> Vindmøllen (1819) og møllegården</t>
  </si>
  <si>
    <t>Egeløkkevej 3</t>
  </si>
  <si>
    <t xml:space="preserve"> Egeløkke</t>
  </si>
  <si>
    <t xml:space="preserve"> Hovedbygningen (1845 af GF Hetsch)</t>
  </si>
  <si>
    <t>Grønnegade 13, hj af Smedegade</t>
  </si>
  <si>
    <t xml:space="preserve"> Sprøjtehuset</t>
  </si>
  <si>
    <t xml:space="preserve"> Sprøjtehuset (1834)</t>
  </si>
  <si>
    <t>Haveskovvej 17</t>
  </si>
  <si>
    <t xml:space="preserve"> Hjortholm</t>
  </si>
  <si>
    <t xml:space="preserve"> Hovedbygningen (1789) og kavalerfløjen nordøst herfor (ca 1675)</t>
  </si>
  <si>
    <t>Hedevejen 33</t>
  </si>
  <si>
    <t xml:space="preserve"> Broløkke</t>
  </si>
  <si>
    <t xml:space="preserve"> Hovedbygningens nordfløj (1758) samt den senere tilføjede østfløj (1873)</t>
  </si>
  <si>
    <t>Hennetvedvej 19</t>
  </si>
  <si>
    <t xml:space="preserve"> Hennetvedvej 19</t>
  </si>
  <si>
    <t xml:space="preserve"> Landarbejderhuset i bindingsværk (1835)</t>
  </si>
  <si>
    <t>Kågårdsvej 3</t>
  </si>
  <si>
    <t xml:space="preserve"> Kågård</t>
  </si>
  <si>
    <t xml:space="preserve"> Kågård (1945) bestående af det fritliggende stuehus, de tre sammenbyggedeavlslænger samt hækken mod vejen</t>
  </si>
  <si>
    <t>Lejbøllevej 3</t>
  </si>
  <si>
    <t xml:space="preserve"> Tranekær Slotsmølle</t>
  </si>
  <si>
    <t xml:space="preserve"> Vindmøllen (1846)</t>
  </si>
  <si>
    <t>Møllebanken 1</t>
  </si>
  <si>
    <t xml:space="preserve"> Lindelse Mølle, Phønix Møllen</t>
  </si>
  <si>
    <t xml:space="preserve"> Vindmøllen (1828) med magasinbygning modvest og detvinkelbyggede stuehus</t>
  </si>
  <si>
    <t>* Delvis ophævet 2018</t>
  </si>
  <si>
    <t>Møllevejen 30</t>
  </si>
  <si>
    <t xml:space="preserve"> Strynø Mølle</t>
  </si>
  <si>
    <t xml:space="preserve"> Vindmøllen (1830'rne)</t>
  </si>
  <si>
    <t>Nørregade 12-14, hj af Sidsel Bagersgade</t>
  </si>
  <si>
    <t xml:space="preserve"> Nørregade 12-14</t>
  </si>
  <si>
    <t xml:space="preserve"> Forhusene (1799 og 1804)</t>
  </si>
  <si>
    <t>Nørregade 21 og Strandgade 1-3</t>
  </si>
  <si>
    <t xml:space="preserve"> Forhuset mod Nørregade (1802) samtporthuset og sidehuset langs Strandgade</t>
  </si>
  <si>
    <t>Nørrevej 1</t>
  </si>
  <si>
    <t xml:space="preserve"> Strynø Skole</t>
  </si>
  <si>
    <t xml:space="preserve"> Strynø Skole med tilhørende udhus (1905)</t>
  </si>
  <si>
    <t>Påøvej 1</t>
  </si>
  <si>
    <t xml:space="preserve"> Skovsgård Mølle</t>
  </si>
  <si>
    <t xml:space="preserve"> Vindmøllen (1836), møllegården med stuehus, stald og lade (beg af 1800- tallet), kampestensmur ved møllebakkens fod og seks lindetræer mellem gårdspladsen og vejen</t>
  </si>
  <si>
    <t>Rathvej 8</t>
  </si>
  <si>
    <t xml:space="preserve"> Kelds Nor Fyr</t>
  </si>
  <si>
    <t xml:space="preserve"> Kelds Nor Fyr bestående af fyrtårn, fyrmesterbolig, fyrpasserbolig,fyrassistentbolig, maskinhus, udhus og oliehus (1905)</t>
  </si>
  <si>
    <t>Rue 1</t>
  </si>
  <si>
    <t xml:space="preserve"> Bymøllens Møllegård</t>
  </si>
  <si>
    <t xml:space="preserve"> Bymøllens stuehus og vognhus (før 1796)</t>
  </si>
  <si>
    <t>Rue 1 A</t>
  </si>
  <si>
    <t xml:space="preserve"> Rudkøbing Bymølle</t>
  </si>
  <si>
    <t xml:space="preserve"> Vindmølle (1826)</t>
  </si>
  <si>
    <t>Røjlevej 8 A</t>
  </si>
  <si>
    <t xml:space="preserve"> Søndenbro Andelsmejeri, bestyrerbolig</t>
  </si>
  <si>
    <t xml:space="preserve"> Bestyrerboligen (Hans Carl Andersen)</t>
  </si>
  <si>
    <t>Røjlevej 8 B</t>
  </si>
  <si>
    <t xml:space="preserve"> Søndenbro Andelsmejeri (tidl)</t>
  </si>
  <si>
    <t xml:space="preserve"> Mejeribygningen (1888, udvidet 1929 med skummesal ogosteri af Hans Carl Andersen) og vognbygningen (1929 af Hans Carl Andersen)</t>
  </si>
  <si>
    <t>Sidsel Bagersgade 11</t>
  </si>
  <si>
    <t xml:space="preserve"> Sidsel Bagersgade 11</t>
  </si>
  <si>
    <t xml:space="preserve"> Forhuset (slutn af 1600-tallet, udv.  1777 og 1846)</t>
  </si>
  <si>
    <t xml:space="preserve"> Tranekær gamle Skole</t>
  </si>
  <si>
    <t xml:space="preserve"> Gadehuset (1800 muligvis af Andreas Kirkerup)</t>
  </si>
  <si>
    <t>Slotsgade 82-88</t>
  </si>
  <si>
    <t xml:space="preserve"> Tranekær</t>
  </si>
  <si>
    <t xml:space="preserve"> Den tofløjede hovedbygning (middelalder, 1720'rne, stærkt ombygget 1862-63 af N.S. Nebelong), teaterbygningen, herskabsstalden og vognladen (ca 1800 muligvis Andreas Kirkerup) samt thepavillonen</t>
  </si>
  <si>
    <t xml:space="preserve"> Udvidet 1994*</t>
  </si>
  <si>
    <t>Slotsgade 88</t>
  </si>
  <si>
    <t xml:space="preserve"> Renes Hus</t>
  </si>
  <si>
    <t xml:space="preserve"> Beboelsesbygningen "Renes Hus" med udhus (1800-1815)</t>
  </si>
  <si>
    <t>Smedegade 3</t>
  </si>
  <si>
    <t xml:space="preserve"> Glads Legat</t>
  </si>
  <si>
    <t xml:space="preserve"> Dobbelthuset (1700-tallet)</t>
  </si>
  <si>
    <t>Smedegade 5</t>
  </si>
  <si>
    <t xml:space="preserve"> Smedegade 5</t>
  </si>
  <si>
    <t>Smedegade 7</t>
  </si>
  <si>
    <t xml:space="preserve"> Håndværkssvendenes Rejse- &amp; Sygeforening</t>
  </si>
  <si>
    <t xml:space="preserve"> Smedegade 9</t>
  </si>
  <si>
    <t xml:space="preserve"> Madam Schmidts Legat</t>
  </si>
  <si>
    <t xml:space="preserve"> Hjørnehuset (1700-tallet)</t>
  </si>
  <si>
    <t>Stengårdsvej 7</t>
  </si>
  <si>
    <t xml:space="preserve"> Hovedbygningen (1836-37 af GF Hetsch)</t>
  </si>
  <si>
    <t>Søvertorpvej 2</t>
  </si>
  <si>
    <t xml:space="preserve"> Søvertorp</t>
  </si>
  <si>
    <t xml:space="preserve"> Hovedbygningen (1700-tallet), den tidl mejeribygning (ca 1880) samt haven(1855 af Vilhelm Suhr)</t>
  </si>
  <si>
    <t>Torvet 1 A</t>
  </si>
  <si>
    <t xml:space="preserve"> Rudkøbing Rådhus</t>
  </si>
  <si>
    <t xml:space="preserve"> Rådhusbygningen (1843-45 af Jørgen Hansen Koch)</t>
  </si>
  <si>
    <t>Torvet 6 og 6 B</t>
  </si>
  <si>
    <t xml:space="preserve"> Hestehandlergården</t>
  </si>
  <si>
    <t xml:space="preserve"> Den samlede bebyggelse bestående af forhus (1761, grundmuret 1851, forhøjet 1863), østre sidehus (1761 og 1863), femfagshus (1766 og 1873), tværhus (1761, forlænget1799, 1851), vestre sidehus (1824, forlænget 1842, udvidet og forhøjet 1863), udlænge (1919), magasinhus (1838), tørreovnshus og kulhus (ca 1860) samt den brolagte gårdsplads og haven</t>
  </si>
  <si>
    <t>Tryggelev 27</t>
  </si>
  <si>
    <t xml:space="preserve"> Kirkeladen ved Tryggelev Kirke</t>
  </si>
  <si>
    <t xml:space="preserve"> Kirkeladen (opført før 1536)</t>
  </si>
  <si>
    <t xml:space="preserve"> Rudkøbing Præstegård</t>
  </si>
  <si>
    <t>Østergade 24</t>
  </si>
  <si>
    <t xml:space="preserve"> Den Bayske Gård</t>
  </si>
  <si>
    <t xml:space="preserve"> Forhuset (1782) og det hermed sammenbyggede sidehus (ca1750)</t>
  </si>
  <si>
    <t>Lejre Kommune</t>
  </si>
  <si>
    <t>Abbetvedvej 2 A og 2E-F (Tidl Abbetvej 2A-B)</t>
  </si>
  <si>
    <t xml:space="preserve"> Lindholm</t>
  </si>
  <si>
    <t xml:space="preserve"> Hovedbygningen (ca 1730) oggodsforvalterboligen</t>
  </si>
  <si>
    <t>Dellingevej 3</t>
  </si>
  <si>
    <t xml:space="preserve"> Dellinge Vandmølle</t>
  </si>
  <si>
    <t xml:space="preserve"> Stuehuset med mølleanlægget og staldlængen i vest (ca 1740)</t>
  </si>
  <si>
    <t>Gershøjvej 110-112</t>
  </si>
  <si>
    <t xml:space="preserve"> Gershøjvej 110-112</t>
  </si>
  <si>
    <t xml:space="preserve"> Den 23 fag lange bindingsværksbygning (muligvis 1600-tallet)</t>
  </si>
  <si>
    <t xml:space="preserve"> (*: Gershøjvej 110)</t>
  </si>
  <si>
    <t>Hornsherredvej 430</t>
  </si>
  <si>
    <t xml:space="preserve"> Sæby Præstegård</t>
  </si>
  <si>
    <t xml:space="preserve"> Det trelængede bindingsværksanlæg (1826), den brolagtegårdsplads, de to træer på gårdspladsen samt stendigerne langs indkørslen</t>
  </si>
  <si>
    <t>Hvalsøvej 16</t>
  </si>
  <si>
    <t xml:space="preserve"> Trudsholm</t>
  </si>
  <si>
    <t xml:space="preserve"> Hovedbygningen (1551, ombygget 1874)</t>
  </si>
  <si>
    <t>Kisserupvej 5</t>
  </si>
  <si>
    <t xml:space="preserve"> Hule Møllegård</t>
  </si>
  <si>
    <t xml:space="preserve"> Hovedbygningen med møllehjul og stensætning, det rørlagte vandløbunder gårdspladsen, grøften samt broen over denne</t>
  </si>
  <si>
    <t>Landevejen 105</t>
  </si>
  <si>
    <t xml:space="preserve"> Frihedsstøtten, Kirke Såby</t>
  </si>
  <si>
    <t xml:space="preserve"> Sandstensmonumentet (1794 af Johannes Wiedewelt)</t>
  </si>
  <si>
    <t>Ledreborg Allé</t>
  </si>
  <si>
    <t xml:space="preserve"> Granitbroer (2 stk) ved Ledreborg</t>
  </si>
  <si>
    <t xml:space="preserve"> De to granitbroer, der hører til alléen gennemBlæsenborg (1747-55)</t>
  </si>
  <si>
    <t>Ledreborg Allé 2 A, B og E</t>
  </si>
  <si>
    <t xml:space="preserve"> Ledreborg</t>
  </si>
  <si>
    <t xml:space="preserve"> "Hovedbygningen (de midterste ni fag fra ca 1660, ombygget og udvidet 1741-45 af Johan Cornelius Krieger) med sidefløje (de svungne pavilloner 1748-50 af Lauritz de Thurah), øst- og vestfløjene (1742-46 af Johan Cornelius Krieger) og portbygning (antagelig 1799), gitteret på gårdspladsen, de to bassiner, de seks obelisker og kældernedgangen med tilhørende gitter og flisebelægning, hegnsmure øst og vest for hovedbygningen, de to sandstensfigurer i haven (muligvis af Johann Friedrich Hännel) og "Amalienborgporten" ved den østlige indkørsel, "Det peripatetiske Akademi" (1755-62), statuerne af Knud den Store og Dronning Margrethe (begge af S. C. Stanley), to buster og syvobelisker i Dyrehaven og to buster i den sydvendte slotshave</t>
  </si>
  <si>
    <t xml:space="preserve"> Udvidet 1978 og 1986*</t>
  </si>
  <si>
    <t>Orehøjvej 12</t>
  </si>
  <si>
    <t xml:space="preserve"> Kongsgården</t>
  </si>
  <si>
    <t xml:space="preserve"> Stuehus (ca 1712) med bislag mod vest (1780) og sidelænge mod øst(1827) samt det fritliggende, grundmurede udhus</t>
  </si>
  <si>
    <t>Raunshøjvej 40</t>
  </si>
  <si>
    <t xml:space="preserve"> Hallisgård</t>
  </si>
  <si>
    <t xml:space="preserve"> Det firelængede anlæg (ca 1750-1800, nordlængen 1900-tallet) samt denbrolagte gårdplads</t>
  </si>
  <si>
    <t>Tadre Møllevej 23</t>
  </si>
  <si>
    <t xml:space="preserve"> Nederste Tadre Mølle</t>
  </si>
  <si>
    <t xml:space="preserve"> Vandmøllen (ca 1840) med vandhjul og alt nagelfast mølleinventar, den dermed sammenbyggede lade (1876), mølleslusen nord for møllen med stigbord, de tokanaler mellem mølleslusen og mølledammen, mølledæmningen med stigbord, mølledammen, malekarmen, den stensatte møllerende, den rørlagte kanal fra møllerenden til bagløbet samt bagløbet med stensætninger indtil vandenergianlægget ca 150 meter sydvest for møllen på ejendommen </t>
  </si>
  <si>
    <t>Udvidet 2012</t>
  </si>
  <si>
    <t>Tingstedet 6</t>
  </si>
  <si>
    <t xml:space="preserve"> Sæby gamle Skole</t>
  </si>
  <si>
    <t xml:space="preserve"> Skolebygningen (1830)</t>
  </si>
  <si>
    <t>Trehøjevej 45</t>
  </si>
  <si>
    <t xml:space="preserve"> Egholm</t>
  </si>
  <si>
    <t xml:space="preserve"> Hovedbygningen (1824), ladebygningen og staldbygningen (ca 1880 og ca 1890), porthuset (1870), hesteomgangen, den stensatte bro over voldgraven, lindealléen og kastaniealléen</t>
  </si>
  <si>
    <t>Åstrupvej 63</t>
  </si>
  <si>
    <t xml:space="preserve"> Åstrup</t>
  </si>
  <si>
    <t xml:space="preserve"> Hovedbygningen med omgivende grave (østfløjen 1613; nordfløjen muligvis 1589;vestfløjen 1856)</t>
  </si>
  <si>
    <t>Lemvig Kommune</t>
  </si>
  <si>
    <t>Bøvlingvej 40</t>
  </si>
  <si>
    <t xml:space="preserve"> Rysensten, Bøvling Slot (tidl)</t>
  </si>
  <si>
    <t xml:space="preserve"> Hovedbygningens vestfløj og muren mod syd samt voldstedog grave (1638-39, 1646-51)</t>
  </si>
  <si>
    <t>Flyvholmvej 33 (tidl Flyvholm 3)</t>
  </si>
  <si>
    <t xml:space="preserve"> Flyvholm Redningsstation</t>
  </si>
  <si>
    <t xml:space="preserve"> Redningsstation (1934)</t>
  </si>
  <si>
    <t>Kabbelvej 1</t>
  </si>
  <si>
    <t xml:space="preserve"> Stjernhjelms Hospital, Nørre Lem Hospital</t>
  </si>
  <si>
    <t xml:space="preserve"> Bygningen ved kirkegårdens sydskel (1780)</t>
  </si>
  <si>
    <t>Kabbelvej 55</t>
  </si>
  <si>
    <t xml:space="preserve"> Kabbel Hovedgård</t>
  </si>
  <si>
    <t xml:space="preserve"> Kabbel Hovedgård bestående af hovedbygning med sidefløj mod nordøst, tårnagtig tilbygning mod vest samt murstykke mod sydvest samt det trelængede avlsanlæg</t>
  </si>
  <si>
    <t>Lemvigvej 12</t>
  </si>
  <si>
    <t xml:space="preserve"> Sønder Vinkel</t>
  </si>
  <si>
    <t xml:space="preserve"> Hovedbygningen (1838)</t>
  </si>
  <si>
    <t>Remmerstrandvej 186-188</t>
  </si>
  <si>
    <t xml:space="preserve"> Å Mølle</t>
  </si>
  <si>
    <t xml:space="preserve"> Vandmøllen (1790, flyttet 1839) og stuehuset (1839) med tilbygning(1881)</t>
  </si>
  <si>
    <t>Rubyvej 23</t>
  </si>
  <si>
    <t xml:space="preserve"> Tuskær Redningsstation</t>
  </si>
  <si>
    <t>Sodborgvej 10</t>
  </si>
  <si>
    <t xml:space="preserve"> Sodborggård</t>
  </si>
  <si>
    <t xml:space="preserve"> Stuehuset (1846)</t>
  </si>
  <si>
    <t>Vestergade 44</t>
  </si>
  <si>
    <t xml:space="preserve"> Vesterhus</t>
  </si>
  <si>
    <t xml:space="preserve"> Forhuset (antagelig ca 1825)</t>
  </si>
  <si>
    <t>Lolland Kommune</t>
  </si>
  <si>
    <t>Axeltorv 1 og Havnegade 55 A-C</t>
  </si>
  <si>
    <t xml:space="preserve"> Theisens Gård, Nakskov</t>
  </si>
  <si>
    <t xml:space="preserve"> Mnr 47: forhus med sidehus (1786) samtmnr 57, 58, 59: længer mod havn og Badstuestræde (før 1682, 1702)</t>
  </si>
  <si>
    <t>Axeltorv 3</t>
  </si>
  <si>
    <t xml:space="preserve"> Det Gamle Apothek, Nakskov</t>
  </si>
  <si>
    <t xml:space="preserve"> Forhus (1777) og sidehus (1600-tallet)</t>
  </si>
  <si>
    <t>Birketvej 64-66</t>
  </si>
  <si>
    <t xml:space="preserve"> Birketvej 64-66, Bandholm</t>
  </si>
  <si>
    <t xml:space="preserve"> Den 16 fag lange og seks fag brede bindingsværksbygning(midten af 1700-tallet), og hækken langs Birketvej og Smedestræde</t>
  </si>
  <si>
    <t>Errindlevvej 34 B</t>
  </si>
  <si>
    <t xml:space="preserve"> Errindlev tidl Andelsmejeri</t>
  </si>
  <si>
    <t xml:space="preserve"> Mejeribygningen med skorsten (1913 af H. P.  Philipsen),den dermed sammenbyggede længe (1886) og ostelager (1951)</t>
  </si>
  <si>
    <t>Frederiksdalsvej 30</t>
  </si>
  <si>
    <t xml:space="preserve"> Frederiksdal</t>
  </si>
  <si>
    <t xml:space="preserve"> Hovedbygningen (1758, rimeligvis af Georg Dietrich Tschierske) samtdet kinesiske tehus i parken</t>
  </si>
  <si>
    <t xml:space="preserve"> Hvedemagasinet, Bandholm</t>
  </si>
  <si>
    <t xml:space="preserve"> Det toetages, grundmurede pakhus med teglhængtmansardtag (1800-tallets midte)</t>
  </si>
  <si>
    <t>Havnegade 73</t>
  </si>
  <si>
    <t xml:space="preserve"> Dronningens Pakhus, Nakskov</t>
  </si>
  <si>
    <t xml:space="preserve"> Pakhuset (ca 1600, gavlen fornyet i 1800-tallet)</t>
  </si>
  <si>
    <t>Herredsvej 281, Fejø</t>
  </si>
  <si>
    <t xml:space="preserve"> Herredsvej 281, Fejø</t>
  </si>
  <si>
    <t xml:space="preserve"> Bindingsværkshuset (ca 1780)</t>
  </si>
  <si>
    <t>Hovvasen 6</t>
  </si>
  <si>
    <t xml:space="preserve"> Rudbjerggård</t>
  </si>
  <si>
    <t xml:space="preserve"> Hovedbygningen (ca 1600; tårnet 1606)</t>
  </si>
  <si>
    <t>Højbygårdvej 20 A</t>
  </si>
  <si>
    <t xml:space="preserve"> Højbygaard</t>
  </si>
  <si>
    <t xml:space="preserve"> Stuehuset (slutn af 1600-tallet, ombygget og udvidet 1761),magasinbygningen (slutn af 1600-tallet), sdr. sidelænge og vognport af bindingsværk samt den mellem disse bygninger værende brolægning</t>
  </si>
  <si>
    <t>Højbygårdvej 22</t>
  </si>
  <si>
    <t xml:space="preserve"> Højbygaard Skovløberhus</t>
  </si>
  <si>
    <t>Højbygårdvej 34</t>
  </si>
  <si>
    <t xml:space="preserve"> Tågerup Polakkaserne</t>
  </si>
  <si>
    <t xml:space="preserve"> Kasernebygningen (1911 af H.C.Glahn)</t>
  </si>
  <si>
    <t>Kapellanstræde 10</t>
  </si>
  <si>
    <t xml:space="preserve"> Kapellanstræde 10, Maribo</t>
  </si>
  <si>
    <t xml:space="preserve"> Forhuset (1756)</t>
  </si>
  <si>
    <t>Kapellanstræde 12</t>
  </si>
  <si>
    <t xml:space="preserve"> Kapellanstræde 12, Maribo</t>
  </si>
  <si>
    <t>Kapellanstræde 6</t>
  </si>
  <si>
    <t xml:space="preserve"> Kapellanstræde 6, Maribo</t>
  </si>
  <si>
    <t>Kapellanstræde 8</t>
  </si>
  <si>
    <t xml:space="preserve"> Kapellanstræde 8, Maribo</t>
  </si>
  <si>
    <t>Kappelvej 4 C</t>
  </si>
  <si>
    <t xml:space="preserve"> Kappel Mølle</t>
  </si>
  <si>
    <t xml:space="preserve"> Stubmøllen (ca 1730)</t>
  </si>
  <si>
    <t>Kirkevej 4</t>
  </si>
  <si>
    <t xml:space="preserve"> Kapellanboligen (tidl), Holeby</t>
  </si>
  <si>
    <t xml:space="preserve"> Beboelseshuset og udhuset (1850)</t>
  </si>
  <si>
    <t>Kristianssædevej 3C</t>
  </si>
  <si>
    <t xml:space="preserve"> Christianssæde</t>
  </si>
  <si>
    <t xml:space="preserve"> Hovedbygningen (1690, antagelig ombygget ca 1740 og 1878-84,brændt 1979, genopført efter brand 1986)</t>
  </si>
  <si>
    <t>Kærstrupvej 17</t>
  </si>
  <si>
    <t xml:space="preserve"> Kærstrup</t>
  </si>
  <si>
    <t xml:space="preserve"> Hovedbygningen (1765, kældrene ældre; ombygget 1836; tårnet 1868)</t>
  </si>
  <si>
    <t>Mageltving Møllevej 23 (tidl Magletving Møllevej 23)</t>
  </si>
  <si>
    <t xml:space="preserve"> Mageltving Møllevej 23</t>
  </si>
  <si>
    <t xml:space="preserve"> Beboelseshuset med udhus(1790'erne)</t>
  </si>
  <si>
    <t>Maribovej 277</t>
  </si>
  <si>
    <t xml:space="preserve"> Halsted Kloster, Den gamle Kro (Maribovej 277)</t>
  </si>
  <si>
    <t xml:space="preserve"> Forhuset i bindingsværk samt sidehus (beg af1800-tallet)</t>
  </si>
  <si>
    <t>Maribovej 279 og 279A</t>
  </si>
  <si>
    <t xml:space="preserve"> Halsted Kloster, Den gamle Smedie og Smedieboligen (Maribovej 279 og 279A)</t>
  </si>
  <si>
    <t>Maribovej 279A, Den gamle Smedie; smedien i grundmur (ca 1850). Maribovej 279, Smedieboligen; beboelseshuset (beg af 1800-tallet)</t>
  </si>
  <si>
    <t>Maribovej 281, 283, 285, 287 og 289</t>
  </si>
  <si>
    <t xml:space="preserve"> Halsted Kloster (Maribovej 281-289)</t>
  </si>
  <si>
    <t xml:space="preserve"> Maribovej 281, Graverboligen, bestående af forhus og sidehus, begge i bindingsværk (1845). Maribovej 283, Det Røde Hus, beboelseshuset i bindingsværk (slutn af 1800-tallet) og det bagved liggende skur af træ. Maribovej 285 og 287, Tømrerboligen, beboelseshuset i bindingsværk (ca 1800), det bagved liggende snedkerværksted.  Maribovej 289, Kuskeboligen, beboelseshuset i bindingsværk (beg af 1800-tallet)</t>
  </si>
  <si>
    <t>Maribovej 291 og 293-297</t>
  </si>
  <si>
    <t xml:space="preserve"> Halsted Kloster (Maribovej 291-297)</t>
  </si>
  <si>
    <t xml:space="preserve"> Maribovej 291, Gartnerboligen, beboelseshuset i bindingsværk (beg af 1800-tallet) samt udvidelsen i grundmur mod øst (ca 1920) og baghuset, den såkaldte "elevbygning" i grundmur (1930'rne).  Maribovej 293-297, Det lange Hus beboelseslængen i bindingsværk og udhuset (beg af 1800-tallet)</t>
  </si>
  <si>
    <t>Marrebæksvej 22</t>
  </si>
  <si>
    <t xml:space="preserve"> Vindeby Mølle</t>
  </si>
  <si>
    <t xml:space="preserve"> Vindmøllen (ca 1800)</t>
  </si>
  <si>
    <t>Meinckes Vej 1 (tidl Bangshavevej 23)</t>
  </si>
  <si>
    <t xml:space="preserve"> Bangshave, Maribo</t>
  </si>
  <si>
    <t xml:space="preserve"> Pavillonen (Gl. Skovnæs mejeri, 1853)</t>
  </si>
  <si>
    <t>Nordenkirke 17</t>
  </si>
  <si>
    <t xml:space="preserve"> Nordenkirke 17, Nakskov</t>
  </si>
  <si>
    <t xml:space="preserve"> Forhuset (1857)</t>
  </si>
  <si>
    <t>Nørregade 17</t>
  </si>
  <si>
    <t xml:space="preserve"> Nørregades Bomhus, Maribo</t>
  </si>
  <si>
    <t xml:space="preserve"> Bomhusbygningen (1820-21)</t>
  </si>
  <si>
    <t>Pederstrupvej 124</t>
  </si>
  <si>
    <t xml:space="preserve"> Pederstrup</t>
  </si>
  <si>
    <t xml:space="preserve"> Hovedbygningen (1813-22 af C. F. Hansen) </t>
  </si>
  <si>
    <t>Pederstrupvej 3</t>
  </si>
  <si>
    <t xml:space="preserve"> Reventlow-asylet, Horslunde</t>
  </si>
  <si>
    <t xml:space="preserve"> Asylbygningen (1824)</t>
  </si>
  <si>
    <t>Præstegårdsvej 42</t>
  </si>
  <si>
    <t xml:space="preserve"> Købelev Præstegård</t>
  </si>
  <si>
    <t xml:space="preserve"> Stuehus (1769)</t>
  </si>
  <si>
    <t>Præstestræde 2</t>
  </si>
  <si>
    <t xml:space="preserve"> Præstestræde 2, Nakskov</t>
  </si>
  <si>
    <t xml:space="preserve"> Forhuset (renæssance)</t>
  </si>
  <si>
    <t>Rødbyvej 22-24</t>
  </si>
  <si>
    <t xml:space="preserve"> Lungholm</t>
  </si>
  <si>
    <t xml:space="preserve"> Hovedbygningen (1856 af L.A. Winstrup, med senere om- og tilbygninger 1906 af H.C.  Glahn), de to sidelænger (1500- eller beg af 1600-tallet), gravene omkring den indre del af haven og mellem gl.  avlsgårdsareal og hovedbygningen samt broerne over disse og deres tilhørenderækværk</t>
  </si>
  <si>
    <t>Rødbyvej 45</t>
  </si>
  <si>
    <t xml:space="preserve"> Ålstrup</t>
  </si>
  <si>
    <t>Stationsvej 10</t>
  </si>
  <si>
    <t xml:space="preserve"> Bandholm Jernbanestation</t>
  </si>
  <si>
    <t xml:space="preserve"> Stationsbygningen (1869-70)</t>
  </si>
  <si>
    <t>Stenvadsvej 2-4</t>
  </si>
  <si>
    <t xml:space="preserve"> Gloslunde Præstegård</t>
  </si>
  <si>
    <t xml:space="preserve"> Den firelængede bindingsværksgård (1600-1700-tallet)</t>
  </si>
  <si>
    <t>Søholtvej 28</t>
  </si>
  <si>
    <t xml:space="preserve"> Skelsnæspavillon, Søholt Hovedgård</t>
  </si>
  <si>
    <t xml:space="preserve"> Pavillonen (1822)</t>
  </si>
  <si>
    <t>Søndergade 25</t>
  </si>
  <si>
    <t xml:space="preserve"> Søndergade 25, Nakskov</t>
  </si>
  <si>
    <t xml:space="preserve"> Forhuset (muligvis 1695)</t>
  </si>
  <si>
    <t>Søvej 4</t>
  </si>
  <si>
    <t xml:space="preserve"> Søgaard</t>
  </si>
  <si>
    <t xml:space="preserve"> Hovedbygningen (1905 af Viggo Dahl) og de to ældre bindingsværksbygninger (ca1850)</t>
  </si>
  <si>
    <t>Torvet 3</t>
  </si>
  <si>
    <t xml:space="preserve"> Qvades Gård, Maribo</t>
  </si>
  <si>
    <t xml:space="preserve"> Hovedbygningen mod torvet (1819) med sidehus af bindingsværk samtpakhus bag i gården (1852)</t>
  </si>
  <si>
    <t>Ullerslevvej 42 og Maribovej 248, 250 og 252</t>
  </si>
  <si>
    <t xml:space="preserve"> Halsted Kloster, hovedbygning mv</t>
  </si>
  <si>
    <t xml:space="preserve"> (Ullerslevvej 42 og Maribovej 248, 250 og 252) Ullerslevvej 42, Den gamle fløj (1589-91 af Hans von Andorf), den nye hovedbygning (1847-49) og parken med muren mod Maribovej, den gamle stald i bindingsværk (1744), herskabsstalden i grundmur (1855) Maribovej 248, Havehuset, bindingsværkshuset (beg 1800-tallet) med tilhørende udhus Maribovej 250, Godskontoret, hovedhuset i grundmur (slutn 1800-tallet), vestre sidehus med tilbygning, begge i bindingsværk (beg 1800-tallet) Maribovej 252, Den tidl Skovriderbolig, tre længer ibindingsværk (beg af 1800-tallet) samt udhuset i bindingsværk</t>
  </si>
  <si>
    <t>Vestenskov Kirkevej 4</t>
  </si>
  <si>
    <t xml:space="preserve"> N. E.  Balles Barndomshjem</t>
  </si>
  <si>
    <t xml:space="preserve"> Beboelseshuset og den dermed sammenbyggedeudhuslænge (beg af 1700-tallet)</t>
  </si>
  <si>
    <t xml:space="preserve"> Willers Gård, Rødby</t>
  </si>
  <si>
    <t xml:space="preserve"> Forhuset (1729)</t>
  </si>
  <si>
    <t>Østergade 65</t>
  </si>
  <si>
    <t xml:space="preserve"> Østergade 65, Rødby</t>
  </si>
  <si>
    <t xml:space="preserve"> Magasinbygningen (ca 1800-50)</t>
  </si>
  <si>
    <t>Østofte Gade 36</t>
  </si>
  <si>
    <t xml:space="preserve"> Østofte Præstegård</t>
  </si>
  <si>
    <t xml:space="preserve"> De tre længer om gårdpladsen (stuehus og lade 1795, nordrelænge ca 1850)</t>
  </si>
  <si>
    <t>Østofte Møllevej 262</t>
  </si>
  <si>
    <t xml:space="preserve"> Østofte Mølle</t>
  </si>
  <si>
    <t xml:space="preserve"> Stubmøllen (ca 1700)</t>
  </si>
  <si>
    <t>Lyngby-Taarbæk Kommune</t>
  </si>
  <si>
    <t>Brede 33-77</t>
  </si>
  <si>
    <t xml:space="preserve"> Brede 33-77</t>
  </si>
  <si>
    <t xml:space="preserve"> Brede 34-50: Gule længe (ca 1860), Brede 51 og 52: Den seksfags boliglænge i to etager (1888), Brede 60 og 61: Vinkelbygning i to etager (1912 som købmandsbutik af J.C. Schwartz), Brede 62 og 63: Mesterboligbygningen (1905 af Vilhelm Suhr), Brede 64 og 65: Mesterboligbygningen(1905 af Vilhelm Suhr), Brede 70, 72 og 74: Lille længe (1783, ombygget 1826 og senere), Brede 75 og 77:Mesterlængen (1783, ombygget 1825 og senere) og pladsen foran Brede hovedbygning</t>
  </si>
  <si>
    <t>Brede 66-67 og 69 (tidl Brede Allé)</t>
  </si>
  <si>
    <t xml:space="preserve"> Brede 66-67 og 69 (tidl Brede Allé)</t>
  </si>
  <si>
    <t xml:space="preserve"> To beboelsesbygninger (nr 66- 67, 1895 opr. mesterbolig og nr 69, 1894, ombygget ca 1920 til skole af Niels Peter Ulstrup Hansen)</t>
  </si>
  <si>
    <t>Brede 81</t>
  </si>
  <si>
    <t xml:space="preserve"> Brede Børnehave</t>
  </si>
  <si>
    <t xml:space="preserve"> Børnehavebygning (1905 af Vilhelm Suhr, opr. Asyl) </t>
  </si>
  <si>
    <t>Brede Allé 68</t>
  </si>
  <si>
    <t xml:space="preserve"> Brede Allé 68</t>
  </si>
  <si>
    <t xml:space="preserve"> Beboelseshus (1921, opr. Skole) </t>
  </si>
  <si>
    <t xml:space="preserve">Brede Hovedbygning 1 og I.C. Modewegvej 1 </t>
  </si>
  <si>
    <t xml:space="preserve"> Brede Klædefabrik</t>
  </si>
  <si>
    <t xml:space="preserve"> Hovedbygningen (1795, interiører 1797 af J. C. Lillie) med tilbygning (1846), vagt- og kontorbygningen (før 1905, udvidet 1947), etagebygningen (1832-67, væveri, spinderi, senere anvendt til vaskeri, appretur samt råvarelager), etagebygningen (1861, 1882, råvarelager, ekspedition og maskinhus), halbygningen (1936, farveri), etagebygningen (1915, farveri), fabriksbygningen (1882, udv. 1943, anvendt til appretur, reparatur, nordlige del opr. kedelhus), fabriksbygningen (1884, 1890, væveri, senere maskinværksted og noppestue, sprinklertårn i vestlig ende), maskinværkstedet (1884), kedelhuset (1936), etagebygningen (1908 af Christiani &amp;amp; Nielsen, karteri og spinderi), etagebygningen (1918 af Christiani &amp;amp; Nielsen, væveri og klædeskæreri), garnlageret og driftskontoret (1951), etagebygningen (1943 af Eske Kristensen, råvarelager og kludevæveri), Brede spisehus (1891) og gartnergården (før 1783, grundmuret 1826 og ombygget 1857) med tilknyttet frugtkælder (ca 1870), de to drivhuse (ca 1870 og ca 1900) samtmaterialehuset (ca 1900)</t>
  </si>
  <si>
    <t xml:space="preserve"> Udv. 1991</t>
  </si>
  <si>
    <t>Dyrehaven 4</t>
  </si>
  <si>
    <t xml:space="preserve"> Eremitagen</t>
  </si>
  <si>
    <t xml:space="preserve"> Lystslottet (1734-36 af Lauritz de Thurah)</t>
  </si>
  <si>
    <t>Dyrehaven 7</t>
  </si>
  <si>
    <t xml:space="preserve"> Kildeøen, Kirsten Piils Kilde</t>
  </si>
  <si>
    <t xml:space="preserve"> Traktørstedet ""Kildeøen"" (1927 af Ivar Bentsen), med nyeretilbygning mod vest</t>
  </si>
  <si>
    <t>Gammel Lundtoftevej 31</t>
  </si>
  <si>
    <t xml:space="preserve"> Støvlet Kathrines Hus</t>
  </si>
  <si>
    <t xml:space="preserve"> Stuehus (1808) med tilbygningen samt udhuset</t>
  </si>
  <si>
    <t>Hummeltoftevej 183-187 og Frederiksdalsvej 351</t>
  </si>
  <si>
    <t xml:space="preserve"> Hovedbygningen (1744-45 af Niels Eigtved, ombygget 1752-53 af Gottfried Rosenberg), de to pavilloner foran denne (1882) samt gartnerboligen (1741 af Elias David Häusser, ombygget ca 1830) med espaliermuren i haven</t>
  </si>
  <si>
    <t>I. H. Mundtsvej 16</t>
  </si>
  <si>
    <t xml:space="preserve"> Villaen med garage (1924 af Edvard Heiberg, til sig selv)</t>
  </si>
  <si>
    <t>I. H. Mundtsvej 4B</t>
  </si>
  <si>
    <t xml:space="preserve"> Villaen (1957 af Arne Jacobsen)</t>
  </si>
  <si>
    <t>Kongevejen 102</t>
  </si>
  <si>
    <t xml:space="preserve"> Fuglevad Vindmølle</t>
  </si>
  <si>
    <t xml:space="preserve"> Vindmølle (1814)</t>
  </si>
  <si>
    <t>Kongevejen 2</t>
  </si>
  <si>
    <t xml:space="preserve"> Sorgenfri</t>
  </si>
  <si>
    <t xml:space="preserve"> Hovedbygningen (1756 af Lauritz de Thurah på fundamenter og kældre fra 1705- 06 af François Dieussart, ombygget 1791-94 af Peter Meyn) med damefløjen, kavaler- og staldbygningerne ved opkørslen fra Kongevejen (1743-44 af Lauritz de Thurah; ombygget 1790 af Peter Meyn, der bla opførte staldbygningens tilbygning), smedejernsgitter med sandstenspiller (ca 1800 af Nicolai Abildgaard), Den lange længe, tidl gartnerbolig (1840-48 af Jørgen Hansen Koch), Schweizerhuset på bakken øst for Kongevejen, (ca 1800 af Nicolai Abildgaard), Norske hus på bakken vest for Kongevejen (1809 af NicolaiAbildgaard) samt Schallske musikhus ved Mølleåen, mnr 39a Schallsvej 16 (ca 1800)</t>
  </si>
  <si>
    <t>Lyngby Hovedgade 2</t>
  </si>
  <si>
    <t xml:space="preserve"> Friboes Hvile</t>
  </si>
  <si>
    <t xml:space="preserve"> Hovedbygningen (ca 1755)</t>
  </si>
  <si>
    <t>Lyngby Hovedgade 24</t>
  </si>
  <si>
    <t xml:space="preserve"> Lyngby Søndre Mølle</t>
  </si>
  <si>
    <t xml:space="preserve"> Lyngby Søndre Mølle (1903 af Valdemar og BernhardIngemann)</t>
  </si>
  <si>
    <t>Lyngby Hovedgade 24 A</t>
  </si>
  <si>
    <t xml:space="preserve"> Lyngby Nordre Vandmølle</t>
  </si>
  <si>
    <t xml:space="preserve"> Møllehuset og den hermed sammenbyggedemagasinbygning (ca 1850)</t>
  </si>
  <si>
    <t>Lyngby Hovedgade 28</t>
  </si>
  <si>
    <t xml:space="preserve"> Gramlille</t>
  </si>
  <si>
    <t>Lyngby Hovedgade 37</t>
  </si>
  <si>
    <t xml:space="preserve"> Det Hvide Palæ, Moyels Gård</t>
  </si>
  <si>
    <t xml:space="preserve"> Hovedbygningen (1806) med sidebygningen (ca1806)</t>
  </si>
  <si>
    <t>Lyngby Hovedgade 6</t>
  </si>
  <si>
    <t xml:space="preserve"> Sorgenfridal</t>
  </si>
  <si>
    <t xml:space="preserve"> Hovedbygningen (slutn af 1700-tallet ombygget 1858-59)</t>
  </si>
  <si>
    <t>Lyngby Kirkestræde 12-14</t>
  </si>
  <si>
    <t xml:space="preserve"> Lyngby tidl Præstegård</t>
  </si>
  <si>
    <t xml:space="preserve"> Stuehuset (1846) med tilbygget sidehus (1914) samtden tidl stald- og vognportbygning</t>
  </si>
  <si>
    <t>Lyngby Torv 17</t>
  </si>
  <si>
    <t xml:space="preserve"> Lyngby Rådhus</t>
  </si>
  <si>
    <t xml:space="preserve"> Lyngby Rådhus (1941 af Hans Erling Langkilde og Ib Martin Jensen)</t>
  </si>
  <si>
    <t>Lystoftevej 17</t>
  </si>
  <si>
    <t xml:space="preserve"> Lystoftegård</t>
  </si>
  <si>
    <t xml:space="preserve"> Hovedbygningen i to etager og mansardetage (1816, ombyg. 1947 ved HansHenrik Engqvist)</t>
  </si>
  <si>
    <t>Lystoftevej 80</t>
  </si>
  <si>
    <t xml:space="preserve"> Lystoftevej 80</t>
  </si>
  <si>
    <t xml:space="preserve"> Forhuset (1913, opr. arbejderbolig)</t>
  </si>
  <si>
    <t>Møllevej 10 A-B</t>
  </si>
  <si>
    <t xml:space="preserve"> Møllevej 10 A-B</t>
  </si>
  <si>
    <t xml:space="preserve"> Beboelseshus (1863, opr. plejehjem for børn)</t>
  </si>
  <si>
    <t xml:space="preserve"> Møllevej 4</t>
  </si>
  <si>
    <t xml:space="preserve"> Fuglevad Vandmølle</t>
  </si>
  <si>
    <t xml:space="preserve"> De to sammenbyggede bygninger (1879)</t>
  </si>
  <si>
    <t>Møllevej 5</t>
  </si>
  <si>
    <t xml:space="preserve"> Møllevej 5</t>
  </si>
  <si>
    <t xml:space="preserve"> Villa og udhus (1873)</t>
  </si>
  <si>
    <t>Mølleåparken 40</t>
  </si>
  <si>
    <t xml:space="preserve"> Brede Vandtårn</t>
  </si>
  <si>
    <t xml:space="preserve"> Vandtårnet (1907)</t>
  </si>
  <si>
    <t>Nybrovej 116</t>
  </si>
  <si>
    <t xml:space="preserve"> Nybrovej 116</t>
  </si>
  <si>
    <t xml:space="preserve"> De tre sammenbyggede kontorbygninger med grønne omgivelser (1994,udvidet 2000 og 2005, af KHR Arkitekter)</t>
  </si>
  <si>
    <t>Nybrovej 393-395</t>
  </si>
  <si>
    <t xml:space="preserve"> Christianelyst</t>
  </si>
  <si>
    <t xml:space="preserve"> Hovedfløjen og sidebygningerne (ca 1800)</t>
  </si>
  <si>
    <t>Nybrovej 401</t>
  </si>
  <si>
    <t xml:space="preserve"> Sophienholm</t>
  </si>
  <si>
    <t xml:space="preserve"> Hovedbygningen (1796-1803 af Joseph-Jacques Ramée)</t>
  </si>
  <si>
    <t>Nybrovej 410</t>
  </si>
  <si>
    <t xml:space="preserve"> Marienborg</t>
  </si>
  <si>
    <t xml:space="preserve"> Hovedbygningen (formentlig sidste halvdel af 1700-tallet)</t>
  </si>
  <si>
    <t>Raadvad 1</t>
  </si>
  <si>
    <t xml:space="preserve"> Raadvad Vandrehjem</t>
  </si>
  <si>
    <t xml:space="preserve"> Den tidl skolebygning, de to pavilloner samt haven på den øvrige delaf ejendommen (1918-19 af Harald Lønborg-Jensen)</t>
  </si>
  <si>
    <t xml:space="preserve"> Fredningen præciseret den 18.  oktober 2004*</t>
  </si>
  <si>
    <t>Raadvad 2-2A (tidl Chausséen 2)</t>
  </si>
  <si>
    <t xml:space="preserve"> Bøgely, Raadvad</t>
  </si>
  <si>
    <t xml:space="preserve"> Det trelængede bygningskompleks og denfritliggende bygning mod øst (ca 1843)</t>
  </si>
  <si>
    <t xml:space="preserve"> Fredningspræcisering 15.  oktober 2004*</t>
  </si>
  <si>
    <t>Raadvad 3-30</t>
  </si>
  <si>
    <t xml:space="preserve"> Raadvad 3-30</t>
  </si>
  <si>
    <t xml:space="preserve"> Hele området syd for Søndre Mølleå: Alle bygninger og anlæg, herunder Møllehuset (ca 1846) samt stemmeværket ved Søndre Mølleå med gelænder på begge sider af vejen samt det forbindende murstykke; Kildehuset (før 1779) samt den bagvedliggende trælade, de foranliggende havelodder og kilden syd for Kildehuset med stensætning og gelænder; Egehuset, oprindelig skole (før 1835) med haveanlæg foran og bagved huset samt stentrappen mellem Egehuset og Fileværket; Fileværket (før 1779) med de foranliggende havestykker med stensætninger samt de to bagvedliggende udhuse; Smedien (1805) samt den hertilhørende havemur; Damhuset, den tidligere inspektørbolig (ca 1770); Ungkarlehuset (før 1805); Ny Raadvad, de fire beboelsesblokke (1917-18) med tilhørende cementstøbte afgrænsede havestykker foran husene og de bagvedliggende havestykker; Lageret (før 1779 med tilbygning i 1878) samt Længen (mellem 1835 og 1846) med de foranliggende havestykker ogbagvedliggende udhus</t>
  </si>
  <si>
    <t>Raadvad 40-44</t>
  </si>
  <si>
    <t xml:space="preserve"> Raadvad 40-44</t>
  </si>
  <si>
    <t xml:space="preserve"> Hele området med alle bygninger og anlæg, herunder fabriksbygningerne syd for Nordre Mølleå (1879 ff), den fritstående skorsten i gården, broen over Nordre Mølleå samtstemmeværket med gelænder på hver side af vejen over Nordre Mølleå</t>
  </si>
  <si>
    <t>Spurveskjul 4 og 6</t>
  </si>
  <si>
    <t xml:space="preserve"> Spurveskjul</t>
  </si>
  <si>
    <t xml:space="preserve"> Hovedbygningen (1805 af Nicolai Abildgaard) samt den vest herforbeliggende stråtækte beboelseslænge og det stråtækte bindingsværksudhus</t>
  </si>
  <si>
    <t>Spurveskjul Skov</t>
  </si>
  <si>
    <t xml:space="preserve"> Louisekilde</t>
  </si>
  <si>
    <t xml:space="preserve"> Kilden (1791)</t>
  </si>
  <si>
    <t>Strandvejen 550 og Taarbæk Strandvej 2</t>
  </si>
  <si>
    <t xml:space="preserve"> Cottageparken</t>
  </si>
  <si>
    <t xml:space="preserve"> "Porthuset (""den gule cottage"") og ""den røde cottage"" (tidl køkkenbygning) (1840'rne af Gottlieb Bindesbøll)</t>
  </si>
  <si>
    <t>Strandvejen 859</t>
  </si>
  <si>
    <t xml:space="preserve"> Hegnslund</t>
  </si>
  <si>
    <t xml:space="preserve"> Sommerboligen Hegnslund (1914-15 af Henning Hansen med bemalinger afValdemar Andersen)</t>
  </si>
  <si>
    <t>Taarbæk Strandvej 14A (tidl Strandvejen 340)</t>
  </si>
  <si>
    <t xml:space="preserve"> Herrernes fællesomklædningsbygning, herrernes kamformede vekselkabinebygning samt nordre livreddertårn medbadebro (1932 af Arne Jacobsen)</t>
  </si>
  <si>
    <t>Tårbæk Strandvej 82</t>
  </si>
  <si>
    <t xml:space="preserve"> Tårbæk Strandvej 82</t>
  </si>
  <si>
    <t>Ørholmvej 61</t>
  </si>
  <si>
    <t xml:space="preserve"> Ørholm</t>
  </si>
  <si>
    <t>Læsø Kommune</t>
  </si>
  <si>
    <t>Alleen 1</t>
  </si>
  <si>
    <t xml:space="preserve"> Alleen 1, Andrines Hus</t>
  </si>
  <si>
    <t xml:space="preserve"> Den tangtækte bygning (ca 1780)</t>
  </si>
  <si>
    <t xml:space="preserve"> Alléen 3</t>
  </si>
  <si>
    <t xml:space="preserve"> Det tangtækte længehus (1870)</t>
  </si>
  <si>
    <t xml:space="preserve"> Alléen 5</t>
  </si>
  <si>
    <t xml:space="preserve"> Det tangtækte længehus (ca 1880)</t>
  </si>
  <si>
    <t>Danzigmannvej 2</t>
  </si>
  <si>
    <t xml:space="preserve"> Danzigmannvej 2</t>
  </si>
  <si>
    <t xml:space="preserve"> Det tangtækte længehus (ca 1750)</t>
  </si>
  <si>
    <t>Danzigmannvej 6</t>
  </si>
  <si>
    <t xml:space="preserve"> Danzigmannvej 6</t>
  </si>
  <si>
    <t xml:space="preserve"> Den firlængede, delvis tangtækte gård (1600-tallet, udvidet flere gange; nordvestlængen ca 1928) med stuehusets udløberfløj i nordøst,&amp;nbsp; staldlængens udskud på gårdsiden mod sydvest, den pigstensbelagte gårdsplads med brønd, pigstensbelægningerne langs bygningernes ydersider, møddingsplads og ajlebeholder samt det fritliggende tangtækte udhus nord herformed pigstensbelægningen langs nord- og vestsiden</t>
  </si>
  <si>
    <t>Lille Strandgårdsvej 1</t>
  </si>
  <si>
    <t xml:space="preserve"> Lille Strandgårdsvej 1</t>
  </si>
  <si>
    <t xml:space="preserve"> Den trelængede gård (ca 1750 og tidl)</t>
  </si>
  <si>
    <t>Linievejen 36</t>
  </si>
  <si>
    <t xml:space="preserve"> Hedvigs Hus</t>
  </si>
  <si>
    <t xml:space="preserve"> Den trelængede tangtækte bindingsværksgård (ca 1675 med senereudvidelser)</t>
  </si>
  <si>
    <t>Mosevej 16</t>
  </si>
  <si>
    <t xml:space="preserve"> Mosevej 16</t>
  </si>
  <si>
    <t xml:space="preserve"> Det tangtækte længehus (1830)</t>
  </si>
  <si>
    <t>Museumsvej 3</t>
  </si>
  <si>
    <t xml:space="preserve"> Den firelængede gård (2. halvdel af 1700-tallet)</t>
  </si>
  <si>
    <t>Nattergalevej 15</t>
  </si>
  <si>
    <t xml:space="preserve"> Nattergalevej 15</t>
  </si>
  <si>
    <t xml:space="preserve"> To i vinkel sammenbyggede bindingsværkslænger med stråtag ogtangtækt tag (ca 1700)</t>
  </si>
  <si>
    <t>Stoklundvejen 25 (tidl Lille Stoklundvej 25)</t>
  </si>
  <si>
    <t xml:space="preserve"> Stoklundvejen 25</t>
  </si>
  <si>
    <t xml:space="preserve"> Det tangtækte stuehus (ca 1750)</t>
  </si>
  <si>
    <t>Tangborgvej 4</t>
  </si>
  <si>
    <t xml:space="preserve"> Tangborgvej 4</t>
  </si>
  <si>
    <t xml:space="preserve"> Det tangtækte længehus (ca 1865)</t>
  </si>
  <si>
    <t>Mariagerfjord Kommune</t>
  </si>
  <si>
    <t>Adelgade 26</t>
  </si>
  <si>
    <t xml:space="preserve"> Bies Bryggeri</t>
  </si>
  <si>
    <t xml:space="preserve"> Forhuset med sidehus i nord (1859), dettes forlængelse (1851, forhøjet 1854 og 1857), maltgøreribygningen i den forreste gårds vestende (1851) og halvtagsbygningerne mod syd (1851, forhøjet i 1890'erne), tapperi- og lagerbygninger bag maltgøreribygningen (1901 og 1904), de nord for beliggende gær- og lagerkælderbygninger (1867, udvidet 1882 og 1893) samt ishuset (ca 1800) og lysthuset i haven, endvidere de brolagte gårdspladser og prydhaven inkl tjørne- og bøgehække modsydvest og nordvest</t>
  </si>
  <si>
    <t>Adelgade 75</t>
  </si>
  <si>
    <t xml:space="preserve"> Hobro Ting- og Arresthus</t>
  </si>
  <si>
    <t xml:space="preserve"> Ting- og arresthuset (1920 af Ejnar Packness) bestående aftinghuset, forbindelsesbygningen, arrestforvalterbygningen og de to arrestbygninger, udgangshallen, garagen samt ting- og arresthusets nære omgivelser</t>
  </si>
  <si>
    <t>Fuglsang 4</t>
  </si>
  <si>
    <t xml:space="preserve"> Fuglsang 4</t>
  </si>
  <si>
    <t xml:space="preserve"> Forhuset (1837 og senere)</t>
  </si>
  <si>
    <t>Fuglsangsgade 12-14 og Kirkegade 5</t>
  </si>
  <si>
    <t xml:space="preserve"> Fuglsangsgade 12-14 og Kirkegade 5</t>
  </si>
  <si>
    <t xml:space="preserve"> Forhus med sidehus(1700-tallet, facaden ændret ca 1800; hus syd i gården 1850, hus vest i gården 1857)</t>
  </si>
  <si>
    <t>Fuglsangsgade 9</t>
  </si>
  <si>
    <t xml:space="preserve"> Det tidl sprøjtehus (1858)</t>
  </si>
  <si>
    <t>Fyrkatvej 45</t>
  </si>
  <si>
    <t>Fyrkat Mølle</t>
  </si>
  <si>
    <t xml:space="preserve"> Stuehus og Ryds mølle (1764, tilflyttet 1961)</t>
  </si>
  <si>
    <t>Havnøvej 40</t>
  </si>
  <si>
    <t xml:space="preserve"> Havnø Vindmølle</t>
  </si>
  <si>
    <t xml:space="preserve"> Vindmøllen (1842)</t>
  </si>
  <si>
    <t>Helberskovvej 14</t>
  </si>
  <si>
    <t xml:space="preserve"> Als Præstegård</t>
  </si>
  <si>
    <t xml:space="preserve"> Det gamle stuehus (1712)</t>
  </si>
  <si>
    <t>Hjerritsdalvej 3</t>
  </si>
  <si>
    <t xml:space="preserve"> Hjerritsdal Vandmølle</t>
  </si>
  <si>
    <t xml:space="preserve"> Det vinkelbyggede mølle- og stuehus samt det fritliggende udhus(ca 1830)</t>
  </si>
  <si>
    <t>Kirkegade 1</t>
  </si>
  <si>
    <t xml:space="preserve"> Kirkegade 1</t>
  </si>
  <si>
    <t xml:space="preserve"> Forhuset (1837)</t>
  </si>
  <si>
    <t>Kirkegade 4 A-C (tidl Kirkegade 2-6)</t>
  </si>
  <si>
    <t xml:space="preserve"> Forhuset mod Kirkegade (før 1767), porthuset (1835), sydlængen (1835-38) og det hermed sammenbyggede toetages hus i vest (1840) samt gårdspladsensbrolægning</t>
  </si>
  <si>
    <t>Klosterstien 12</t>
  </si>
  <si>
    <t xml:space="preserve"> Klosteret, Dommerkontor</t>
  </si>
  <si>
    <t xml:space="preserve"> Den toetages bygning med tårnet vest for kirken (1450-1500)</t>
  </si>
  <si>
    <t>Mariager havn</t>
  </si>
  <si>
    <t xml:space="preserve"> Havnekranen på Mariager Havn</t>
  </si>
  <si>
    <t xml:space="preserve"> Svingkranen (1930 ved Titan A/S) samt betonbroen, somkranen står på</t>
  </si>
  <si>
    <t>Randersvej 125B</t>
  </si>
  <si>
    <t xml:space="preserve"> Handest Station</t>
  </si>
  <si>
    <t xml:space="preserve"> Handest stationsbygning (1927 af Carl Lundquist) med brændeskur og plankeværk samt de nære omgivelser, herunder den støbte betonperronforkant og læsserampen vedpakhusdelen</t>
  </si>
  <si>
    <t>Sognegade 2</t>
  </si>
  <si>
    <t xml:space="preserve"> Sognegade 2</t>
  </si>
  <si>
    <t xml:space="preserve"> Forhuset (1700-tallet, udvidet 1766)</t>
  </si>
  <si>
    <t>Sognegade 4</t>
  </si>
  <si>
    <t xml:space="preserve"> Sognegade 4</t>
  </si>
  <si>
    <t>Stationsvej 12</t>
  </si>
  <si>
    <t xml:space="preserve"> Hobro Station</t>
  </si>
  <si>
    <t xml:space="preserve"> Hobro Stations Hovedbygning med Perrontaget (1893 af Thomas Arboe)</t>
  </si>
  <si>
    <t>Teglgade 18</t>
  </si>
  <si>
    <t xml:space="preserve"> Teglgade 18</t>
  </si>
  <si>
    <t xml:space="preserve"> Forhus med sidehus (1865, af Niels Holm, sidehus senere)</t>
  </si>
  <si>
    <t>Teglgade 20</t>
  </si>
  <si>
    <t xml:space="preserve"> Teglgade 20</t>
  </si>
  <si>
    <t xml:space="preserve"> Forhuset på syv fag (1833)</t>
  </si>
  <si>
    <t>Torvet 1 A-B</t>
  </si>
  <si>
    <t xml:space="preserve"> Mariager Rådhus (tidl)</t>
  </si>
  <si>
    <t xml:space="preserve"> Den tidl rådhusbygning (1821-22, forhøjet 1914 af Carl Lundqvist)</t>
  </si>
  <si>
    <t>Tygeslundvej 60</t>
  </si>
  <si>
    <t xml:space="preserve"> Tygeslund</t>
  </si>
  <si>
    <t xml:space="preserve"> Hovedbygningen (1848-49)</t>
  </si>
  <si>
    <t>Vestergade 8-12</t>
  </si>
  <si>
    <t xml:space="preserve"> Gamle Skole</t>
  </si>
  <si>
    <t xml:space="preserve"> Tidl skolebygning (1700-tallet, forlænget med to fag grundmur 1853)</t>
  </si>
  <si>
    <t>Visborggård Allé 39</t>
  </si>
  <si>
    <t xml:space="preserve"> Visborggård</t>
  </si>
  <si>
    <t xml:space="preserve"> Den trefløjede hovedbygning (hovedfløjen med hjørnetårne 1575-76, østfløj 1748 og vestfløj 1796), haven (formentlig 1500-tallet), den stensatte bro (ca 1915), lysthuset (beg 1800-tallet) samt muren med portpiller, sandstensskulpturer og to magasinbygninger mod syd (1768ff)</t>
  </si>
  <si>
    <t xml:space="preserve"> Udvidet 2001 og 2017*</t>
  </si>
  <si>
    <t>Willestrupvej 1</t>
  </si>
  <si>
    <t xml:space="preserve"> Willestrup</t>
  </si>
  <si>
    <t xml:space="preserve"> Alle hovedbygningens fløje (1538-42, ombygget 1757 og 1812-19) medvoldstedet samt det gamle bindingsværkslysthus ved vejen nordvest for hovedbygningen</t>
  </si>
  <si>
    <t>Østergade 28</t>
  </si>
  <si>
    <t xml:space="preserve"> Østergade 28</t>
  </si>
  <si>
    <t xml:space="preserve"> Forhus og sidehus (slutn af 1700-tallet)</t>
  </si>
  <si>
    <t>Østergade 5 A-B</t>
  </si>
  <si>
    <t xml:space="preserve"> Østergade 5 A-B</t>
  </si>
  <si>
    <t xml:space="preserve"> Det 13-fags forhus i bindingsværk (1732 og 1762)</t>
  </si>
  <si>
    <t>Østergade 7 A</t>
  </si>
  <si>
    <t xml:space="preserve"> Østergade 7 A</t>
  </si>
  <si>
    <t xml:space="preserve"> Det femfags bindingsværksforhus (del af et nittenfagsbindingsværkshus)(1700-tallet)</t>
  </si>
  <si>
    <t>Østergade 7 B</t>
  </si>
  <si>
    <t xml:space="preserve"> Østergade 7 B</t>
  </si>
  <si>
    <t xml:space="preserve"> Det fjortenfags bindingsværkshus (del af et nittenfagsbindingsværkshus)(1700-tallet)</t>
  </si>
  <si>
    <t>Middelfart Kommune</t>
  </si>
  <si>
    <t>Algade 18</t>
  </si>
  <si>
    <t xml:space="preserve"> Chr Iversens Hospital</t>
  </si>
  <si>
    <t xml:space="preserve"> Forhuset (1767)</t>
  </si>
  <si>
    <t>Algade 23</t>
  </si>
  <si>
    <t xml:space="preserve"> Borgmestergården</t>
  </si>
  <si>
    <t xml:space="preserve"> Forhuset (1844, kvisten nyere)</t>
  </si>
  <si>
    <t>Algade 24</t>
  </si>
  <si>
    <t xml:space="preserve"> Algade 24</t>
  </si>
  <si>
    <t>Algade 6</t>
  </si>
  <si>
    <t xml:space="preserve"> Middelfart gamle Rådhus</t>
  </si>
  <si>
    <t xml:space="preserve"> Forhuset med portfag (1816 af Johan Hanck)</t>
  </si>
  <si>
    <t>Algade 60, hj af Nygade</t>
  </si>
  <si>
    <t xml:space="preserve"> Algade 60, hj af Nygade</t>
  </si>
  <si>
    <t>Brogade 10</t>
  </si>
  <si>
    <t xml:space="preserve"> Brogade 10</t>
  </si>
  <si>
    <t xml:space="preserve"> Den gennemgående længe (1700-tallet) med del af bindingsværksgavlhus modgaden (ca 1600)</t>
  </si>
  <si>
    <t>Brogade 8</t>
  </si>
  <si>
    <t xml:space="preserve"> Henner Friisers Hus, Museet</t>
  </si>
  <si>
    <t xml:space="preserve"> Forhuset (ca 1575-1600)</t>
  </si>
  <si>
    <t>Bryggervej 15</t>
  </si>
  <si>
    <t xml:space="preserve"> Den firelængede gård (ca 1800) samt den brolagte gårdplads</t>
  </si>
  <si>
    <t xml:space="preserve"> Udv 1993</t>
  </si>
  <si>
    <t>Cathrinebjergvej 7</t>
  </si>
  <si>
    <t xml:space="preserve"> Kathrinebjerg</t>
  </si>
  <si>
    <t xml:space="preserve"> Den femfløjede hovedbygning (1803)</t>
  </si>
  <si>
    <t>Fjellerupvej 10</t>
  </si>
  <si>
    <t xml:space="preserve"> Harndrup Møllegård</t>
  </si>
  <si>
    <t xml:space="preserve"> Hovedbygningen og udlænger med vandmølle (1850 og senere)samt mølledæmning med sluser</t>
  </si>
  <si>
    <t>Fuglemosegyden 15-17</t>
  </si>
  <si>
    <t xml:space="preserve"> Hybæk Møllegård</t>
  </si>
  <si>
    <t xml:space="preserve"> Mølleanlægget bestående af det fritliggende stuehus (1830),sidehuset mod syd (1832), avlsbygningen mod nord med udbygning og portlængen (begge fra 1829) samt mølledammen og den brolagte gårdsplads</t>
  </si>
  <si>
    <t>Fønsskovvej 43</t>
  </si>
  <si>
    <t xml:space="preserve"> Risbro</t>
  </si>
  <si>
    <t xml:space="preserve"> Hovedbygningen (1842)</t>
  </si>
  <si>
    <t>Hindsgavl Allé 7-8 og Granhækken 2</t>
  </si>
  <si>
    <t xml:space="preserve"> Hindsgavl</t>
  </si>
  <si>
    <t xml:space="preserve"> Mnr 1ar: hovedbygningen (1784 formentlig af Hans Næss) og lysthuse i haven</t>
  </si>
  <si>
    <t>Jernbanevej 4</t>
  </si>
  <si>
    <t xml:space="preserve"> Nørre Åby Station</t>
  </si>
  <si>
    <t xml:space="preserve"> Hovedbygningen, pakhus- og toiletbygningen og den forbindende mur samt den overdækkede venteplads i tømmerkonstruktion mod perronen (1909 af Heinrich Wenck)</t>
  </si>
  <si>
    <t>Kalvehave 4</t>
  </si>
  <si>
    <t xml:space="preserve"> Kalvehave 4</t>
  </si>
  <si>
    <t xml:space="preserve"> Det firelængede gårdanlæg i bindingsværk med stråtag med udbygning pånordlængen (ca 1850) samt den brolagte gårdsplads</t>
  </si>
  <si>
    <t>Kongebrovej 42</t>
  </si>
  <si>
    <t xml:space="preserve"> Grimmerhus</t>
  </si>
  <si>
    <t xml:space="preserve"> Hovedbygning, den vinkelformede herskabsstald med støttemure og de toindgangslåger med granitsøjler (1856-57 af J.D. Herholdt) </t>
  </si>
  <si>
    <t>Kongebrovej 68</t>
  </si>
  <si>
    <t xml:space="preserve"> Grimmermosehuset</t>
  </si>
  <si>
    <t xml:space="preserve"> Bindingsværkhuset (før 1844, ombygget og udvidet 1905)</t>
  </si>
  <si>
    <t>Kællingbjerg 5</t>
  </si>
  <si>
    <t xml:space="preserve"> Kællingbjerg</t>
  </si>
  <si>
    <t xml:space="preserve"> Hovedbygningen (1872)</t>
  </si>
  <si>
    <t>Rugårdsvej 160</t>
  </si>
  <si>
    <t xml:space="preserve"> Kærsgård</t>
  </si>
  <si>
    <t xml:space="preserve"> Hovedbygningen (1815-17)</t>
  </si>
  <si>
    <t>Tybrindvej 2</t>
  </si>
  <si>
    <t xml:space="preserve"> Wedellsborg</t>
  </si>
  <si>
    <t xml:space="preserve"> Hovedbygningen (ca 1500 og slutningen af 1500-tallet, stærkt ombygget 1706og 1920)</t>
  </si>
  <si>
    <t xml:space="preserve">Morsø Kommune </t>
  </si>
  <si>
    <t>Feggesundvej 53</t>
  </si>
  <si>
    <t xml:space="preserve"> Skarregaard</t>
  </si>
  <si>
    <t xml:space="preserve"> Det fritliggende stushus (ca 1840), de tre sammenbyggede avlslænger med to tilbygninger mod nord (ca 1900), det mod syd tilbyggede maskinhus (1952) samt omgivelserne iform af brolægninger m.m. og haven</t>
  </si>
  <si>
    <t>Grønnegade 51-53 (Dueholmgade)</t>
  </si>
  <si>
    <t xml:space="preserve"> Dueholm Kloster</t>
  </si>
  <si>
    <t xml:space="preserve"> Nordfløj (middelalder, ca 1800) og østfløj (ca1800)</t>
  </si>
  <si>
    <t>Munkegade 22</t>
  </si>
  <si>
    <t xml:space="preserve"> Dueholm Mejeri</t>
  </si>
  <si>
    <t xml:space="preserve"> Bygningsdele fra før 1536</t>
  </si>
  <si>
    <t>Poulsen Dalsvej 7</t>
  </si>
  <si>
    <t xml:space="preserve"> Galtrup Forsamlingshus</t>
  </si>
  <si>
    <t xml:space="preserve"> Det ottekantede forsamlingshus (1876 af PovlsenNørbjerg)</t>
  </si>
  <si>
    <t>Rådhustorvet 1 K</t>
  </si>
  <si>
    <t xml:space="preserve"> Nykøbing Rådhus</t>
  </si>
  <si>
    <t xml:space="preserve"> Rådhusbygningen (1846-47 af Jens Paul Jacobsen og FrederikFerdinand Friis)</t>
  </si>
  <si>
    <t>Rådhustorvet 2 og 4</t>
  </si>
  <si>
    <t xml:space="preserve"> Palæet og Museet</t>
  </si>
  <si>
    <t xml:space="preserve"> Mnr 122e: forhuset "Palæet" (1890)* og på mnr 122a: forhuset"Museet" (1850)</t>
  </si>
  <si>
    <t>Strandgade 61</t>
  </si>
  <si>
    <t xml:space="preserve"> Strandgade 61</t>
  </si>
  <si>
    <t xml:space="preserve"> Det tidl fisker- og landarbejderhus, (ca 1846)</t>
  </si>
  <si>
    <t xml:space="preserve"> Havnepakhuset, Nykøbing M</t>
  </si>
  <si>
    <t xml:space="preserve"> Havnepakhuset (ca 1850)</t>
  </si>
  <si>
    <t>Nordjurs Kommune</t>
  </si>
  <si>
    <t>Ballevej 30</t>
  </si>
  <si>
    <t xml:space="preserve"> Lykkesholm</t>
  </si>
  <si>
    <t xml:space="preserve"> Hovedbygningen (1804)</t>
  </si>
  <si>
    <t>Hammelevvej 62-64</t>
  </si>
  <si>
    <t xml:space="preserve"> Hammelev Præstegård</t>
  </si>
  <si>
    <t xml:space="preserve"> Den trelængede bindingsværksgård (1600-tallet)</t>
  </si>
  <si>
    <t>Holbækgårdsvej 20</t>
  </si>
  <si>
    <t xml:space="preserve"> Holbækgård</t>
  </si>
  <si>
    <t xml:space="preserve"> Hovedbygningen (søndre del muligvis 1562 af Villestrupmesteren,nordre del 1645)</t>
  </si>
  <si>
    <t>Katholm 1</t>
  </si>
  <si>
    <t xml:space="preserve"> Katholm</t>
  </si>
  <si>
    <t xml:space="preserve"> Den trefløjede hovedbygning (1588-91, vestfløjen 1622) og vestfløjens tosidebygninger</t>
  </si>
  <si>
    <t>Kirkegade 19</t>
  </si>
  <si>
    <t xml:space="preserve"> Auning Hospital</t>
  </si>
  <si>
    <t xml:space="preserve"> Hospitalsbygningen (middelalder og senere)</t>
  </si>
  <si>
    <t>Lillegade 26 D</t>
  </si>
  <si>
    <t xml:space="preserve"> Ørsted Kirkelade</t>
  </si>
  <si>
    <t>Lillegade 39</t>
  </si>
  <si>
    <t xml:space="preserve"> Lillegade 39, Grenaa</t>
  </si>
  <si>
    <t xml:space="preserve"> Forhuset med sidehus (1700-tallet)</t>
  </si>
  <si>
    <t>Lillegade 50</t>
  </si>
  <si>
    <t xml:space="preserve"> Lillegade 50, Grenaa</t>
  </si>
  <si>
    <t xml:space="preserve"> Den vinkelformede bygning på hjørnet af Lillegade og Vestbanegade(1700-tallet)</t>
  </si>
  <si>
    <t>Løvenholmvej 66</t>
  </si>
  <si>
    <t xml:space="preserve"> Løvenholm</t>
  </si>
  <si>
    <t xml:space="preserve"> Den tofløjede hovedbygning (østfløjen 1576, sydfløjen ca 1620,hjørnetårnet i sydøst 1642)</t>
  </si>
  <si>
    <t>Maria Hjerte Engen 2, 3 og 47</t>
  </si>
  <si>
    <t xml:space="preserve"> Sostrup, Benzon (tidl)</t>
  </si>
  <si>
    <t xml:space="preserve"> Den trefløjede hovedbygning (1599-1606) medomgivende grave samt avlsbygningerne omkring den store gårdsplads</t>
  </si>
  <si>
    <t>Meilgaardvej 15</t>
  </si>
  <si>
    <t xml:space="preserve"> Mejlgård</t>
  </si>
  <si>
    <t xml:space="preserve"> Den trefløjede hovedbygning (1573, ombygget 1888-91)</t>
  </si>
  <si>
    <t>Randersvej 2</t>
  </si>
  <si>
    <t xml:space="preserve"> Gammel Estrup</t>
  </si>
  <si>
    <t xml:space="preserve"> Den trefløjede hovedbygning (ca 1500, stærkt ombygget 1590-1625 blaaf Mathias Bygmester) og orangerierne (1700-tallet)</t>
  </si>
  <si>
    <t>Randersvej 2 (tidl Bavnehøjvej 1 A), Grenaa</t>
  </si>
  <si>
    <t xml:space="preserve"> Grenaa Vandværk</t>
  </si>
  <si>
    <t xml:space="preserve"> Maskinhuset til Grenaa Vandværk (1907af ingeniør T.R. English) samt den smalle bræmme med brosten rundt om bygningen</t>
  </si>
  <si>
    <t>Randersvej 4-6</t>
  </si>
  <si>
    <t xml:space="preserve"> Avlsgården, Gammel Estrup</t>
  </si>
  <si>
    <t xml:space="preserve"> Portfløjen, laden og ridehuset samt sidebygningernevinkelret på portfløjen (ca 1600, ridehuset 1722)</t>
  </si>
  <si>
    <t>Smedestræde 2</t>
  </si>
  <si>
    <t xml:space="preserve"> Smedestræde 2, Grenaa</t>
  </si>
  <si>
    <t xml:space="preserve"> Forhuset med smedje og bolig (1849)</t>
  </si>
  <si>
    <t>Stenaltvej 8</t>
  </si>
  <si>
    <t xml:space="preserve"> Stenalt</t>
  </si>
  <si>
    <t xml:space="preserve"> Hovedbygningen (1799 ff af Anders Kruuse) med omgivende grave</t>
  </si>
  <si>
    <t>Stokkebro 60</t>
  </si>
  <si>
    <t xml:space="preserve"> Stokkebro 60</t>
  </si>
  <si>
    <t xml:space="preserve"> Det fritliggende stuehus (1855), de tre sammenbyggede avlslænger (øst- ognordlængen 1881, vestlængen 1920) samt den brolagte gårdsplads</t>
  </si>
  <si>
    <t>Søndergade 1</t>
  </si>
  <si>
    <t xml:space="preserve"> Søndergade 1, Grenaa</t>
  </si>
  <si>
    <t xml:space="preserve"> Vinkelbygningen på hj af Søndergade og Kannikegade (ca 1700-20), sidebygningen mod nord* og pakhuset mod øst samt i den bageste gård pakhuset mod nord og smedien mod Kannikegade</t>
  </si>
  <si>
    <t xml:space="preserve"> Udvidet 1965*</t>
  </si>
  <si>
    <t>Toresvej 2</t>
  </si>
  <si>
    <t xml:space="preserve"> Rimsø Præstegård</t>
  </si>
  <si>
    <t xml:space="preserve"> Stuehuset i vest samt sydlængen (formentlig 1593 og senere)</t>
  </si>
  <si>
    <t>Torvet 1 og Mogensgade 1</t>
  </si>
  <si>
    <t xml:space="preserve"> Grenaa gamle Rådhus</t>
  </si>
  <si>
    <t xml:space="preserve"> Den gamle rådhusbygning (1806-08 af Just Møller)og den hermed sammenbyggede arrestbygning (1879 af Thomas Arboe)</t>
  </si>
  <si>
    <t xml:space="preserve"> Udvidet 1987</t>
  </si>
  <si>
    <t>Ørkenvej 100-102</t>
  </si>
  <si>
    <t xml:space="preserve"> Anholt Fyr</t>
  </si>
  <si>
    <t xml:space="preserve"> Anholt fyr (1785 af Ernst Peymann, ombygget 1836, overdelen 1881) medkasematter (1809) og fyrmesterbolig</t>
  </si>
  <si>
    <t>Østergade 22</t>
  </si>
  <si>
    <t xml:space="preserve"> Mommes Stiftelse, Grenaa</t>
  </si>
  <si>
    <t xml:space="preserve"> Det toetages hus (1894)</t>
  </si>
  <si>
    <t xml:space="preserve">Nordfyns Kommune </t>
  </si>
  <si>
    <t>Adelgade 44 og 44 A</t>
  </si>
  <si>
    <t xml:space="preserve"> Bryggergården</t>
  </si>
  <si>
    <t>Adelgade 54</t>
  </si>
  <si>
    <t xml:space="preserve"> Adelgade 54, Bogense</t>
  </si>
  <si>
    <t>Alléen 11</t>
  </si>
  <si>
    <t xml:space="preserve"> Egebjerggård, Einsidelsborg (tidl)</t>
  </si>
  <si>
    <t xml:space="preserve"> Hovedbygningen (1831 formentlig af Jørgen Hansen Koch)med foranliggende to pavillonbygninger</t>
  </si>
  <si>
    <t>Assensvej 3 og 1 A</t>
  </si>
  <si>
    <t xml:space="preserve"> Harridslevgård</t>
  </si>
  <si>
    <t xml:space="preserve"> Hovedbygningen (1606 og senere, porthuset muligvis af Domenicus Badiaz), nordlængen og sydlængen (ca 1850) samt stenbelægningen imellem disse, ladebygningen modnordvest (ca 1850)* og den vinkelbyggede vandmølle mod vest (ca 1850)</t>
  </si>
  <si>
    <t xml:space="preserve"> Udvidet 1991</t>
  </si>
  <si>
    <t>Bakkevej 2 B</t>
  </si>
  <si>
    <t xml:space="preserve"> Otterup Hospital</t>
  </si>
  <si>
    <t xml:space="preserve"> Hospitalsbygningen (1720)</t>
  </si>
  <si>
    <t>Blæsbjergvej 19</t>
  </si>
  <si>
    <t xml:space="preserve"> Røde Mølle, Savmølle ved Langesø</t>
  </si>
  <si>
    <t xml:space="preserve"> Stuehuset og møllebygningen med vandmølleværk (ca1825)</t>
  </si>
  <si>
    <t>Burskovvej 2</t>
  </si>
  <si>
    <t xml:space="preserve"> Gyldensteen</t>
  </si>
  <si>
    <t xml:space="preserve"> Den firefløjede hovedbygning med voldsted og bro (hovedfløjen mod syd 1640, de lave vinkelbygninger 1700-tallet, forbindelsesbygningerne mellem disse og hovedfløjen omkring 1800), samt af den tidl avlsgård det tiloversblevne af vestlængen (1636) og østlængen (1724)</t>
  </si>
  <si>
    <t>Dallundvej 63</t>
  </si>
  <si>
    <t xml:space="preserve"> Dallund</t>
  </si>
  <si>
    <t xml:space="preserve"> Den firefløjede hovedbygning (ca 1520 og 1723, stærkt ombygget 1849; tårnet1634)</t>
  </si>
  <si>
    <t>Hofmansgavevej 23-27</t>
  </si>
  <si>
    <t xml:space="preserve"> Hofmansgave</t>
  </si>
  <si>
    <t xml:space="preserve"> Den trefløjede hovedbygning (1784-87 af J.C. Seyffert) og den hermed sammenbyggede fløj mod nord kaldet "Langelinie" (efter 1803), længen øst for "Nørregade" og længen vest for "Nørregade" (1784) med den dermed sammenbyggede vestlænge samt Det Norske Hus(1814) i haven</t>
  </si>
  <si>
    <t>Højagervej 32</t>
  </si>
  <si>
    <t xml:space="preserve"> Højagervej 32</t>
  </si>
  <si>
    <t xml:space="preserve"> Det sammenbyggede firelængede gårdanlæg (ca 1800, stuehuset 1858) ogden brolagte gårdsplads</t>
  </si>
  <si>
    <t>Jersorevej 31</t>
  </si>
  <si>
    <t xml:space="preserve"> Jersoregård</t>
  </si>
  <si>
    <t xml:space="preserve"> Den firelængede bondegård med fritliggende stuehus, tre avlslænger samttilbygning mod nordøst, forbindelsesmurene mellem stuehus og avlslænger (1880) samt den brostensbelagte gårdsplads</t>
  </si>
  <si>
    <t>Jerstrupvej 44</t>
  </si>
  <si>
    <t xml:space="preserve"> Jerstrup </t>
  </si>
  <si>
    <t xml:space="preserve"> Den trefløjede hovedbygning med udløberfløj mod øst og broanlæg (1700-tallet)</t>
  </si>
  <si>
    <t>Kirkemosevej 2</t>
  </si>
  <si>
    <t xml:space="preserve"> Sandagergård</t>
  </si>
  <si>
    <t xml:space="preserve"> Den trelængede hovedbygning (vestfløj fra ca 1610, de øvrige fløje fra 1700-tallet) med voldsted og grave samt avlsgårdens østlænge (ca 1600) og den 12 fag lange vognport mod vest (ca 1725)</t>
  </si>
  <si>
    <t xml:space="preserve"> (Fredning af vestlængens sydlige del, agerumsladen,ophævet 2015)</t>
  </si>
  <si>
    <t xml:space="preserve"> Særslev Præstegård</t>
  </si>
  <si>
    <t xml:space="preserve"> Stuehuset (1805-06)</t>
  </si>
  <si>
    <t>Kørupvej 10</t>
  </si>
  <si>
    <t xml:space="preserve"> Kørup</t>
  </si>
  <si>
    <t xml:space="preserve"> Hovedbygningen (den østlige længe fra 1582, muligvis af Domenicus Badiaz, og den hermed sammenbyggede sidelænge mod syd fra 1750-1780) samt bindingsværkslængen (1800-20)</t>
  </si>
  <si>
    <t>Kørupvej 16-18</t>
  </si>
  <si>
    <t xml:space="preserve"> Støbejernsmindestøtten</t>
  </si>
  <si>
    <t xml:space="preserve"> Mindestøtten i støbejern med inskriptioner og illustrationer(1808, flyttet 1912 til flyvesandsområdet)</t>
  </si>
  <si>
    <t>Langesøvej 146</t>
  </si>
  <si>
    <t xml:space="preserve"> Langesø</t>
  </si>
  <si>
    <t xml:space="preserve"> Hovedbygningen (1774-78 af Georg Dietrich Tschierske, Georg ErdmanRosenberg og Hans Næss), mellembygningerne og fløjene (ca 1780) samt takstræerne med støbejernsrækværket (ca 1880)</t>
  </si>
  <si>
    <t xml:space="preserve"> Udvidet 1993**</t>
  </si>
  <si>
    <t>Margårdsvej 10</t>
  </si>
  <si>
    <t xml:space="preserve"> Margård</t>
  </si>
  <si>
    <t xml:space="preserve"> Hovedbygningen (1745 af Gottfried Rosenberg)</t>
  </si>
  <si>
    <t>Oregårdvej 23</t>
  </si>
  <si>
    <t xml:space="preserve"> Oregård</t>
  </si>
  <si>
    <t xml:space="preserve"> Hovedbygningen (ca 1600)</t>
  </si>
  <si>
    <t>Sankt Annagade 4</t>
  </si>
  <si>
    <t xml:space="preserve"> Bogense gamle Rådhus</t>
  </si>
  <si>
    <t xml:space="preserve"> Forhuset (1846), vognporten mod Rådhusstræde samt denforbindende mur med port</t>
  </si>
  <si>
    <t>Stegøvej 98 A</t>
  </si>
  <si>
    <t xml:space="preserve"> Stegø Pumpemølle</t>
  </si>
  <si>
    <t xml:space="preserve"> Pumpemøllen (1817)</t>
  </si>
  <si>
    <t>Strandvejen 151 (tidl Franktoftegyden 38)</t>
  </si>
  <si>
    <t xml:space="preserve"> Ørritslevgård</t>
  </si>
  <si>
    <t xml:space="preserve"> Den trefløjede hovedbygning (1620, stærktombygget 1789) med grave</t>
  </si>
  <si>
    <t>Tværskovvej 51</t>
  </si>
  <si>
    <t xml:space="preserve"> Tværskov Mølle</t>
  </si>
  <si>
    <t xml:space="preserve"> Bindingsværksbygningerne (1700-tallet)</t>
  </si>
  <si>
    <t>Tørresøvej 167 A-B</t>
  </si>
  <si>
    <t xml:space="preserve"> Runddelhus</t>
  </si>
  <si>
    <t xml:space="preserve"> Det T-formede bindingsværksgårdanlæg (1800-tallet)</t>
  </si>
  <si>
    <t>Østergade 19 og 19 C</t>
  </si>
  <si>
    <t xml:space="preserve"> Østergade 19 og 19 C</t>
  </si>
  <si>
    <t xml:space="preserve"> Forhus med sidehus mod Sct. Annagade (1600-tallet)</t>
  </si>
  <si>
    <t xml:space="preserve"> Landbohjemmet</t>
  </si>
  <si>
    <t xml:space="preserve">Nyborg Kommune </t>
  </si>
  <si>
    <t>Adelgade 1 og Korsbrødregade 2</t>
  </si>
  <si>
    <t xml:space="preserve"> Korsbrødregården, Sankt Hans Gård</t>
  </si>
  <si>
    <t xml:space="preserve"> Forhuset (middelalder og 1614, muligvisaf Domenicus Badiaz)</t>
  </si>
  <si>
    <t>Adelgade 2 og Kongegade 24</t>
  </si>
  <si>
    <t xml:space="preserve"> Adelgade 2 og Kongegade 24</t>
  </si>
  <si>
    <t xml:space="preserve"> Det toetagers forhus (tidl apotek) mod Kongegade (ca 1800) og det dermed sammenbyggede treetagers hjørnehus med facade mod Adelgade(slutn af 1800-tallet)</t>
  </si>
  <si>
    <t>Aunslev Kirkevej 3</t>
  </si>
  <si>
    <t xml:space="preserve"> Aunslev Hospital</t>
  </si>
  <si>
    <t xml:space="preserve"> Hospitalsbygningen (muligvis 1755)</t>
  </si>
  <si>
    <t>Blegdamsgade 14</t>
  </si>
  <si>
    <t xml:space="preserve"> Blegdamsgade 14</t>
  </si>
  <si>
    <t xml:space="preserve"> Forhuset (de seks østligste fag fra 1700-tallet, de to vestligste fag fra 1800-tallet), muren med portfag og de to sammenbyggede udhuslænger med halvtagsbygning modBlegdamsgade</t>
  </si>
  <si>
    <t>Blegdamsgade 7</t>
  </si>
  <si>
    <t xml:space="preserve"> Blegdamsgade 7</t>
  </si>
  <si>
    <t xml:space="preserve"> Forhuset og de to selvstændige sidehuse</t>
  </si>
  <si>
    <t xml:space="preserve"> Bøjdenvej 116 A</t>
  </si>
  <si>
    <t xml:space="preserve"> Vindinge Kirkelade</t>
  </si>
  <si>
    <t xml:space="preserve"> Kirkeladebygningen (ca 1500-50)</t>
  </si>
  <si>
    <t>Dyrehavevej 84</t>
  </si>
  <si>
    <t xml:space="preserve"> Dyrehave Mølle</t>
  </si>
  <si>
    <t xml:space="preserve"> Vindmøllen (1858)</t>
  </si>
  <si>
    <t>Ferritslevvej 28 A</t>
  </si>
  <si>
    <t xml:space="preserve"> Kullerup Præstegård</t>
  </si>
  <si>
    <t xml:space="preserve"> Præstegården (1760)</t>
  </si>
  <si>
    <t>Fyrvej 1A, Knudshoved (jernbaneterræn)</t>
  </si>
  <si>
    <t xml:space="preserve"> Den tidl Isbådsstation</t>
  </si>
  <si>
    <t xml:space="preserve"> Den tidl Isbådstation Hovedbygningenmed stolpestøttet tagudhæng foran facaden (begyndelsen af 1800-tallet) og alle bygninger omkring den bagvedliggende gård</t>
  </si>
  <si>
    <t>Glorupvej 34</t>
  </si>
  <si>
    <t xml:space="preserve"> Glorup</t>
  </si>
  <si>
    <t xml:space="preserve"> Den firefløjede hovedbygning (ca 1580, helt ombygget 1743-44 af Philip de Lange,atter ombygget 1762-65 af Christian Joseph Zuber; tagrytteren 1773-75) med rundtemplet i haven</t>
  </si>
  <si>
    <t>Grønne Møllevejen 2</t>
  </si>
  <si>
    <t xml:space="preserve"> Grønne Mølle</t>
  </si>
  <si>
    <t xml:space="preserve"> Vandmølle- og stuehus samt avlslængerne (1843), brolægningen pågårdspladsen og mølledammen med tilhørende dige og dæmning samt kanalerne i haven</t>
  </si>
  <si>
    <t xml:space="preserve"> Havnetoldkammeret</t>
  </si>
  <si>
    <t xml:space="preserve"> Den fritliggende bygning (1856)</t>
  </si>
  <si>
    <t>Holckenhavn 1</t>
  </si>
  <si>
    <t xml:space="preserve"> Holckenhavn</t>
  </si>
  <si>
    <t xml:space="preserve"> Hovedbygningen (øst- og nordfløj samt del af portpartiet i sydfløj: 1579-85 af Hercules Midow; tårnet midt foran østfløjen og ydre karnaptårne 1596 ff muligvis af Domenicus Badiaz; vestfløjen og bygningerne ved porthvælvingen 1630 ff) samt broen med de to lygtestandere og smedejernsrækværket med låger (u.å. formodentlig restaureret 1904-10 af arkitekt August Colding)</t>
  </si>
  <si>
    <t>Udvidet 2006*</t>
  </si>
  <si>
    <t>Juelsbergvej 11 og 11 A-C</t>
  </si>
  <si>
    <t xml:space="preserve"> Juelsberg</t>
  </si>
  <si>
    <t xml:space="preserve"> Hovedbygningen (1771 af Georg Dietrich Tschierske og Georg Erdman Rosenberg), de to sidefløje (1865-66 af Bernhard Seidelin) med disses forbindelsesfløje til hovedfløjen og støbejernsgitret der forbinder sidefløjene og indrammer gårdspladsen samt tepavillonen(1843 af snedkermester Christian Hansen) og den underliggende iskælder</t>
  </si>
  <si>
    <t>Juulskovvej 12</t>
  </si>
  <si>
    <t xml:space="preserve"> Juulskov</t>
  </si>
  <si>
    <t xml:space="preserve"> Hovedbygningen (1586-99 muligvis af Domenicus Badiaz)</t>
  </si>
  <si>
    <t>Kongegade 1</t>
  </si>
  <si>
    <t xml:space="preserve"> Gyldencrones Palæ</t>
  </si>
  <si>
    <t xml:space="preserve"> Forhus med sidelænger (formentlig 1600-tallet og ca 1800)</t>
  </si>
  <si>
    <t>Kongegade 12</t>
  </si>
  <si>
    <t xml:space="preserve"> Jacob Enckes Gård</t>
  </si>
  <si>
    <t xml:space="preserve"> Forhuset (ca 1800), vestre sidehus (slutn af 1800-tallet), vestrebaghus og østre sidehus (ca 1800)</t>
  </si>
  <si>
    <t>Korsbrødregade 4</t>
  </si>
  <si>
    <t xml:space="preserve"> Nyborg Præstegård</t>
  </si>
  <si>
    <t xml:space="preserve"> Forhuset (ca 1400)</t>
  </si>
  <si>
    <t>Korsgade 2</t>
  </si>
  <si>
    <t>Kalentegården</t>
  </si>
  <si>
    <t xml:space="preserve"> Forhuset (ca 1800, kælderen middelalderlig)</t>
  </si>
  <si>
    <t>Korsgade 4</t>
  </si>
  <si>
    <t>Lillemøllevej 14</t>
  </si>
  <si>
    <t xml:space="preserve"> Lille Mølle</t>
  </si>
  <si>
    <t xml:space="preserve"> Stuehuset med vandmøllen (1827) med to vandhjul, læsserampe og alt nagelfast mølleinventar, det vinkelbyggede udhus (tidligere stald og ladebygning 1827, senere ombygget), de markstensbelagte arealer langs bygningerne og den markstensbelagte gårdsplads, samt stemmeværk med stigbord, malekarm, sliskerne, den kampestenssatte rende ved møllehjulene samt det videre forløb i bagløbet til sammenløbet mod nord med friløbet, stemmeværk og overfaldskant mod frislusen, vejdæmningen, frislusen fra møllesøen til sammenløbet mod nord med bagløbet og møllesøen.  Dertil kommer de rød- og hvidmalede rækværk med tilhørende granitpiller og standere langs vejen.</t>
  </si>
  <si>
    <t>Udvidet 2011*</t>
  </si>
  <si>
    <t>Lykkesholmvej 20</t>
  </si>
  <si>
    <t xml:space="preserve"> "Hovedbygningen (ca 1600 muligvis af Domenicus Badiaz, 1640'rne og1780'erne) samt ""Odenseport"" (1642)</t>
  </si>
  <si>
    <t>Nyborg Volde og Lindealléen 1</t>
  </si>
  <si>
    <t xml:space="preserve"> Nyborg Volde</t>
  </si>
  <si>
    <t xml:space="preserve"> Befæstningsanlægget med græsklædte og beplantede jordvolde, to porte og magasin (1600-tallet af Henrick Ruse og 1700-tallet) samt Landporten (1666 ogsenere) og Jomfrutårnet</t>
  </si>
  <si>
    <t xml:space="preserve"> Rasmus Møllers Gård</t>
  </si>
  <si>
    <t>Ravnholtsvej 57</t>
  </si>
  <si>
    <t xml:space="preserve"> Ravnholt</t>
  </si>
  <si>
    <t xml:space="preserve"> Den trefløjede hovedbygning med tværfløj (ca 1620, kapellet fra 1737,ombygget 1864-70 af H.A.W.Haugsted) </t>
  </si>
  <si>
    <t>Risingevej 7</t>
  </si>
  <si>
    <t xml:space="preserve"> Risinge</t>
  </si>
  <si>
    <t xml:space="preserve"> Det trefløjede anlæg, bestående af hovedbygningen (1750, udvidet 1794 ogrestaureret 1933) med tårn (1903 af Anton Rosen) og to sidefløje med en på den nordlige fløj påbygget mejeribygning (ca 1850)</t>
  </si>
  <si>
    <t>Rosildevænget 8 M</t>
  </si>
  <si>
    <t xml:space="preserve"> Vindinge Sprøjtehus</t>
  </si>
  <si>
    <t xml:space="preserve"> Sprøjtehuset (slutn af 1800-tallet)</t>
  </si>
  <si>
    <t>Rygårdsvej 28</t>
  </si>
  <si>
    <t xml:space="preserve"> Rygård</t>
  </si>
  <si>
    <t xml:space="preserve"> Den firefløjede hovedbygning (ca 1525 og ca 1550 muligvis af Martin Bussert;tårnet ca 1593)</t>
  </si>
  <si>
    <t>Sentvedvej 1</t>
  </si>
  <si>
    <t xml:space="preserve"> Sentvedvej 1</t>
  </si>
  <si>
    <t xml:space="preserve"> Den trelængede, stråtækte bindingsværksbygning (ca 1800)</t>
  </si>
  <si>
    <t>Skippergade 26</t>
  </si>
  <si>
    <t xml:space="preserve"> Skippergade 26</t>
  </si>
  <si>
    <t>Skippergade 26 A-D</t>
  </si>
  <si>
    <t xml:space="preserve"> Skippergade 26 A-D</t>
  </si>
  <si>
    <t xml:space="preserve"> Forhus, østre sidehus og vestre sidehus (1700-tallet)</t>
  </si>
  <si>
    <t>Slipshavnsvej 51</t>
  </si>
  <si>
    <t xml:space="preserve"> Slipshavn Lodsstation</t>
  </si>
  <si>
    <t xml:space="preserve"> Lodsstationen (ca 1840-50)</t>
  </si>
  <si>
    <t xml:space="preserve"> Mads Lerches Gård</t>
  </si>
  <si>
    <t xml:space="preserve"> Forhuset (1601), østlige sidehus (1637), vestlige sidehus (1634) samtgårdspladsens brolægning</t>
  </si>
  <si>
    <t>Slotsgade 13</t>
  </si>
  <si>
    <t xml:space="preserve"> Slotsgade 13</t>
  </si>
  <si>
    <t xml:space="preserve"> Forhuset (ca 1850 og senere)</t>
  </si>
  <si>
    <t xml:space="preserve"> Forhuset (slutn af 1500-tallet og senere)</t>
  </si>
  <si>
    <t>Slotsgade 36-37 (tidl Slotsgade 34)</t>
  </si>
  <si>
    <t xml:space="preserve"> Nyborg Slot</t>
  </si>
  <si>
    <t xml:space="preserve"> Det resterende slotskompleks bestående af vestfløjenog østtårnet (ca 1200 og 1549 ff af Martin Bussert)</t>
  </si>
  <si>
    <t>Slotsgade 503</t>
  </si>
  <si>
    <t xml:space="preserve"> Nyborg Vandtårn</t>
  </si>
  <si>
    <t xml:space="preserve"> Nyborg vandtårn (1899 af Emil Schwanenflügel)</t>
  </si>
  <si>
    <t>Svendborgvej 71-75</t>
  </si>
  <si>
    <t xml:space="preserve"> Svindinge Hospital, Glorups Stiftelse</t>
  </si>
  <si>
    <t xml:space="preserve"> Hospitalsbygningen (1500-tallet og 1853)</t>
  </si>
  <si>
    <t>Svendborgvej 99</t>
  </si>
  <si>
    <t xml:space="preserve"> Hindemae</t>
  </si>
  <si>
    <t xml:space="preserve"> Hovedbygningen (ca 1790)</t>
  </si>
  <si>
    <t>Telegrafvej 2</t>
  </si>
  <si>
    <t xml:space="preserve"> Juelsberg, Optisk Telegraf </t>
  </si>
  <si>
    <t>Telegrafbygningen og hermed sammenbyggetbeboelseshus (1802, ombygget 1862 efter mastetelegrafens omdannelse til sømærke</t>
  </si>
  <si>
    <t xml:space="preserve"> Nyborg Rådhus</t>
  </si>
  <si>
    <t xml:space="preserve"> Rådhusbygningen (1585-86, genopført efter brand 1803, ombygget 1862 afVilhelm Tvede, 1899 af August Colding og 1931-36)</t>
  </si>
  <si>
    <t>Torvet 10</t>
  </si>
  <si>
    <t xml:space="preserve"> Slotsmøllerens Hus</t>
  </si>
  <si>
    <t xml:space="preserve"> Forhuset og sidehuset (1755 og senere)</t>
  </si>
  <si>
    <t xml:space="preserve"> Nyborg Bibliotek</t>
  </si>
  <si>
    <t xml:space="preserve"> Biblioteksbygningerne og det omgivende haveanlæg (1938-39 af Erik Møller,Flemming Lassen og Hans J. Wegner) </t>
  </si>
  <si>
    <t>Ørbæklundevej 1</t>
  </si>
  <si>
    <t xml:space="preserve"> Ørbæklunde</t>
  </si>
  <si>
    <t xml:space="preserve"> Hovedbygningen (ca 1560 og 1593) og den hermed sammenbyggede fløj mod øst (ca 1630) samt af avlsgården: agerumsladen og den med denne sammenbyggede smallere syd- og østfløj samt sydgavlen af det vest for agerumsladen beliggende hus (1631)</t>
  </si>
  <si>
    <t xml:space="preserve"> Udvidet1987*</t>
  </si>
  <si>
    <t>Næstved Kommune</t>
  </si>
  <si>
    <t>Bakkegårdsvej 2</t>
  </si>
  <si>
    <t xml:space="preserve"> Tystrup Præstegård</t>
  </si>
  <si>
    <t xml:space="preserve"> Bindingsværkslængen i øst (første halvdel af 1800-tallet)</t>
  </si>
  <si>
    <t>Brogade 2, hj af Møllegade</t>
  </si>
  <si>
    <t xml:space="preserve"> Brogade 2</t>
  </si>
  <si>
    <t xml:space="preserve"> Forhus med sidehus, pakhuset langs Møllegade samt detfritliggende pakhus</t>
  </si>
  <si>
    <t>Byvej 11</t>
  </si>
  <si>
    <t xml:space="preserve"> Hammer Præstegård</t>
  </si>
  <si>
    <t xml:space="preserve"> Den trelængede præstegård (ca 1750)</t>
  </si>
  <si>
    <t>Bækkeskov Allé 1</t>
  </si>
  <si>
    <t xml:space="preserve"> Bækkeskov</t>
  </si>
  <si>
    <t xml:space="preserve"> Hovedbygningen (1796-98)</t>
  </si>
  <si>
    <t>Bårsevej 3 D</t>
  </si>
  <si>
    <t xml:space="preserve"> Snesere Tromlehus</t>
  </si>
  <si>
    <t xml:space="preserve"> Sprøjte- og tromlehuset (ca 1928 af Julius Rasmussen)</t>
  </si>
  <si>
    <t>Bårsevej 4</t>
  </si>
  <si>
    <t xml:space="preserve"> Snesere Rytterskole</t>
  </si>
  <si>
    <t xml:space="preserve"> Rytterskolen (1724)</t>
  </si>
  <si>
    <t>Christian Winthersvej 2</t>
  </si>
  <si>
    <t xml:space="preserve"> Fensmark Præstegård</t>
  </si>
  <si>
    <t xml:space="preserve"> Stuehuset (1837) og de tre sammenbyggede udlænger(ca 1775)</t>
  </si>
  <si>
    <t>Engelholmvej 1</t>
  </si>
  <si>
    <t xml:space="preserve"> Engelholm</t>
  </si>
  <si>
    <t xml:space="preserve"> Hovedbygningen (1781-85)</t>
  </si>
  <si>
    <t>Fensmarkvej 9</t>
  </si>
  <si>
    <t xml:space="preserve"> Viborggård</t>
  </si>
  <si>
    <t>Fyrendalvej 14</t>
  </si>
  <si>
    <t xml:space="preserve"> Fuirendal</t>
  </si>
  <si>
    <t xml:space="preserve"> Hovedbygning (1609) og portfløj (ca 1610)</t>
  </si>
  <si>
    <t>Fyrendalvej 27</t>
  </si>
  <si>
    <t xml:space="preserve"> Hammershus</t>
  </si>
  <si>
    <t xml:space="preserve"> Beboelseshuset med lerstampede mure (ca 1813)</t>
  </si>
  <si>
    <t xml:space="preserve"> Førslevvej 54</t>
  </si>
  <si>
    <t xml:space="preserve"> Førslevgård</t>
  </si>
  <si>
    <t xml:space="preserve"> Den trefløjede hovedbygning (1726)</t>
  </si>
  <si>
    <t>Gavnø 11-13</t>
  </si>
  <si>
    <t xml:space="preserve"> Gavnø Gartnerbolig</t>
  </si>
  <si>
    <t xml:space="preserve"> Stuehuset (ca 1800) og stalden</t>
  </si>
  <si>
    <t>Gavnø 2</t>
  </si>
  <si>
    <t xml:space="preserve"> Gavnø</t>
  </si>
  <si>
    <t xml:space="preserve"> Den trefløjede hovedbygning (ca 1400, stærkt ombygget 1755 antagelig af JacobFortling)</t>
  </si>
  <si>
    <t>Grønnegade 10 og 10 D, F, K og T</t>
  </si>
  <si>
    <t xml:space="preserve"> Den gamle Rytterkaserne</t>
  </si>
  <si>
    <t xml:space="preserve"> Det gamle ridehus (1799), den gamlefægtesalsbygning mod Grønnegade (1855), den ældste kasernebygning (1847), staldbygningen (1847) og det nye ridehus (1888)</t>
  </si>
  <si>
    <t>Gunderslevvej 17</t>
  </si>
  <si>
    <t xml:space="preserve"> Gunderslevholm</t>
  </si>
  <si>
    <t xml:space="preserve"> Hovedbygningen (1729, ombygget 1787)</t>
  </si>
  <si>
    <t>Herlufsholm Allé 170-186</t>
  </si>
  <si>
    <t xml:space="preserve"> Herlufsholm</t>
  </si>
  <si>
    <t xml:space="preserve"> "Mnr 1d: hele det trefløjede klosteranlæg (1200-tallet og senere,ombygget 1868-70 af J.D. Herholdt, den østre gang ind mod klostergården 1502), skolebygningen (opr. lade 1743, ombygget 1809-12 af Johan Georg Schwartzkopf og forhøjet 1852-53 af Georg Kretz), museumsbygningen (1874-76 af J. D. Herholdt), musiklærerboligen (opr. sogneskole), rektorboligen (1794 af Philip Lange) med rest af klostermur samt det bagved liggende bindingsværksudhus og sprøjtehuset; mnr 1b: Godsforvalterboligen (1812 af Johan Georg Schwartzkopf) og ""Hvælvingebroen"" over Susåen(ca 1740, muligvis af Elias David Häusser)</t>
  </si>
  <si>
    <t xml:space="preserve"> Udvidet 1945 og 1979</t>
  </si>
  <si>
    <t>Hjultorv 2 og Ramsherred 2</t>
  </si>
  <si>
    <t xml:space="preserve"> Dom- og arresthuset - det tidl rådhus i Næstved</t>
  </si>
  <si>
    <t xml:space="preserve"> Tinghuset (det tidl rådhus 1855-56 af Gottlieb Bindesbøll), arresthuset med strålegårde og gårdsplads, muren mod Hjultorv (1855-56 af Gottlieb Bindesbøll), den bagvedliggende gårdsplads samt udvidelse af tinghuset (1938 afJohannes Tidemand-Dal)</t>
  </si>
  <si>
    <t xml:space="preserve"> Udv 2003</t>
  </si>
  <si>
    <t>Holmegårdsvej 71</t>
  </si>
  <si>
    <t xml:space="preserve"> Holmegård</t>
  </si>
  <si>
    <t xml:space="preserve"> Den trefløjede hovedbygning med tilbygning på nordfløjen (1635)</t>
  </si>
  <si>
    <t>Karrebækvej 852, tidl Kirkebakken 6</t>
  </si>
  <si>
    <t xml:space="preserve"> Karrebæk Mølle</t>
  </si>
  <si>
    <t xml:space="preserve"> Vindmøllen (ca 1860)</t>
  </si>
  <si>
    <t xml:space="preserve"> Kompagnihuset (ca 1500) og den hermed sammenbyggedebindingsværksbygning</t>
  </si>
  <si>
    <t>Ostenfeldtsvej 7</t>
  </si>
  <si>
    <t xml:space="preserve"> Ostenfeldts Stiftelse</t>
  </si>
  <si>
    <t xml:space="preserve"> Hovedbygningen (1841) og staldbygningen</t>
  </si>
  <si>
    <t>Riddergade 1 A</t>
  </si>
  <si>
    <t xml:space="preserve"> Riddergade 1 A</t>
  </si>
  <si>
    <t xml:space="preserve"> Det vinkelbyggede pakhus</t>
  </si>
  <si>
    <t>Riddergade 3</t>
  </si>
  <si>
    <t xml:space="preserve"> Ridderhuset</t>
  </si>
  <si>
    <t xml:space="preserve"> Riddergade 5</t>
  </si>
  <si>
    <t>Apostelhuset</t>
  </si>
  <si>
    <t xml:space="preserve"> Forhuset (ca 1510-20)</t>
  </si>
  <si>
    <t>Riddergade 7</t>
  </si>
  <si>
    <t xml:space="preserve"> Riddergade 7</t>
  </si>
  <si>
    <t xml:space="preserve"> Forhuset med sidehus mod Slagkildevej</t>
  </si>
  <si>
    <t>Ringstedgade 4 A</t>
  </si>
  <si>
    <t xml:space="preserve"> Forhuset (ca 1420)</t>
  </si>
  <si>
    <t>Rønnebæksholm 1</t>
  </si>
  <si>
    <t xml:space="preserve"> Rønnebæksholm, Grundtvigs Pavillon</t>
  </si>
  <si>
    <t xml:space="preserve"> Pavillonen (1852 muligvis af GottliebBindesbøll)</t>
  </si>
  <si>
    <t>Saltøvej 61</t>
  </si>
  <si>
    <t xml:space="preserve"> Saltø</t>
  </si>
  <si>
    <t xml:space="preserve"> Hovedbygningen (nordfløjens østlige del senmiddelalderlig; vestlige del og østfløjen 2. halvdel af 1500-tallet; bindingsværkslænger 1700-tallet)</t>
  </si>
  <si>
    <t>Sankt Peders Kirkeplads 3 og Kirkestræde 3</t>
  </si>
  <si>
    <t xml:space="preserve"> Sankt Peders Kirkeplads 3 og Kirkestræde 3</t>
  </si>
  <si>
    <t xml:space="preserve"> Forhuset medsidehus (1606)</t>
  </si>
  <si>
    <t xml:space="preserve"> Udvidet 1986 Ændret 2021*</t>
  </si>
  <si>
    <t>Sankt Peders Kirkeplads 4</t>
  </si>
  <si>
    <t xml:space="preserve"> Hotel Vinhuset</t>
  </si>
  <si>
    <t xml:space="preserve"> Forhusene mod kirkepladsen og Vinhusgade (1778 ogsenere, hvælvet kælder ca 1500)</t>
  </si>
  <si>
    <t>Sankt Peders Kirkeplads 5</t>
  </si>
  <si>
    <t xml:space="preserve"> Næstved gamle Rådhus</t>
  </si>
  <si>
    <t xml:space="preserve"> Gavlhuset og den dermed sammenbyggede portfløj(ca 1450, ca 1520)</t>
  </si>
  <si>
    <t>Sankt Peders Kirkeplads 8-12</t>
  </si>
  <si>
    <t xml:space="preserve"> Stenboderne i Næstved</t>
  </si>
  <si>
    <t xml:space="preserve"> "De tre sammenbyggede boder (ca 1442) og det vestre endehus (ca 1450) samt de syv sammenbyggede boder (""Borgmester Mogens Tuesens Boder"" ca1480)</t>
  </si>
  <si>
    <t>Slagelsevej 283 C</t>
  </si>
  <si>
    <t xml:space="preserve"> Harrestedgård</t>
  </si>
  <si>
    <t xml:space="preserve"> Hovedbygningen (middelalder, 1840'rne)</t>
  </si>
  <si>
    <t>Sparresholmvej 4</t>
  </si>
  <si>
    <t xml:space="preserve"> Sparresholm</t>
  </si>
  <si>
    <t xml:space="preserve"> Den trefløjede hovedbygning med udløberfløj på østfløjen (1609 ff)</t>
  </si>
  <si>
    <t>Storegade 24</t>
  </si>
  <si>
    <t xml:space="preserve"> Glumsø Præstegård</t>
  </si>
  <si>
    <t xml:space="preserve"> Præstegårdens fire længer (1834)</t>
  </si>
  <si>
    <t>Teglværksvej 4</t>
  </si>
  <si>
    <t xml:space="preserve"> Borrehøjgård</t>
  </si>
  <si>
    <t xml:space="preserve"> Stuehuset (ca 1830, tre fag senere tilføjet)</t>
  </si>
  <si>
    <t>Tybjerg Bygade 2</t>
  </si>
  <si>
    <t xml:space="preserve"> Tybjerggård</t>
  </si>
  <si>
    <t xml:space="preserve"> Den trefløjede hovedbygning (1763, med middelalderlig kælder underøstfløjen)</t>
  </si>
  <si>
    <t>Odder Kommune</t>
  </si>
  <si>
    <t>Fallingvej 1 og 3</t>
  </si>
  <si>
    <t xml:space="preserve"> Gylling Præstegård</t>
  </si>
  <si>
    <t xml:space="preserve"> Den trelængede hovedbygning (1720, 1859) og udhuset og mnr 1t:agerumsladen</t>
  </si>
  <si>
    <t>Gyllingvej 31</t>
  </si>
  <si>
    <t xml:space="preserve"> Dybvad</t>
  </si>
  <si>
    <t xml:space="preserve"> Den trelængede hovedbygning (1700-tallet)</t>
  </si>
  <si>
    <t>Kirkevej 52-54</t>
  </si>
  <si>
    <t xml:space="preserve"> Randlev Præstegård</t>
  </si>
  <si>
    <t xml:space="preserve"> Stuehuset (1749) med vinkelbygget avlsbygning i vest og udhus iøst</t>
  </si>
  <si>
    <t>Kongshusvej 68</t>
  </si>
  <si>
    <t xml:space="preserve"> Monument i Rathlousdals park</t>
  </si>
  <si>
    <t xml:space="preserve"> Monument i parken (1783 af Johannes Wiedewelt)</t>
  </si>
  <si>
    <t>Møllevej 3-5</t>
  </si>
  <si>
    <t xml:space="preserve"> Sandager Mølle</t>
  </si>
  <si>
    <t xml:space="preserve"> Vandmøllen (1880'erne) samt stuehuset (beg af 1800-tallet)</t>
  </si>
  <si>
    <t>Rodstensejevej 10</t>
  </si>
  <si>
    <t xml:space="preserve"> Rodstenseje</t>
  </si>
  <si>
    <t xml:space="preserve"> Hovedbygningen (1681, tårnet ca 1720)</t>
  </si>
  <si>
    <t>Rosensgade 16, 18 A og 20</t>
  </si>
  <si>
    <t xml:space="preserve"> Centralhotellet</t>
  </si>
  <si>
    <t xml:space="preserve"> Det trefløjede bygningskompleks med sammenbyggetteatersalsbygning (1908 af Thorvald Bruun; stukarbejdet af K. Hansen Reistrup; glasruden i hotellets trapperum af K. Hansen Reistrup, tilvirket af glarmester Folmer Steffensen)</t>
  </si>
  <si>
    <t>Vadsmøllevej 30</t>
  </si>
  <si>
    <t xml:space="preserve"> Uldrupgård</t>
  </si>
  <si>
    <t xml:space="preserve"> De fire bygninger omkring gårdspladsen (beg 1800-tallet)</t>
  </si>
  <si>
    <t>Åkærvej 100 (tidl nr 89)</t>
  </si>
  <si>
    <t xml:space="preserve"> Åkær</t>
  </si>
  <si>
    <t xml:space="preserve"> Den trefløjede hovedbygning (antagelig slutn af 1600-tallet, ombygget1722)</t>
  </si>
  <si>
    <t>Odense Kommune</t>
  </si>
  <si>
    <t>Albani Torv 11</t>
  </si>
  <si>
    <t xml:space="preserve"> Albani Torv 11</t>
  </si>
  <si>
    <t xml:space="preserve"> Den middelalderlige bygningsdel med hvælvet kælder, (ca 1500) (flyttetfra Overgade 3, matrnr 407)</t>
  </si>
  <si>
    <t>Albani Torv 6</t>
  </si>
  <si>
    <t xml:space="preserve"> Odense Adelige Jomfrukloster</t>
  </si>
  <si>
    <t xml:space="preserve"> Den grundmurede hovedbygning (1504-08, 1560-61 muligvis af Frederik Klingebeck og ca 1630) og den dermed sammenbyggede, lave bindingsværkslænge</t>
  </si>
  <si>
    <t>Blangstedgårds Allé 92</t>
  </si>
  <si>
    <t xml:space="preserve"> Blangstedgård</t>
  </si>
  <si>
    <t xml:space="preserve"> Agerumsladen (1700-tallet)</t>
  </si>
  <si>
    <t>Buchwaldsgade 33</t>
  </si>
  <si>
    <t xml:space="preserve"> Thomas B. Thriges Kraftvarmeværk</t>
  </si>
  <si>
    <t xml:space="preserve"> Thomas B. Thriges Kraftvarmeværk (1915-16 af NielsJacobsen)</t>
  </si>
  <si>
    <t>Dalumvej 105</t>
  </si>
  <si>
    <t xml:space="preserve"> Christiansdal, Dalum Kloster</t>
  </si>
  <si>
    <t xml:space="preserve"> Hovedbygningens nordfløj (middelalderlig, ombygget ca 1800)</t>
  </si>
  <si>
    <t xml:space="preserve"> Delvis ophævet 2017</t>
  </si>
  <si>
    <t>Fraugdegårds Allé 7</t>
  </si>
  <si>
    <t xml:space="preserve"> Fraugdegård</t>
  </si>
  <si>
    <t xml:space="preserve"> Hovedbygningen (ca 1588)</t>
  </si>
  <si>
    <t>Frederiksgade 2-4 og Christiansgade 2-8</t>
  </si>
  <si>
    <t xml:space="preserve"> Sukkergården</t>
  </si>
  <si>
    <t xml:space="preserve"> Bygningerne ud mod Frederiksgade og Christiansgade samt beboelseshuset, der ligger til åen med gavl mod Frederiksgade (1840-41)</t>
  </si>
  <si>
    <t>Frue Kirkestræde 10-12</t>
  </si>
  <si>
    <t xml:space="preserve"> Den tidl Latinskole</t>
  </si>
  <si>
    <t xml:space="preserve"> Den tidl latinskole ved Vor Frue Kirke samt det medmarksten brolagte areal øst for bygningens østgavl (1600-tallet med middelalderligt fundament, ombyg. 1860 og restaureret 1955 af Axel Jacobsen)</t>
  </si>
  <si>
    <t>Fruens Bøge Skov 4 (tidl Skovalléen 34)</t>
  </si>
  <si>
    <t xml:space="preserve"> Fruens Bøge Station</t>
  </si>
  <si>
    <t xml:space="preserve"> Hovedbygningen og pakhuset (1876 af H.A. W.Haugsted) </t>
  </si>
  <si>
    <t>Gråbrødre Plads 1</t>
  </si>
  <si>
    <t xml:space="preserve"> Gråbrødre Kloster</t>
  </si>
  <si>
    <t xml:space="preserve"> Alle bygninger omkring den lukkede firkantede gård samt kirkelængen i syd (1279 ff, ca 1350, ombygget 1793-96), udbygningen i øst (1768, ombygget 1869),hovedbygningen mod syd (1871) og det nordligt på grunden beliggende anneks (1837)</t>
  </si>
  <si>
    <t>Hans Jensens Stræde 37</t>
  </si>
  <si>
    <t xml:space="preserve"> H.C.Andersens Hus </t>
  </si>
  <si>
    <t>Hollufgårds Allé 6-12 og Hestehaven 201</t>
  </si>
  <si>
    <t xml:space="preserve"> Hollufgård</t>
  </si>
  <si>
    <t xml:space="preserve"> Hovedbygningen (1576-77), sidefløjen (1835), nordfløjen (1835) og muren mellem nordfløj og sidefløj, Sneglehøjen (1760) og ishuset (1820)</t>
  </si>
  <si>
    <t>Udvidet 1989, Delvis bevaringsdeklaration *</t>
  </si>
  <si>
    <t>Hunderupvej 34</t>
  </si>
  <si>
    <t xml:space="preserve"> Hunderupvej 34</t>
  </si>
  <si>
    <t xml:space="preserve"> Den vinkelbyggede beboelsesejendom med segmentfronton overmidterpartiet (1902 af Anton Rosen)</t>
  </si>
  <si>
    <t>Højbjergvej 140</t>
  </si>
  <si>
    <t xml:space="preserve"> Højbjerggård</t>
  </si>
  <si>
    <t xml:space="preserve"> Det firelængede anlæg med tilbygninger, svinehus og brændehus (1696, 1828, 1846), forrådskulen i haven samt gårdspladsens pigstensbelægning, den stensatte møddingsplads,samtlige pigstensbelægninger omkring bygningerne og stensætningen mod øst</t>
  </si>
  <si>
    <t xml:space="preserve"> Udvidet 2018</t>
  </si>
  <si>
    <t>Jernbanegade 13</t>
  </si>
  <si>
    <t xml:space="preserve"> Fyns Kunstmuseum</t>
  </si>
  <si>
    <t xml:space="preserve"> Forhus og tilbygning (1884-85 af Frederik Emil Andersen og Emil Schwanenflügel; udvidet 1896-97 af Niels Jacobsen) samt de umiddelbare omgivelser på matrnr 1281</t>
  </si>
  <si>
    <t>Jernbanegade 36</t>
  </si>
  <si>
    <t xml:space="preserve"> Landsarkivet</t>
  </si>
  <si>
    <t xml:space="preserve"> Arkivbygningen og arkivarboligen med læsesal samt mellembygningen(1892-93 af Martin Borch)</t>
  </si>
  <si>
    <t>Klaregade 17</t>
  </si>
  <si>
    <t xml:space="preserve"> Sankt Clara Klostrets kælder</t>
  </si>
  <si>
    <t xml:space="preserve"> Sankt Clara Klostrets kælder (1250 til 1300)</t>
  </si>
  <si>
    <t xml:space="preserve"> Den østligste ende af Sankt Clara Klostrets kælder</t>
  </si>
  <si>
    <t>Klaregade 42 (Klosterbakken 13)</t>
  </si>
  <si>
    <t xml:space="preserve"> Odense tidl Tugthus</t>
  </si>
  <si>
    <t xml:space="preserve"> Forhuset mod Klaregade</t>
  </si>
  <si>
    <t>Klosterbakken 2 og Klingenberg 18</t>
  </si>
  <si>
    <t xml:space="preserve"> Sankt Knuds Kloster</t>
  </si>
  <si>
    <t xml:space="preserve"> De to sammenbyggede østfløje (den nordlige østfløj, Konsistoriebygningen 1250-1300, ombygget 1755; den sydlige østfløj 1915-19), sydfløjen med udbygningen mod syd (1200-1300, ombygget 1915-19) samt vestfløjen (1450-1550, ombygget 1915-19).</t>
  </si>
  <si>
    <t>Korupvej 21</t>
  </si>
  <si>
    <t xml:space="preserve"> Korupvej 21</t>
  </si>
  <si>
    <t xml:space="preserve"> Det fritliggende stuehus, vaskehus, de tre sammenbyggede avlslænger, den mellem vaskehus og stald forbindende mur med portbue (alt fra 1900), møddingen, den jorddækkede roekule, en trælade (1927) med hønsehus samt hønsehuset øst for gården, gårdspladsen med markstensbelægninger, hundehuset (1900), alléen i indkørslen og hækkene langs vej og ved den østligeindkørsel</t>
  </si>
  <si>
    <t>Lille Gråbrødrestræde 1</t>
  </si>
  <si>
    <t xml:space="preserve"> Hovedpostbygningen, Den gamle Latinskole</t>
  </si>
  <si>
    <t xml:space="preserve"> Det samlede bygningskompleks mellemLille Gråbrødrestræde og Asylgade (1845 af Jørgen Hansen Koch)</t>
  </si>
  <si>
    <t>Lindvedvej 73-75 (tidl 71-77)</t>
  </si>
  <si>
    <t xml:space="preserve"> Lindved</t>
  </si>
  <si>
    <t xml:space="preserve"> Hovedbygningen (1600-tallet) med den grundmurede sidefløj(1842) samt vandmøllen (1847)</t>
  </si>
  <si>
    <t>Londongade 4</t>
  </si>
  <si>
    <t xml:space="preserve"> Havnetoldkammeret med lavere sidefløje (opført 1830, ombygget ogudvidet 1847 af N.S.Nebelong) </t>
  </si>
  <si>
    <t>Mindelundsvej 59</t>
  </si>
  <si>
    <t xml:space="preserve"> Seden Hospital</t>
  </si>
  <si>
    <t>Møllegyden 18</t>
  </si>
  <si>
    <t xml:space="preserve"> Møllegyden 18</t>
  </si>
  <si>
    <t>Den firelængede bondegård (stuehuset 1860, vestlængen 1800, sydlængen 1870, østlængen med tilbygning 1916) samt svinestalden (1930), due- og hønsehuset (før 1934), frugtkælder (1960) samt stensætningen i haven, stendiget med tjørnehæk og gårdspladsen</t>
  </si>
  <si>
    <t xml:space="preserve"> (Fredning afvognlænge med retirade ophævet 2005, og fredning af hønsehus ophævet 2009)</t>
  </si>
  <si>
    <t>Nedergade 36</t>
  </si>
  <si>
    <t xml:space="preserve"> Lahns Stiftelse</t>
  </si>
  <si>
    <t xml:space="preserve"> Forhuset (1804 af Johan Hanck)</t>
  </si>
  <si>
    <t>Nedergade 7</t>
  </si>
  <si>
    <t xml:space="preserve"> Nedergade 7</t>
  </si>
  <si>
    <t xml:space="preserve"> Forhuset (mellem 1837 og 1847), de to sidehuse (østre ca 1800, vestre1855) og tværhuset (1896) samt gårdspladsens brolægning</t>
  </si>
  <si>
    <t>Nørregade 15</t>
  </si>
  <si>
    <t xml:space="preserve"> Helvig Hardenbergs Gård</t>
  </si>
  <si>
    <t>Nørregade 29</t>
  </si>
  <si>
    <t xml:space="preserve"> Oluf Bagers Mødrenegård, tidl Amtstuegård</t>
  </si>
  <si>
    <t xml:space="preserve"> Forhuset med tilstødende i forlængelse afhinanden liggende to sidelænger på ni og 18 fag (forhuset og dermed sammenbygget sidehus på ni fag fra 1586; det dertil føjede sidehus på 18 fag fra ca 1830)</t>
  </si>
  <si>
    <t>Nørregade 36-38</t>
  </si>
  <si>
    <t xml:space="preserve"> Odense Slot</t>
  </si>
  <si>
    <t xml:space="preserve"> Det firefløjede bygningskompleks med forbindende kirkefløj til Sankt Hans Kirke samt tilbygningen mod syd i østfløjens forlængelse (østfløjen med forbindelsesbygning til Sankt Hans Kirke middelalderlig, men ombygget ca 1720; syd- og vestfløje fra middelalder og ca 1560-80, ombygget  ca 1720; nordfløjen nybygget 1719-25 af Johan Cornelius Krieger; tilbygningen mod syd i østfløjensforlængelse 1837 af Jørgen Hansen Koch)</t>
  </si>
  <si>
    <t>Nørregade 42</t>
  </si>
  <si>
    <t xml:space="preserve"> Sankt Hans Præstegård</t>
  </si>
  <si>
    <t xml:space="preserve"> Hovedbygningen (ca 1450, forhøjet 1636), hegnsmure ogudhuset på grundens nordøstre hjørne</t>
  </si>
  <si>
    <t>Nørregade 45 A-B-C-D</t>
  </si>
  <si>
    <t xml:space="preserve"> Nørregade 45 A-D</t>
  </si>
  <si>
    <t xml:space="preserve"> Forhus (1841, forhøjet med en etage 1869, facaden 1869)med sidehuse i nord (1869) og syd (1887)</t>
  </si>
  <si>
    <t>Overgade 19</t>
  </si>
  <si>
    <t xml:space="preserve"> Overgade 19</t>
  </si>
  <si>
    <t xml:space="preserve"> Bebyggelsen mod Overgade, Påskestræde og Adelgade, gårdens vestlænge(1570 og senere) samt den pigstensbelagte gårdsplads</t>
  </si>
  <si>
    <t xml:space="preserve"> Udvidet 1978 og 2000*</t>
  </si>
  <si>
    <t>Overgade 24-26 og Overstræde 2A-2B</t>
  </si>
  <si>
    <t xml:space="preserve"> Paghs Gård</t>
  </si>
  <si>
    <t xml:space="preserve"> Bebyggelsen mod Overgade, Overstræde og BangsBoder samt gårdens vestlænge (1700-1800-tallet, hvælvet kælder ca 1500)</t>
  </si>
  <si>
    <t xml:space="preserve"> Udv 1978*</t>
  </si>
  <si>
    <t>Overgade 28 A-B-C-D</t>
  </si>
  <si>
    <t xml:space="preserve"> Overgade 28 A-D</t>
  </si>
  <si>
    <t xml:space="preserve"> Forhuset mod Overgade (midten af 1500-tallet), de to sidebygninger mod Overstræde (middelalder og beg af 1700-tallet), tværhuset samt sidehuset i gården(midten af 1700-tallet)</t>
  </si>
  <si>
    <t>Overgade 28 E-F-G-H og 30</t>
  </si>
  <si>
    <t xml:space="preserve"> Overgade 28 E-H og 30</t>
  </si>
  <si>
    <t xml:space="preserve"> Forhuset (1600-tallet, forhøjet i 1930'rne) ogbaghuset (ca 1750)</t>
  </si>
  <si>
    <t>Overgade 41 og Nedergade 24</t>
  </si>
  <si>
    <t xml:space="preserve"> Overgade 41 og Nedergade 24</t>
  </si>
  <si>
    <t xml:space="preserve"> Forhuset mod vest og det dermed sammenbyggede sidehus, forhuset mod øst og det i gården liggende mindre bindingsværkshus samtforhuset ud mod Nedergade</t>
  </si>
  <si>
    <t>Overgade 48-50 og Møntestræde 4</t>
  </si>
  <si>
    <t xml:space="preserve"> Museet, Falk Gøyes Gård, Ejler Rønnows Gård</t>
  </si>
  <si>
    <t xml:space="preserve"> "Falk Gøyes gård": forhus mod Overgade, inkl sammenbygget portbygning, med gavl mod Mønterstræde samt i vinkel hermed sammenbygget sidehus mod Møntestræde (1646).* "Ejler Rønnows gård": forhus i bindingsværk mod Møntestræde (1547 af Mads Rab, flyttet 1939 fra Nørregade 62). "Jomfru Pernille Lykkes våninger": tosammenbyggede forhuse i bindingsværk mod Møntestræde (1617, 1730, ombygget ca 1850)</t>
  </si>
  <si>
    <t>Overgade 60</t>
  </si>
  <si>
    <t xml:space="preserve"> Overgade 60</t>
  </si>
  <si>
    <t xml:space="preserve"> Forhuset (1764, restaureret 1960-62 af Hans Henrik Engqvist og KarstenRønnow)</t>
  </si>
  <si>
    <t>Overgade 64</t>
  </si>
  <si>
    <t xml:space="preserve"> Overgade 64</t>
  </si>
  <si>
    <t xml:space="preserve"> Forhuset (1840-47)</t>
  </si>
  <si>
    <t>Overgade 66</t>
  </si>
  <si>
    <t xml:space="preserve"> Overgade 66</t>
  </si>
  <si>
    <t xml:space="preserve"> Forhuset (ca 1760 muligvis af Georg Dietrich Tschierske)</t>
  </si>
  <si>
    <t>Ryttervejen 12</t>
  </si>
  <si>
    <t xml:space="preserve"> Bankegården</t>
  </si>
  <si>
    <t xml:space="preserve"> Gårdanlægget (stuehus 1873, bryggers 1770 og 1890; tærskelade 1857 og 1870; portlængen 1883 og stalden ca 1850) samt det fritliggende tørvehus og den brolagte gårdsplads</t>
  </si>
  <si>
    <t>Sanderumgårdsvej 150</t>
  </si>
  <si>
    <t xml:space="preserve"> Sanderumgård, Tankefuld og Sommerlyst</t>
  </si>
  <si>
    <t xml:space="preserve"> Pavillonerne "Tankefuld" og"Sommerlyst" i parken, Den sidste med tilhørende stakit, trappe, kors og gravsten (ca 1800)</t>
  </si>
  <si>
    <t>Slettensvej 292-294</t>
  </si>
  <si>
    <t xml:space="preserve"> Lumby Mølle</t>
  </si>
  <si>
    <t xml:space="preserve"> Hele anlægget - Vindmølle, stuehus, magasinbygning,bloksavsbygning, husmandshus og udhus (1820 og senere) </t>
  </si>
  <si>
    <t>Staupudevej 2</t>
  </si>
  <si>
    <t xml:space="preserve"> Åsum gamle Smedie</t>
  </si>
  <si>
    <t xml:space="preserve"> Smedien og stuehuset (1819)</t>
  </si>
  <si>
    <t>Vestergade 70</t>
  </si>
  <si>
    <t xml:space="preserve"> Sidehuset af bindingsværk (1700-tallet)</t>
  </si>
  <si>
    <t>Vestergade 70-72 og Lottrups Gård 6 og 9</t>
  </si>
  <si>
    <t xml:space="preserve"> Vestergade 72</t>
  </si>
  <si>
    <t xml:space="preserve"> Sidehuset mod vest (ca 1800, udvidet ca1830), pakhuset mod syd (1857) og sidehuset mod øst (beg af 1800-tallet)</t>
  </si>
  <si>
    <t>Vestergade 73</t>
  </si>
  <si>
    <t xml:space="preserve"> Brandts Klædefabrik</t>
  </si>
  <si>
    <t>Vosemosevej 10 (tidl Vosemosegyden 51)</t>
  </si>
  <si>
    <t xml:space="preserve"> Vosemose Gård</t>
  </si>
  <si>
    <t xml:space="preserve"> Stuehus og folkebygning (1888) samtvandmøllen (1836-37)</t>
  </si>
  <si>
    <t>Åsum Bygade 15</t>
  </si>
  <si>
    <t xml:space="preserve"> Brejngård, Åsum Bygade 15</t>
  </si>
  <si>
    <t xml:space="preserve"> Brejngaard bestående af det fritliggende stuehus (1866), de tre sammenbyggede avlslænger med 2 udløberfløje, den pigstensbelagte gårdsplads med vandpost,møddingen, frugtlageret (1911) og maskinhuset (1914) samt brændehuset (1866)</t>
  </si>
  <si>
    <t>Odsherred Kommune</t>
  </si>
  <si>
    <t>Annebergparken 26, 26 A, 26 B, 28 A, 28 B, 28 C, 28 D, 35, 48, 50 og 52 matrnr 1 ac, portnerboligen, matr, nr, 1 eg og vægterboligen matr Nr 1 dz, alle Annebjerggård, Nykøbing Sj. Jorder</t>
  </si>
  <si>
    <t>Annebergparken</t>
  </si>
  <si>
    <t xml:space="preserve"> Grønnegårdskomplekset med bygninger og anlæg på det tidligere Sindssygehospital, beliggende Annebergparken 26, 26 A, 26 B, 28 A, 28 B, 28 C, 28 D, 35, 48, 50 og 52 matrnr 1 ac, portnerboligen, matr, nr, 1 eg og vægterboligen matr Nr 1 dz, alle Annebjerggård, Nykøbing Sj. Jorder, samt søjler ved indkørslen til og alleen mod Grønnegårdskomplekset, Odsherred Kommune. (1913-15 vedarkitekt Kristoffer Nyrop Varming)</t>
  </si>
  <si>
    <t>Annebergparken 32</t>
  </si>
  <si>
    <t xml:space="preserve"> Annebergparken, kapel og kirkegård</t>
  </si>
  <si>
    <t xml:space="preserve"> Kapel og kirkegård med stendige og jernlåge(1915, arkitekt Kristoffer Varming, gravpladsen ved landskabsarkitekt J. P. Andersen) </t>
  </si>
  <si>
    <t>Dragsholm Allé 1</t>
  </si>
  <si>
    <t xml:space="preserve"> Dragsholm</t>
  </si>
  <si>
    <t xml:space="preserve"> Den trefløjede hovedbygning (ca 1250, udbygget i senmiddelalder; østpartiet ca 1637 af Lorenz van Steenwinckel; stor regulerende ombygning 1697, tilføjelser af J.D.Herholdt ca 1865)</t>
  </si>
  <si>
    <t>Holtets Plads 1</t>
  </si>
  <si>
    <t xml:space="preserve"> Den tidl råd-, ting- og arrestbygning i Nykøbing S</t>
  </si>
  <si>
    <t xml:space="preserve"> Den tidl råd-, ting- og arrestbygning (1868 af N.S.Nebelong)</t>
  </si>
  <si>
    <t>Højskolevej 17</t>
  </si>
  <si>
    <t xml:space="preserve"> Hytten</t>
  </si>
  <si>
    <t xml:space="preserve"> Den træbeklædte bindingsværksbygning med sidehus i nordvest, halvtag mod østsamt terrasse og udskud mod syd (1889 af Martin Nyrop)</t>
  </si>
  <si>
    <t>Højskolevej 19</t>
  </si>
  <si>
    <t xml:space="preserve"> Håndværkerskolen (tidl)</t>
  </si>
  <si>
    <t xml:space="preserve"> Vinkelbygningen (1880 af Andreas Bentsen, opr.  Håndværkerskole)</t>
  </si>
  <si>
    <t>Højskolevej 21</t>
  </si>
  <si>
    <t xml:space="preserve"> Højskolevej 21</t>
  </si>
  <si>
    <t xml:space="preserve"> Den træbeklædte bindingsværksbygning med udbygninger (1879 afAndreas Bentsen)</t>
  </si>
  <si>
    <t>Højskolevej 4</t>
  </si>
  <si>
    <t xml:space="preserve"> Vallekilde Højskoles væve- og sløjdskole</t>
  </si>
  <si>
    <t xml:space="preserve"> Den toetages bygning med veranda (ca 1888 af AndreasBentsen, som væve- og sløjdskole, ombygget 1918 af Ivar Bentsen)</t>
  </si>
  <si>
    <t>Højskolevej 9</t>
  </si>
  <si>
    <t xml:space="preserve"> Vallekilde Højskole</t>
  </si>
  <si>
    <t xml:space="preserve"> De ældste bygninger (1866, tilbygning fra 1876 og om- og tilbygningfra 1907 af Martin Nyrop) samt øvelseshuset (1884 af Andreas Bentsen og Martin Nyrop)</t>
  </si>
  <si>
    <t>Klintvej 64</t>
  </si>
  <si>
    <t xml:space="preserve"> Klintegården</t>
  </si>
  <si>
    <t xml:space="preserve"> Den trefløjede bygning med brønd og hegnsmur samt den korsformedekampestensfod til flagstangen (1917 af P.V. Jensen-Klint)</t>
  </si>
  <si>
    <t>Kolåsvej 10 A</t>
  </si>
  <si>
    <t xml:space="preserve"> Rødegård, Forpagterbolig under Dragsholm</t>
  </si>
  <si>
    <t xml:space="preserve"> Den trelængede, rødkalkedebindingsværksgård (ca 1650)</t>
  </si>
  <si>
    <t>Korshage Fjordvej 1</t>
  </si>
  <si>
    <t xml:space="preserve"> Korshage Fjordvej 1</t>
  </si>
  <si>
    <t xml:space="preserve"> Sommerhuset, garagen og gæstehuset (henholdsvis 1960, 1965 og 1986 af Erik Korshagen) samt stenbelægningerne omkring og imellem bygningerne</t>
  </si>
  <si>
    <t>Linneavej 5</t>
  </si>
  <si>
    <t xml:space="preserve"> Linneavej 5</t>
  </si>
  <si>
    <t xml:space="preserve"> Sommerhuset med tilhørende læmur og flisebelægninger (opført 1967 af GerhdtBornebusch)</t>
  </si>
  <si>
    <t>Lumsås Møllevej 6</t>
  </si>
  <si>
    <t xml:space="preserve"> Lumsås Mølle</t>
  </si>
  <si>
    <t xml:space="preserve"> Vindmøllen (1837)</t>
  </si>
  <si>
    <t>Røgerivej 1</t>
  </si>
  <si>
    <t xml:space="preserve"> Det Runde Hus</t>
  </si>
  <si>
    <t xml:space="preserve"> Villaen med tilhørende terrasse (1956 af Arne Jacobsen)</t>
  </si>
  <si>
    <t>Skovsti 15</t>
  </si>
  <si>
    <t xml:space="preserve"> Gudmindrup</t>
  </si>
  <si>
    <t xml:space="preserve"> Sommerboligen (1937 af Arne Jacobsen)</t>
  </si>
  <si>
    <t>Smedestræde 8</t>
  </si>
  <si>
    <t xml:space="preserve"> Peters Hus</t>
  </si>
  <si>
    <t xml:space="preserve"> Det stråtækte, 14 fag lange bindingsværkshus (ca 1800)</t>
  </si>
  <si>
    <t>Stenstrupvej 41</t>
  </si>
  <si>
    <t xml:space="preserve"> Stenstrup Forsamlingshus</t>
  </si>
  <si>
    <t xml:space="preserve"> Forsamlingshuset (1880) og den hermed sammenbyggedebestyrerbolig (1900 og senere mellembygning)</t>
  </si>
  <si>
    <t>Søndergade 23</t>
  </si>
  <si>
    <t xml:space="preserve"> Ellemosegård</t>
  </si>
  <si>
    <t xml:space="preserve"> Den firelængede gård, bestående af stuehuset (1777 med senere tilføjelser), vestlængen (1777), sydlængen (ca 1842), østlængen (1850 ombygget 1918) og denpikstensbelagte gårdsplads med slibesten og gråpæretræ</t>
  </si>
  <si>
    <t>Søndervangsvej 7</t>
  </si>
  <si>
    <t xml:space="preserve"> Rørvig Mølle</t>
  </si>
  <si>
    <t>Toldbodvej 73</t>
  </si>
  <si>
    <t xml:space="preserve"> Lodsoldermandens Hus</t>
  </si>
  <si>
    <t xml:space="preserve"> Det trelængede anlæg (1681 og senere)</t>
  </si>
  <si>
    <t>Ved Kirken 6</t>
  </si>
  <si>
    <t xml:space="preserve"> Egebjerg Præstegård</t>
  </si>
  <si>
    <t xml:space="preserve"> Stuehuset, portlængen med de to sidelænger og to fløjhuse (1776)</t>
  </si>
  <si>
    <t>Randers Kommune</t>
  </si>
  <si>
    <t>Brødregade 24</t>
  </si>
  <si>
    <t xml:space="preserve"> Brødregade 24</t>
  </si>
  <si>
    <t xml:space="preserve"> Forhuset (1592)</t>
  </si>
  <si>
    <t>Brødregade 25</t>
  </si>
  <si>
    <t xml:space="preserve"> Brødregade 25</t>
  </si>
  <si>
    <t xml:space="preserve"> Forhuset (1663)</t>
  </si>
  <si>
    <t>Brødregade 26</t>
  </si>
  <si>
    <t xml:space="preserve"> Brødregade 26</t>
  </si>
  <si>
    <t xml:space="preserve"> Forhuset (1592 og 1800-tallet)</t>
  </si>
  <si>
    <t>Erik Menveds Plads 1</t>
  </si>
  <si>
    <t xml:space="preserve"> Helligåndshuset (formentlig 1470'erne)</t>
  </si>
  <si>
    <t>Frisenvoldvej 22</t>
  </si>
  <si>
    <t xml:space="preserve"> Frisenvold</t>
  </si>
  <si>
    <t xml:space="preserve"> Hovedbygningen inkl den overdækkede veranda mod nord,beboelsesbygningen vest for denne og staldlængen (ca 1800)</t>
  </si>
  <si>
    <t>Gammel Hadsundvej 3</t>
  </si>
  <si>
    <t xml:space="preserve"> Hadsundvejens Skole</t>
  </si>
  <si>
    <t xml:space="preserve"> Hadsundvejens Skole, bestående af hovedbygningen,gymnastikbygningen og spærremuren med port samt retiradebygningen og skolegården (1912 af Johannes Mynster)</t>
  </si>
  <si>
    <t>Hobrovej 84A</t>
  </si>
  <si>
    <t xml:space="preserve"> Randers Vandtårn</t>
  </si>
  <si>
    <t xml:space="preserve"> Vandtårnet med udskud på bagsiden (1907 af Jens Peter Jensen-Værum)</t>
  </si>
  <si>
    <t>Houmeden 2-4 og Rådhustorvet 1</t>
  </si>
  <si>
    <t xml:space="preserve"> Houmeden 2-4 og Rådhustorvet 1</t>
  </si>
  <si>
    <t xml:space="preserve"> Det enogtyvefagsbindingsværkshus (ca 1570) og sidebygningen med tilbygning (1850)</t>
  </si>
  <si>
    <t>Kirkegade 17</t>
  </si>
  <si>
    <t xml:space="preserve"> Kirkegade 17</t>
  </si>
  <si>
    <t xml:space="preserve"> Hjørnebygningen (ca 1620)</t>
  </si>
  <si>
    <t>Langå, over Gudenåen</t>
  </si>
  <si>
    <t xml:space="preserve"> Amtmand Hoppes Bro</t>
  </si>
  <si>
    <t xml:space="preserve"> Vejbroen af jernbeton over Gudenåen (1905 af Christiani&amp;amp; Nielsen)</t>
  </si>
  <si>
    <t>Langå-broen mellem matr nr 18, Løjstrup og nr 52, Langå</t>
  </si>
  <si>
    <t xml:space="preserve"> Langå-broen</t>
  </si>
  <si>
    <t xml:space="preserve"> Jernbanebroen medpladejernsdragere over Gudenåen (1862)</t>
  </si>
  <si>
    <t>Mariagervej 261</t>
  </si>
  <si>
    <t xml:space="preserve"> Henrikseje</t>
  </si>
  <si>
    <t xml:space="preserve"> Hovedbygningen (1791), laden og gårdens østlænge</t>
  </si>
  <si>
    <t>Mariagervej 450</t>
  </si>
  <si>
    <t xml:space="preserve"> Hvidsten Kro</t>
  </si>
  <si>
    <t xml:space="preserve"> Krobygningen og den tidl rejsestald (1790) og beboelseslængen, den fritliggende bygning syd for denne, det vinkelbyggede avlsgårdsanlæg samt tre fritliggende krobygninger(mellem 1925 og 1944 af Marius Fiil) nord for hovedanlægget nærmest Mariagervej</t>
  </si>
  <si>
    <t>Middelgade 2</t>
  </si>
  <si>
    <t xml:space="preserve"> Forhuset (1802 af Mathias Poulsen), de to sidehuse (det sydøstre ca1700, forhøjet ca 1850) samt baghuset</t>
  </si>
  <si>
    <t xml:space="preserve"> Udvidet 1985 *</t>
  </si>
  <si>
    <t>Møllestræde 8</t>
  </si>
  <si>
    <t xml:space="preserve"> Tinghuset (1861-62 af Ferdinand Meldahl)</t>
  </si>
  <si>
    <t>Nygade 2-6</t>
  </si>
  <si>
    <t xml:space="preserve"> Nygade 2-6</t>
  </si>
  <si>
    <t xml:space="preserve"> Forhuset (16- og 1700-tallet)</t>
  </si>
  <si>
    <t>Nørregade 7</t>
  </si>
  <si>
    <t xml:space="preserve"> Nørregade 7</t>
  </si>
  <si>
    <t xml:space="preserve"> Forhuset (ca 1770, ombygget ca 1800, hjørnehuset 1781)</t>
  </si>
  <si>
    <t>Oust Møllevej 27</t>
  </si>
  <si>
    <t xml:space="preserve"> Oust Møllegård</t>
  </si>
  <si>
    <t xml:space="preserve"> Stuehuset (1716) og laden (1700-tallet)</t>
  </si>
  <si>
    <t>Overgårdsvej 28</t>
  </si>
  <si>
    <t xml:space="preserve"> Overgård</t>
  </si>
  <si>
    <t xml:space="preserve"> Den trefløjede hovedbygning (1540'rne, vestfløjen 1700, tårnet forhøjet1730)</t>
  </si>
  <si>
    <t>Rosengade 1</t>
  </si>
  <si>
    <t xml:space="preserve"> Rosengade 1</t>
  </si>
  <si>
    <t xml:space="preserve"> Forhuset (1850) og baghuset (1853)</t>
  </si>
  <si>
    <t>Rådhusstræde 1</t>
  </si>
  <si>
    <t xml:space="preserve"> Randers Rådhus</t>
  </si>
  <si>
    <t xml:space="preserve"> Rådhusbygningen (1778-79 af Christian Mørup, spiret 1794)</t>
  </si>
  <si>
    <t>Rådhustorvet 7</t>
  </si>
  <si>
    <t xml:space="preserve"> Påskesønnernes Gård</t>
  </si>
  <si>
    <t xml:space="preserve"> Forhuset (ca 1460)</t>
  </si>
  <si>
    <t>Rådmands Boulevard 20</t>
  </si>
  <si>
    <t xml:space="preserve"> Randers Statsskole</t>
  </si>
  <si>
    <t xml:space="preserve"> De fire fløje med to udløberfløje i syd og to i nord (1923-25 af Hack Kampmann s.m.  Christian Kampmann og Johannes Frederiksen) samt omgivelserne</t>
  </si>
  <si>
    <t>Udvidet 2007</t>
  </si>
  <si>
    <t>Sandgade 11</t>
  </si>
  <si>
    <t xml:space="preserve"> Ridehuset</t>
  </si>
  <si>
    <t xml:space="preserve"> Ridehuset (1857 af Jens Peter Jensen Wærum)</t>
  </si>
  <si>
    <t xml:space="preserve"> Snaregade 2</t>
  </si>
  <si>
    <t>Sognevej 22</t>
  </si>
  <si>
    <t xml:space="preserve"> Kousted Kirkelade</t>
  </si>
  <si>
    <t>Stationsvej 45</t>
  </si>
  <si>
    <t xml:space="preserve"> Spentrup Præstegård</t>
  </si>
  <si>
    <t xml:space="preserve"> Stuehus (1794-95)</t>
  </si>
  <si>
    <t>Storegade 11</t>
  </si>
  <si>
    <t xml:space="preserve"> Storegade 11</t>
  </si>
  <si>
    <t xml:space="preserve"> Forhuset (ca 1650, ombygget 1741), det dermed sammenbyggede sidehusmed svale (ca 1650) samt baghuset (ca 1800)</t>
  </si>
  <si>
    <t>Storegade 13</t>
  </si>
  <si>
    <t xml:space="preserve"> Niels Ebbesens Gård, Rådmand Jens Jensens Gård</t>
  </si>
  <si>
    <t xml:space="preserve"> Forhuset (de 10 sydligste fag 1643, de tre nordligste formentlig 1741), sidehus med svale (1643) med tilbygninger mod nord (ca 1741), syd (ca 1800) og øst (ca 1750) samt det nord herfor beliggende halvtagshus og det med dette sammenbyggedetoetages hus (ca 1575-1600, opr. hørende til Storegade 11)</t>
  </si>
  <si>
    <t>Store Kirkestræde 2</t>
  </si>
  <si>
    <t xml:space="preserve"> Store Kirkestræde 2</t>
  </si>
  <si>
    <t xml:space="preserve"> Forhuset (bindingsværkshuset fra 1626, det grundmuredehjørnehus fra 1853)</t>
  </si>
  <si>
    <t>Strømmen 32</t>
  </si>
  <si>
    <t xml:space="preserve"> Strømmen Station</t>
  </si>
  <si>
    <t xml:space="preserve"> Strømmen Station (1905 af Heinrich Wenck) bestående afstationsbygning, pakhus og perron</t>
  </si>
  <si>
    <t>Støvringgårdvej 73 og 73 D</t>
  </si>
  <si>
    <t xml:space="preserve"> Støvringgård</t>
  </si>
  <si>
    <t xml:space="preserve"> Den firefløjede hovedbygning (sydfløj med tårn ved vestgavlen 1622, korshuset på sydfløjens sydside 1630, øst- og nordfløj 1745-46) med bro (1745 af Nicolaus Hinrich Rieman) og omgivende grave samt den enetages bygning ved broens sydvestre hjørne (1745 af NicolausHinrich Rieman, ombygget og udvidet med to fag ca 1810)</t>
  </si>
  <si>
    <t>Thorsgade 24, 26, 34 og 36</t>
  </si>
  <si>
    <t xml:space="preserve"> Thorsgade Kaserne</t>
  </si>
  <si>
    <t xml:space="preserve"> Den trefløjede mandskabsbygning, officersbygningen,gymnastiksalen og smedien (1881 af Jens Peter Jensen Wærum)</t>
  </si>
  <si>
    <t>Udbyhøjvej 30-32</t>
  </si>
  <si>
    <t xml:space="preserve"> Nørrejyllands Tøjhus</t>
  </si>
  <si>
    <t xml:space="preserve"> På matrnr 1a: Bøssemagerbygningen, Laboratoriet, Vestre Kaserne, Underofficersboligen, Låseteknikerbygningen og Højestbefalendes Bolig, Arsenalbygningen i tre fløje, Bestyrerboligen, Østre Kaserne samt Vagt- og Marketenderibygningen, pigstensbelægningen og de fire stenborner med jernkæder placeret mellem Vagt- og Marketenderibygningen og Udbyhøjvej.  På matrnr 1b: Krudthuset og volden omkring krudthuset. På matrnr 974e: hegnsmure med porte(Arsenalbygningen 1801-02, øvrige bygninger 1805, alle af Anders Kruuse).</t>
  </si>
  <si>
    <t>Udbyhøjvej 496 A</t>
  </si>
  <si>
    <t xml:space="preserve"> Gjessinggård</t>
  </si>
  <si>
    <t xml:space="preserve"> Den trelængede hovedbygning (1747) med omgivende grave</t>
  </si>
  <si>
    <t>Vasevej 9</t>
  </si>
  <si>
    <t xml:space="preserve"> Fussingø</t>
  </si>
  <si>
    <t xml:space="preserve"> Hovedbygningen (ca 1796-98)</t>
  </si>
  <si>
    <t>Vesterbro 40 og 44</t>
  </si>
  <si>
    <t xml:space="preserve"> Den trefløjede hovedbygning (hovedfløjen 1651, kælderen under nordre sidefløj 1500-tallet) samt de omkring hovedbygningen og avlsgård liggende grave med tilhørende vold. Alleavlsbygninger omkring den store gårdsplads</t>
  </si>
  <si>
    <t>Vestergade 35</t>
  </si>
  <si>
    <t xml:space="preserve"> Vestergade 35</t>
  </si>
  <si>
    <t xml:space="preserve"> Vestergrave 42</t>
  </si>
  <si>
    <t>Store Rosengård</t>
  </si>
  <si>
    <t xml:space="preserve"> Vestergrave 44</t>
  </si>
  <si>
    <t>Vestergrave 44</t>
  </si>
  <si>
    <t xml:space="preserve"> Vestergrave 48</t>
  </si>
  <si>
    <t>Vestergrave 48</t>
  </si>
  <si>
    <t xml:space="preserve"> Forhuset (1649)</t>
  </si>
  <si>
    <t>Von Hattenstræde 7</t>
  </si>
  <si>
    <t xml:space="preserve"> Von Hattenstræde 7</t>
  </si>
  <si>
    <t xml:space="preserve"> Forhuset (1799)</t>
  </si>
  <si>
    <t>Østergade 19</t>
  </si>
  <si>
    <t xml:space="preserve"> Amtmandsboligen, Christineberg (tidl)</t>
  </si>
  <si>
    <t>Åbrovej 3</t>
  </si>
  <si>
    <t xml:space="preserve"> Langå Hospital, Christen Skeels Stiftelse</t>
  </si>
  <si>
    <t xml:space="preserve"> Hospitalsbygningen (ca 1655)</t>
  </si>
  <si>
    <t>Rebild Kommune</t>
  </si>
  <si>
    <t>Buderupholmvej 44</t>
  </si>
  <si>
    <t xml:space="preserve"> Buderupholm</t>
  </si>
  <si>
    <t xml:space="preserve"> Den trelængede hovedbygning (1731)</t>
  </si>
  <si>
    <t>Hjortholmvej 41</t>
  </si>
  <si>
    <t xml:space="preserve"> Albæk</t>
  </si>
  <si>
    <t xml:space="preserve"> Det trelængede anlæg bestående af stuehus (ca 1750, ombygget 1800 og senere, senest 1961-62) og de to tidl staldlænger (ca 1850 og senere) samt de fire lindetræer pågårdspladsen foran stuehuset</t>
  </si>
  <si>
    <t>Randrupvej 9</t>
  </si>
  <si>
    <t xml:space="preserve"> Randrup</t>
  </si>
  <si>
    <t xml:space="preserve"> Hovedbygningens vestre længe (ca 1550) med tårn (ca 1570) og karnapper (fra før 1735), det søndre såkaldte italienske hus (ca 1840) samt søndre og nordre sidelænger (1865 og 1869)</t>
  </si>
  <si>
    <t>Roldvej 142-144</t>
  </si>
  <si>
    <t xml:space="preserve"> Nørlund</t>
  </si>
  <si>
    <t xml:space="preserve"> Den trefløjede hovedbygning med omgivende grave (1581-97)</t>
  </si>
  <si>
    <t>Røde Møllevej 22</t>
  </si>
  <si>
    <t xml:space="preserve"> Regeringsanlæg Vest (Regan Vest)</t>
  </si>
  <si>
    <t xml:space="preserve"> Regeringsanlæg i Vestdanmark, forkortet Regan Vest, (1963-68 af Forsvarets Bygningstjeneste) bestående af det underjordiske anlæg med indgangsparti, to udstødningstårne, to indsugningstårne og nødudgang over jorden, tjenestebolig med garage/udhus og havemur (1965 af Forsvarets Bygningstjeneste), til- og frakørselsvej til anlægget, den indhegnede forpladsmed perimeterhegn og låger, porttelefon og trappe fra tjenesteboligens have til indgangen</t>
  </si>
  <si>
    <t>Sankt Jørgensvej 1</t>
  </si>
  <si>
    <t xml:space="preserve"> Gerding Præstegård</t>
  </si>
  <si>
    <t xml:space="preserve"> Hovedbygningen (1911), den tidl staldbygning (ca 1860), trapper, støttemure og træer ved hovedbygningernes facade samt hegnsmur med portportal og havelågemellem de to bygninger</t>
  </si>
  <si>
    <t>Svanfolkvej 1</t>
  </si>
  <si>
    <t xml:space="preserve"> Vorgård</t>
  </si>
  <si>
    <t xml:space="preserve"> Kælderen (1550-75) under østfløjen</t>
  </si>
  <si>
    <t>Sverriggårdsvej 3</t>
  </si>
  <si>
    <t xml:space="preserve"> Skørping Station</t>
  </si>
  <si>
    <t xml:space="preserve"> Skørping Stations hovedbygning (1869, ombygget 1878 og 1898 afNP Holsøe) og Vandtårnet ved Skørping Station (1898)</t>
  </si>
  <si>
    <t>Ålborgvej 63</t>
  </si>
  <si>
    <t xml:space="preserve"> Lindenborg</t>
  </si>
  <si>
    <t xml:space="preserve"> Hovedbygningens søndre og østre fløj (søndre fløj 1583, østfløj formentlig1616) med de nord, øst og syd for liggende grave</t>
  </si>
  <si>
    <t>Ringkøbing-Skjern Kommune</t>
  </si>
  <si>
    <t>Brejninggårdsvej 12</t>
  </si>
  <si>
    <t xml:space="preserve"> Brejninggård</t>
  </si>
  <si>
    <t xml:space="preserve"> Hovedbygningen (ca 1580)</t>
  </si>
  <si>
    <t>Bundsbækvej 27</t>
  </si>
  <si>
    <t xml:space="preserve"> Bundsbæk Vandmølle</t>
  </si>
  <si>
    <t xml:space="preserve"> Stuehuset og den hermed sammenbyggede mølle (1843) med vandhjul og alt nagelfast mølleinventar samt mølledæmning, mølledam, møllesluse med stemmeværk og malekarm, bagløb med stensætninger indtil sammenløb med friløbet mod syd, frisluse med stemmeværk, turbine og fisketrappe, friløb indtil sammenløb med bagløbet samt markstensbelægninger foran og bagstuehus og møllebygning</t>
  </si>
  <si>
    <t>Galgebjergvej 20, Hemmet</t>
  </si>
  <si>
    <t xml:space="preserve"> Gåsemandens Hus</t>
  </si>
  <si>
    <t xml:space="preserve"> Det firelængede husmandssted (slut. af 1800-tallet),laden (1924) og det dermed sammenbyggede motorhus nord for gården (1920)</t>
  </si>
  <si>
    <t>Havnepladsen 2</t>
  </si>
  <si>
    <t xml:space="preserve"> Havnekontoret</t>
  </si>
  <si>
    <t xml:space="preserve"> Havnekontoret og det dermed sammenbyggede pakhus (1906 af UlrikPlesner) samt flagstangen</t>
  </si>
  <si>
    <t>Holmsland Klitvej 117</t>
  </si>
  <si>
    <t xml:space="preserve"> Holmsland Klitvej 117</t>
  </si>
  <si>
    <t xml:space="preserve"> Den firelængede klitgård (1810-1880) og gårdspladsen</t>
  </si>
  <si>
    <t>Holmsland Klitvej 203</t>
  </si>
  <si>
    <t xml:space="preserve"> Holmsland Klitvej 203</t>
  </si>
  <si>
    <t xml:space="preserve"> Den firelængede bondegård (midten af 1800-tallet), denpigstensbelagte gårdsplads samt det stråtækte udhus sydvest for gården</t>
  </si>
  <si>
    <t>Holmsland Klitvej 91</t>
  </si>
  <si>
    <t xml:space="preserve"> Nørre Lyngvig, Marie Fjords Gård</t>
  </si>
  <si>
    <t xml:space="preserve"> Den firelængede gård (beg af 1800-tallet)</t>
  </si>
  <si>
    <t>Husby Klitvej</t>
  </si>
  <si>
    <t xml:space="preserve"> Husby Klit Båke</t>
  </si>
  <si>
    <t xml:space="preserve"> Sømærket Husby Klit Båke (1884)</t>
  </si>
  <si>
    <t>Husby Klitvej 23</t>
  </si>
  <si>
    <t xml:space="preserve"> Bankgård (tidl fejlagtigt Fjordgården)</t>
  </si>
  <si>
    <t xml:space="preserve"> Den firelængede gård (ca 1800) samt denomgivende og på gårdspladsen værende brolægning</t>
  </si>
  <si>
    <t>Husby Klitvej 33</t>
  </si>
  <si>
    <t xml:space="preserve"> Husby Klitvej 33</t>
  </si>
  <si>
    <t xml:space="preserve"> Den firelængede klitgård (midten af 1800-tallet og 1912), den spånklædte lade (1922), udhuset (1922), de strandstensbelagte arealer (gårdsplads, portgennemkørsel ogomgivende arealer) og møddingsmuren</t>
  </si>
  <si>
    <t>Husby Klitvej 5</t>
  </si>
  <si>
    <t xml:space="preserve"> Strandgården</t>
  </si>
  <si>
    <t xml:space="preserve"> Den firelængede bondegård (1875) med den brostensbelagte gårdspladsog stenpigningen langs bygningernes yderside</t>
  </si>
  <si>
    <t xml:space="preserve">Nørredige 3 A </t>
  </si>
  <si>
    <t xml:space="preserve"> Ringkøbing Station</t>
  </si>
  <si>
    <t xml:space="preserve"> Hovedbygningen med perrontag og kældernedgangsbygning,toiletbygning samt pakhus (1875 af NP Holsøe)</t>
  </si>
  <si>
    <t>Nørredige 7</t>
  </si>
  <si>
    <t xml:space="preserve"> Pakhuset, Ringkøbing Station</t>
  </si>
  <si>
    <t xml:space="preserve"> Pakhuset (1875 af NPC. Holsøe)</t>
  </si>
  <si>
    <t>Skjern Station</t>
  </si>
  <si>
    <t xml:space="preserve"> Vandtårnet ved Skjern Station</t>
  </si>
  <si>
    <t xml:space="preserve"> Vandtårnet (1874 af NP Holsøe)</t>
  </si>
  <si>
    <t>Stauningvej 56</t>
  </si>
  <si>
    <t xml:space="preserve"> Stauning Præstegård</t>
  </si>
  <si>
    <t xml:space="preserve"> Det gamle stuehus (1789)</t>
  </si>
  <si>
    <t>Søndergade, Hvide Sande</t>
  </si>
  <si>
    <t xml:space="preserve"> Åregab Båke</t>
  </si>
  <si>
    <t xml:space="preserve"> Sømærket Åregab Båke (1884)</t>
  </si>
  <si>
    <t xml:space="preserve"> Sønder Klitvej 142</t>
  </si>
  <si>
    <t xml:space="preserve"> Haurvig Båke</t>
  </si>
  <si>
    <t xml:space="preserve"> Sømærket Haurvig Båke</t>
  </si>
  <si>
    <t>Sønder Klitvej 250 A</t>
  </si>
  <si>
    <t xml:space="preserve"> Fiskergården, Bjerregård</t>
  </si>
  <si>
    <t xml:space="preserve"> Den firelængede gård (1825)</t>
  </si>
  <si>
    <t>Sønder Klitvej 282</t>
  </si>
  <si>
    <t xml:space="preserve"> Sønder Klitvej 282</t>
  </si>
  <si>
    <t xml:space="preserve"> Den tolængede, grundmurede, stråtækte gård (slutn 1800-tallet)</t>
  </si>
  <si>
    <t>Sønder Klitvej 72</t>
  </si>
  <si>
    <t xml:space="preserve"> Haurvig Redningsstation</t>
  </si>
  <si>
    <t xml:space="preserve"> Redningsstationen bestående af bådhuset (1887),raketapparatbygningen (1882) og telefonhuset</t>
  </si>
  <si>
    <t>Sønder Klitvej 84</t>
  </si>
  <si>
    <t xml:space="preserve"> Haurvig</t>
  </si>
  <si>
    <t xml:space="preserve"> Den firelængede gård med gårdsplads (1865)</t>
  </si>
  <si>
    <t>Sønder Klitvej 87</t>
  </si>
  <si>
    <t xml:space="preserve"> Abelines Gård</t>
  </si>
  <si>
    <t xml:space="preserve"> Den firelængede gård (1871) med brolægning på gårdspladsen oglangs længernes ydersider</t>
  </si>
  <si>
    <t>Torvet 18</t>
  </si>
  <si>
    <t xml:space="preserve"> Hotel Ringkøbing</t>
  </si>
  <si>
    <t xml:space="preserve"> Forhuset og det hermed sammenbyggede sidehus på fem fag modTorvegade (1600-tallet og senere)</t>
  </si>
  <si>
    <t xml:space="preserve"> Forhuset (1807)</t>
  </si>
  <si>
    <t>Vedersø Klit</t>
  </si>
  <si>
    <t>Vedersø Klit Båke</t>
  </si>
  <si>
    <t xml:space="preserve"> Sømærket Vedersø Klit Båke (1884)</t>
  </si>
  <si>
    <t>Velling Kirkeby 1</t>
  </si>
  <si>
    <t xml:space="preserve"> Velling Præstegård</t>
  </si>
  <si>
    <t xml:space="preserve"> Stuehuset med sidelænge (1832)</t>
  </si>
  <si>
    <t>Vester Strandgade 33</t>
  </si>
  <si>
    <t xml:space="preserve"> Vester Strandgade 33</t>
  </si>
  <si>
    <t xml:space="preserve"> Forhuset og det hermed sammenbyggede sidehus (1872)</t>
  </si>
  <si>
    <t>Vester Strandsbjerg 1</t>
  </si>
  <si>
    <t xml:space="preserve"> Den gamle Toldbod</t>
  </si>
  <si>
    <t xml:space="preserve"> Hjørneforhuset (1834 formentlig af Jørgen Hansen Koch)</t>
  </si>
  <si>
    <t>Øster Strandgade 13</t>
  </si>
  <si>
    <t xml:space="preserve"> Øster Strandgade 13</t>
  </si>
  <si>
    <t xml:space="preserve"> Forhuset (1867-78)</t>
  </si>
  <si>
    <t xml:space="preserve">Ringsted Kommune </t>
  </si>
  <si>
    <t>Sankt Bendtsgade 1</t>
  </si>
  <si>
    <t xml:space="preserve"> Ringsted Rådhus</t>
  </si>
  <si>
    <t xml:space="preserve"> "Rådhuset (1936-37 og udv. 1962 af Steen Eiler Rasmussen) og dets nære omgivelser bla med skulpturen ""Valdemar den Store"" (1936-37 af Johannes Bjerg)</t>
  </si>
  <si>
    <t>Sankt Bendtsgade 5</t>
  </si>
  <si>
    <t xml:space="preserve"> Det Mahlerske Hus</t>
  </si>
  <si>
    <t xml:space="preserve"> "Det østlige forhus (""Det Mahlerske hus"" 1860'erne) og detvestlige forhus (acciseboden 1700-tallet)</t>
  </si>
  <si>
    <t>Sigerstedvej 109</t>
  </si>
  <si>
    <t xml:space="preserve"> Sigerstedvej 109</t>
  </si>
  <si>
    <t xml:space="preserve"> Bindingsværkshuset (ca 1830)</t>
  </si>
  <si>
    <t>Skjoldenæsvej 106</t>
  </si>
  <si>
    <t xml:space="preserve"> Skjoldenæsholm</t>
  </si>
  <si>
    <t xml:space="preserve"> Den trefløjede hovedbygning (ca 1665; hovedfløj: 1763, måskeved Philip de Lange; ombygget 1803 og senere)</t>
  </si>
  <si>
    <t>Skjoldenæsvej 136</t>
  </si>
  <si>
    <t xml:space="preserve"> Laurentziuslund</t>
  </si>
  <si>
    <t xml:space="preserve"> Den firelængede bindingsværksgård (ca 1820) samt brolægningenomkring ejendommens bygninger</t>
  </si>
  <si>
    <t>Valsømaglevej 134</t>
  </si>
  <si>
    <t xml:space="preserve"> Den tidl Klokkerbolig</t>
  </si>
  <si>
    <t xml:space="preserve"> Den trelængede bindingsværksgård (beg af 1700-tallet)</t>
  </si>
  <si>
    <t>Vigersted Bygade 33 (Vigerstedvej 2 A)</t>
  </si>
  <si>
    <t xml:space="preserve"> Vigersted Kirkelade (Vigersted Tiendelade)</t>
  </si>
  <si>
    <t xml:space="preserve"> Kirkeladen(middelalder og senere)</t>
  </si>
  <si>
    <t>Roskilde Kommune</t>
  </si>
  <si>
    <t>Algade 13</t>
  </si>
  <si>
    <t xml:space="preserve"> Hotel Prindsen</t>
  </si>
  <si>
    <t xml:space="preserve"> Hovedbygningen mod Algade samt tilbygningen mod Rosenhavestræde(1875-76 af Ove Petersen)</t>
  </si>
  <si>
    <t>Algade 15 A og G</t>
  </si>
  <si>
    <t xml:space="preserve"> Forhuset (ca 1650) og den del af sidehuset mod Rosenhavestræde,der er i bindingsværk</t>
  </si>
  <si>
    <t xml:space="preserve"> Algade 3</t>
  </si>
  <si>
    <t xml:space="preserve"> Forhusets kælder (middelalder)</t>
  </si>
  <si>
    <t>Birkede-Dåstrup</t>
  </si>
  <si>
    <t xml:space="preserve"> Jernbanebroer (2 stk) ved Birkede</t>
  </si>
  <si>
    <t xml:space="preserve"> De to jernbanebroer over vestbanen på vejstrækningerne Birkede-Dåstrup (ca 1920) og Birkede-Søster Svenstrup (1853) henholdsvis 44,185 og44,635 km. fra København</t>
  </si>
  <si>
    <t>Bondetinget 17</t>
  </si>
  <si>
    <t xml:space="preserve"> Bondetinget 17</t>
  </si>
  <si>
    <t>Bondetinget 19</t>
  </si>
  <si>
    <t xml:space="preserve"> Bondetinget 19</t>
  </si>
  <si>
    <t>Bondetinget 4</t>
  </si>
  <si>
    <t xml:space="preserve"> Bondetinget 4</t>
  </si>
  <si>
    <t xml:space="preserve"> Forhuset og de to dermed sammenbyggede sidehuse (1844 af G. F. Hetsch)</t>
  </si>
  <si>
    <t>Boserupvej 2</t>
  </si>
  <si>
    <t xml:space="preserve"> Sankt Hans Hospital, Kurhuset</t>
  </si>
  <si>
    <t xml:space="preserve"> Kurhuset (1851 af Gottlieb Bindesbøll)</t>
  </si>
  <si>
    <t>Bredgade 2 A</t>
  </si>
  <si>
    <t xml:space="preserve"> Duebrødre Kloster</t>
  </si>
  <si>
    <t xml:space="preserve"> Bygningen mod Bredgade med gavl mod Allehelgensgade (1841)</t>
  </si>
  <si>
    <t>Byvolden 25 A-B</t>
  </si>
  <si>
    <t xml:space="preserve"> Kastellet</t>
  </si>
  <si>
    <t xml:space="preserve"> "Villaen (1900 af Gustav Wied), det lille bindingsværkshus "Enkesædet", den nordre bygning "Kavalerfløjen" med havemur, haven og mindelunden med 28 mindestøtter i cement</t>
  </si>
  <si>
    <t xml:space="preserve"> Statsskolen</t>
  </si>
  <si>
    <t xml:space="preserve"> Forbygningen (1842 af Jørgen Hansen Koch)</t>
  </si>
  <si>
    <t>Domkirkepladsen 2</t>
  </si>
  <si>
    <t xml:space="preserve"> Meyercrones Stiftelse</t>
  </si>
  <si>
    <t xml:space="preserve"> Den gulkalkede bygning (1833), havemuren mod Regensstienog Domkirkepladsen og det stensatte gærde langs Provstestræde</t>
  </si>
  <si>
    <t>Domkirkepladsen 4</t>
  </si>
  <si>
    <t xml:space="preserve"> Domprovstegården</t>
  </si>
  <si>
    <t xml:space="preserve"> Hovedbygningen (1843) med bindingsværksstaldbygningen og stendige mod Provstestræde, samt den middelalderlige kælder under den søndre sidefløj</t>
  </si>
  <si>
    <t>Udvidet 1987*</t>
  </si>
  <si>
    <t>Domkirkestræde 10</t>
  </si>
  <si>
    <t xml:space="preserve"> Konventhuset (tidl Stiftsbiblioteket)</t>
  </si>
  <si>
    <t xml:space="preserve"> Det middelalderlige stenhus med tilbygning (1858-59af Ferdinand Meldahl)</t>
  </si>
  <si>
    <t>Dronning Margrethes Vej 1 (tidl Frederiksborgvej 2)</t>
  </si>
  <si>
    <t xml:space="preserve"> Klosterkilden</t>
  </si>
  <si>
    <t xml:space="preserve"> Den stensatte kildegrotte medkildebrønd</t>
  </si>
  <si>
    <t>Havnevej 17 A</t>
  </si>
  <si>
    <t xml:space="preserve"> Sankt Clara Mølle</t>
  </si>
  <si>
    <t xml:space="preserve"> Det enetages beboelseshus nordligst på grunden (1831)</t>
  </si>
  <si>
    <t>Havnevej 25</t>
  </si>
  <si>
    <t xml:space="preserve"> Rings Villa</t>
  </si>
  <si>
    <t xml:space="preserve"> Villaen (1913-14 af Andreas Clemmensen) og smedejernshavelågen medgranitborner</t>
  </si>
  <si>
    <t>Hejnstrupvej 35</t>
  </si>
  <si>
    <t xml:space="preserve"> Hejnstrupgård</t>
  </si>
  <si>
    <t xml:space="preserve"> Hovedbygningen og nordre staldlænge (1780)</t>
  </si>
  <si>
    <t>Jernbanegade 1 A</t>
  </si>
  <si>
    <t xml:space="preserve"> Roskilde Jernbanestation</t>
  </si>
  <si>
    <t xml:space="preserve"> Stationens hovedbygning (1847 af arkitekt J.F.Meyer)</t>
  </si>
  <si>
    <t>Maglekildevej</t>
  </si>
  <si>
    <t xml:space="preserve"> Maglekilde</t>
  </si>
  <si>
    <t xml:space="preserve"> Den stensatte opbygning om Maglekildes udspring</t>
  </si>
  <si>
    <t>Møllevej 16</t>
  </si>
  <si>
    <t xml:space="preserve"> Den tidl Birkede Skole</t>
  </si>
  <si>
    <t xml:space="preserve"> Den tidl Birkede Skole, udhuset (begge 1914) samt de seks lindetræer</t>
  </si>
  <si>
    <t>Ringstedgade 3</t>
  </si>
  <si>
    <t xml:space="preserve"> Farvergården</t>
  </si>
  <si>
    <t xml:space="preserve"> Forhuset (1857 af Mathias Brock, ombygget i 1860'erne af H.S.Sibbern)</t>
  </si>
  <si>
    <t>Ringstedgade 76 A-78 og Møllehusene 5-19 (tidl Ringstedgade 80)</t>
  </si>
  <si>
    <t xml:space="preserve"> De Danske Spritfabrikker Roskilde</t>
  </si>
  <si>
    <t>Hovedbygningen med fritliggende sidebygning (1849) og whiskyfabrikken (1881 af Martin Borch, tilbygget 1885 og 1914)</t>
  </si>
  <si>
    <t xml:space="preserve"> Udvidet 1990 og 2017*</t>
  </si>
  <si>
    <t>Sankt Ibsvej 12</t>
  </si>
  <si>
    <t xml:space="preserve"> Roskilde Gasværk</t>
  </si>
  <si>
    <t xml:space="preserve"> Hovedbygningen (1863, om- og tilbygget 1899 og 1930)</t>
  </si>
  <si>
    <t>Sankt Ibsvej 2 og Frederiksborgvej 31</t>
  </si>
  <si>
    <t xml:space="preserve"> Sankt Ibs Kirke</t>
  </si>
  <si>
    <t xml:space="preserve"> Middelalderlige dele af kirkebygningen</t>
  </si>
  <si>
    <t>Sankt Olsgade 18 og Sankt Olsstræde 1</t>
  </si>
  <si>
    <t xml:space="preserve"> Sukkerhuset, Liebes Gård, Museum</t>
  </si>
  <si>
    <t xml:space="preserve"> Forhuset (1804) og densom sukkerraffinaderi opførte bygning langs Sankt Olsstræde (1763)</t>
  </si>
  <si>
    <t>Sankt Pedersstræde 8 og 8 B, E</t>
  </si>
  <si>
    <t xml:space="preserve"> Roskilde Jomfrukloster</t>
  </si>
  <si>
    <t xml:space="preserve"> Den gamle fløj (ca 1550, istandsat 1670),tilbygningen til klosteret (1906 af Jens Ingwersen), forvalterboligen (1907 af Richard Bergmann), haven, havemuren og gårdspladsen</t>
  </si>
  <si>
    <t>Skolegade 3</t>
  </si>
  <si>
    <t xml:space="preserve"> Rektorbolig</t>
  </si>
  <si>
    <t xml:space="preserve"> Hovedbygningen med sidelænger (1821 af Peder Malling)</t>
  </si>
  <si>
    <t>Skolegade 5, 7 og 9 og Lille Maglekildestræde 2</t>
  </si>
  <si>
    <t xml:space="preserve"> Webers Gaard</t>
  </si>
  <si>
    <t xml:space="preserve"> Forhuset (Skolegade 7-9) i en etage og det med dette sammenbyggede baghus (1700-tallet af Lorenz Weber) samt hjørnebebyggelsen (Skolegade 5/ Lille Maglekildestræde 2) bestående af den toetages beboelsesbygning mod øst (1700-tallet af Lorenz Weber) og den med denne toetages sammenbyggede, vest derfor liggende enetages bygning, oprindeligbeboelse med værksted (1839 af Lorenz Weber)</t>
  </si>
  <si>
    <t xml:space="preserve"> Udv 1996*</t>
  </si>
  <si>
    <t>Skovbogade 43 A og C</t>
  </si>
  <si>
    <t xml:space="preserve"> Remiseanlægget ved Roskilde Station</t>
  </si>
  <si>
    <t xml:space="preserve"> Vestre ringremise (1898) og østre ringremise med mellembygning (ca 1920), vandrensningsbygning (1898), drejeskiven med sporanlæg(1898) og vandkranen</t>
  </si>
  <si>
    <t>Smedestræde 1</t>
  </si>
  <si>
    <t xml:space="preserve"> Jyllinge Smedie</t>
  </si>
  <si>
    <t xml:space="preserve"> Smedjelængen, den tidl smedebolig med stald- og udhustilbygning (ca1800) samt de stenlagte arealer ved længerne</t>
  </si>
  <si>
    <t>Store Gråbrødrestræde 12 B</t>
  </si>
  <si>
    <t xml:space="preserve"> Kapellet på Gråbrødre Kirkegård</t>
  </si>
  <si>
    <t xml:space="preserve"> Gråbrødre Kirkegårds Kapel (1856-57 afHenning Wolff og Ferdinand Meldahl m.fl.) samt kirkegårdens ringmur (1853 af Ferdinand Meldahl) og indgangsportal (1853 af Henning Wolff)</t>
  </si>
  <si>
    <t>Store Valbyvej 276</t>
  </si>
  <si>
    <t xml:space="preserve"> Hovedbygningen (1819)</t>
  </si>
  <si>
    <t>Stændertorvet 1</t>
  </si>
  <si>
    <t xml:space="preserve"> Sankt Laurentius' Tårn, Rådhustårnet</t>
  </si>
  <si>
    <t xml:space="preserve"> Tårnet fra den nedbrudte Sankt Laurentii kirke medtrappehus på sydsiden (ca 1500) og tilbygget nygotisk forhal mod øst</t>
  </si>
  <si>
    <t>Stændertorvet 3 A-E</t>
  </si>
  <si>
    <t xml:space="preserve"> Palæet</t>
  </si>
  <si>
    <t xml:space="preserve"> Hovedbygning med sidebygninger (1733 af Lauritz de Thurah), vestfløjen (1736 af Lauritz de Thurah) med rester af vestmuren af den tidl bispegårds hovedbygning (ca 1100), sydfløjen (portfløjen) med fremspringende bindingsværksfløje, østfløjen (begge 1736 af Lauritz de Thurah), forbindende arkader i de fire hjørner samt forbindelsesgang mellem hovedbygningen og domkirke (ca 1200), Palæhaven og den omgivende mur mod Stændertorvet, Fondens Bro og Domkirkepladsen</t>
  </si>
  <si>
    <t xml:space="preserve"> Udvidet 2014</t>
  </si>
  <si>
    <t>Stændertorvet 3 F</t>
  </si>
  <si>
    <t>Den gamle Husarstald</t>
  </si>
  <si>
    <t xml:space="preserve"> Den 52 fag lange bindingsværksbygning (1700-tallet)</t>
  </si>
  <si>
    <t>Tuttesti</t>
  </si>
  <si>
    <t xml:space="preserve"> Sankt Hans Kilde</t>
  </si>
  <si>
    <t xml:space="preserve"> Den stensatte indramning af kildeudløbet med tilhørende brolægning medrendestensbræt og to flankerende bænke</t>
  </si>
  <si>
    <t>Østermarken 4</t>
  </si>
  <si>
    <t xml:space="preserve"> Bukkehøjgård</t>
  </si>
  <si>
    <t xml:space="preserve"> Den firelængede bondegård og den fritliggende svinestald (før 1800) samtden brostensbelagte gård og stendigerne på ejendommen</t>
  </si>
  <si>
    <t>Attemosevej 170</t>
  </si>
  <si>
    <t xml:space="preserve"> Gl. Holtegård</t>
  </si>
  <si>
    <t xml:space="preserve"> Hovedbygningen (1756-57 af Lauritz de Thurah)</t>
  </si>
  <si>
    <t>Attemosevej 53</t>
  </si>
  <si>
    <t xml:space="preserve"> Attemosevej 53</t>
  </si>
  <si>
    <t xml:space="preserve"> Villaen med brolagt forplads, terrasse samt swimmingpool med badehus(1970 af Gehrdt Bornebusch)</t>
  </si>
  <si>
    <t>Baneskellet 64-70 og 72-78</t>
  </si>
  <si>
    <t xml:space="preserve"> De to tidl portørboliger ved Vedbæk Station</t>
  </si>
  <si>
    <t xml:space="preserve"> De to tidl portørboliger med udhuse(1908 af Christian Brandstrup og Holger Rasmussen)</t>
  </si>
  <si>
    <t>Bøllemosevej 4-6 og Skodsborgparken 19-21</t>
  </si>
  <si>
    <t xml:space="preserve"> Skodsborg Station</t>
  </si>
  <si>
    <t xml:space="preserve"> Hovedbygning vest, med omgivende træloggia, toiletbygningen vest, udhus og rødmalet stakit mellem hovedbygning og udhus (1897 af HeinrichWenck) samt hovedbygningen øst og toiletbygningen øst (1897 af Heinrich Wenck)</t>
  </si>
  <si>
    <t>Dronninggårds Allé 124-140</t>
  </si>
  <si>
    <t xml:space="preserve"> Næsseslottet, Dronninggård</t>
  </si>
  <si>
    <t xml:space="preserve"> "Hovedbygningen (1783 af Andreas Kirkerup) og monumenterne i parken: søjlen for handel og søfart (1784 af C.F.Stanley), obelisken (1784 af Johannes Wiedewelt), den store vase med bukkehoveder og vinranker (af Johannes Wiedewelt), den lille vase med vindrueklaser (muligvis af Johannes Wiedewelt) og soluret, de to pavilloner (ca 1900 af Axel Berg) og staldbygningen (ca 1900 af Axel Berg) på mnr 1 axd*; remisebygningen (1783, senere ombygget), muren nord for køkkenhaven (1783), gartnerboligen (ca 1783, ombygget ca 1900 af Axel Berg), pavillonen syd for gartnerboligen (ca 1840-60 formentlig af GF Hetsch) samt monumentet ""Til ære for venskabet""  ved lågen i den østlige ende af køkkenhaven (1785, C.F.Stanley) på mnr 1 ku*; de to brohuse (ca 1783, senere ombygget), udhuset i haven til det sydlige brohus og monumentet ""Eremittens farvel"" (ca 1785,C.F.Stanley) ved indgangspartiet ved brohusene på mnr 1e; samt parkanlægget på mnr 1axd og1ku og den del af 1e, der ligger på Næsset.</t>
  </si>
  <si>
    <t>Udvidet 1954, 1990</t>
  </si>
  <si>
    <t>Dronninggårds Allé 42</t>
  </si>
  <si>
    <t xml:space="preserve"> Dronninggårds Allé 42</t>
  </si>
  <si>
    <t xml:space="preserve"> Villaen og det åbne areal herunder (1953 af Jørn Utzon)</t>
  </si>
  <si>
    <t>Frederikslundsvej 21</t>
  </si>
  <si>
    <t xml:space="preserve"> Frederikslund</t>
  </si>
  <si>
    <t xml:space="preserve"> Hovedbygningen (ca 1804 af Joseph-Jacques Ramée)</t>
  </si>
  <si>
    <t>Frydenlunds Allé 9-21</t>
  </si>
  <si>
    <t xml:space="preserve"> Frydenlund</t>
  </si>
  <si>
    <t xml:space="preserve"> Hovedbygningen samt side- og indkørselsbygninger (1793-95 muligvisaf J.H.Rawert)</t>
  </si>
  <si>
    <t>Gammel Dronninggårds Allé 3 og 6</t>
  </si>
  <si>
    <t xml:space="preserve"> Lågepiller ved Gammel Dronninggårds Allé 3 og 6</t>
  </si>
  <si>
    <t xml:space="preserve"> De to lågepiller, tidligerehørende til Næsseslottet (1780'erne)</t>
  </si>
  <si>
    <t>Granholmen 9-44, 46-47, Parcelvej 26A-42B (lige numre) og Vejlemosevej 38-66 (lige numre)</t>
  </si>
  <si>
    <t xml:space="preserve"> Parcelgården</t>
  </si>
  <si>
    <t xml:space="preserve"> Rækkehusbebyggelsen Parcelgården med 66 rækkehuse, garagebygninger og veje, stier, ankomstpladser, fællesarealer samt afgrænsningen af de private haver (1950-54 af Palle Suenson ogCth Sørensen)</t>
  </si>
  <si>
    <t>Kastanievej 16</t>
  </si>
  <si>
    <t xml:space="preserve"> Kastanievej 16</t>
  </si>
  <si>
    <t xml:space="preserve"> Villaen (1933 af tømrermester L.V. Sørensen) med have (1979 aflandskabsarkitekt Cth Sørensen)</t>
  </si>
  <si>
    <t>K-F Nærum og Omegn 1-50 (tidl Nærumgårdsvej 73)</t>
  </si>
  <si>
    <t xml:space="preserve"> De Ovale Haver</t>
  </si>
  <si>
    <t xml:space="preserve"> Kolonihaveparken (1949 af CthSørensen)</t>
  </si>
  <si>
    <t>Kildevej 8, Holte</t>
  </si>
  <si>
    <t xml:space="preserve"> Fredensdal</t>
  </si>
  <si>
    <t xml:space="preserve"> De to bygninger (1824), haveanlægget med inventar og skrænten medgrotten mellem haven og Søllerød sø</t>
  </si>
  <si>
    <t>Lyngskrænten 5</t>
  </si>
  <si>
    <t xml:space="preserve"> Lyngskrænten 5</t>
  </si>
  <si>
    <t xml:space="preserve"> Villaen med carport (1987 af Tage Lyneborg) samtvandhaven oghaven (1987 af Cornelia Zibrandtsen i samarbejde med Tage Lyneborg)</t>
  </si>
  <si>
    <t>Norske Allé 15</t>
  </si>
  <si>
    <t xml:space="preserve"> Villa Kathus</t>
  </si>
  <si>
    <t xml:space="preserve"> Villaen med garage, terrasser, læmure, trapper, flisebelægninger og trædesten (1968 af Bertel Udsen) samt haveanlægget foran hovedindgangen og de tre løvtræer</t>
  </si>
  <si>
    <t>Paradisvænget 24</t>
  </si>
  <si>
    <t xml:space="preserve"> Paradisvænget 24</t>
  </si>
  <si>
    <t xml:space="preserve"> Villaen med garage (1972 af Knud Holscher) og alle dele af haven(1972 af Svend Kierkegaard)</t>
  </si>
  <si>
    <t>Raadvad 46-50</t>
  </si>
  <si>
    <t xml:space="preserve"> Raadvad 46-50</t>
  </si>
  <si>
    <t xml:space="preserve"> Hele området med alle bygninger og anlæg, herunder fabriksbygningernenord for Nordre Mølleå (1879 ff), den tidligere staldbygning samt vognporten i bindingsværk i gården bag fabrikken</t>
  </si>
  <si>
    <t>Raadvad 52</t>
  </si>
  <si>
    <t xml:space="preserve"> Raadvad Kro</t>
  </si>
  <si>
    <t xml:space="preserve"> Kroens hovedbygning med side- og bagbygning (1891, facaden ændret ca1914)</t>
  </si>
  <si>
    <t>Skodsborg Strandvej 113</t>
  </si>
  <si>
    <t xml:space="preserve"> Grevinde Danners Palæ</t>
  </si>
  <si>
    <t xml:space="preserve"> Den toetages længe med jernaltanen (ældre husforhøjet og helt ombygget 1852 af Peter Kornerup), mnr 4a Grotten i parken ved Grevinde Danners palæ, mnr 4ai</t>
  </si>
  <si>
    <t>Skodsborg Strandvej 123</t>
  </si>
  <si>
    <t xml:space="preserve"> Villa Rex</t>
  </si>
  <si>
    <t xml:space="preserve"> Villaen (1858 af J.H. Nebelong for Kong Frederik VII og GrevindeDanner) og det med villaen sammenbyggede tårn (1880)</t>
  </si>
  <si>
    <t>Søllerødvej 23-25</t>
  </si>
  <si>
    <t xml:space="preserve"> Mothsgård</t>
  </si>
  <si>
    <t xml:space="preserve"> Det trelængede anlæg (1700-tallet)</t>
  </si>
  <si>
    <t>Søllerødvej 30-32</t>
  </si>
  <si>
    <t xml:space="preserve"> Carlsminde</t>
  </si>
  <si>
    <t xml:space="preserve"> Hovedbygningen og sidelængen (ca 1750)</t>
  </si>
  <si>
    <t>Søllerødvej 31</t>
  </si>
  <si>
    <t xml:space="preserve"> Søllerød Præstegård</t>
  </si>
  <si>
    <t xml:space="preserve"> Den trelængede præstegård samt staldbygningen i nord (ca 1794)</t>
  </si>
  <si>
    <t>Søllerødvej 35</t>
  </si>
  <si>
    <t xml:space="preserve"> Søllerød Kro</t>
  </si>
  <si>
    <t xml:space="preserve"> Bygningerne mod gadekæret og den med disse sammenbyggedevinkelbygninger mod nord</t>
  </si>
  <si>
    <t>Søllerødvej 36-38</t>
  </si>
  <si>
    <t xml:space="preserve"> Fogedgården</t>
  </si>
  <si>
    <t xml:space="preserve"> Bindingsværkslængen i syd (1838-49) og den grundmurede længe inord (ca 1850)</t>
  </si>
  <si>
    <t>Søllerødvej 40</t>
  </si>
  <si>
    <t xml:space="preserve"> Olufshøj</t>
  </si>
  <si>
    <t xml:space="preserve"> Det vinkelbyggede, grundmurede hus samt porten med murpiller ud modSøllerødvej (sidste halvdel af 1700-tallet)</t>
  </si>
  <si>
    <t>Vedbæk Stationsvej 20 A</t>
  </si>
  <si>
    <t xml:space="preserve"> Vedbæk Station</t>
  </si>
  <si>
    <t xml:space="preserve"> Hovedbygningen, trappehuset og perrontunnelen (1897 afHeinrich Wenck)</t>
  </si>
  <si>
    <t>Vedbæk Strandvej 335</t>
  </si>
  <si>
    <t xml:space="preserve"> Egebakken</t>
  </si>
  <si>
    <t xml:space="preserve"> Hovedbygningen (1841, veranda 1860), stalden og udhuset (1841)</t>
  </si>
  <si>
    <t>Vedbæk Strandvej 341</t>
  </si>
  <si>
    <t xml:space="preserve"> Enrum</t>
  </si>
  <si>
    <t xml:space="preserve"> Hovedbygningen med sidefløje og herskabsstalden (1862-64 af J.D.Herholdt) samt Kong Karls Kilde (1786)</t>
  </si>
  <si>
    <t>Vedbæk Strandvej 387</t>
  </si>
  <si>
    <t xml:space="preserve"> Strandbo</t>
  </si>
  <si>
    <t xml:space="preserve"> Beboelseshuset (de fem nordlige fag ca 1835, de fire sydlige fag ca1860) og udhuset (ca 1880)</t>
  </si>
  <si>
    <t>Øverødvej 2</t>
  </si>
  <si>
    <t xml:space="preserve"> Søllerød Rådhus</t>
  </si>
  <si>
    <t xml:space="preserve"> Rådhusbygningen med park og umiddelbare omgivelser (1942 af ArneJacobsen og Flemming Lassen) samt annexbygningen mod øst (1967 samme arkitekter)</t>
  </si>
  <si>
    <t>Rødovre Kommune</t>
  </si>
  <si>
    <t>Korsdalsvej 103</t>
  </si>
  <si>
    <t xml:space="preserve"> Irmas Kafferisteri</t>
  </si>
  <si>
    <t xml:space="preserve"> Kafferisteribygningen (1968 af Bent Mackeprang og Thorkel Klerk)</t>
  </si>
  <si>
    <t>Nørrekær 22</t>
  </si>
  <si>
    <t xml:space="preserve"> Vestbad (østlige del)</t>
  </si>
  <si>
    <t xml:space="preserve"> Friluftsanlægget Vestbad bestående af to udendørs svømmebassiner med omgivende flisebelægninger og alle tilhørende konstruktioner, vandlegeplads, den tidligere kioskbygning samt den østlige del af parken (1957-58 af Arkitektkontoret i Rødovre Kommune vedstadsarkitekt Børge T. Lorentzen og landskabsarkitekt Cth Sørensen)</t>
  </si>
  <si>
    <t>Rødovre Parkvej 140</t>
  </si>
  <si>
    <t xml:space="preserve"> Rødovre Bibliotek</t>
  </si>
  <si>
    <t xml:space="preserve"> Rødovre Bibliotek (1967-1970 af arkitekt Arne Jacobsen) mednære omgivelser</t>
  </si>
  <si>
    <t>Rødovre Parkvej 150</t>
  </si>
  <si>
    <t xml:space="preserve"> Rødovre Rådhus</t>
  </si>
  <si>
    <t xml:space="preserve"> Kontorbygningen og den dermed forbundne mødesalsbygning (1955 af Arne Jacobsen) samt rådhusets nære omgivelser (udformet i samarbejde med Eigil Kiær)</t>
  </si>
  <si>
    <t>Samsø Kommune</t>
  </si>
  <si>
    <t>Besser Hovedgade 1</t>
  </si>
  <si>
    <t xml:space="preserve"> Besser Præstegård</t>
  </si>
  <si>
    <t xml:space="preserve"> Stuehuset (1753) og den i forlængelse hermed liggendeportfløj (før 1753) samt de to udhuslænger og den brolagte gårdsplads</t>
  </si>
  <si>
    <t>Besser Hovedgade 4</t>
  </si>
  <si>
    <t xml:space="preserve"> Dyrlægegården</t>
  </si>
  <si>
    <t xml:space="preserve"> Det vinkelbyggede bindingsværksanlæg bestående af stuehus ogudhus (1810)</t>
  </si>
  <si>
    <t>Besser Hovedgade 47</t>
  </si>
  <si>
    <t xml:space="preserve"> Besser Hovedgade 47</t>
  </si>
  <si>
    <t xml:space="preserve"> Stuehuset</t>
  </si>
  <si>
    <t>Brundbyvej 23 A</t>
  </si>
  <si>
    <t xml:space="preserve"> Brundby Stubmølle, tidl Kolhøj Stubmølle</t>
  </si>
  <si>
    <t xml:space="preserve"> Stubmøllen (opført 1650 på Endelave,nuværende plads 1817)</t>
  </si>
  <si>
    <t>Egevej 27</t>
  </si>
  <si>
    <t xml:space="preserve"> Egevej 27</t>
  </si>
  <si>
    <t xml:space="preserve"> Stuehuset (1854)</t>
  </si>
  <si>
    <t>Hjortgyde 2</t>
  </si>
  <si>
    <t xml:space="preserve"> Hjortgyde 2</t>
  </si>
  <si>
    <t xml:space="preserve"> Den vinkelformede bygning (stuehuset 1846, vestlængen 1870'erne)</t>
  </si>
  <si>
    <t>Hæderlighedsgyden 15</t>
  </si>
  <si>
    <t xml:space="preserve"> Hæderlighedsgyden 15</t>
  </si>
  <si>
    <t xml:space="preserve"> Det fjortenfags bindingsværkshus (1795, ombygget1832 og 1870)</t>
  </si>
  <si>
    <t>Kirkevej 10</t>
  </si>
  <si>
    <t xml:space="preserve"> Kirkevej 10</t>
  </si>
  <si>
    <t xml:space="preserve"> Bindingsværkslænge (slutn af 1700-tallet)</t>
  </si>
  <si>
    <t>Klokkestræde 2</t>
  </si>
  <si>
    <t xml:space="preserve"> Klokkestræde 2</t>
  </si>
  <si>
    <t xml:space="preserve"> Forhuset (beg af 1800-tallet med anvendelse af ældrebindingsværkstømmer)</t>
  </si>
  <si>
    <t>Kaasenvejen 16</t>
  </si>
  <si>
    <t xml:space="preserve"> Kolby Mølle</t>
  </si>
  <si>
    <t xml:space="preserve"> Vindmøllen (1859, nuværende plads 1899)</t>
  </si>
  <si>
    <t>Lisegyden 3</t>
  </si>
  <si>
    <t xml:space="preserve"> Lisegyden 3</t>
  </si>
  <si>
    <t xml:space="preserve"> Det ellevefags beboelseshus af bindingsværk (før 1844, ombygget 1864 og ca1900)</t>
  </si>
  <si>
    <t>Lygten 3</t>
  </si>
  <si>
    <t xml:space="preserve"> Lygten 3</t>
  </si>
  <si>
    <t xml:space="preserve"> Den vinkelformede bygning (forhuset ca 1800, tilbygget ca 1940)</t>
  </si>
  <si>
    <t>M.B. Jensensvej 1</t>
  </si>
  <si>
    <t xml:space="preserve"> Lille Jens' Hus</t>
  </si>
  <si>
    <t xml:space="preserve"> Forhuset (1830'rne, ombygget 1854)</t>
  </si>
  <si>
    <t>Maren Findsgyde 8</t>
  </si>
  <si>
    <t xml:space="preserve"> Maren Findsgyde 8</t>
  </si>
  <si>
    <t xml:space="preserve"> Det ottefags bindingsværkshus (før 1795, ombygget senest1897)</t>
  </si>
  <si>
    <t>Morten Madsensvej 20</t>
  </si>
  <si>
    <t xml:space="preserve"> Morten Madsensvej 20</t>
  </si>
  <si>
    <t xml:space="preserve"> Bindingsværkslængens otte vestligste fag (ca 1793,senere ændringer)</t>
  </si>
  <si>
    <t>Morten Madsensvej 22</t>
  </si>
  <si>
    <t xml:space="preserve"> Morten Madsensvej 22</t>
  </si>
  <si>
    <t xml:space="preserve"> Bindingsværkslængens 10 østligste fag (ca 1793,ateliervindue i østgavlen 1947)</t>
  </si>
  <si>
    <t>Morten Madsensvej 26</t>
  </si>
  <si>
    <t xml:space="preserve"> Morten Madsensvej 26</t>
  </si>
  <si>
    <t xml:space="preserve"> Beboelsesbygningen og det tilbyggede udhus (slutn af1700-tallet)</t>
  </si>
  <si>
    <t>Maarup Hovedgade 15</t>
  </si>
  <si>
    <t xml:space="preserve"> Maarup Hovedgade 15</t>
  </si>
  <si>
    <t xml:space="preserve"> Østlængen (1780), nord- og vestlængen</t>
  </si>
  <si>
    <t>Maarup Hovedgade 22</t>
  </si>
  <si>
    <t xml:space="preserve"> Beyergården</t>
  </si>
  <si>
    <t xml:space="preserve"> Den firelængede, sammenbyggede gård bestående af stuehus,vestlænge, østlænge (ca 1794, østlængens østmur opmuret mellem 1886 og 1907) og nordlænge (1856) samt den brolagte gårdsplads</t>
  </si>
  <si>
    <t>Nordby Hovedgade 27</t>
  </si>
  <si>
    <t xml:space="preserve"> Majstangen</t>
  </si>
  <si>
    <t xml:space="preserve"> Stangen med det tremastede skib på toppen</t>
  </si>
  <si>
    <t>Nordby Hovedgade 36 (tidl 32)</t>
  </si>
  <si>
    <t xml:space="preserve"> Klokketårnet med kampestenssætning (1857 af F.V.S.Jacobsen)</t>
  </si>
  <si>
    <t>Per Poulsensvej 8 A</t>
  </si>
  <si>
    <t xml:space="preserve"> Per Poulsensvej 8 A</t>
  </si>
  <si>
    <t xml:space="preserve"> Forhuset med udskud (1700-tallet)</t>
  </si>
  <si>
    <t>Slagterivej 5, Strandgården</t>
  </si>
  <si>
    <t xml:space="preserve"> Ballen Kalkværk</t>
  </si>
  <si>
    <t xml:space="preserve"> Kalkovnen med den enetages tilbygning (1832)</t>
  </si>
  <si>
    <t>Storegade 49</t>
  </si>
  <si>
    <t xml:space="preserve"> Pillemark</t>
  </si>
  <si>
    <t>Tingvej 2 (tidl Langgade)</t>
  </si>
  <si>
    <t xml:space="preserve"> Tranebjerg Kirkelade</t>
  </si>
  <si>
    <t>Torup 18 A</t>
  </si>
  <si>
    <t xml:space="preserve"> Torup 18 A</t>
  </si>
  <si>
    <t xml:space="preserve"> Bindingsværkslængen (ca 1800)</t>
  </si>
  <si>
    <t>Ved Kæret 12</t>
  </si>
  <si>
    <t xml:space="preserve"> Ved Kæret 12</t>
  </si>
  <si>
    <t xml:space="preserve"> Forhuset (1840)</t>
  </si>
  <si>
    <t>Ved Kæret 14</t>
  </si>
  <si>
    <t xml:space="preserve"> Ved Kæret 14</t>
  </si>
  <si>
    <t xml:space="preserve"> Forhuset (ca 1834)</t>
  </si>
  <si>
    <t>Ved Kæret 6</t>
  </si>
  <si>
    <t xml:space="preserve"> Ved Kæret 6</t>
  </si>
  <si>
    <t xml:space="preserve"> Forhus (1849) med sidebygning</t>
  </si>
  <si>
    <t>Ved Kæret 8</t>
  </si>
  <si>
    <t xml:space="preserve"> Ved Kæret 8</t>
  </si>
  <si>
    <t xml:space="preserve"> Forhus (1860) med sidebygning</t>
  </si>
  <si>
    <t>Vestergyde 3</t>
  </si>
  <si>
    <t xml:space="preserve"> Vestergyde 3</t>
  </si>
  <si>
    <t xml:space="preserve"> Den firelængede bondegård med stuehuset (ca 1880) og de tre længer (1700-tallet), brønden samt pigstensbelægningen på gårdspladsen og ved nordlængens nordside</t>
  </si>
  <si>
    <t>Ørby Hovedgade 19</t>
  </si>
  <si>
    <t xml:space="preserve"> Ørbygård</t>
  </si>
  <si>
    <t xml:space="preserve"> Den trelængede bindingsværksgård (slutn af 1700-tallet)</t>
  </si>
  <si>
    <t>Silkeborg Kommune</t>
  </si>
  <si>
    <t>Amaliegade 49</t>
  </si>
  <si>
    <t xml:space="preserve"> Silkeborg Vandtårn</t>
  </si>
  <si>
    <t xml:space="preserve"> Vandtårnet (1902 af Anton Rosen)</t>
  </si>
  <si>
    <t>Aunsbjergvej 2 A</t>
  </si>
  <si>
    <t xml:space="preserve"> Aunsbjerg</t>
  </si>
  <si>
    <t xml:space="preserve"> Hovedbygningens gamle fløj (ca 1500-50 og senere)</t>
  </si>
  <si>
    <t>Aunsbjergvej 6</t>
  </si>
  <si>
    <t xml:space="preserve"> Liselund</t>
  </si>
  <si>
    <t xml:space="preserve"> Stuehuset i nord (1790), de to staldbygninger i øst (1915) og vest (1855) samtden trelængede bygning i syd (1830'rne)</t>
  </si>
  <si>
    <t>Erik Glippingsvej 1</t>
  </si>
  <si>
    <t xml:space="preserve"> Fischers Hospital</t>
  </si>
  <si>
    <t xml:space="preserve"> Hospitalsbygningen og udhuset (1778)</t>
  </si>
  <si>
    <t>Hovedgårdsvej 7</t>
  </si>
  <si>
    <t xml:space="preserve"> Silkeborg Hovedgård</t>
  </si>
  <si>
    <t xml:space="preserve"> Hovedbygningen (1770) med sidebygning i øst samt portpiller</t>
  </si>
  <si>
    <t>Marsvinslundvej 10 A</t>
  </si>
  <si>
    <t xml:space="preserve"> Marsvinslund</t>
  </si>
  <si>
    <t xml:space="preserve"> Hovedbygningen (1654, forlænget i 1700-tallet)</t>
  </si>
  <si>
    <t>Præstevangen 39</t>
  </si>
  <si>
    <t xml:space="preserve"> Grønbæk Præstegård</t>
  </si>
  <si>
    <t xml:space="preserve"> Stuehuset (1757) med nyere tilbygning i øst</t>
  </si>
  <si>
    <t xml:space="preserve"> Remstrup Å ved Sejsvej</t>
  </si>
  <si>
    <t>Jernbanebroer (2 stk) over Remstrup Å</t>
  </si>
  <si>
    <t xml:space="preserve"> Skanderborg-Silkeborg-broen (1907-08) og Langaa-Silkeborg-broen (1907-08) med brofæster i granit</t>
  </si>
  <si>
    <t>Torvet 2 A</t>
  </si>
  <si>
    <t xml:space="preserve"> Silkeborg Ting- og Arresthus</t>
  </si>
  <si>
    <t xml:space="preserve"> Ting- og arresthuset (1857 af Hans Chr Zeltner) med senere tilbygning(1923)</t>
  </si>
  <si>
    <t>Vinderslevholmvej 56 A-B</t>
  </si>
  <si>
    <t xml:space="preserve"> Vinderslevholm</t>
  </si>
  <si>
    <t xml:space="preserve"> Hovedbygningen (antagelig 1558), de to staldbygninger ogden brolagte gårdsplads</t>
  </si>
  <si>
    <t>Skanderborg Kommune</t>
  </si>
  <si>
    <t xml:space="preserve"> Skanderborg Præstegård</t>
  </si>
  <si>
    <t xml:space="preserve"> Forhuset (1740 og senere)</t>
  </si>
  <si>
    <t xml:space="preserve"> Amtsgården</t>
  </si>
  <si>
    <t xml:space="preserve"> Forhuset (1804 af Peder Quist)</t>
  </si>
  <si>
    <t>Adelgade 38</t>
  </si>
  <si>
    <t xml:space="preserve"> Skanderborg Rådhus</t>
  </si>
  <si>
    <t xml:space="preserve"> Rådhuset med sidebygning (1860 af Hans Chr Zeltner)</t>
  </si>
  <si>
    <t>Klostervej 3</t>
  </si>
  <si>
    <t xml:space="preserve"> Ry Station</t>
  </si>
  <si>
    <t xml:space="preserve"> Hovedbygningen (1871 af NP Holsøe, ombygget 1901 af Heinrich Wenck), det hermed sammenbyggede pakhus (1924 af K.T. Seest) og ahorntræet ved hovedbygningens nordgavl</t>
  </si>
  <si>
    <t>Oddervej 80</t>
  </si>
  <si>
    <t xml:space="preserve"> Dansepavillonen ved Vestermølle</t>
  </si>
  <si>
    <t>Præstegaardsvej 1-3</t>
  </si>
  <si>
    <t xml:space="preserve"> Sjelle Præstegård</t>
  </si>
  <si>
    <t xml:space="preserve"> Stuehuset i nord (1853, ombygget 1949 og 1956) samtvestlængen</t>
  </si>
  <si>
    <t>Ringklostervej 18</t>
  </si>
  <si>
    <t xml:space="preserve"> Ring Kloster</t>
  </si>
  <si>
    <t xml:space="preserve"> Agerumsladen (ca 1750-1800)</t>
  </si>
  <si>
    <t>Slotsholmen 4, Slotsbanken</t>
  </si>
  <si>
    <t xml:space="preserve"> Frederik VI's Minde</t>
  </si>
  <si>
    <t xml:space="preserve"> Monumentet (1842-45 af Bertel Thorvaldsen og GFHetsch)</t>
  </si>
  <si>
    <t>Wedelslundvej 2</t>
  </si>
  <si>
    <t xml:space="preserve"> Wedelslund</t>
  </si>
  <si>
    <t xml:space="preserve"> Den trefløjede hovedbygning (ca 1720 og 1828)</t>
  </si>
  <si>
    <t>Skive Kommune</t>
  </si>
  <si>
    <t>Astrup Allé 1</t>
  </si>
  <si>
    <t xml:space="preserve"> Astrup Hovedgård</t>
  </si>
  <si>
    <t xml:space="preserve"> Hovedbygningen (1773) og den dermed sammenbyggede toetages pavillonbygning mod øst (1786) samt, beliggende parallelt med hovedbygningen og symmetrisk på hver side af adgangsvejen til denne, de to småhuse hvert sammenbygget med hegnsmur og forbundet med enlille portbygning ud til vejen (ca 1800)</t>
  </si>
  <si>
    <t>Borgen 6 A</t>
  </si>
  <si>
    <t xml:space="preserve"> Spøttrup</t>
  </si>
  <si>
    <t xml:space="preserve"> Den trefløjede hovedbygning med spærremur og porttårn samt de omgående voldeog grave (ca 1500, 1579 ff)</t>
  </si>
  <si>
    <t>Eskjærvej 21</t>
  </si>
  <si>
    <t xml:space="preserve"> Eskjær</t>
  </si>
  <si>
    <t>Heden 19</t>
  </si>
  <si>
    <t xml:space="preserve"> Ny Spøttrupgård</t>
  </si>
  <si>
    <t xml:space="preserve"> Stuehuset med tilhørende mure mod syd og øst, stald, lade (1870-1890)samt pigstensbelægningen foran stuehuset og granitstenen ved indkørslen</t>
  </si>
  <si>
    <t>Hejlskovvej 15</t>
  </si>
  <si>
    <t xml:space="preserve"> Ørslev Kloster</t>
  </si>
  <si>
    <t xml:space="preserve"> Den trefløjede hovedbygning samt murene ved kirkens apsis (ca 1500,ombygget i 1700-tallet) og portnerboligen (beg af 1800-tallet)</t>
  </si>
  <si>
    <t>Jenlevej 6</t>
  </si>
  <si>
    <t xml:space="preserve"> Jenle</t>
  </si>
  <si>
    <t xml:space="preserve"> Hovedbygningen med sidefløj, stald og lade (1906-1907 af Povl Baumann), den græsbevoksede gårdsplads, haveanlægget (1906 af havearkitekt GN Brandt), det i haveanlægget stående mindesmærke over Jeppe Aakjær (1907 af billedhugger Niels Hansen Jacobsen) og lysthuset medildsted</t>
  </si>
  <si>
    <t xml:space="preserve"> Udvidet 1988 og 1992</t>
  </si>
  <si>
    <t>Jungetgårdvej 26</t>
  </si>
  <si>
    <t xml:space="preserve"> Jungetgård</t>
  </si>
  <si>
    <t xml:space="preserve"> Den vinkelformede hovedbygning med spærremur mod sydøst (ca 1548)og de omgivende voldgrave</t>
  </si>
  <si>
    <t>Krabbesholm Allé 15</t>
  </si>
  <si>
    <t xml:space="preserve"> Krabbesholm</t>
  </si>
  <si>
    <t xml:space="preserve"> Hovedbygningen (ca 1560 af Villestrupmesteren) med de to sidefløje(1700-tallet) samt bindingsværkslængen nordvest for hovedbygningen (mellem 1755 og 1773)</t>
  </si>
  <si>
    <t>Kåsvej 44</t>
  </si>
  <si>
    <t xml:space="preserve"> Kås</t>
  </si>
  <si>
    <t xml:space="preserve"> Hovedbygningen (1635)</t>
  </si>
  <si>
    <t>Langesgaardvej 3</t>
  </si>
  <si>
    <t xml:space="preserve"> Langesgaard</t>
  </si>
  <si>
    <t xml:space="preserve"> Det fritliggende stuehus (1870 af Julius Tholle), de tre sammenbyggedeavlslænger (1908-1933) omkring gårdspladsen samt porten mellem stuehuset og sydlængen</t>
  </si>
  <si>
    <t xml:space="preserve"> Gammel Skivehus</t>
  </si>
  <si>
    <t xml:space="preserve"> Kampestenskælderen under østfløjen (middelalder)</t>
  </si>
  <si>
    <t xml:space="preserve"> Strandet</t>
  </si>
  <si>
    <t xml:space="preserve"> Hovedbygningen (ældre enetages bygning ombygget i 1798)</t>
  </si>
  <si>
    <t>Stårupgårdvej 10</t>
  </si>
  <si>
    <t xml:space="preserve"> Stårupgård</t>
  </si>
  <si>
    <t xml:space="preserve"> Hovedbygningen (ca 1550)</t>
  </si>
  <si>
    <t>Søndre Boulevard 1</t>
  </si>
  <si>
    <t xml:space="preserve"> Forhuset (1866) med sidelænge (1719)</t>
  </si>
  <si>
    <t xml:space="preserve"> Oph 1999</t>
  </si>
  <si>
    <t>Østergårdsvej 1</t>
  </si>
  <si>
    <t xml:space="preserve"> Salling Østergård</t>
  </si>
  <si>
    <t xml:space="preserve"> Den firefløjede hovedbygning (vestfløj 1516, sydfløj ca 1530-40, øst-og nordfløje ca 1550)</t>
  </si>
  <si>
    <t>Slagelse Kommune</t>
  </si>
  <si>
    <t>Algade 11</t>
  </si>
  <si>
    <t xml:space="preserve"> Den gamle Købmandsgård, Skælskør</t>
  </si>
  <si>
    <t xml:space="preserve"> Forhuset mod Algade (før 1761, ombygget 1854) og de dermed sammenbyggede og i forlængelse af hinanden opførte tre sidebygninger (1853-54) samttværbygningen (ca 1775) med tilbygning (ca 1890) og brolægningen i det forreste gårdsrum</t>
  </si>
  <si>
    <t xml:space="preserve"> Algade 18, Korsør</t>
  </si>
  <si>
    <t xml:space="preserve"> Forhuset (ca 1860)</t>
  </si>
  <si>
    <t>Algade 2</t>
  </si>
  <si>
    <t xml:space="preserve"> Peder Reedtz' Gård, Skælskør</t>
  </si>
  <si>
    <t xml:space="preserve"> Forhuset (ca 1600 og senere) og de to sammenbyggede sidehuse mod Strandgade (ndr. hus mellem 1854 og 1867, sdr. hus 1851) samt den brolagtegårdsplads.</t>
  </si>
  <si>
    <t>Algade 22</t>
  </si>
  <si>
    <t xml:space="preserve"> Algade 22, Korsør</t>
  </si>
  <si>
    <t xml:space="preserve"> Forhus med dertil stødende bindingsværkssidehus (første halvdel af 1700-tallet)</t>
  </si>
  <si>
    <t>Algade 25 A</t>
  </si>
  <si>
    <t xml:space="preserve"> Kongegården</t>
  </si>
  <si>
    <t xml:space="preserve"> Forhuset (1761)</t>
  </si>
  <si>
    <t>Algade 27</t>
  </si>
  <si>
    <t xml:space="preserve"> Algade 27, Korsør</t>
  </si>
  <si>
    <t>Algade 31</t>
  </si>
  <si>
    <t xml:space="preserve"> Stapels Gård, Korsør</t>
  </si>
  <si>
    <t xml:space="preserve"> Forhuset og det dermed sammenbyggede sidehus (1667)</t>
  </si>
  <si>
    <t>Udvidet 1977*</t>
  </si>
  <si>
    <t>Bjergbygade 11</t>
  </si>
  <si>
    <t xml:space="preserve"> Acciseboden i Slagelse</t>
  </si>
  <si>
    <t xml:space="preserve"> Bindingsværksbygningen (1783, formentlig af J.F.Bonier)</t>
  </si>
  <si>
    <t>Borrebyvej 45-49</t>
  </si>
  <si>
    <t xml:space="preserve"> Borreby</t>
  </si>
  <si>
    <t xml:space="preserve"> Dobbeltvoldstedet med grave og broer, hovedbygningens nordfløj (1598), østfløj (1639), sydfløj (1642) og vestfløj med portgennemkørsel (1649, ombygget 1781 og 1850) og den vest derfor liggende vognportbygning og tinghuset samt laden langs nordre grav og samtlige bygningerlangs søndre grav</t>
  </si>
  <si>
    <t xml:space="preserve"> Udvidet 1954*</t>
  </si>
  <si>
    <t>Bredegade 7 A-D</t>
  </si>
  <si>
    <t xml:space="preserve"> Slagelse Hospital</t>
  </si>
  <si>
    <t xml:space="preserve"> Hospitalets middelalderlige del (ca 1500) og det firefløjede anlæg med tilbygning mod sydvest (nordfløj mod Bredgade 1769, forhøjet 1877 af J.D. Herholdt, østfløj 1870 afChristian Hansen, sydfløj 1848 af Jørgen Hansen Koch)</t>
  </si>
  <si>
    <t xml:space="preserve"> Udvidet 1969, 1977*</t>
  </si>
  <si>
    <t>Esholtevej 102 A</t>
  </si>
  <si>
    <t xml:space="preserve"> Kirkerup Kirkelade</t>
  </si>
  <si>
    <t xml:space="preserve"> Kirkeladebygningen (1450-1500)</t>
  </si>
  <si>
    <t>Espevej 56</t>
  </si>
  <si>
    <t xml:space="preserve"> Espe</t>
  </si>
  <si>
    <t xml:space="preserve"> Hovedbygningen (formentlig 1700-tallet, forhøjet og ombygget 1848) samt alle andremod den store gårdsplads liggende bygninger (1822)</t>
  </si>
  <si>
    <t>Falkensteenvej 20</t>
  </si>
  <si>
    <t xml:space="preserve"> Falkensteen</t>
  </si>
  <si>
    <t xml:space="preserve"> Hovedbygningen (1775) og laden med det hvælvede stråtag(1862)</t>
  </si>
  <si>
    <t>Fladholtevej 6</t>
  </si>
  <si>
    <t xml:space="preserve"> Skovsgaard Mølle</t>
  </si>
  <si>
    <t xml:space="preserve"> Vindmøllen (ca 1820)</t>
  </si>
  <si>
    <t>Gammelgade 4</t>
  </si>
  <si>
    <t xml:space="preserve"> Den gamle Latinskole, Skælskør</t>
  </si>
  <si>
    <t xml:space="preserve"> Forhuset (ca 1525, opr. kirkelade)</t>
  </si>
  <si>
    <t>Gammeltorv 13</t>
  </si>
  <si>
    <t xml:space="preserve"> Skælskør tidl Rådhus</t>
  </si>
  <si>
    <t xml:space="preserve"> Skælskør tidl råd-, ting- og arresthus med det tilhørende udhus,de tre indre gårde og de omsluttende mure (1896 af F.C.C.Hansen)</t>
  </si>
  <si>
    <t>Gl. Banegårdsplads 8-10 (tidl Banegårdspladsen 8-10)</t>
  </si>
  <si>
    <t xml:space="preserve"> Korsør Station</t>
  </si>
  <si>
    <t xml:space="preserve"> Hovedbygningen ogkioskbygningen (1906 af Heinrich Wenck)</t>
  </si>
  <si>
    <t>Gyldenholmvej 8</t>
  </si>
  <si>
    <t xml:space="preserve"> Gyldenholm</t>
  </si>
  <si>
    <t xml:space="preserve"> Hovedbygningen (1863-64 af J.D.Herholdt)</t>
  </si>
  <si>
    <t xml:space="preserve"> Havnevej 1-3</t>
  </si>
  <si>
    <t>Husene ved broen, Skælskør</t>
  </si>
  <si>
    <t xml:space="preserve"> De to bindingsværkshuse (ca 1820)</t>
  </si>
  <si>
    <t>Havnevej 5</t>
  </si>
  <si>
    <t xml:space="preserve"> Havnevej 5, Skælskør</t>
  </si>
  <si>
    <t xml:space="preserve"> Det toetages, grundmurede hus (1849, tidl sidehus til Algade 3B)</t>
  </si>
  <si>
    <t>Holsteinborgvej 130</t>
  </si>
  <si>
    <t xml:space="preserve"> Holsteinborg</t>
  </si>
  <si>
    <t xml:space="preserve"> Den firefløjede hovedbygning (nordfløjen 1598, de øvrige fløje 1639- 49) og i avlsgården: portlængen mod nord med bro og flankemure (1647, genopført efter brand 1980) og den med portlængen sammenbyggede lade (1651), vestlængen (ca 1650, ombygget 1890, genopført efter brand 1980) samt sydlængens to bygninger (1647, senere forlænget mod øst), endvidere de bevarede deleaf voldgraven nord og sydvest for gården</t>
  </si>
  <si>
    <t xml:space="preserve"> Udv 1952*</t>
  </si>
  <si>
    <t>Kanehøj-Møllevej 53</t>
  </si>
  <si>
    <t xml:space="preserve"> Kanehøj Mølle</t>
  </si>
  <si>
    <t xml:space="preserve"> Vindmølle og maskinhus (1881)</t>
  </si>
  <si>
    <t>Lygtebakken 19</t>
  </si>
  <si>
    <t xml:space="preserve"> Halsskov Kulfyr</t>
  </si>
  <si>
    <t xml:space="preserve"> Det ottekantede fundament med fire trapper, sokkel og jernkurv (1801af Joseph Guione)</t>
  </si>
  <si>
    <t>Marsk Stigsvej 150 A og 150</t>
  </si>
  <si>
    <t xml:space="preserve"> Tårnholm</t>
  </si>
  <si>
    <t xml:space="preserve"> Hovedbygningen og de foran denne liggende tobindingsværkslænger (1798)</t>
  </si>
  <si>
    <t>Nytorv 3</t>
  </si>
  <si>
    <t xml:space="preserve"> Nytorv 3, Skælskør</t>
  </si>
  <si>
    <t xml:space="preserve"> Længen mod Nytorv (1819)</t>
  </si>
  <si>
    <t>Næsbyvej 24</t>
  </si>
  <si>
    <t xml:space="preserve"> Ågård</t>
  </si>
  <si>
    <t xml:space="preserve"> Den firefløjede, stråtækte gård og den brolagte gårdsplads (stuehus ca 1850,staldlænger fra anden halvdel af 1700-tallet)</t>
  </si>
  <si>
    <t>Rosengade 4 B</t>
  </si>
  <si>
    <t xml:space="preserve"> Den gamle Latinskole, Slagelse</t>
  </si>
  <si>
    <t xml:space="preserve"> Forhuset (ca 1500)</t>
  </si>
  <si>
    <t>Skovvej 2 A</t>
  </si>
  <si>
    <t>Acciseboden i Korsør</t>
  </si>
  <si>
    <t xml:space="preserve"> Acciseboden (ca 1785 eller ca 1840)</t>
  </si>
  <si>
    <t>Skovvej 6</t>
  </si>
  <si>
    <t xml:space="preserve"> Den gamle Lægebolig, Skælskør</t>
  </si>
  <si>
    <t xml:space="preserve"> Villaen (1856 af Gottlieb Bindesbøll) med tilhørende udhusnordøst for villaen samt det tilhørende haveanlæg skrånende ned mod kystvejen</t>
  </si>
  <si>
    <t>Slagelse-Hejninge vejstrækning</t>
  </si>
  <si>
    <t xml:space="preserve"> Englænder Jernbanebroen</t>
  </si>
  <si>
    <t xml:space="preserve"> Den trebuede jernbanebro over vestbanenpå vejstrækningen Slagelse-Hejninge, 95,822 km fra København (1853)</t>
  </si>
  <si>
    <t>Slotsgade 53</t>
  </si>
  <si>
    <t xml:space="preserve"> Forhuset (1810)</t>
  </si>
  <si>
    <t>Snedinge Møllevej 5</t>
  </si>
  <si>
    <t xml:space="preserve"> Snedinge Møllevej 5</t>
  </si>
  <si>
    <t xml:space="preserve"> Den trelængede gård, bestående af et stuehus, to avlslænger,en forbindende mur (1927 af murermester Teisen) samt den brolagte gårdsplads</t>
  </si>
  <si>
    <t>Sorterup Kirkevej 2 B</t>
  </si>
  <si>
    <t xml:space="preserve"> Sorterup Kirkelade (egl. Fattighus)</t>
  </si>
  <si>
    <t xml:space="preserve"> Bindingsværksbygningen (beg af 1800-tallet)</t>
  </si>
  <si>
    <t>Sprogø 3</t>
  </si>
  <si>
    <t xml:space="preserve"> Sprogø Fyr</t>
  </si>
  <si>
    <t xml:space="preserve"> Fyrtårnet og den dermed sammenbyggede fyrassistentbolig (1868, ommuret 1893og 1991)</t>
  </si>
  <si>
    <t>Storebæltsvej 40</t>
  </si>
  <si>
    <t xml:space="preserve"> Halsskov Revhus</t>
  </si>
  <si>
    <t xml:space="preserve"> Isbådsstationen (1838) og det hermed sammenbyggede bådehus(1884)</t>
  </si>
  <si>
    <t xml:space="preserve"> Udvidet 1982</t>
  </si>
  <si>
    <t>Store Frederikslund 1</t>
  </si>
  <si>
    <t xml:space="preserve"> Store Frederikslund</t>
  </si>
  <si>
    <t xml:space="preserve"> Hovedbygningen (beg af 1800-tallet, efter forlæg af AndreasKirkerup)</t>
  </si>
  <si>
    <t>Søbatteriet 7-15</t>
  </si>
  <si>
    <t xml:space="preserve"> Korsør Fæstning</t>
  </si>
  <si>
    <t xml:space="preserve"> Voldene (1658), det middelalderlige tårn (1200-1400),magasinbygningen (ca 1600) og kommandantboligen (ca 1800)</t>
  </si>
  <si>
    <t>Søndre Stationsvej 28 A</t>
  </si>
  <si>
    <t xml:space="preserve"> Slagelse Station</t>
  </si>
  <si>
    <t xml:space="preserve"> Hovedbygningen (1891-92 af NP Holsøe)</t>
  </si>
  <si>
    <t>Sørby Hovedgade 24</t>
  </si>
  <si>
    <t xml:space="preserve"> Sørbymagle Andelsmejeri (tidl)</t>
  </si>
  <si>
    <t xml:space="preserve"> Mejeribygningen, bestyrerboligen og garagen (1930 afDavid Thomsen)</t>
  </si>
  <si>
    <t xml:space="preserve"> Ting- og Arresthuset i Korsør</t>
  </si>
  <si>
    <t xml:space="preserve"> Hovedbygningen med sidefløj (1851 af Frederik Ferdinand Friis)</t>
  </si>
  <si>
    <t>Tårnborgvej 152-154 og Ørnumvej 4</t>
  </si>
  <si>
    <t xml:space="preserve"> Tårnborg</t>
  </si>
  <si>
    <t xml:space="preserve"> Hovedbygningen (1803) og forpagterboligen (1843)</t>
  </si>
  <si>
    <t>Valbygårdsvej 94, tidl Valbygårdsvej 88B</t>
  </si>
  <si>
    <t xml:space="preserve"> Valbygård</t>
  </si>
  <si>
    <t xml:space="preserve"> Hovedbygningen (1853-55 af L.A. Winstrup ogudvidet 1884)</t>
  </si>
  <si>
    <t>Vedbysøndervej 1</t>
  </si>
  <si>
    <t xml:space="preserve"> Rytterskolen i Vedbysønder</t>
  </si>
  <si>
    <t xml:space="preserve"> Den stråtækte rytterskole (1723, ombygget 1870 og 1927)</t>
  </si>
  <si>
    <t>Vedskøllevej 4</t>
  </si>
  <si>
    <t xml:space="preserve"> Magleby Hospital (tidl)</t>
  </si>
  <si>
    <t xml:space="preserve"> Den grundmurede bygning (middelalder, omb. 1624 og 1758)</t>
  </si>
  <si>
    <t xml:space="preserve"> Skælskør Dampmølle</t>
  </si>
  <si>
    <t xml:space="preserve"> Den tidl dampmøllebygning (1853)</t>
  </si>
  <si>
    <t>Vestergade 10</t>
  </si>
  <si>
    <t>Vestergade 10, Skælskør</t>
  </si>
  <si>
    <t xml:space="preserve"> Forhuset (ca 1670)</t>
  </si>
  <si>
    <t>Ørslevvej 230</t>
  </si>
  <si>
    <t xml:space="preserve"> Snedinge</t>
  </si>
  <si>
    <t xml:space="preserve"> Kostalden og laden med de to smallere sidebygninger (1663) samt den langeøstlænge (antagelig 1567 og ca 1660)</t>
  </si>
  <si>
    <t>Ørslevvej 240</t>
  </si>
  <si>
    <t xml:space="preserve"> Rützows Hus</t>
  </si>
  <si>
    <t xml:space="preserve"> Det lerstampede hus (ca 1800)</t>
  </si>
  <si>
    <t>Solrød Kommune</t>
  </si>
  <si>
    <t>Tingsryds Allé 25</t>
  </si>
  <si>
    <t xml:space="preserve"> Uglegårdsskolen</t>
  </si>
  <si>
    <t xml:space="preserve"> Uglegårdsskolen og haveanlægget (1972-1974 af Halldor Gunnløgsson og Jørn Nielsen) med tilbygninger, beliggende på det forhøjede areal mellem Vestre Grænsevej, Mosestien og Kærstien samt mod vest afgrænset af stien mellem skolebygningen og det åbnesports- og legeareal</t>
  </si>
  <si>
    <t>Sorø Kommune</t>
  </si>
  <si>
    <t>Akademigrunden 1</t>
  </si>
  <si>
    <t xml:space="preserve"> Sorø Akademi, Klosterporten</t>
  </si>
  <si>
    <t xml:space="preserve"> Portbygning (1160-70 og ca 1200, ombygget 1883 af J.D.Herholdt) </t>
  </si>
  <si>
    <t>Akademigrunden 10</t>
  </si>
  <si>
    <t xml:space="preserve"> Sorø Akademi, Rektorboligen</t>
  </si>
  <si>
    <t xml:space="preserve"> Beboelseshus (1835-36 af Frederik Ferdinand Friis)</t>
  </si>
  <si>
    <t>Akademigrunden 7</t>
  </si>
  <si>
    <t xml:space="preserve"> Sorø Akademi</t>
  </si>
  <si>
    <t xml:space="preserve"> Den trefløjede hovedbygning (1822-27 af Peder Malling)</t>
  </si>
  <si>
    <t>Akademigrunden 8</t>
  </si>
  <si>
    <t xml:space="preserve"> Sorø Akademi, Ingemanns Hus</t>
  </si>
  <si>
    <t xml:space="preserve"> Beboelseshus (ca 1740 af Lauritz de Thurah)</t>
  </si>
  <si>
    <t>Akademigrunden 9</t>
  </si>
  <si>
    <t xml:space="preserve"> Sorø Akademi, Molbechs Hus</t>
  </si>
  <si>
    <t>Alstedvej 30</t>
  </si>
  <si>
    <t xml:space="preserve"> Legathuset</t>
  </si>
  <si>
    <t>Alstedvej 32</t>
  </si>
  <si>
    <t xml:space="preserve"> Alsted Præstegård</t>
  </si>
  <si>
    <t xml:space="preserve"> Stuehuset (1600-tallet og 1850) og østlængen (1908)</t>
  </si>
  <si>
    <t>Holbergsvej 101</t>
  </si>
  <si>
    <t xml:space="preserve"> Tersløsegård</t>
  </si>
  <si>
    <t xml:space="preserve"> Den trefløjede hovedbygning (1737)</t>
  </si>
  <si>
    <t>Hovsøvej 5</t>
  </si>
  <si>
    <t xml:space="preserve"> Vedbygård</t>
  </si>
  <si>
    <t xml:space="preserve"> Den trefløjede hovedbygning med karnap på sydfløjen (sydfløj senmiddelalderlig;nordfløj fra ca 1540; vestfløj fra ca 1750'erne og fra 1856)</t>
  </si>
  <si>
    <t>Lyngevej 8</t>
  </si>
  <si>
    <t xml:space="preserve"> Lynge Præstegård</t>
  </si>
  <si>
    <t xml:space="preserve"> Bindingsværksbygningen på 44 fag (1742, ombygget ca 1850)</t>
  </si>
  <si>
    <t>Stationspladsen 2 A</t>
  </si>
  <si>
    <t xml:space="preserve"> Sorø Station</t>
  </si>
  <si>
    <t xml:space="preserve"> Hovedbygningen med østre og vestre udhuse og forbindelsesmure (1856 af Fox, Henderson &amp;amp; Co., ombygget 1888-99 af NP Holsøe) og vandtårnet beliggende sydvestfor hovedbygningen (1922 af K.T.Seest)</t>
  </si>
  <si>
    <t>Storgade 17 A</t>
  </si>
  <si>
    <t xml:space="preserve"> Museet, Den gamle Kro</t>
  </si>
  <si>
    <t xml:space="preserve"> Forhuset (1624-25) og brolægningen foran dette, de to sidehuse(1900 af F.C.Hansen) samt baghuset (1600-tallet og senere)</t>
  </si>
  <si>
    <t>Storgade 19 A</t>
  </si>
  <si>
    <t xml:space="preserve"> Forhuset med de to sidelænger og baghus (ca 1845)</t>
  </si>
  <si>
    <t>Storgade 7 A</t>
  </si>
  <si>
    <t xml:space="preserve"> De Unge Herrers Gård</t>
  </si>
  <si>
    <t xml:space="preserve"> Forhuset (1623-25, den grundmurede facade ca 1750, udvidet1898 og ombygget 1955)</t>
  </si>
  <si>
    <t>Storgade 9</t>
  </si>
  <si>
    <t xml:space="preserve"> Storgade 9</t>
  </si>
  <si>
    <t xml:space="preserve"> Forhus (1832-34 formentlig af Frederik Ferdinand Friis) og sidehus (1889)</t>
  </si>
  <si>
    <t>Søgade 10 A</t>
  </si>
  <si>
    <t xml:space="preserve"> Søgade 10 A</t>
  </si>
  <si>
    <t xml:space="preserve"> Det ottefags hus i egebindingsværk (1700-tallet, senere grundmuret)</t>
  </si>
  <si>
    <t>Søgade 3</t>
  </si>
  <si>
    <t xml:space="preserve"> Søgade 3</t>
  </si>
  <si>
    <t xml:space="preserve"> Forhuset (1700-tallet, facaden grundmuret 1859) med sidebygninger (1865)</t>
  </si>
  <si>
    <t>Søgade 7 A</t>
  </si>
  <si>
    <t xml:space="preserve"> Søgade 7 A</t>
  </si>
  <si>
    <t xml:space="preserve"> Forhus (1700-tallet, grundmuret 1805 og 1817) og sidehus (1817)</t>
  </si>
  <si>
    <t>Søgade 9-11</t>
  </si>
  <si>
    <t xml:space="preserve"> Urnes Gård</t>
  </si>
  <si>
    <t xml:space="preserve"> Forhuset (østlige del 1803, grundmuret ca 1850, vestlige del ca 1830)</t>
  </si>
  <si>
    <t xml:space="preserve"> Sorø Ting- og Arresthus</t>
  </si>
  <si>
    <t xml:space="preserve"> Hovedbygningen på hjørnet af Torvet og Storgade med nagelfast inventar (arkitekt Vilhelm Tvede, 1880-81) mur med portpiller mellem hovedbygningen og nabobygningen Storgade 7, arrestbygningen (1871) samt de to lygtestandere i støbejern på Torvet foran hovedindgangen</t>
  </si>
  <si>
    <t xml:space="preserve"> Torvet 3</t>
  </si>
  <si>
    <t xml:space="preserve"> Forhuset (1700-tallet) og de to lange teglhængte bindingsværkslænger bag dette(1822)</t>
  </si>
  <si>
    <t xml:space="preserve"> Udvidet 1968*</t>
  </si>
  <si>
    <t>Torvet 8 og Søgade 2</t>
  </si>
  <si>
    <t xml:space="preserve"> Scavenius' Stiftelse</t>
  </si>
  <si>
    <t xml:space="preserve"> Forhuset (1680 og senere)</t>
  </si>
  <si>
    <t>Stevns Kommune</t>
  </si>
  <si>
    <t xml:space="preserve"> Den tidl sparekasse</t>
  </si>
  <si>
    <t xml:space="preserve"> Forhuset, herunder portrummets belægning, sidehuset, muren med portåbning mellem de to gårdrum samt den dekorerede portal og krukken i gården (1925 af G.B. Hagenmed udsmykninger af billedhuggeren Mathilius Schack Elo)</t>
  </si>
  <si>
    <t>Algade 8</t>
  </si>
  <si>
    <t xml:space="preserve"> Hovedbygningen (1836-38 af Jørgen Hansen Koch) med udbygninger ogringmur (1836-38 af Georg Kretz)</t>
  </si>
  <si>
    <t>Borgergade 11-13</t>
  </si>
  <si>
    <t xml:space="preserve"> Andreassens Hospital</t>
  </si>
  <si>
    <t xml:space="preserve"> Hospitalsbygningen (1742)</t>
  </si>
  <si>
    <t>Branddamsvej 1</t>
  </si>
  <si>
    <t xml:space="preserve"> Vallø gamle Præstegård</t>
  </si>
  <si>
    <t xml:space="preserve"> Stuehusets nord- og østlænge samt de vinkelbyggedeavlslænger (1700-1800-tallet)</t>
  </si>
  <si>
    <t>Broveshøjvej 19</t>
  </si>
  <si>
    <t xml:space="preserve"> Østervang</t>
  </si>
  <si>
    <t xml:space="preserve"> Den som gårdsmedie og maltkølle opførte bygning (1.  halvdel af 1800-tallet)</t>
  </si>
  <si>
    <t>Fyrvej 2, Stevns</t>
  </si>
  <si>
    <t xml:space="preserve"> Stevns Fyr</t>
  </si>
  <si>
    <t xml:space="preserve"> Stevns Gamle Fyr bestående af kridtstensbygningen med den halvrundefyrlanterne (1816-18 af P. de Løvenørn) og den nyere tilbygning samt det nyere frit stående kridtstensfyrtårn (1877-78) nord herfor</t>
  </si>
  <si>
    <t xml:space="preserve"> Udvidet 2002 Udvidet 2002</t>
  </si>
  <si>
    <t>Gjorslevvej 20</t>
  </si>
  <si>
    <t xml:space="preserve"> Gjorslev</t>
  </si>
  <si>
    <t xml:space="preserve"> "Hovedbygningen (korshuset ca 1400, østre korsarm ombygget 1665-67 af Ewert Janssen, tårnets pyramidetag 1748; nordre sidelænge, ""forpagterhuset"", 1713 af Johan Conrad Ernst, kældrene fra ca 1638, vestlige ende fra 1800-tallet; sydlige sidelænge 1843 af GF Hetsch) og hegnsmuren i gårdens østre side og kridtbroen med brolægning samt ""Bredgade"" (de to langebindingsværkslænger) med gårdens brolægning</t>
  </si>
  <si>
    <t>Juellingevej 2</t>
  </si>
  <si>
    <t xml:space="preserve"> Juellinge</t>
  </si>
  <si>
    <t xml:space="preserve"> Hovedbygningen (1675), den grundmurede bygning og bindingsværksbygningenpå voldstedet (begge beg af 1800-tallet)</t>
  </si>
  <si>
    <t>Kirketorvet 7</t>
  </si>
  <si>
    <t xml:space="preserve"> Store Heddinge Præstegård</t>
  </si>
  <si>
    <t xml:space="preserve"> Forhuset (1750)</t>
  </si>
  <si>
    <t>Kirkevænget 2</t>
  </si>
  <si>
    <t xml:space="preserve"> Magleby Kirkelade, Lindencrones Stiftelse</t>
  </si>
  <si>
    <t xml:space="preserve"> Kirkeladen (middelalder)</t>
  </si>
  <si>
    <t>Korsnæbsvej 60</t>
  </si>
  <si>
    <t xml:space="preserve"> Stevnsfort</t>
  </si>
  <si>
    <t xml:space="preserve"> Stevnsfort (1953-55 af ingeniørfirmaet Rasmussen &amp;amp; Schiøtz, ombygget 1982-84) bestående af det underjordiske anlæg med nedgangsbunkeren og alt nagelfast inventar, hovedbatteriets to kanontårne, alle øvrige overjordiske installationer i form af bla lyskanon, radiobunker, ventilationshætter, ildlederperiskop, standplads til lyslederpost, garagebygninger, voldanlæg og vejsystem, helikopterlandingsplads, museets velkomstbygning (tidl missilklargøringshal), trådhegn omkring og på området samt det omgivende areal på matriklerne 26a, 26i, 26m, 27a, 27b og 27c, Ll. Heddinge By, Ll.Heddinge</t>
  </si>
  <si>
    <t>Slotsgade 10</t>
  </si>
  <si>
    <t xml:space="preserve"> Betjentboligen (tidl)</t>
  </si>
  <si>
    <t xml:space="preserve"> Bindingsværkslænge (ca 1725) og senere tilbyggettværbygning</t>
  </si>
  <si>
    <t>Slotsgade 12</t>
  </si>
  <si>
    <t xml:space="preserve"> Den gamle Præstegård</t>
  </si>
  <si>
    <t xml:space="preserve"> Forhuset (ca 1738)</t>
  </si>
  <si>
    <t>Slotsgade 3-5</t>
  </si>
  <si>
    <t xml:space="preserve"> Stiftskontoret, Den gamle Kantorbolig</t>
  </si>
  <si>
    <t xml:space="preserve"> Forhusene (ca 1738) samt mur ogvaskehus</t>
  </si>
  <si>
    <t>Slotsgade 4</t>
  </si>
  <si>
    <t xml:space="preserve"> Vallø Adelige Stift, inkl Det Hvide Stift</t>
  </si>
  <si>
    <t xml:space="preserve"> Det firefløjede anlæg (sydfløj med hjørnetårne, de to sydligste fag af vestfløjen og broen over graven ca 1580-86, muligvis af Hans van Paeschen; bygningerne forhøjet og vestfløjen antagelig forlænget med to fag i 1600-tallets første halvdel; nordlige del af vestfløjen ca 1651; nordfløjen 1721 af Johan Cornelius Krieger; "Det hvide Stift" 1735-38 af Lauritz de Thurah, ombyg.get 1765 af G.D. Anthon, genopført efter brand 1893-1908 ved Hans J. Holm)</t>
  </si>
  <si>
    <t xml:space="preserve"> Lægeboligen</t>
  </si>
  <si>
    <t xml:space="preserve"> Forhus, sidehus og staldbygning langs vejen (ca 1780)</t>
  </si>
  <si>
    <t>Stormarksvej 2</t>
  </si>
  <si>
    <t xml:space="preserve"> Lille Heddinge Rytterskole</t>
  </si>
  <si>
    <t xml:space="preserve"> Rytterskolebygningen (1722)</t>
  </si>
  <si>
    <t>Tåstrupvej 31</t>
  </si>
  <si>
    <t>Druebjerggård</t>
  </si>
  <si>
    <t xml:space="preserve"> Møddinghuset (ca 1900)</t>
  </si>
  <si>
    <t>Tåstrupvej 33</t>
  </si>
  <si>
    <t xml:space="preserve"> Trines Hus</t>
  </si>
  <si>
    <t xml:space="preserve"> Stuehuset af bindingsværk (ca 1770)</t>
  </si>
  <si>
    <t>Struer Kommune</t>
  </si>
  <si>
    <t>Gammel Færgevej</t>
  </si>
  <si>
    <t xml:space="preserve"> Grisetåodde Fyr</t>
  </si>
  <si>
    <t xml:space="preserve"> Fyrtårnet (1909) ved Grisetåodde Fyr</t>
  </si>
  <si>
    <t>Hindselsvej 24</t>
  </si>
  <si>
    <t xml:space="preserve"> Hindsel</t>
  </si>
  <si>
    <t xml:space="preserve"> Den trefløjede hovedbygning (1760), den brolagte gårdsplads mellem de tre fløjesamt de to havemure nordøst for hovedbygningen</t>
  </si>
  <si>
    <t>Hjermvej 59</t>
  </si>
  <si>
    <t xml:space="preserve"> Quistrup</t>
  </si>
  <si>
    <t xml:space="preserve"> Hovedbygningen (1500-tallet, helt ombygget ca 1814 og senere; portalen ca1630)</t>
  </si>
  <si>
    <t>Holstebrovej 101</t>
  </si>
  <si>
    <t xml:space="preserve"> Avsumgård</t>
  </si>
  <si>
    <t xml:space="preserve"> Den trelængede hovedbygning og de med sidelængerne sammenbyggedelænger parallelt med hovedbygningen (ca 1777)</t>
  </si>
  <si>
    <t>Svendborg Kommune</t>
  </si>
  <si>
    <t>Assensvej 233</t>
  </si>
  <si>
    <t xml:space="preserve"> Stenstrup</t>
  </si>
  <si>
    <t xml:space="preserve"> Beboelseshuset af bindingsværk over for kirken (1600-tallet)</t>
  </si>
  <si>
    <t>Badstuen 2</t>
  </si>
  <si>
    <t xml:space="preserve"> Badstuen 2</t>
  </si>
  <si>
    <t>Badstuen 4</t>
  </si>
  <si>
    <t xml:space="preserve"> Badstuen 4</t>
  </si>
  <si>
    <t xml:space="preserve"> Forhuset og det dermed sammenbyggede sidehus (ca 1800)</t>
  </si>
  <si>
    <t>Bagergade 1</t>
  </si>
  <si>
    <t xml:space="preserve"> Bagergade 1</t>
  </si>
  <si>
    <t xml:space="preserve"> Forhuset (1775)</t>
  </si>
  <si>
    <t>Bagergade 3</t>
  </si>
  <si>
    <t xml:space="preserve"> Bagergade 3</t>
  </si>
  <si>
    <t xml:space="preserve"> Forhuset (1757 og ca 1800)</t>
  </si>
  <si>
    <t>Bagergade 40</t>
  </si>
  <si>
    <t xml:space="preserve"> Bagergade 40</t>
  </si>
  <si>
    <t xml:space="preserve"> Forhuset (1838)</t>
  </si>
  <si>
    <t>Bagergade 5</t>
  </si>
  <si>
    <t xml:space="preserve"> Bagergade 5</t>
  </si>
  <si>
    <t xml:space="preserve"> Forhuset (1742 og ca 1800, stærkt fornyet 1928)</t>
  </si>
  <si>
    <t>Boelsmosevej 29</t>
  </si>
  <si>
    <t xml:space="preserve"> Isebækgård</t>
  </si>
  <si>
    <t xml:space="preserve"> Det trelængede gårdanlæg (fritliggende stuehus) (beg af 1800-tallet)</t>
  </si>
  <si>
    <t>Broholmsvej 32</t>
  </si>
  <si>
    <t xml:space="preserve"> Broholm</t>
  </si>
  <si>
    <t xml:space="preserve"> Det firefløjede anlæg (hovedfløj mod øst og portfløj mod nord 1642, ombygget ca 1850 af GF Hetsch, senere restaureret, firkantet tårn mod vest 1895, forpagterbolig mod vest 1855 afGF Hetsch, biblioteksfløj mod syd 1905) samt museumsbygningen mod sydvest (ca 1870)</t>
  </si>
  <si>
    <t>Brydegårdsvej 15 A-D</t>
  </si>
  <si>
    <t xml:space="preserve"> De to hospitalsbygninger (1738)</t>
  </si>
  <si>
    <t>Drejø Skov 16</t>
  </si>
  <si>
    <t xml:space="preserve"> Den trefløjede bondegård bestående af stuehus og vestlænge (ca 1830) ogsydlænge (ca 1900) samt den mønsterlagte brostensbelægning</t>
  </si>
  <si>
    <t>Dronningholmsvej 72</t>
  </si>
  <si>
    <t xml:space="preserve"> Dronningholmsvej 72</t>
  </si>
  <si>
    <t xml:space="preserve"> Det tolvfags toetages pakhusbygning i bindingsværk medmansard (ca 1850)</t>
  </si>
  <si>
    <t>Filippavej 57</t>
  </si>
  <si>
    <t xml:space="preserve"> Flintholm</t>
  </si>
  <si>
    <t xml:space="preserve"> Den trefløjede hovedbygning (1843-44)</t>
  </si>
  <si>
    <t>Flyvervej 2</t>
  </si>
  <si>
    <t xml:space="preserve"> Flyvervej 2</t>
  </si>
  <si>
    <t xml:space="preserve"> Husmandsstedet bestående af vinkelbygningen (genopført efter flytning omkr. 1800) indrettet til stuehus med dansestue, aftægtsbolig, stald og lade samt staldbygningen (1847)</t>
  </si>
  <si>
    <t>Fruestræde 3</t>
  </si>
  <si>
    <t xml:space="preserve"> Anne Hvides Gård, museet</t>
  </si>
  <si>
    <t xml:space="preserve"> Forhuset (1565-70) og sidehuset</t>
  </si>
  <si>
    <t>Fåborgvej 20</t>
  </si>
  <si>
    <t xml:space="preserve"> Vester Skærninge Præstegård</t>
  </si>
  <si>
    <t xml:space="preserve"> Hovedbygningen (ca 1700 og 1793) og sidebygning (sidstehalvdel af 1800-tallet)</t>
  </si>
  <si>
    <t>Fåborgvej 201</t>
  </si>
  <si>
    <t xml:space="preserve"> Lehnshøj</t>
  </si>
  <si>
    <t xml:space="preserve"> Hovedfløjen (ca 1800)</t>
  </si>
  <si>
    <t>Fåborgvej 260</t>
  </si>
  <si>
    <t xml:space="preserve"> Hvidkilde</t>
  </si>
  <si>
    <t xml:space="preserve"> Hovedbygningen (midterfløjen delvis 1500-tallet, ombygget og udvidet 1742formentlig af Philip de Lange)</t>
  </si>
  <si>
    <t>Grubbemøllevej 13</t>
  </si>
  <si>
    <t xml:space="preserve"> Viebæltegård</t>
  </si>
  <si>
    <t xml:space="preserve"> Den tidl arbejdsanstalts samlede bygningsanlæg (1872 af JensEckersberg) med haveanlægget</t>
  </si>
  <si>
    <t>Grønnegade 10</t>
  </si>
  <si>
    <t xml:space="preserve"> Grønnegade 10, Troense</t>
  </si>
  <si>
    <t xml:space="preserve"> Forhuset i bindingsværk (ca 1760) og grundmur (ca 1860)</t>
  </si>
  <si>
    <t>Grønnegade 13</t>
  </si>
  <si>
    <t xml:space="preserve"> Grønnegade 13</t>
  </si>
  <si>
    <t xml:space="preserve"> Forhus med sidehus (ca 1780-1800)</t>
  </si>
  <si>
    <t>Grønnegade 14</t>
  </si>
  <si>
    <t xml:space="preserve"> Grønnegade 14</t>
  </si>
  <si>
    <t xml:space="preserve"> Forhus og sidehus (ca 1760 og ca 1800)</t>
  </si>
  <si>
    <t xml:space="preserve"> Forhus med udskud til havesiden (ca 1780-1800)</t>
  </si>
  <si>
    <t>Grønnegade 17</t>
  </si>
  <si>
    <t xml:space="preserve"> Forhus (ca 1800) og sidehus</t>
  </si>
  <si>
    <t xml:space="preserve"> Forhus med sidehus (1770-90 og ca 1800)</t>
  </si>
  <si>
    <t xml:space="preserve"> Grønnegade 20</t>
  </si>
  <si>
    <t xml:space="preserve"> Forhus (ca 1780-1800) med sidehus (1900-tallet)</t>
  </si>
  <si>
    <t xml:space="preserve"> Grønnegade 21</t>
  </si>
  <si>
    <t>Grønnegade 23</t>
  </si>
  <si>
    <t xml:space="preserve"> Grønnegade 23</t>
  </si>
  <si>
    <t>Grønnegade 24</t>
  </si>
  <si>
    <t xml:space="preserve"> Grønnegade 24</t>
  </si>
  <si>
    <t xml:space="preserve"> Forhus med tilbygning samt sidehus og udhus (ca 1780, 1826)</t>
  </si>
  <si>
    <t>Grønnegade 7</t>
  </si>
  <si>
    <t xml:space="preserve"> Grønnegade 7</t>
  </si>
  <si>
    <t xml:space="preserve"> Forhuset (ca 1780-1800)</t>
  </si>
  <si>
    <t>Grønnegade 8</t>
  </si>
  <si>
    <t xml:space="preserve"> Grønnegade 8</t>
  </si>
  <si>
    <t xml:space="preserve"> Forhuset (ca 1760)</t>
  </si>
  <si>
    <t>Hallindskovvej 2 og 2 A</t>
  </si>
  <si>
    <t xml:space="preserve"> Gl. Hestehauge</t>
  </si>
  <si>
    <t xml:space="preserve"> Porthuset med tilbygninger (1791-97, ombygget ca 1907, modøst 1970, mod vest 1937 og 1967-74)</t>
  </si>
  <si>
    <t>Havnepladsen 7</t>
  </si>
  <si>
    <t xml:space="preserve"> Havnemesterboligen</t>
  </si>
  <si>
    <t xml:space="preserve"> Forhus (ca 1837) samt mur med halvtagsbygning</t>
  </si>
  <si>
    <t>Havnevej 3</t>
  </si>
  <si>
    <t xml:space="preserve"> Lundeborg Pakhus</t>
  </si>
  <si>
    <t xml:space="preserve"> Pakhuset (1863) med den sammenbyggede halvtagsbygning mod syd</t>
  </si>
  <si>
    <t>Hesselagergårdsvej 20 A</t>
  </si>
  <si>
    <t xml:space="preserve"> Hesselagergård</t>
  </si>
  <si>
    <t xml:space="preserve"> Hovedbygningen (1538 formentlig af Martin Bussert; gavleneca 1550)</t>
  </si>
  <si>
    <t>Hestmaevej 1</t>
  </si>
  <si>
    <t xml:space="preserve"> Lægtmandsgården</t>
  </si>
  <si>
    <t xml:space="preserve"> Den firelængede bondegård (slutn af 1700-tallet, ombygget i beg af1800-tallet), den brostensbelagte gårdsplads samt de fem elmetræer langs indkørselsvejen</t>
  </si>
  <si>
    <t>Hundstrupvej 29 A</t>
  </si>
  <si>
    <t xml:space="preserve"> Kroghenlund</t>
  </si>
  <si>
    <t xml:space="preserve"> Hovedbygning med sidefløje (ca 1810)</t>
  </si>
  <si>
    <t>Højensvej 199</t>
  </si>
  <si>
    <t xml:space="preserve"> Den tidl Egense Skole</t>
  </si>
  <si>
    <t xml:space="preserve"> Den tidl skolebygning og det med denne sammenbyggede udhus(begge 1908)</t>
  </si>
  <si>
    <t>Højgårdsvej 27 (tidl Sterrebyvej 47)</t>
  </si>
  <si>
    <t xml:space="preserve"> Højgård</t>
  </si>
  <si>
    <t xml:space="preserve"> Gårdens stuehus og dermed sammenbygget ladebygning(ca 1800)</t>
  </si>
  <si>
    <t>Korsgade 14</t>
  </si>
  <si>
    <t xml:space="preserve"> Korsgade 14</t>
  </si>
  <si>
    <t xml:space="preserve"> Forhuset (1841, ombygget 1951)</t>
  </si>
  <si>
    <t>Krovej 11</t>
  </si>
  <si>
    <t xml:space="preserve"> Krovej 11</t>
  </si>
  <si>
    <t xml:space="preserve"> Forhuset (ca 1800 og senere)</t>
  </si>
  <si>
    <t>Krovej 13</t>
  </si>
  <si>
    <t xml:space="preserve"> Krovej 13</t>
  </si>
  <si>
    <t>Krovej 15</t>
  </si>
  <si>
    <t xml:space="preserve"> Krovej 15</t>
  </si>
  <si>
    <t>Krovej 4 og 9</t>
  </si>
  <si>
    <t xml:space="preserve"> Vester Skerninge Kro</t>
  </si>
  <si>
    <t xml:space="preserve"> Beboelseshuset med sidehus (slutn af 1700-tallet og senere),krobygningen med udskud (1772 og senere), rejsestald* og lade* (slutn af 1700-tallet)</t>
  </si>
  <si>
    <t>Kullinggade 2</t>
  </si>
  <si>
    <t xml:space="preserve"> Bødkergården</t>
  </si>
  <si>
    <t xml:space="preserve"> Bindingsværkshuset mod Kullinggade (ca 1750, grundmuret 1815) samtudhusbygningen i gården</t>
  </si>
  <si>
    <t>Kullinggade 29A-B</t>
  </si>
  <si>
    <t xml:space="preserve"> Baagøe &amp; Ribers Plads</t>
  </si>
  <si>
    <t xml:space="preserve"> Pakhuset mod syd (1821, forlænget 1834), pakhuset modnord (1842), pladskontor (1903), villaen (1886) og den tilhørende plads med bolværk (1821)</t>
  </si>
  <si>
    <t>Kullinggade 6A</t>
  </si>
  <si>
    <t xml:space="preserve"> Kullinggade 6</t>
  </si>
  <si>
    <t xml:space="preserve"> Bindingsværksforhuset (slutningen af 1600-tallet, mindre ændringeromkring 1800 og 1885)</t>
  </si>
  <si>
    <t>Kyseborgstræde 2</t>
  </si>
  <si>
    <t xml:space="preserve"> Kyseborgstræde 2</t>
  </si>
  <si>
    <t>Kyseborgstræde 20</t>
  </si>
  <si>
    <t xml:space="preserve"> Kyseborgstræde 20</t>
  </si>
  <si>
    <t xml:space="preserve"> Pakhuset i bindingsværk (første halvdel af 1800-tallet)</t>
  </si>
  <si>
    <t>Kyseborgstræde 4</t>
  </si>
  <si>
    <t xml:space="preserve"> Kyseborgstræde 4</t>
  </si>
  <si>
    <t xml:space="preserve"> Kyseborgstræde 6</t>
  </si>
  <si>
    <t>Møllergade 24 og Krøyersstræde 3</t>
  </si>
  <si>
    <t xml:space="preserve"> Krøyers Pakhus</t>
  </si>
  <si>
    <t xml:space="preserve"> Pakhuset mod havnen (ca 1800)* og dentilbageværende del af mellembygningen mod nord(1780)</t>
  </si>
  <si>
    <t>Møllergade 35 A</t>
  </si>
  <si>
    <t xml:space="preserve"> Ebenezer</t>
  </si>
  <si>
    <t xml:space="preserve"> Forhus af bindingsværk mod Møllergade (1756) med grundmuret tilbygningmod Fruestræde</t>
  </si>
  <si>
    <t>Møllergade 43</t>
  </si>
  <si>
    <t xml:space="preserve"> Møllergade 43</t>
  </si>
  <si>
    <t xml:space="preserve"> Forhuset (1790)</t>
  </si>
  <si>
    <t>Møllergade 86</t>
  </si>
  <si>
    <t xml:space="preserve"> Feldberederiet (tidl)</t>
  </si>
  <si>
    <t xml:space="preserve"> Forhus (før 1761) og baghus (beg af 1800-tallet)</t>
  </si>
  <si>
    <t>Møllevej 21</t>
  </si>
  <si>
    <t xml:space="preserve"> Hesselager Møllegård</t>
  </si>
  <si>
    <t xml:space="preserve"> Hovedbygningen (beg af 1800-tallet) med trapper og stensætninger</t>
  </si>
  <si>
    <t>Møllevænget 11 (tidl Porthusvej 5 A)</t>
  </si>
  <si>
    <t xml:space="preserve"> Christiansmøllen</t>
  </si>
  <si>
    <t>Nielstrupvej 25</t>
  </si>
  <si>
    <t xml:space="preserve"> Nielstrup</t>
  </si>
  <si>
    <t xml:space="preserve"> Hovedbygningen (1820)</t>
  </si>
  <si>
    <t>Pilekrogen 26</t>
  </si>
  <si>
    <t xml:space="preserve"> Ventepose Vandmølle</t>
  </si>
  <si>
    <t xml:space="preserve"> Stuehuset og møllebygningen</t>
  </si>
  <si>
    <t>Rødkildevej 15</t>
  </si>
  <si>
    <t xml:space="preserve"> Rødkilde</t>
  </si>
  <si>
    <t xml:space="preserve"> Vandmøllen og det dermed sammenbyggede kornmagasin* samt stemmeværket, stensætningerne og den stensatte vandrende, hovedbygningen (1854) ogmagasinbygningen (ca 1700) samt mejeribygningen (1759)</t>
  </si>
  <si>
    <t xml:space="preserve"> Udvidet 1989 og 2005 *</t>
  </si>
  <si>
    <t>Rødmevej 45</t>
  </si>
  <si>
    <t xml:space="preserve"> Skjoldemose</t>
  </si>
  <si>
    <t xml:space="preserve"> Hovedbygningen (1662) med herregårdssmedien (ca 1800)</t>
  </si>
  <si>
    <t>Skattergade 10</t>
  </si>
  <si>
    <t xml:space="preserve"> Skattergade 10</t>
  </si>
  <si>
    <t xml:space="preserve"> Forhus* med sidehus (før 1761, ombygget ca 1780 og senere)</t>
  </si>
  <si>
    <t>Skattergade 8</t>
  </si>
  <si>
    <t xml:space="preserve"> Skattergade 8</t>
  </si>
  <si>
    <t xml:space="preserve"> Forhuset (1847)</t>
  </si>
  <si>
    <t>Skerningegårdsvej 12</t>
  </si>
  <si>
    <t xml:space="preserve"> Skerningegård</t>
  </si>
  <si>
    <t xml:space="preserve"> Bondegården bestående af stuehuset (1916), en vinkelformet staldbygning i bindingsværk med tilbygning i vestgavlen (omkring 1800), en vinkelformet ladebygning i bindingsværk med tilbygning i vestgavlen (omkring 1800) og den pigstensbelagte gårdsplads</t>
  </si>
  <si>
    <t>Skovballevej 21</t>
  </si>
  <si>
    <t xml:space="preserve"> Enkesædet</t>
  </si>
  <si>
    <t xml:space="preserve"> Det nifags stuehus (1825), udhuset i tre fag (1825), den gamle staldbygning(1843, udvidet 1922), den nye staldbygning (ca 1920) samt den brolagte gårdsplads</t>
  </si>
  <si>
    <t>Skårup Kirkebakke 1 A</t>
  </si>
  <si>
    <t xml:space="preserve"> Skårup Hospital</t>
  </si>
  <si>
    <t xml:space="preserve"> Kampestensbygningen (1500-tallet og 1652)</t>
  </si>
  <si>
    <t>Skårup Kirkebakke 3</t>
  </si>
  <si>
    <t xml:space="preserve"> Rødegaard</t>
  </si>
  <si>
    <t xml:space="preserve"> Det grundmurede stuehus, den mod vest liggende avlsbygning i bindingsværk og den hermed sammenbyggede svinestald i grundmur, de mod syd og øst sammenbyggede avlsbygninger i bindingsværk, udløberfløjen i bindingsværk mod øst på østlængen (midten af 1800-tallet ogca 1920) samt den brolagte gårdsplads</t>
  </si>
  <si>
    <t>Skårup Kirkebakke 4</t>
  </si>
  <si>
    <t xml:space="preserve"> Skårup Seminarium</t>
  </si>
  <si>
    <t xml:space="preserve"> Den trelængede hovedbygning (1836)</t>
  </si>
  <si>
    <t>Skårupørevej 30</t>
  </si>
  <si>
    <t xml:space="preserve"> Brillegården</t>
  </si>
  <si>
    <t xml:space="preserve"> "Det sammenbyggede firelængede anlæg (1801 - udflytningsåret), detfritliggende udhus ""kovehuset"" samt den brolagte gårdsplads</t>
  </si>
  <si>
    <t>Slotsalléen 100</t>
  </si>
  <si>
    <t xml:space="preserve"> Valdemars Slot</t>
  </si>
  <si>
    <t xml:space="preserve"> "Hovedbygningen (1639-43 af Hans II van Steenwinckel) med tepavillon og portbygninger (1749-54 af Georg Dietrich Tschierske) samt nordre og søndre længe, hegnsmurene, der forbinder bygningerne omkring gårdspladsen, forvalterboligen og den med denne sammenbyggede magasinbygning samt den herved beliggende smedie. Endvidere ""Generalindehuset"" (ca 1790)</t>
  </si>
  <si>
    <t>Sophie Frederikkevej 1</t>
  </si>
  <si>
    <t xml:space="preserve"> Sophie Frederikke Skolen</t>
  </si>
  <si>
    <t xml:space="preserve"> Skolebygningen (1835) med tilbygning (1950'erne)</t>
  </si>
  <si>
    <t xml:space="preserve"> Troense gamle Skole</t>
  </si>
  <si>
    <t xml:space="preserve"> Forhus mod Strandgade (1790), selvstændigt sidehus modGrønnegade (1800-tallet) og baghus (slutn af 1700-tallet)</t>
  </si>
  <si>
    <t>Strandgade 19</t>
  </si>
  <si>
    <t xml:space="preserve"> Strandgade 19</t>
  </si>
  <si>
    <t xml:space="preserve"> Forhus med karnap mod vejen (før 1750) og sidehus (1800-tallet)</t>
  </si>
  <si>
    <t xml:space="preserve"> Strandgade 43</t>
  </si>
  <si>
    <t xml:space="preserve"> Forhus (ca 1780-90 og senere), sidehus ved vejen (ca 1780) og udhus(1800-tallet)</t>
  </si>
  <si>
    <t>Strandgade 49</t>
  </si>
  <si>
    <t xml:space="preserve"> Strandgade 49</t>
  </si>
  <si>
    <t xml:space="preserve"> Forhuset (ca 1770 og senere)</t>
  </si>
  <si>
    <t>Strædet 8</t>
  </si>
  <si>
    <t xml:space="preserve"> Christoffer Mortensens Gård</t>
  </si>
  <si>
    <t xml:space="preserve"> Den trelængede bondegård (midten af 1800-tallet) samtgårdspladsen med den mønsterlagte brostensbelægning</t>
  </si>
  <si>
    <t>Svendborgvej 104 B</t>
  </si>
  <si>
    <t xml:space="preserve"> Stensero</t>
  </si>
  <si>
    <t xml:space="preserve"> Stuehus (1811) og de dermed sammenbyggede huse i vest (1813) og øst(1819)</t>
  </si>
  <si>
    <t>Troense Strandvej 2</t>
  </si>
  <si>
    <t xml:space="preserve"> Troense Strandvej 2</t>
  </si>
  <si>
    <t xml:space="preserve"> Forhus med sidehus (ca 1820-40, sidehuset ombygget 1949)</t>
  </si>
  <si>
    <t>Troense Strandvej 42</t>
  </si>
  <si>
    <t xml:space="preserve"> Troense Strandvej 42</t>
  </si>
  <si>
    <t xml:space="preserve"> Forhuset (ca 1800-10) samt den på ejendommen beliggende del af et baghus (1806), hvoraf en mindre del er beliggende på naboejendommen mnr 9a</t>
  </si>
  <si>
    <t>Troense Strandvej 44</t>
  </si>
  <si>
    <t xml:space="preserve"> Troense Strandvej 44</t>
  </si>
  <si>
    <t xml:space="preserve"> Forhuset (ca 1800-10) samt den på ejendommenbeliggende del af et baghus (1806), hvoraf størstedelen er beliggende på naboejendommen mnr 9e</t>
  </si>
  <si>
    <t>Tved Kirkevej 1 A</t>
  </si>
  <si>
    <t xml:space="preserve"> Tved Præstegård</t>
  </si>
  <si>
    <t xml:space="preserve"> Bindingsværkslænger mod vejen og i kirkegårdsgærdet, resterne afen tredje længe (1700-tallet) samt to grundmurede længer (ca 1900)</t>
  </si>
  <si>
    <t>Vandværksvej 3-5</t>
  </si>
  <si>
    <t xml:space="preserve"> Hesselager, Store og Lille Hospital (tidl kirkelade)</t>
  </si>
  <si>
    <t xml:space="preserve"> Østre hospitalsbygning (Lille Hospital,opr. kirkelade, ca 1550), vestre hospitalsbygning (Store Hospital, ca 1596) samt udhuset (ca 1770)</t>
  </si>
  <si>
    <t>Vejstrupgårds Allé 1</t>
  </si>
  <si>
    <t xml:space="preserve"> Vejstrupgård</t>
  </si>
  <si>
    <t xml:space="preserve"> Hovedbygning (1754)</t>
  </si>
  <si>
    <t>Vejstrup Vandmølle 1</t>
  </si>
  <si>
    <t xml:space="preserve"> Vejstrup Vandmølle</t>
  </si>
  <si>
    <t xml:space="preserve"> Vandmøllen (1838) med to vandhjul og alt nagelfast mølleinventar samt markstensbelægningen foran vandmøllen. Dertil kommer stemmeværk med stigbord, malekarm, slisker, møllesø med stensætninger, vejdæmning med stensætninger, malerende med stensætninger og det videre forløb i bagløbet til sammenløb med friløbet, friløbet fra møllesøen tilsammenløbet med bagløbet vest for landevejen</t>
  </si>
  <si>
    <t>Vestergade 2 A-D og Gerritsgade 56</t>
  </si>
  <si>
    <t xml:space="preserve"> Baagøes Gaard</t>
  </si>
  <si>
    <t xml:space="preserve"> Hjørnehuset (1839) (Vestergade 2A), forhuset medmur (Vestergade 2D), sidehuset, mellembygningen og pakhuset (Vestergade 2C) samt forhuset (1853) og sidehuset (Gerritsgade 56)</t>
  </si>
  <si>
    <t>Vestergade 45</t>
  </si>
  <si>
    <t xml:space="preserve"> Vestergade 45</t>
  </si>
  <si>
    <t xml:space="preserve"> Forhuset (1860 af Jens Eckersberg)</t>
  </si>
  <si>
    <t>Vornæsvej 39</t>
  </si>
  <si>
    <t xml:space="preserve"> Den tidl Vornæs Skole</t>
  </si>
  <si>
    <t xml:space="preserve"> Den tidl Vornæs Skole bestående af skolebygning/lærerbolig, tidlvognport og tidl stald (1863) samt fire løvtræer mod vejen</t>
  </si>
  <si>
    <t>Syddjurs Kommune</t>
  </si>
  <si>
    <t>Adelgade 13-15</t>
  </si>
  <si>
    <t xml:space="preserve"> Farvergården, Ebeltoft</t>
  </si>
  <si>
    <t xml:space="preserve"> De to forhuse (nr 13: mellem 1817 og 1827; nr 15: 1780'erne),de to nordlige sidehuse, det sydlige sidehus (farveriet), tværbygningen og pumpehuset</t>
  </si>
  <si>
    <t>Adelgade 24</t>
  </si>
  <si>
    <t xml:space="preserve"> Adelgade 24, Ebeltoft</t>
  </si>
  <si>
    <t xml:space="preserve"> Forhuset (før 1720)</t>
  </si>
  <si>
    <t>Adelgade 25-29</t>
  </si>
  <si>
    <t xml:space="preserve"> Adelgade 25-29, Ebeltoft</t>
  </si>
  <si>
    <t xml:space="preserve"> Bygningerne omkring gårdspladsens fire sider (forhuset nr 25- 27: 1761, forsiden grundmuret 1857, sidehuset 1761, baghuset 1855; forhuset nr 29: 1847, pakhuset1851)</t>
  </si>
  <si>
    <t>Adelgade 28-32</t>
  </si>
  <si>
    <t xml:space="preserve"> Sigvard Rasmussens Gård, Ebeltoft</t>
  </si>
  <si>
    <t xml:space="preserve"> Forhuset (de 10 nordligste fag før 1723, de fire sydligste 1766), det ndr. sidehus (før 1723) og det sdr. sidehus (beg af 1600-tallet, forlænget i 1800-tallet)</t>
  </si>
  <si>
    <t xml:space="preserve"> Udvidet 1959*</t>
  </si>
  <si>
    <t>Adelgade 39-41</t>
  </si>
  <si>
    <t xml:space="preserve"> Adelgade 39-41, Ebeltoft</t>
  </si>
  <si>
    <t>Bygaden 23</t>
  </si>
  <si>
    <t xml:space="preserve"> Hannesminde</t>
  </si>
  <si>
    <t xml:space="preserve"> Stuehus (1830), stald (1857), lade (1857) samt de to bindingsværksbygningernordvest og sydvest for stuehuset</t>
  </si>
  <si>
    <t>Byleddet 2</t>
  </si>
  <si>
    <t xml:space="preserve"> Byleddet 2</t>
  </si>
  <si>
    <t xml:space="preserve"> Den firelængede bindingsværksgård (midten af 1800-tallet) og staldbygningen (ca1950) samt den brostensbelagte gårdsplads omgivet af de fire bindingsværkslænger</t>
  </si>
  <si>
    <t>Grenåvej 14</t>
  </si>
  <si>
    <t xml:space="preserve"> Kalø Hovedgård</t>
  </si>
  <si>
    <t xml:space="preserve"> Karlsladen (ca 1700), Jagthuset (1898) og Thyra-hytten (1899, de tosidstnævnte af Hack Kampmann)</t>
  </si>
  <si>
    <t>Juulsbakke 1, tidl Overgade 2</t>
  </si>
  <si>
    <t xml:space="preserve"> Den gamle Postlade, Ebeltoft</t>
  </si>
  <si>
    <t>Juulsbakke 3</t>
  </si>
  <si>
    <t xml:space="preserve"> Uranienborg, Ebeltoft</t>
  </si>
  <si>
    <t xml:space="preserve"> Den vinkelformede hovedbygning (ca 1650, gadegavl senere)</t>
  </si>
  <si>
    <t>Juulsbakke 6-6 A</t>
  </si>
  <si>
    <t xml:space="preserve"> Juulsbakke 6-6 A, Ebeltoft</t>
  </si>
  <si>
    <t xml:space="preserve"> Det firelængede bygningsanlæg (beg af 1700-tallet,ombygget 1847) samt gårdspladsens brolægning</t>
  </si>
  <si>
    <t>Kirkevej 30 B</t>
  </si>
  <si>
    <t xml:space="preserve"> Mørke Præstegård</t>
  </si>
  <si>
    <t xml:space="preserve"> Det trelængede bindingsværksanlæg (1705 og senere, laden nedtagetog genopført længere mod syd 1889)</t>
  </si>
  <si>
    <t>Lufthavnsvej 10</t>
  </si>
  <si>
    <t xml:space="preserve"> Feldballe Præstegård</t>
  </si>
  <si>
    <t xml:space="preserve"> Hovedbygningen med tilbygning i syd (1688, 1760 og senere),barfredsladen (ca 1500-1550) og de to sammenbyggede længer i nord og vest (ca 1900)</t>
  </si>
  <si>
    <t>Lyngsbækgårdvej 8</t>
  </si>
  <si>
    <t xml:space="preserve"> Lyngsbækgård</t>
  </si>
  <si>
    <t xml:space="preserve"> Den trefløjede hovedbygning og den trelængede avlsgård omkringden store gård (1784 af Anders Kruuse)</t>
  </si>
  <si>
    <t xml:space="preserve"> Udvidet 1952*</t>
  </si>
  <si>
    <t>Løgtenvej 1</t>
  </si>
  <si>
    <t xml:space="preserve"> Hornslet Hospital</t>
  </si>
  <si>
    <t xml:space="preserve"> Hospitalsbygningen (1672)</t>
  </si>
  <si>
    <t>Møllerupvej 24</t>
  </si>
  <si>
    <t xml:space="preserve"> Møllerup</t>
  </si>
  <si>
    <t xml:space="preserve"> Den trefløjede hovedbygning (hovedfløjen 1681, skalmuret 1751; østfløjen 1743;vestfløjen 1722, helt ombygget 1868 og 1918-22)</t>
  </si>
  <si>
    <t>Nygade 3 (Drejergyde)</t>
  </si>
  <si>
    <t xml:space="preserve"> Nygade 3, Ebeltoft</t>
  </si>
  <si>
    <t xml:space="preserve"> Forhuset (1811)</t>
  </si>
  <si>
    <t>Nørrebakke 10</t>
  </si>
  <si>
    <t xml:space="preserve"> Nørrebakke 10</t>
  </si>
  <si>
    <t xml:space="preserve"> Forhuset (ca 1700, gennemgribende ombygget 1872) og baghuset</t>
  </si>
  <si>
    <t>Nørrebakke 9</t>
  </si>
  <si>
    <t xml:space="preserve"> Nørrebakke 9, Ebeltoft</t>
  </si>
  <si>
    <t xml:space="preserve"> Forhuset (1841, omsat i grundmur 1851)</t>
  </si>
  <si>
    <t xml:space="preserve"> Overgade 23</t>
  </si>
  <si>
    <t>Den gamle Toldbod, Ebeltoft</t>
  </si>
  <si>
    <t xml:space="preserve"> Forhus med sidehus (slutn af 1600-tallet)</t>
  </si>
  <si>
    <t xml:space="preserve"> Overgade 29</t>
  </si>
  <si>
    <t>Salen, Ebeltoft</t>
  </si>
  <si>
    <t>Overgade 5</t>
  </si>
  <si>
    <t xml:space="preserve"> Overgade 5, Ebeltoft</t>
  </si>
  <si>
    <t xml:space="preserve"> Forhuset (ca 1850)</t>
  </si>
  <si>
    <t xml:space="preserve"> Overgade 7-9</t>
  </si>
  <si>
    <t>Overgade 7-9, Ebeltoft</t>
  </si>
  <si>
    <t xml:space="preserve"> Forhusene (ca 1700)</t>
  </si>
  <si>
    <t>Rosenholmvej 119-123</t>
  </si>
  <si>
    <t xml:space="preserve"> Rosenholm</t>
  </si>
  <si>
    <t xml:space="preserve"> "Den firefløjede hovedbygning (1559-67 muligvis af Peter de Dunker eller Frederik Klingebeck; hegnsmure i øst og vest ombygget til længer ca 1600) med Holger Rosenkrantz's pavillon "Pirkentavl" (1500-tallet).* Endvidere broen over voldgraven, herskabsstalden (1896), baronessens bolig (1600-tallet) og gartnerboligen (ca 1900) samt alle betydende elementer i omgivelserne inden for det på kortbilag med brudt streglinie angivne arealer: slotsholm, grave, sø, dæmning, alléen, brolagte arealer og grusgange, klippede hække og lysthuse samt løver og obeliskerudført i sten samt alle betydende træer</t>
  </si>
  <si>
    <t>Rugårdsvej 14</t>
  </si>
  <si>
    <t xml:space="preserve"> Rugård</t>
  </si>
  <si>
    <t xml:space="preserve"> Den tofløjede hovedbygning med tårne (ca 1590-1600)</t>
  </si>
  <si>
    <t>Rugårdsvej 15 og Birksigvej (på marken)</t>
  </si>
  <si>
    <t xml:space="preserve"> Kalkovne på Rugårdsvej</t>
  </si>
  <si>
    <t xml:space="preserve"> Kalkværket bestående af treperiodiske ovne (1920-30'rne) samt halvtagsbygningen</t>
  </si>
  <si>
    <t>Sandmarkvej 30 og 30 A-B</t>
  </si>
  <si>
    <t xml:space="preserve"> Skaføgård</t>
  </si>
  <si>
    <t xml:space="preserve"> Den trefløjede hovedbygning (1580) med portbygning (ca 1600) og den nord for hovedfløjen liggende længe samt den trefløjede grundmurede ladegård (laden: 1579, 1760; sydlængen: 1579, 1761; nordlængen: 1579, 1856); endvidere gravene om såvel borggård som ladegård</t>
  </si>
  <si>
    <t xml:space="preserve"> Udvidet 1952</t>
  </si>
  <si>
    <t>Skovgårde Bygade 2 A</t>
  </si>
  <si>
    <t xml:space="preserve"> Skovgårde Bysmedie</t>
  </si>
  <si>
    <t xml:space="preserve"> Smedien</t>
  </si>
  <si>
    <t>Stubbevej 2 C (tidl 2 A)</t>
  </si>
  <si>
    <t xml:space="preserve"> Ørnbjerg Mølle</t>
  </si>
  <si>
    <t xml:space="preserve"> Møllebygningen med tilhørende mølleværk med vandhjul ogstemmeværk (1833)</t>
  </si>
  <si>
    <t>Svenstrupvej 4</t>
  </si>
  <si>
    <t xml:space="preserve"> Nimtofte Præstegård</t>
  </si>
  <si>
    <t xml:space="preserve"> Bindingsværksladen med årstallet 1599 på dørhammeren,staldbygningen (beg 1800-tallet) og den brolagte del af gårdspladsen</t>
  </si>
  <si>
    <t xml:space="preserve"> Udvidet 1993</t>
  </si>
  <si>
    <t>Sønder Molsvej 37</t>
  </si>
  <si>
    <t xml:space="preserve"> Vistoft Mølle</t>
  </si>
  <si>
    <t xml:space="preserve"> Vindmøllen og den foranliggende, dermed sammenbyggede bygning(ca 1857)</t>
  </si>
  <si>
    <t>Thorsagervej 3 A-B og 5</t>
  </si>
  <si>
    <t xml:space="preserve"> Gammel Ryomgård</t>
  </si>
  <si>
    <t xml:space="preserve"> Den trefløjede hovedbygning (1643, ombygget 1768-70) ogbomhuset, stalden (1635) og agerumslade (1637)</t>
  </si>
  <si>
    <t>Tingvej 33-35</t>
  </si>
  <si>
    <t xml:space="preserve"> Hornslet Ting- og Arresthus</t>
  </si>
  <si>
    <t xml:space="preserve"> De to hovedfløje langs Tingvej med forbindende mur ogudløberfløj mod syd samt de to murede udhuse (1910 af Hack Kampmann og Valdemar Schmidt)</t>
  </si>
  <si>
    <t xml:space="preserve"> Ebeltoft gamle Rådhus, nu museum</t>
  </si>
  <si>
    <t xml:space="preserve"> Rådhusbygningen (1789)</t>
  </si>
  <si>
    <t>Torvet 9-11, hj af Adelgade</t>
  </si>
  <si>
    <t xml:space="preserve"> Torvet 9-11, Ebeltoft</t>
  </si>
  <si>
    <t xml:space="preserve"> Det vinkelbyggede forhus (1779)</t>
  </si>
  <si>
    <t>Tved Kirkebakke 11-14</t>
  </si>
  <si>
    <t xml:space="preserve"> Den trefløjede præstegård (ca 1800)</t>
  </si>
  <si>
    <t>Villadsgyde 7, hj af Nedergade</t>
  </si>
  <si>
    <t xml:space="preserve"> Villadsgyde 7, Ebeltoft</t>
  </si>
  <si>
    <t xml:space="preserve"> Forhuset (formentlig 1600-tallet)</t>
  </si>
  <si>
    <t>Sønderborg Kommune</t>
  </si>
  <si>
    <t>Ahlefeldvej 5</t>
  </si>
  <si>
    <t xml:space="preserve"> Palæbygningen (ca 1800)</t>
  </si>
  <si>
    <t>Asylvej 1</t>
  </si>
  <si>
    <t xml:space="preserve"> Asylvej 1</t>
  </si>
  <si>
    <t xml:space="preserve"> Asylbygningen i fem fag (1870)</t>
  </si>
  <si>
    <t xml:space="preserve"> Den enetages hjørnebygning med mur og port langs Bagergade (ca 1890)</t>
  </si>
  <si>
    <t>Ballebrovej 17</t>
  </si>
  <si>
    <t xml:space="preserve"> Ballegård</t>
  </si>
  <si>
    <t xml:space="preserve"> Hovedbygningen (1771), det lille hus øst derfor og bygningen syd forsidstnævnte hus</t>
  </si>
  <si>
    <t>Bjerggade 15</t>
  </si>
  <si>
    <t xml:space="preserve"> Bjerggade 15</t>
  </si>
  <si>
    <t xml:space="preserve"> Forhuset (våning af bindingsværk ca 1650)</t>
  </si>
  <si>
    <t>Bjerggade 17</t>
  </si>
  <si>
    <t xml:space="preserve"> Bjerggade 17</t>
  </si>
  <si>
    <t xml:space="preserve"> Forhuset (to våninger af bindingsværk ca 1650)</t>
  </si>
  <si>
    <t>Bjørnemosen 1</t>
  </si>
  <si>
    <t xml:space="preserve"> Ulkebøl Præstegård</t>
  </si>
  <si>
    <t xml:space="preserve"> Stuehuset (opr. Fra slut.  af 1700-tallet, genopført 1959, dørhammerfra 1699) samt staldlængen</t>
  </si>
  <si>
    <t>Bygaden 11-13</t>
  </si>
  <si>
    <t xml:space="preserve"> Asserballe Præstegård</t>
  </si>
  <si>
    <t xml:space="preserve"> Stuehus (1834), staldlænge (slutn af 1700-tallet) og vestlængen(1600-tallet og senere)</t>
  </si>
  <si>
    <t>Bøgevej 3</t>
  </si>
  <si>
    <t xml:space="preserve"> Nybøl Mølle</t>
  </si>
  <si>
    <t xml:space="preserve"> Vindmøllen med maskinhus (1879)</t>
  </si>
  <si>
    <t xml:space="preserve"> Dalsgårdvej 22</t>
  </si>
  <si>
    <t>Dalsgårdvej 22</t>
  </si>
  <si>
    <t xml:space="preserve"> Det tidligere skipperhus (1834)</t>
  </si>
  <si>
    <t>Dybbøl Banke 7</t>
  </si>
  <si>
    <t xml:space="preserve"> Dybbøl Mølle</t>
  </si>
  <si>
    <t xml:space="preserve"> Møllen (genopført 1935), den hermed sammenbyggede møllelade (1848)og møllerboligen (1848)</t>
  </si>
  <si>
    <t>Fynshavvej 12</t>
  </si>
  <si>
    <t xml:space="preserve"> Elstrup Mølle</t>
  </si>
  <si>
    <t xml:space="preserve"> Vindmøllen (1855, flyttet til nuværende placering 1888) med motorhuset(1890), magasinbygningen (1890) og staldbygningen (1948)</t>
  </si>
  <si>
    <t>Gammel Guderup 24</t>
  </si>
  <si>
    <t xml:space="preserve"> Guderup tidl Præstegård</t>
  </si>
  <si>
    <t xml:space="preserve"> Stuehuset og den dermed sammenbyggede bygningsamt den nord for liggende staldlænge (ca 1805, udhuse ca 1750 og 1847)</t>
  </si>
  <si>
    <t>Gammel Pøl 7</t>
  </si>
  <si>
    <t xml:space="preserve"> Gammel Pøl Fyr</t>
  </si>
  <si>
    <t xml:space="preserve"> Fyrtårnet (1905) ved Gammel Pøl Fyr</t>
  </si>
  <si>
    <t>Gråsten Slot 1-3</t>
  </si>
  <si>
    <t xml:space="preserve"> Gråsten Slot</t>
  </si>
  <si>
    <t xml:space="preserve"> Det trefløjede slotsanlæg (endepavillonerne og nordre sidefløj med kapelca 1709, ombygget 1759; midtpavillonen 1842 og senere)</t>
  </si>
  <si>
    <t>Havbogade 47</t>
  </si>
  <si>
    <t xml:space="preserve"> Havbogade 47</t>
  </si>
  <si>
    <t xml:space="preserve"> Forhuset (halvdelen af et gavlkvisthus af bindingsværk 1700-tallet, seneredelvis grundmuret)</t>
  </si>
  <si>
    <t>Havbogade 49</t>
  </si>
  <si>
    <t xml:space="preserve"> Havbogade 49</t>
  </si>
  <si>
    <t>Hørup Bygade 12</t>
  </si>
  <si>
    <t xml:space="preserve"> Hørup Præstegård</t>
  </si>
  <si>
    <t xml:space="preserve"> Stuehuset med udhus og to udlænger (hovedbygningen 1764-69 afChristian August Bohlsmann; udlængerne 1800)</t>
  </si>
  <si>
    <t>Kalvehavevej 3</t>
  </si>
  <si>
    <t xml:space="preserve"> Svenstrup Præstegård</t>
  </si>
  <si>
    <t xml:space="preserve"> Hovedbygningen (1700-tallet) og østre længe</t>
  </si>
  <si>
    <t>Kalvetoft 1</t>
  </si>
  <si>
    <t xml:space="preserve"> Kalvetoft 1</t>
  </si>
  <si>
    <t xml:space="preserve"> Stuehuset (ca 1860) og brolægningen foran sydfacaden</t>
  </si>
  <si>
    <t>Kegnæsvej 5</t>
  </si>
  <si>
    <t xml:space="preserve"> Lysabild Præstegård</t>
  </si>
  <si>
    <t xml:space="preserve"> De tre bygninger om gårdspladsen (1627, 1826 og 1852-53)</t>
  </si>
  <si>
    <t>Kirkeallé 4</t>
  </si>
  <si>
    <t xml:space="preserve"> Kirkeallé 4</t>
  </si>
  <si>
    <t xml:space="preserve"> Beboelseshuset (1641)</t>
  </si>
  <si>
    <t>Kirkegade 8</t>
  </si>
  <si>
    <t xml:space="preserve"> Kirkegade 8</t>
  </si>
  <si>
    <t xml:space="preserve"> Det otte fag dybe bindingsværksgavlhus (1643)</t>
  </si>
  <si>
    <t>Kirkevænget 1-3</t>
  </si>
  <si>
    <t xml:space="preserve"> Kirkevænget 1-3</t>
  </si>
  <si>
    <t xml:space="preserve"> Det stråtækte vinkelbyggede længehus (1773) med den yngretrempeltilbygning på nordlængen</t>
  </si>
  <si>
    <t>Kirkevænget 5</t>
  </si>
  <si>
    <t xml:space="preserve"> Kirkevænget 5</t>
  </si>
  <si>
    <t xml:space="preserve"> Det tifags stråtækte langhus (ca 1800 og senere)</t>
  </si>
  <si>
    <t>Lambjergskovvej 14</t>
  </si>
  <si>
    <t xml:space="preserve"> Lambjergskovvej 14</t>
  </si>
  <si>
    <t xml:space="preserve"> Stuehuset (ca 1850) og den dermed sammenbyggede staldog lade samt haven og den pigstensbelagte plads mod vejen</t>
  </si>
  <si>
    <t>Liliegade 1, hj af Stengade</t>
  </si>
  <si>
    <t xml:space="preserve"> Liliegade 1</t>
  </si>
  <si>
    <t xml:space="preserve"> Huset med gavl mod Stengade</t>
  </si>
  <si>
    <t>Løkken 24</t>
  </si>
  <si>
    <t xml:space="preserve"> Løkken 24</t>
  </si>
  <si>
    <t xml:space="preserve"> Det syv fags tidl pakhus (ca 1776, opr. baghus til Perlegade 51)</t>
  </si>
  <si>
    <t>Mariegade 2</t>
  </si>
  <si>
    <t xml:space="preserve"> Mariegade 2</t>
  </si>
  <si>
    <t xml:space="preserve"> Hus mod Lilliegade og den hermed sammenbyggede havemur</t>
  </si>
  <si>
    <t>Mariegade 4</t>
  </si>
  <si>
    <t xml:space="preserve"> Mariegade 4 (havemur)</t>
  </si>
  <si>
    <t xml:space="preserve"> Havemur mod Mariegade</t>
  </si>
  <si>
    <t>Mariegade 6</t>
  </si>
  <si>
    <t xml:space="preserve"> Mariegade 6 (havemur og pavillon)</t>
  </si>
  <si>
    <t xml:space="preserve"> Havemur og pavillon</t>
  </si>
  <si>
    <t>Møllegade 15</t>
  </si>
  <si>
    <t xml:space="preserve"> Lundsbjerggård/Jollmanns gård</t>
  </si>
  <si>
    <t xml:space="preserve"> Kroggården (slutningen af 1700-tallet), den brolagtegårdsplads, brolægningen langs anlæggets ydersider og møddingen syd herfor</t>
  </si>
  <si>
    <t>Nordborgvej 118 K</t>
  </si>
  <si>
    <t xml:space="preserve"> Egen Kirkestalde</t>
  </si>
  <si>
    <t xml:space="preserve"> De tre staldbygninger (1700-tallet)</t>
  </si>
  <si>
    <t>Notmark 23</t>
  </si>
  <si>
    <t xml:space="preserve"> Notmark Kro</t>
  </si>
  <si>
    <t xml:space="preserve"> Forhuset med sidehus og det dermed sammenbyggede baghus mod øst</t>
  </si>
  <si>
    <t>Notmark 4</t>
  </si>
  <si>
    <t xml:space="preserve"> Notmark Præstegård</t>
  </si>
  <si>
    <t xml:space="preserve"> Den sammenbyggede stald- og stuehuslænge med påbygning mod vest(1688 og tidl) samt det vestre hus</t>
  </si>
  <si>
    <t>Osbækvej 15</t>
  </si>
  <si>
    <t xml:space="preserve"> Osbækvej 15</t>
  </si>
  <si>
    <t xml:space="preserve"> Hovedgårdens store lade (1733)</t>
  </si>
  <si>
    <t>Palævej 1 (tidl Augustenborg Sygehus 1-2 og 6)</t>
  </si>
  <si>
    <t xml:space="preserve"> Augustenborg Slot</t>
  </si>
  <si>
    <t xml:space="preserve"> Den trefløjede hovedbygning (1770-76) og den gamle køkkenfløj nord for denne, staldgårdens portfløj, søndre og nordre fløj (1733 og1764) med de to krumme forbindelsesmure, slotspladsen bestående af slotsgård og ridebane, den nord for liggende gamle vaskeribygning (1764), Kavalerbygningen, Storegade 2 (ca 1800) samt Palæet:hovedbygning med sidebygning (ca 1780)</t>
  </si>
  <si>
    <t xml:space="preserve"> Udvidet 2014 *</t>
  </si>
  <si>
    <t>Palævej 2</t>
  </si>
  <si>
    <t xml:space="preserve"> Slotspræstegård (tidl)</t>
  </si>
  <si>
    <t xml:space="preserve"> Forhuset (1776)</t>
  </si>
  <si>
    <t>Perlegade 49 og 49 A</t>
  </si>
  <si>
    <t xml:space="preserve"> Perlegade 49 og 49 A</t>
  </si>
  <si>
    <t xml:space="preserve"> Det sammenbyggede gavl- og langhus samt detgrundmurede sidehus (ca 1700 og senere)</t>
  </si>
  <si>
    <t>Perlegade 51</t>
  </si>
  <si>
    <t xml:space="preserve"> Perlegade 51</t>
  </si>
  <si>
    <t xml:space="preserve"> Det 13 fag dybe bindingsværksgavlhus (ca 1640, gavlen senere grundmuret)samt heltagssidehuset i gården</t>
  </si>
  <si>
    <t>Perlegade 58</t>
  </si>
  <si>
    <t xml:space="preserve"> Perlegade 58</t>
  </si>
  <si>
    <t>Perlegade 61</t>
  </si>
  <si>
    <t xml:space="preserve"> Perlegade 61</t>
  </si>
  <si>
    <t xml:space="preserve"> Det 14 fag dybe bindingsværksgavlhus og den hermed sammenbyggede portfløj mod gaden (ca 1640, den grundmurede gadeside, der samler gavlhus og portfløj til et langhus,senere)</t>
  </si>
  <si>
    <t>Præstevænget 3 A</t>
  </si>
  <si>
    <t xml:space="preserve"> Guderup gamle Kapellani</t>
  </si>
  <si>
    <t xml:space="preserve"> Stuehuset (1815)</t>
  </si>
  <si>
    <t>Ramserl 20</t>
  </si>
  <si>
    <t xml:space="preserve"> Ketting Præstegård</t>
  </si>
  <si>
    <t xml:space="preserve"> Stuehuset samt stalden og gåsehuset (1802-03, udhuse 1772)</t>
  </si>
  <si>
    <t>Rosengade 18</t>
  </si>
  <si>
    <t xml:space="preserve"> Hovedbygningen (1767 og senere) med muren langs Rosengade ogstaldbygningen i gården</t>
  </si>
  <si>
    <t>Rosengade 7</t>
  </si>
  <si>
    <t xml:space="preserve"> Rosengade 7</t>
  </si>
  <si>
    <t>Rådhustorvet 10</t>
  </si>
  <si>
    <t xml:space="preserve"> Sønderborg Rådhus</t>
  </si>
  <si>
    <t xml:space="preserve"> Rådhuset (1933 af Holger Mundt og udv. 1964 af Johan Juhler)</t>
  </si>
  <si>
    <t>Sandbjergvej 101</t>
  </si>
  <si>
    <t xml:space="preserve"> Sandbjerggård</t>
  </si>
  <si>
    <t>Sandbjergvej 102-104</t>
  </si>
  <si>
    <t xml:space="preserve"> Sandbjerg</t>
  </si>
  <si>
    <t xml:space="preserve"> Palæet (1787-88 af Christian August Bohlsmann) og forpagterboligen(1783)</t>
  </si>
  <si>
    <t>Sandvej 21</t>
  </si>
  <si>
    <t xml:space="preserve"> Alsingergården</t>
  </si>
  <si>
    <t xml:space="preserve"> Gårdanlæg bestående af stuehus (1863) med sammenbygget stald, den vestherfor liggende staldlænge (ca 1790, forlænget 1797) og den hermed sammenbyggede portlænge mod nord (ca 1790)</t>
  </si>
  <si>
    <t>Sandvej 7</t>
  </si>
  <si>
    <t xml:space="preserve"> Det syvfags beboelseshus (ca 1820)</t>
  </si>
  <si>
    <t>Sankt Jørgensgade 1</t>
  </si>
  <si>
    <t xml:space="preserve"> Sankt Jørgensgade 1</t>
  </si>
  <si>
    <t xml:space="preserve"> Det lille bindingsværksbaghus ud til Kirkegade (formentlig1700-tallet)</t>
  </si>
  <si>
    <t>Sejrsvej 79</t>
  </si>
  <si>
    <t xml:space="preserve"> Bennicksgaard</t>
  </si>
  <si>
    <t xml:space="preserve"> Stuehuset (1782)</t>
  </si>
  <si>
    <t>Slotsallé 10 A-E</t>
  </si>
  <si>
    <t xml:space="preserve"> Det gamle Hospital</t>
  </si>
  <si>
    <t xml:space="preserve"> Den 15 fag lange hospitalsbygning (1700-tallet)</t>
  </si>
  <si>
    <t>Smedegade 15</t>
  </si>
  <si>
    <t xml:space="preserve"> Smedegade 15</t>
  </si>
  <si>
    <t xml:space="preserve"> Det seksfags stråtækte beboelseshus sammenbygget med Smedegade17 (med væsentlige bygningsdele fra 1798)</t>
  </si>
  <si>
    <t>Smedegade 17</t>
  </si>
  <si>
    <t xml:space="preserve"> Smedegade 17</t>
  </si>
  <si>
    <t xml:space="preserve"> Det firefags stråtækte beboelseshus sammenbygget med Smedegade 15(med væsentlige bygningsdele fra 1798)</t>
  </si>
  <si>
    <t>Smedegade 25</t>
  </si>
  <si>
    <t xml:space="preserve"> Hovedbygningen (ca 1800) og den vinkelbyggede længe øst herfor</t>
  </si>
  <si>
    <t>Stenderup Kirkebakke 4</t>
  </si>
  <si>
    <t xml:space="preserve"> Stenderup Kirke</t>
  </si>
  <si>
    <t xml:space="preserve"> Kirkebygningen (1902-3 af Martin Nyrop)</t>
  </si>
  <si>
    <t>Stengade 19</t>
  </si>
  <si>
    <t xml:space="preserve"> Stengade 19</t>
  </si>
  <si>
    <t xml:space="preserve"> Gavlhuset (formentlig 1700-tallet)</t>
  </si>
  <si>
    <t xml:space="preserve"> Hofrådens Hus</t>
  </si>
  <si>
    <t xml:space="preserve"> Forhuset (slutn af 1700-tallet)</t>
  </si>
  <si>
    <t xml:space="preserve"> Storegade 13</t>
  </si>
  <si>
    <t xml:space="preserve"> Storegade 15</t>
  </si>
  <si>
    <t xml:space="preserve"> Forhus med sidehus (slutn af 1700-tallet)</t>
  </si>
  <si>
    <t>Storegade 19</t>
  </si>
  <si>
    <t xml:space="preserve"> Storegade 19</t>
  </si>
  <si>
    <t xml:space="preserve"> Forhuset mod Storegade og pakhuset mod Søndergade (1788)</t>
  </si>
  <si>
    <t>Storegade 20</t>
  </si>
  <si>
    <t xml:space="preserve"> Den gamle Skole</t>
  </si>
  <si>
    <t xml:space="preserve"> Forhuset (1780)</t>
  </si>
  <si>
    <t xml:space="preserve"> Storegade 23</t>
  </si>
  <si>
    <t>Postholderens Hus</t>
  </si>
  <si>
    <t>Strelbjergvej 17-17 A</t>
  </si>
  <si>
    <t xml:space="preserve"> Strelbjergvej 17-17 A</t>
  </si>
  <si>
    <t xml:space="preserve"> Stuehuset (1792)</t>
  </si>
  <si>
    <t>Sønderbro 1 A</t>
  </si>
  <si>
    <t xml:space="preserve"> Sønderborg Slot</t>
  </si>
  <si>
    <t xml:space="preserve"> Det sammenbyggede, firefløjede bygningsanlæg med tårne og tårnfundamenter samt omgivende hegnsmure (ca 1500 og 1549-57 formentlig af Hercules von Oberberg,ombygget 1720 af Wilhelm Friedrich von Platen)</t>
  </si>
  <si>
    <t>Søndergade 15</t>
  </si>
  <si>
    <t xml:space="preserve"> Søndergade 15</t>
  </si>
  <si>
    <t xml:space="preserve"> Pakhuset af bindingsværk med grundmurede gavle (slutningen af 1700-tallet)</t>
  </si>
  <si>
    <t>Søndergade 16</t>
  </si>
  <si>
    <t xml:space="preserve"> Søndergade 16</t>
  </si>
  <si>
    <t xml:space="preserve"> Det otte fag dybe bindingsværkshus med grundmuret gavl mod gaden ogden åbne knægtbyggede del af det op til dettes baggavl beliggende sidehus samt det med gavlhuset sammenbyggede grundmurede gavlkvisthus (ca 1750)</t>
  </si>
  <si>
    <t>Søndergade 7</t>
  </si>
  <si>
    <t xml:space="preserve"> Søndergade 7</t>
  </si>
  <si>
    <t xml:space="preserve"> Forhuset (ca 1830)</t>
  </si>
  <si>
    <t>Tinggården 4 og 15</t>
  </si>
  <si>
    <t xml:space="preserve"> Ketting Kro</t>
  </si>
  <si>
    <t xml:space="preserve"> Den toetages tidl krobygning og den hermed sammenbyggede rejsestald ligeledes i to etager samt den enetages høje sidebygning på krobygningen (1868)</t>
  </si>
  <si>
    <t>Tingstedvej 8</t>
  </si>
  <si>
    <t xml:space="preserve"> Havnbjerg Mølle</t>
  </si>
  <si>
    <t xml:space="preserve"> Vindmøllen (1855) og pakhuset</t>
  </si>
  <si>
    <t>Tontoft 13</t>
  </si>
  <si>
    <t xml:space="preserve"> Tontoft</t>
  </si>
  <si>
    <t xml:space="preserve"> Hovedbygningen og den hermed sammenbyggede udlænge mod nordøst (ca 1784)</t>
  </si>
  <si>
    <t>Vibæk Mølle 3</t>
  </si>
  <si>
    <t xml:space="preserve"> Vibæk Vandmølle</t>
  </si>
  <si>
    <t xml:space="preserve"> Vandmøllen (1756), stuehuset (1819) og den nord for stuehuset oghermed parallelt liggende udhuslænge (ca 1800 af gl. materialer)</t>
  </si>
  <si>
    <t>Voldstedvej 1</t>
  </si>
  <si>
    <t xml:space="preserve"> Østerholm</t>
  </si>
  <si>
    <t xml:space="preserve"> Den grundmurede bygning på den sydøstlige af Østerholm voldsteds tre holme(1700-tallet)</t>
  </si>
  <si>
    <t>Æblegade 8</t>
  </si>
  <si>
    <t xml:space="preserve"> Æblegade 8</t>
  </si>
  <si>
    <t>Thisted Kommune</t>
  </si>
  <si>
    <t>Klostermøllevej 77</t>
  </si>
  <si>
    <t xml:space="preserve"> Vestervig Klostermølle</t>
  </si>
  <si>
    <t xml:space="preserve"> Vindmøllen (1860)</t>
  </si>
  <si>
    <t xml:space="preserve">Krægpøtvej </t>
  </si>
  <si>
    <t>Vigsø Båke</t>
  </si>
  <si>
    <t xml:space="preserve"> Sømærket (1885)</t>
  </si>
  <si>
    <t>Lodbjergvej 33</t>
  </si>
  <si>
    <t xml:space="preserve"> Lodbjerg Fyr</t>
  </si>
  <si>
    <t xml:space="preserve"> Lodbjerg Fyr bestående af to boligfløje sammenbygget med den buedekorridorbygning og fyrtårnet, gårdrummet herimellem samt oliehuset vest for tårnet (1883)</t>
  </si>
  <si>
    <t>Nørhågårdsvej 1</t>
  </si>
  <si>
    <t xml:space="preserve"> Nørhågård</t>
  </si>
  <si>
    <t xml:space="preserve"> Stuehuset (1807)</t>
  </si>
  <si>
    <t>Skjærbakken 45</t>
  </si>
  <si>
    <t xml:space="preserve"> Skjærbakken 45</t>
  </si>
  <si>
    <t xml:space="preserve"> Længehuset (1891)</t>
  </si>
  <si>
    <t>Skovgade 20</t>
  </si>
  <si>
    <t xml:space="preserve"> Forhuset (1854) og vaskehuset</t>
  </si>
  <si>
    <t>Stenbjerg Landingsplads 3</t>
  </si>
  <si>
    <t xml:space="preserve"> Stenbjerg Redningsstation</t>
  </si>
  <si>
    <t xml:space="preserve"> Redningsstationen (1931)</t>
  </si>
  <si>
    <t>Store Torv 4</t>
  </si>
  <si>
    <t xml:space="preserve"> Thisted Rådhus</t>
  </si>
  <si>
    <t xml:space="preserve"> Rådhusbygningen uden tilbygninger (1853 af Gottlieb Bindesbøll)</t>
  </si>
  <si>
    <t xml:space="preserve"> Stensbjerg Båke</t>
  </si>
  <si>
    <t>Toftevej 9</t>
  </si>
  <si>
    <t xml:space="preserve"> Agger</t>
  </si>
  <si>
    <t xml:space="preserve"> Længehuset (slutn 1700-tallet)</t>
  </si>
  <si>
    <t xml:space="preserve"> Tvorup By</t>
  </si>
  <si>
    <t xml:space="preserve"> Tvorup Båke</t>
  </si>
  <si>
    <t>Tårnvej 7-23</t>
  </si>
  <si>
    <t xml:space="preserve"> Hanstholm Fyretablissement</t>
  </si>
  <si>
    <t xml:space="preserve"> Fyrtårnet og fyrmesterbolig, to udhuse, beboelseshus i nordog maskinbygning (1842-43 af Jørgen Hansen Koch, tårnet af Jens Paul Jacobsen)</t>
  </si>
  <si>
    <t>Tønder Kommune</t>
  </si>
  <si>
    <t>Allégade 24</t>
  </si>
  <si>
    <t xml:space="preserve"> Allégade 24</t>
  </si>
  <si>
    <t xml:space="preserve"> Villaen (1910 af Anton Huber) med stensætningen mod gaden, stensætningenlangs Skt.  Laurenti Strømmen og den stensatte bro over strømmen</t>
  </si>
  <si>
    <t>Bornholmervej 12</t>
  </si>
  <si>
    <t xml:space="preserve"> Bornholmervej 12, Rømø</t>
  </si>
  <si>
    <t xml:space="preserve"> Længehuset i ni fag (1737)</t>
  </si>
  <si>
    <t>Brede Bygade 53</t>
  </si>
  <si>
    <t xml:space="preserve"> Gl. Bosholm</t>
  </si>
  <si>
    <t xml:space="preserve"> Det trelængede gårdanlæg bestående af stuehus (1781), stald- ogladebygninger (1841) samt den brolagte gårdsplads</t>
  </si>
  <si>
    <t>Emmerlevvej 20</t>
  </si>
  <si>
    <t xml:space="preserve"> Emmerlev gamle Skole</t>
  </si>
  <si>
    <t xml:space="preserve"> Beboelseshuset (1857, opr. Skole)</t>
  </si>
  <si>
    <t>Frigrunden 2 (tidl Slotsgade 1)</t>
  </si>
  <si>
    <t xml:space="preserve"> Frigrunden 2</t>
  </si>
  <si>
    <t xml:space="preserve"> Forhuset (1700-tallets slutning, ombygget 1828)</t>
  </si>
  <si>
    <t>Frigrunden 7 (tidl Slotsgade 4)</t>
  </si>
  <si>
    <t xml:space="preserve"> Frigrunden 7</t>
  </si>
  <si>
    <t xml:space="preserve"> Forhuset (1742, de to nordligste fag tilføjet ca 1900)</t>
  </si>
  <si>
    <t>Gammel Skolevej 6</t>
  </si>
  <si>
    <t xml:space="preserve"> Kongsmark gamle Skole</t>
  </si>
  <si>
    <t xml:space="preserve"> Skolebygningen (1871)</t>
  </si>
  <si>
    <t>Grammarkvej 13</t>
  </si>
  <si>
    <t xml:space="preserve"> Grammarkvej 13</t>
  </si>
  <si>
    <t xml:space="preserve"> Den syvfags, øst-vest orienterede længe med stråtag (ca 1760)</t>
  </si>
  <si>
    <t>Grøngårdvej 34</t>
  </si>
  <si>
    <t xml:space="preserve"> Grøngård</t>
  </si>
  <si>
    <t xml:space="preserve"> Stuehuset (ca 1850) og lade (ca 1750)</t>
  </si>
  <si>
    <t>Gråbrødrevej 2</t>
  </si>
  <si>
    <t xml:space="preserve"> Amtsskriver Jürgensens Hus</t>
  </si>
  <si>
    <t xml:space="preserve"> Det grundmurede toetages hus bestående af to vinkelret sammenbyggede fløje (1649, opr. opført i en etage over hvælvet kælder, udbygget i 1867-1870 med enetage)</t>
  </si>
  <si>
    <t>Guldhornsvej 10</t>
  </si>
  <si>
    <t xml:space="preserve"> Gallehus</t>
  </si>
  <si>
    <t>Harknagvej 23</t>
  </si>
  <si>
    <t xml:space="preserve"> Harknagvej 23</t>
  </si>
  <si>
    <t xml:space="preserve"> Det otte fag lange hus i røde sten og med stråtag (med væsentligebygningsdele fra 1700-tallet)</t>
  </si>
  <si>
    <t>Hattesvej 22</t>
  </si>
  <si>
    <t xml:space="preserve"> Hattesvej 22</t>
  </si>
  <si>
    <t xml:space="preserve"> Beboelseslænge (1852) med den nyere vinkelbygning mod nordvest</t>
  </si>
  <si>
    <t>Havnebyvej 156</t>
  </si>
  <si>
    <t xml:space="preserve"> Den gamle Redningsstation, Rømø</t>
  </si>
  <si>
    <t xml:space="preserve"> Redningsstationsbygningen (1887)</t>
  </si>
  <si>
    <t>Havnebyvej 196</t>
  </si>
  <si>
    <t xml:space="preserve"> Havnebyvej 196, Rømø</t>
  </si>
  <si>
    <t xml:space="preserve"> Den tifags beboelseslænge med tofags vinkelbygning mod nord(1783, ombygget ca 1850)</t>
  </si>
  <si>
    <t>Hjemstedvej 31</t>
  </si>
  <si>
    <t xml:space="preserve"> Hjemstedgård</t>
  </si>
  <si>
    <t xml:space="preserve"> Den 27 fags, øst-vest orienterede længe med de to tilbyggede længer på nordsiden og den brolagte gårdsplads (ca 1800, ombygget ca 1850) samt de på længens sydside tilføjede to trempelbygninger (beg af 1900-tallet) og de heri indeholdte bygningsdele af en ældre oprindeligtfritliggende ladebygning</t>
  </si>
  <si>
    <t>Hjemstedvej 61</t>
  </si>
  <si>
    <t xml:space="preserve"> Markmandshuset, Den Svorne Vej</t>
  </si>
  <si>
    <t xml:space="preserve"> Det grundmurede vogterhus (ca 1814)</t>
  </si>
  <si>
    <t>Hjerpstedvej  22</t>
  </si>
  <si>
    <t xml:space="preserve">  Hjerpsted  gamle  Præstegård</t>
  </si>
  <si>
    <t xml:space="preserve">  Stuehus  og  staldlænge  (1840'rne)</t>
  </si>
  <si>
    <t>Højervej 3</t>
  </si>
  <si>
    <t xml:space="preserve"> Højkro</t>
  </si>
  <si>
    <t xml:space="preserve"> Hovedbygningen (1700-tallet) med rejsestald</t>
  </si>
  <si>
    <t>Høybergvej   12</t>
  </si>
  <si>
    <t xml:space="preserve"> Høybergvej   12</t>
  </si>
  <si>
    <t xml:space="preserve">   Forhuset</t>
  </si>
  <si>
    <t>Høybergvej   14</t>
  </si>
  <si>
    <t>Høybergvej 16</t>
  </si>
  <si>
    <t xml:space="preserve"> Høybergvej 16</t>
  </si>
  <si>
    <t>Jomfrustien 6</t>
  </si>
  <si>
    <t xml:space="preserve"> Amtmandsboligen</t>
  </si>
  <si>
    <t xml:space="preserve"> Palæbygningen (1767-68 af Gottfried Rosenberg og Nicolas-HenriJardin)</t>
  </si>
  <si>
    <t>Juvrevej 56</t>
  </si>
  <si>
    <t xml:space="preserve"> Toftum gamle Skole</t>
  </si>
  <si>
    <t xml:space="preserve"> Den grundmurede, stråtækte skolebygning (1700-tallet)</t>
  </si>
  <si>
    <t>Juvrevej 60</t>
  </si>
  <si>
    <t xml:space="preserve"> Kommandørgården på Rømø</t>
  </si>
  <si>
    <t xml:space="preserve"> Stuehuset og de dermed sammenbyggede to udlænger(stuehus 1770, lade og stald 1744, ladens og staldens vestender nye)</t>
  </si>
  <si>
    <t xml:space="preserve"> Kirkepladsen 3</t>
  </si>
  <si>
    <t>Kirkepladsen 7-9</t>
  </si>
  <si>
    <t xml:space="preserve"> Kirkepladsen 7-9</t>
  </si>
  <si>
    <t xml:space="preserve"> Forhusene (1646, ombygget ca 1750)</t>
  </si>
  <si>
    <t>Kirkepladsen 7-9 (tidl Kirkepladsen 11)</t>
  </si>
  <si>
    <t xml:space="preserve"> Forhuset (1612)</t>
  </si>
  <si>
    <t>Kirkestien 4</t>
  </si>
  <si>
    <t xml:space="preserve"> Kirkestien 4, Møgeltønder</t>
  </si>
  <si>
    <t xml:space="preserve"> Stuehuset (ca 1750)</t>
  </si>
  <si>
    <t>Kirkestien 6</t>
  </si>
  <si>
    <t xml:space="preserve"> Kirkestien 6, Møgeltønder</t>
  </si>
  <si>
    <t xml:space="preserve"> Stuehuset og den hermed sammenbyggede længe (ca 1744)</t>
  </si>
  <si>
    <t>Kogsvej 73</t>
  </si>
  <si>
    <t xml:space="preserve"> Kogsvej 73</t>
  </si>
  <si>
    <t xml:space="preserve"> Den sekstenfags stuehuslænge inkl tidl stald (beg 1700-tallet, grundmuret ca1800) og den ottefags tilbygning inkl tidl vognport m.v. (ca 1800) samt den brolagte gårdsplads</t>
  </si>
  <si>
    <t>Kongevej 51, tidl Kongevej 55</t>
  </si>
  <si>
    <t xml:space="preserve"> Porthuset, Tønder Museum</t>
  </si>
  <si>
    <t xml:space="preserve"> Porthuset til det gamle slot med senereudvidelser (ca 1575, 1740 og 1923 af Lauritz Thaysen)</t>
  </si>
  <si>
    <t>Kongevej 53 (tidl Nyholmvej 1)</t>
  </si>
  <si>
    <t xml:space="preserve"> Nyholm</t>
  </si>
  <si>
    <t>Kongevej 59</t>
  </si>
  <si>
    <t xml:space="preserve"> Tønder Slotsvandmølle</t>
  </si>
  <si>
    <t xml:space="preserve"> Vandmøllebygningen (1598)</t>
  </si>
  <si>
    <t>Melbyvej 19</t>
  </si>
  <si>
    <t xml:space="preserve"> Melby Kro</t>
  </si>
  <si>
    <t xml:space="preserve"> "Den ""T-formede"" krobygning (ca 1800 og senere)</t>
  </si>
  <si>
    <t>Møllegade 13</t>
  </si>
  <si>
    <t xml:space="preserve"> Højer Mølle</t>
  </si>
  <si>
    <t xml:space="preserve"> Vindmøllen (1857, restaureret 1875-77) samt de to magasinbygninger (søndremagasinbygning 1889 og nordre magasinbygning 1904)</t>
  </si>
  <si>
    <t>Møllegade 4 (tidl Storegade 40)</t>
  </si>
  <si>
    <t xml:space="preserve"> Møllegade 4</t>
  </si>
  <si>
    <t xml:space="preserve"> Forhuset (ca 1700, senere ombygget)</t>
  </si>
  <si>
    <t>Møllevej 55</t>
  </si>
  <si>
    <t xml:space="preserve"> Lindskov Mølle, ved Gallehus</t>
  </si>
  <si>
    <t xml:space="preserve"> Det sammenbyggede anlæg bestående af stuehus,vandmølle, avlsbygning og lade</t>
  </si>
  <si>
    <t>Nylandsvej 2</t>
  </si>
  <si>
    <t xml:space="preserve"> Nylandsvej 2</t>
  </si>
  <si>
    <t xml:space="preserve"> Stuehuset med tilbygget korshus, stald- og ladebygning (1797, stuehuset om-bygget ca 1875), stakladen (1950), den brolagte gårdsplads, kampestens-sætningen ud til vejen mod syd samt pigstensbelægningen foran stald og stuehus mod syd</t>
  </si>
  <si>
    <t xml:space="preserve"> Købmandsgården</t>
  </si>
  <si>
    <t xml:space="preserve"> Gavlhuset og den hermed sammenbyggede hestestald- og ladelængelangs vejen samt den mod syd gående tværlænge indeholdende kostald (1760)</t>
  </si>
  <si>
    <t>Postgade 8</t>
  </si>
  <si>
    <t xml:space="preserve"> Postgade 8</t>
  </si>
  <si>
    <t>Præstegårdsvej 20</t>
  </si>
  <si>
    <t xml:space="preserve"> Agerskov Præstegård</t>
  </si>
  <si>
    <t xml:space="preserve"> Den trelængede præstegård (midten af 1700-tallet ogvæsentlig ombygget i 1800-tallet)</t>
  </si>
  <si>
    <t>Ribe Landevej 30</t>
  </si>
  <si>
    <t xml:space="preserve"> Den tidl landbrugsskole</t>
  </si>
  <si>
    <t xml:space="preserve"> Den tidl landbrugsskole (1913 af Lauritz Thaysen)</t>
  </si>
  <si>
    <t>Richtsensgade 35 (Nørre Allé)</t>
  </si>
  <si>
    <t xml:space="preserve"> Liebestempel</t>
  </si>
  <si>
    <t xml:space="preserve"> Pavillonbygningen (ca 1800)</t>
  </si>
  <si>
    <t>Schackenborg 1, 2 og 4</t>
  </si>
  <si>
    <t xml:space="preserve"> Schackenborg</t>
  </si>
  <si>
    <t xml:space="preserve"> Den trefløjede hovedbygning (1664-67, 1755 ff; i søndre fløjrester af middelalderlig bygning), portbygningen (middelalder, ombygget og forlænget 1664) og den gamle stald (1785)</t>
  </si>
  <si>
    <t>Skast 90</t>
  </si>
  <si>
    <t xml:space="preserve"> Åsgård</t>
  </si>
  <si>
    <t xml:space="preserve"> Det 13 fag lange stuehus (1854) samt de to oprindelige marksten med lågen øst forindkørslen</t>
  </si>
  <si>
    <t>Skibbroen 7</t>
  </si>
  <si>
    <t xml:space="preserve"> Skibbroen 7</t>
  </si>
  <si>
    <t xml:space="preserve"> Forhuset (1829)</t>
  </si>
  <si>
    <t>Skibbrogade 6 A - 6 D</t>
  </si>
  <si>
    <t xml:space="preserve"> Skibbrogade 6</t>
  </si>
  <si>
    <t xml:space="preserve"> Den østlige del af pakhuset mod Skibbrogade (1825 og 1828)</t>
  </si>
  <si>
    <t>Skibbrogade 8</t>
  </si>
  <si>
    <t xml:space="preserve"> Skibbrogade 8</t>
  </si>
  <si>
    <t xml:space="preserve"> Den vestlige del af pakhuset mod Skibbrogade (1828)</t>
  </si>
  <si>
    <t xml:space="preserve"> Lises Hus</t>
  </si>
  <si>
    <t xml:space="preserve"> Gavlhuset (1708)</t>
  </si>
  <si>
    <t>Slotsgade 11-13</t>
  </si>
  <si>
    <t xml:space="preserve"> Slottet</t>
  </si>
  <si>
    <t xml:space="preserve"> Det vinkelbyggede anlæg (1614) og den dermed sammenbyggede mur</t>
  </si>
  <si>
    <t>Slotsgaden 10</t>
  </si>
  <si>
    <t xml:space="preserve"> Slotsgaden 10, Møgeltønder</t>
  </si>
  <si>
    <t xml:space="preserve"> Stuehuset (ca 1765)</t>
  </si>
  <si>
    <t>Slotsgaden 12</t>
  </si>
  <si>
    <t xml:space="preserve"> Slotsgaden 12, Møgeltønder</t>
  </si>
  <si>
    <t xml:space="preserve"> Stuehuset med udbygning (1734 og senere)</t>
  </si>
  <si>
    <t>Slotsgaden 13</t>
  </si>
  <si>
    <t xml:space="preserve"> Slotsgaden 13, Møgeltønder</t>
  </si>
  <si>
    <t xml:space="preserve"> Stuehuset (1739)</t>
  </si>
  <si>
    <t>Slotsgaden 14</t>
  </si>
  <si>
    <t xml:space="preserve"> Posselts Gård, Møgeltønder</t>
  </si>
  <si>
    <t xml:space="preserve"> Stuehuset (1785) og den hermed sammenbyggede,trelængede avlsgård med udbygning og den fritliggende avlsbygning i nord</t>
  </si>
  <si>
    <t>Slotsgaden 15</t>
  </si>
  <si>
    <t xml:space="preserve"> Slotsgaden 15, Møgeltønder</t>
  </si>
  <si>
    <t>Slotsgaden 16</t>
  </si>
  <si>
    <t xml:space="preserve"> Madam Weiles Hus, Møgeltønder</t>
  </si>
  <si>
    <t xml:space="preserve"> Beboelseshuset (1789)</t>
  </si>
  <si>
    <t>Slotsgaden 18</t>
  </si>
  <si>
    <t xml:space="preserve"> Slotsgaden 18, Møgeltønder</t>
  </si>
  <si>
    <t xml:space="preserve"> Stuehuset (1731)</t>
  </si>
  <si>
    <t>Slotsgaden 19</t>
  </si>
  <si>
    <t xml:space="preserve"> Slotsgaden 19, Møgeltønder</t>
  </si>
  <si>
    <t xml:space="preserve"> Stuehuset (1765, senere ombygget)</t>
  </si>
  <si>
    <t>Slotsgaden 21</t>
  </si>
  <si>
    <t xml:space="preserve"> Lücks Gård, Møgeltønder</t>
  </si>
  <si>
    <t xml:space="preserve"> Stuehuset med udbygning, påbygget lysthus og dentrelængede avlsgård (1766, avlsbygningerne 1838)</t>
  </si>
  <si>
    <t>Slotsgaden 22</t>
  </si>
  <si>
    <t xml:space="preserve"> Slotsgaden 22, Møgeltønder</t>
  </si>
  <si>
    <t xml:space="preserve"> Stuehuset (vestre del ca 1710, østre del efter 1861)</t>
  </si>
  <si>
    <t>Slotsgaden 23</t>
  </si>
  <si>
    <t xml:space="preserve"> Slotsgaden 23, Møgeltønder</t>
  </si>
  <si>
    <t xml:space="preserve"> Stuehuset (1761)</t>
  </si>
  <si>
    <t>Slotsgaden 24</t>
  </si>
  <si>
    <t xml:space="preserve"> Slotsgaden 24, Møgeltønder</t>
  </si>
  <si>
    <t xml:space="preserve"> Stuehuset (efter 1861)</t>
  </si>
  <si>
    <t>Slotsgaden 25</t>
  </si>
  <si>
    <t xml:space="preserve"> Slotsgaden 25, Møgeltønder</t>
  </si>
  <si>
    <t xml:space="preserve"> Stuehuset (ca 1760)</t>
  </si>
  <si>
    <t>Slotsgaden 27</t>
  </si>
  <si>
    <t xml:space="preserve"> Slotsgaden 27, Møgeltønder</t>
  </si>
  <si>
    <t xml:space="preserve"> Stuehuset (ca 1758)</t>
  </si>
  <si>
    <t>Slotsgaden 28</t>
  </si>
  <si>
    <t xml:space="preserve"> Slotsgaden 28, Møgeltønder</t>
  </si>
  <si>
    <t>Slotsgaden 4</t>
  </si>
  <si>
    <t xml:space="preserve"> Slotsgaden 4, Møgeltønder</t>
  </si>
  <si>
    <t>Slotsgaden 40</t>
  </si>
  <si>
    <t>Slotsgaden 40, Møgeltønder</t>
  </si>
  <si>
    <t>Slotsgaden 6 A</t>
  </si>
  <si>
    <t xml:space="preserve"> Slotsgaden 6 A, Møgeltønder</t>
  </si>
  <si>
    <t xml:space="preserve"> Stuehuset (slutningen af 1700-tallet)</t>
  </si>
  <si>
    <t>Slotsgaden 7</t>
  </si>
  <si>
    <t xml:space="preserve"> Slotsgaden 7, Møgeltønder</t>
  </si>
  <si>
    <t xml:space="preserve"> Stuehuset med udbygning (ca 1750)</t>
  </si>
  <si>
    <t>Slotsgaden 8</t>
  </si>
  <si>
    <t>Slotsgaden 8, Møgeltønder</t>
  </si>
  <si>
    <t xml:space="preserve"> Stuehuset med udbygning (1737)</t>
  </si>
  <si>
    <t>Slotsgaden 9</t>
  </si>
  <si>
    <t>Slotsgaden 9, Møgeltønder</t>
  </si>
  <si>
    <t xml:space="preserve"> Stuehuset (formentlig før 1735)</t>
  </si>
  <si>
    <t>Smedegade 14</t>
  </si>
  <si>
    <t xml:space="preserve"> Smedegade 14</t>
  </si>
  <si>
    <t xml:space="preserve"> Gavlhuset (beg af 1700-tallet, gavlen grundmuret ca 1810)</t>
  </si>
  <si>
    <t>Smedegade 16 A</t>
  </si>
  <si>
    <t xml:space="preserve"> Smedegade 16 A</t>
  </si>
  <si>
    <t xml:space="preserve"> Gavlhuset (beg af 1700-tallet, gavlene grundmuret i 1880'erne) medto sidehuse (1798)</t>
  </si>
  <si>
    <t>Smedegade 2</t>
  </si>
  <si>
    <t xml:space="preserve"> Smedegade 2</t>
  </si>
  <si>
    <t xml:space="preserve"> Gavlhuset (beg af 1700-tallet)</t>
  </si>
  <si>
    <t>Smedegade 4</t>
  </si>
  <si>
    <t xml:space="preserve"> Smedegade 4</t>
  </si>
  <si>
    <t xml:space="preserve"> Gavlhuset (1775)</t>
  </si>
  <si>
    <t>Smedegade 6</t>
  </si>
  <si>
    <t xml:space="preserve"> Smedegade 6</t>
  </si>
  <si>
    <t>Spikergade 10</t>
  </si>
  <si>
    <t xml:space="preserve"> Spikergade 10</t>
  </si>
  <si>
    <t xml:space="preserve"> Forhuset (lejevåning opført i 1600-tallet, senere forhøjet og ombygget,karnap og gadedør 1. halvdel af 1800-tallet)</t>
  </si>
  <si>
    <t>Spikergade 12</t>
  </si>
  <si>
    <t xml:space="preserve"> Spikergade 12</t>
  </si>
  <si>
    <t>Spikergade 21</t>
  </si>
  <si>
    <t xml:space="preserve"> Spikergade 21</t>
  </si>
  <si>
    <t>Spikergade 24</t>
  </si>
  <si>
    <t xml:space="preserve"> Spikergade 24</t>
  </si>
  <si>
    <t>Spikergade 8</t>
  </si>
  <si>
    <t xml:space="preserve"> Spikergade 8</t>
  </si>
  <si>
    <t>Spikergade 9</t>
  </si>
  <si>
    <t xml:space="preserve"> Spikergade 9</t>
  </si>
  <si>
    <t>Stagebjergvej 30</t>
  </si>
  <si>
    <t xml:space="preserve"> Stagebjergvej 30</t>
  </si>
  <si>
    <t xml:space="preserve"> Det nifags hus (før 1871, restaureret 1968)</t>
  </si>
  <si>
    <t>Storegade 14</t>
  </si>
  <si>
    <t xml:space="preserve"> Drøhses Hus</t>
  </si>
  <si>
    <t xml:space="preserve"> Gavlhuset og det hermed sammenbyggede smallere sidehus mod gården(1672)</t>
  </si>
  <si>
    <t>Storegade 32</t>
  </si>
  <si>
    <t xml:space="preserve"> Storegade 32</t>
  </si>
  <si>
    <t>Storegade 34</t>
  </si>
  <si>
    <t xml:space="preserve"> Storegade 34</t>
  </si>
  <si>
    <t>Storegade 7</t>
  </si>
  <si>
    <t xml:space="preserve"> Løgumkloster Præstegård</t>
  </si>
  <si>
    <t xml:space="preserve"> Beboelseshuset på 13 fag (ca 1804)</t>
  </si>
  <si>
    <t xml:space="preserve"> Strandvej 2 (tidl Strandvejen 2)</t>
  </si>
  <si>
    <t xml:space="preserve"> Den grundmurede vinkelbygning (1757) bestående af enellevefags beboelseslænge, en sidebygning mod vest samt den brolagte gårdsplads</t>
  </si>
  <si>
    <t>Strædet 5</t>
  </si>
  <si>
    <t xml:space="preserve"> Gården, Møgeltønder</t>
  </si>
  <si>
    <t xml:space="preserve"> Stuehus med stald (1700-tallet)</t>
  </si>
  <si>
    <t>Sønderbyvej 32</t>
  </si>
  <si>
    <t xml:space="preserve"> Peter Poulsens Gård, Møgeltønder</t>
  </si>
  <si>
    <t xml:space="preserve"> Stuehuset og den hermed sammenbyggede trelængedeavlsgård (ca 1775)</t>
  </si>
  <si>
    <t>Sønderbyvej 5</t>
  </si>
  <si>
    <t xml:space="preserve"> Maler Gregersens Hus, Møgeltønder</t>
  </si>
  <si>
    <t xml:space="preserve"> Stuehus (1700-tallet)</t>
  </si>
  <si>
    <t>Søndergade 11-13</t>
  </si>
  <si>
    <t xml:space="preserve"> Søndergade 11-13</t>
  </si>
  <si>
    <t xml:space="preserve"> Forhusene (1700-tallet)</t>
  </si>
  <si>
    <t xml:space="preserve"> Kiersgård</t>
  </si>
  <si>
    <t xml:space="preserve"> Den firelængede marskgård og det tilhørende udhus sydvest for gården(1759)</t>
  </si>
  <si>
    <t>Toghale 13</t>
  </si>
  <si>
    <t xml:space="preserve"> Toghale 13</t>
  </si>
  <si>
    <t xml:space="preserve"> Østvest beliggende længe indeholdende stuehus, udhus og stald (ca 1700,ombygget 1938)</t>
  </si>
  <si>
    <t xml:space="preserve"> Højergaard</t>
  </si>
  <si>
    <t xml:space="preserve"> Det grundmurede, stråtækte beboelseshus (1700-tallet)</t>
  </si>
  <si>
    <t xml:space="preserve"> Tønder Gamle Rådhus</t>
  </si>
  <si>
    <t xml:space="preserve"> Rådhusbygningen med sidefløj mod Smedegade (1643 og 1867, sidefløj1773)</t>
  </si>
  <si>
    <t xml:space="preserve"> Torvet 11</t>
  </si>
  <si>
    <t xml:space="preserve"> Gavlhuset (ca 1550-60)</t>
  </si>
  <si>
    <t>Torvet 2A</t>
  </si>
  <si>
    <t xml:space="preserve"> Humlekærren</t>
  </si>
  <si>
    <t xml:space="preserve"> Mnr 3433: forhuset (1700-tallet)</t>
  </si>
  <si>
    <t xml:space="preserve"> Gavlhuset (1822)</t>
  </si>
  <si>
    <t>Trøjborgvej 1</t>
  </si>
  <si>
    <t xml:space="preserve"> Visby Præstegård</t>
  </si>
  <si>
    <t xml:space="preserve"> Det vinkelformede anlæg</t>
  </si>
  <si>
    <t>Ubjergvej 19</t>
  </si>
  <si>
    <t xml:space="preserve"> Bjerremark</t>
  </si>
  <si>
    <t xml:space="preserve"> De fire længer omkring gårdspladsen (stuehus 1842, avlsbygninger 1872)</t>
  </si>
  <si>
    <t>Ubjergvej 22</t>
  </si>
  <si>
    <t xml:space="preserve"> Ubjerg Præstegård</t>
  </si>
  <si>
    <t xml:space="preserve"> Stuehus og hermed sammenbyggede udlænger (1675)</t>
  </si>
  <si>
    <t>Uldgade 13</t>
  </si>
  <si>
    <t xml:space="preserve"> Uldgade 13</t>
  </si>
  <si>
    <t>Uldgade 4</t>
  </si>
  <si>
    <t xml:space="preserve"> Uldgade 4</t>
  </si>
  <si>
    <t xml:space="preserve"> Gavlhus med sidehus (ca 1740)</t>
  </si>
  <si>
    <t>Ved Åen 13</t>
  </si>
  <si>
    <t xml:space="preserve"> Kærgårdshof </t>
  </si>
  <si>
    <t>De fire længer omkring gårdspladsen (formentlig slutn af 1700-tallet</t>
  </si>
  <si>
    <t>Ved Åen 17</t>
  </si>
  <si>
    <t xml:space="preserve"> Nørre Sødam</t>
  </si>
  <si>
    <t xml:space="preserve"> Den firelængede bondegård (stuehus 1600 og 1700-tallet, laden 1761)</t>
  </si>
  <si>
    <t>Vesterende 28</t>
  </si>
  <si>
    <t xml:space="preserve"> Ballum tidl Missionshus</t>
  </si>
  <si>
    <t xml:space="preserve"> Missionshuset (1788, tidl tinghus for Ballum birk)</t>
  </si>
  <si>
    <t>Vestergade 11</t>
  </si>
  <si>
    <t xml:space="preserve"> Vestergade 11</t>
  </si>
  <si>
    <t xml:space="preserve"> Gavlhuset (ca 1800, forhøjet 1858 og 1866)</t>
  </si>
  <si>
    <t>Vestergade 12</t>
  </si>
  <si>
    <t xml:space="preserve"> Vestergade 12</t>
  </si>
  <si>
    <t xml:space="preserve"> Det andet sidehus (tidl tobaksfabrik) (1842)</t>
  </si>
  <si>
    <t>Vestergade 14</t>
  </si>
  <si>
    <t xml:space="preserve"> Vestergade 14</t>
  </si>
  <si>
    <t xml:space="preserve"> Forhuset (1794)</t>
  </si>
  <si>
    <t xml:space="preserve"> Forhuset (1834), sidebygning med stukloft (1681) og vognstalden modSkibbrogade (1700-tallet)</t>
  </si>
  <si>
    <t xml:space="preserve"> Udv 1964 og 1985*</t>
  </si>
  <si>
    <t xml:space="preserve"> Vestergade 6</t>
  </si>
  <si>
    <t xml:space="preserve"> Gavlhuset (1600-tallet, ombygget 1861 og senere)</t>
  </si>
  <si>
    <t xml:space="preserve"> Forhuset og den hermed sammenbyggede aftrappede sidebygning modgården (beg af 1700-tallet, ombygget ca 1760)</t>
  </si>
  <si>
    <t>Vestergade 9 og Allégade 15</t>
  </si>
  <si>
    <t xml:space="preserve"> Richtsens Hus, Digegrevens Hus</t>
  </si>
  <si>
    <t xml:space="preserve"> Mnr 520: gavlhuset (1777)* Mnr 3095:staldbygningen (1779)</t>
  </si>
  <si>
    <t>Vinkelvej 18</t>
  </si>
  <si>
    <t xml:space="preserve"> Vinkelvej 18</t>
  </si>
  <si>
    <t xml:space="preserve"> Den firelængede, sammenbyggede gård (ca 1850, stuehus ombygget 1912 ogstald og lade ombygget ca 1930)</t>
  </si>
  <si>
    <t>Vråbyvej 24</t>
  </si>
  <si>
    <t xml:space="preserve"> Vråbyvej 24</t>
  </si>
  <si>
    <t xml:space="preserve"> Beboelseshuset på fem fag (1857)</t>
  </si>
  <si>
    <t>Æ Stoksti 1</t>
  </si>
  <si>
    <t xml:space="preserve"> Hostrup Præstegård</t>
  </si>
  <si>
    <t xml:space="preserve"> Stuehus og udhus (1734)</t>
  </si>
  <si>
    <t>Østergade 1</t>
  </si>
  <si>
    <t xml:space="preserve"> Store Apotek</t>
  </si>
  <si>
    <t xml:space="preserve"> De to sammenbyggede gavlhuse mod Østergade (ca 1670 og senere) og det med disse sammenbyggede gavlhus mod syd (ca 1680 og senere) samt hegnsmuren mod Søndergade oghaverummet med rækken af lindetræer langs hegnsmuren</t>
  </si>
  <si>
    <t xml:space="preserve"> Østergade 13</t>
  </si>
  <si>
    <t xml:space="preserve"> Gavlhuset med sidehus (1668)</t>
  </si>
  <si>
    <t>Østergade 14</t>
  </si>
  <si>
    <t xml:space="preserve"> Østergade 14</t>
  </si>
  <si>
    <t xml:space="preserve"> Det femfags forhus mod Østergade og det 10-fags sidehus modKirkepladsen (1827, ombygget 1855 og forhuset yderligere i 1924)</t>
  </si>
  <si>
    <t xml:space="preserve"> Østergade 15</t>
  </si>
  <si>
    <t xml:space="preserve"> Forhuset (1784, ombygget 1826)</t>
  </si>
  <si>
    <t>Østergade 18</t>
  </si>
  <si>
    <t xml:space="preserve"> Østergade 18</t>
  </si>
  <si>
    <t xml:space="preserve"> Gavlhuset (1781, grundmuret 1806, gavlen slutn af 1800-tallet)</t>
  </si>
  <si>
    <t xml:space="preserve"> Østergade 19</t>
  </si>
  <si>
    <t xml:space="preserve"> Forhuset (1784)</t>
  </si>
  <si>
    <t xml:space="preserve"> Østergade 2</t>
  </si>
  <si>
    <t xml:space="preserve"> Forhuset (1833)</t>
  </si>
  <si>
    <t xml:space="preserve"> Gavlhus (begyndelsen af 1700-tallet, facaden ombygget ca 1800) medsidehus (ca 1760)</t>
  </si>
  <si>
    <t xml:space="preserve"> Østergade 27</t>
  </si>
  <si>
    <t xml:space="preserve"> Gavlhus med sidehus (beg af 1700-tallet, forhøjet og gavlen grundmuret ca1780)</t>
  </si>
  <si>
    <t xml:space="preserve"> Østergade 3</t>
  </si>
  <si>
    <t xml:space="preserve"> Forhuset (vestre del ca 1650, østre del ca 1770)</t>
  </si>
  <si>
    <t xml:space="preserve"> Østergade 36</t>
  </si>
  <si>
    <t xml:space="preserve"> Forhus med sidehus (før 1744, forhøjet ca 1764)</t>
  </si>
  <si>
    <t>Østergade 43</t>
  </si>
  <si>
    <t xml:space="preserve"> Østergade 43</t>
  </si>
  <si>
    <t xml:space="preserve"> Gavlhuset (1844)</t>
  </si>
  <si>
    <t>Østergade 47</t>
  </si>
  <si>
    <t xml:space="preserve"> Østergade 47</t>
  </si>
  <si>
    <t xml:space="preserve"> Gavlhuset (beg af 1700-tallet, restaureret ca 1970)</t>
  </si>
  <si>
    <t>Østergade 56</t>
  </si>
  <si>
    <t xml:space="preserve"> Østergade 56</t>
  </si>
  <si>
    <t xml:space="preserve"> Gavlhuset (1729, ombygget 1767, restaureret ca 1970)</t>
  </si>
  <si>
    <t>Østergade 58</t>
  </si>
  <si>
    <t xml:space="preserve"> Østergade 58</t>
  </si>
  <si>
    <t xml:space="preserve"> Forhuset (ca 1740, restaureret i 1960'erne)</t>
  </si>
  <si>
    <t>Østergade 60</t>
  </si>
  <si>
    <t xml:space="preserve"> Østergade 60</t>
  </si>
  <si>
    <t xml:space="preserve"> Forhuset (1725, grundmuret 1837 og 1844, forhøjet 1863 og 1909)</t>
  </si>
  <si>
    <t>Østergade 62</t>
  </si>
  <si>
    <t xml:space="preserve"> Østergade 62</t>
  </si>
  <si>
    <t xml:space="preserve"> Forhuset (1725, senere delvis grundmuret, restaureret ca 1970)</t>
  </si>
  <si>
    <t>Østergade 66</t>
  </si>
  <si>
    <t xml:space="preserve"> Østergade 66</t>
  </si>
  <si>
    <t xml:space="preserve"> Gavlhuset (beg af 1700-tallet, grundmuret ca 1870)</t>
  </si>
  <si>
    <t>Østergade 67</t>
  </si>
  <si>
    <t xml:space="preserve"> Det tidl Hospital</t>
  </si>
  <si>
    <t xml:space="preserve"> Forbygningen (1730-33) med sidehus (1877)</t>
  </si>
  <si>
    <t>Østergade 8</t>
  </si>
  <si>
    <t xml:space="preserve"> Østergade 8</t>
  </si>
  <si>
    <t xml:space="preserve"> Forhuset (slutn af 1600-tallet, indgangspartiet 1808)</t>
  </si>
  <si>
    <t>Østerhedevej 5</t>
  </si>
  <si>
    <t xml:space="preserve"> Østerhedevej 5</t>
  </si>
  <si>
    <t xml:space="preserve"> Den øst-vest orienterede, stråtækte længe med vinkelbygning pånordsiden (ca 1750, ombygget 1839 og 1857)</t>
  </si>
  <si>
    <t>Østerhedevej 8</t>
  </si>
  <si>
    <t xml:space="preserve"> Østerhedevej 8</t>
  </si>
  <si>
    <t xml:space="preserve"> Beboelseslænge (1720) med tilhørende vinkelbygning (1762)</t>
  </si>
  <si>
    <t>Åbenråvej 14</t>
  </si>
  <si>
    <t xml:space="preserve"> Emmerske Bedehus</t>
  </si>
  <si>
    <t xml:space="preserve"> Den attenfags hovedlænge indeholdende kirkesal og den seksfagssidelænge (før 1730, ombygget 1835)</t>
  </si>
  <si>
    <t>Åbenråvej 28</t>
  </si>
  <si>
    <t xml:space="preserve"> Solvig</t>
  </si>
  <si>
    <t xml:space="preserve"> Hovedbygningen (ca 1750, ombygget 1851) og den grundmurede staldbygning(1585)</t>
  </si>
  <si>
    <t>Tårnby Kommune</t>
  </si>
  <si>
    <t>Alléen 2-26</t>
  </si>
  <si>
    <t xml:space="preserve"> Kastrup Værk, Bryggergården</t>
  </si>
  <si>
    <t xml:space="preserve"> De på ejendommen beliggende to rækker af sammenhængende huse, de tre portbygninger der forbinder disse, de forbindende mure, haven, de to brolagte gårdspladser med de tilstødende portrum samt brolægningen syd for anlægget</t>
  </si>
  <si>
    <t>Udvidet 2002*</t>
  </si>
  <si>
    <t>Amager Landevej 76 og Østerlarsvej 6</t>
  </si>
  <si>
    <t xml:space="preserve"> Tårnby Rådhus</t>
  </si>
  <si>
    <t xml:space="preserve"> De tre forbundne bygningsafsnit (1957, 1974 og 1983 af Halldor Gunløgsson og Jørn Nielsen) og de nære omgivelser (1957 af Cth Sørensen og OleNørgård, 1974 af Morten Klint og Knud Lund Sørensen)</t>
  </si>
  <si>
    <t>Kastrupvej 399</t>
  </si>
  <si>
    <t xml:space="preserve"> Kastrupgård</t>
  </si>
  <si>
    <t xml:space="preserve"> Hovedbygningen og portfløjen (1749-54 af Jacob Fortling)</t>
  </si>
  <si>
    <t>Teknikergården, Lufthavnen 1</t>
  </si>
  <si>
    <t xml:space="preserve"> Terminalbygningen</t>
  </si>
  <si>
    <t xml:space="preserve"> Terminalbygningen (1939 af Vilhelm Lauritzen,istandsat og flyttet til nuværende placering 2000)</t>
  </si>
  <si>
    <t>Vestre Bygade 9</t>
  </si>
  <si>
    <t xml:space="preserve"> Hallings Gård</t>
  </si>
  <si>
    <t xml:space="preserve"> Forhus og baghus samt muren ud mod Vestre Bygade (1788)</t>
  </si>
  <si>
    <t>Varde Kommune</t>
  </si>
  <si>
    <t>Frisvadvej 44</t>
  </si>
  <si>
    <t xml:space="preserve"> Villa Krogen</t>
  </si>
  <si>
    <t xml:space="preserve"> Villaen med sidehus (1899 af Martin Nyrop)</t>
  </si>
  <si>
    <t>* Fyrvej 106</t>
  </si>
  <si>
    <t xml:space="preserve"> Blåvandshuk Fyr</t>
  </si>
  <si>
    <t xml:space="preserve"> Fyrtårnet (1899-1900) ved Blåvandshuk Fyr</t>
  </si>
  <si>
    <t xml:space="preserve"> Gellerupvej 61</t>
  </si>
  <si>
    <t xml:space="preserve"> Gellerupholm</t>
  </si>
  <si>
    <t xml:space="preserve"> Hovedbygningen (antagelig 1820)</t>
  </si>
  <si>
    <t>Hesselmedvej 8</t>
  </si>
  <si>
    <t xml:space="preserve"> Hesselmed</t>
  </si>
  <si>
    <t xml:space="preserve"> Hovedbygningen (1745) samt de omgivende jordvolde og grave</t>
  </si>
  <si>
    <t xml:space="preserve"> (Fredningen af vestlængen ophævet 2011)</t>
  </si>
  <si>
    <t>Hovej 21</t>
  </si>
  <si>
    <t xml:space="preserve"> Hovej 21</t>
  </si>
  <si>
    <t xml:space="preserve"> Den trelængede gård, bestående af stuehus, stald og lade og den med stuehusetsammenbyggede aftægtsbolig (ca 1800, aftægtsboligen 1870)</t>
  </si>
  <si>
    <t>Hovej 32</t>
  </si>
  <si>
    <t xml:space="preserve"> Ho Præstegård</t>
  </si>
  <si>
    <t xml:space="preserve"> Hovedlængen (beg 1800-tallet) og sidelængen (1700-tallet)</t>
  </si>
  <si>
    <t>Johnsgårdvej 13</t>
  </si>
  <si>
    <t xml:space="preserve"> Gjødsvang, Peder Holden Hansens eget hus</t>
  </si>
  <si>
    <t xml:space="preserve"> Stuehuset (ca 1875)</t>
  </si>
  <si>
    <t>Karlsgårde Søvej 64</t>
  </si>
  <si>
    <t xml:space="preserve"> Karlsgårde Vandkraftværk</t>
  </si>
  <si>
    <t xml:space="preserve"> Karlsgårde Kraftværk og den hesteskoformede dæmning, som opstemmer Karlsgårde Sø (1919-21 af ingeniørerne Ulrik Pedersen og F.H. Krebs for SAEF- Sydvestjysk Andels Elektricitets Forsyning, udvidet 1942-43)</t>
  </si>
  <si>
    <t xml:space="preserve"> Kærgård, Ål</t>
  </si>
  <si>
    <t xml:space="preserve"> Kærgård Båke</t>
  </si>
  <si>
    <t xml:space="preserve"> Sømærket Kærgård Båke (1885)</t>
  </si>
  <si>
    <t xml:space="preserve"> Letbækvej 15</t>
  </si>
  <si>
    <t xml:space="preserve"> Hodde tidl Skole</t>
  </si>
  <si>
    <t xml:space="preserve"> Det gamle skolehus -1831</t>
  </si>
  <si>
    <t>* Lundvej 176</t>
  </si>
  <si>
    <t xml:space="preserve"> Lunderup</t>
  </si>
  <si>
    <t>Lundvej 39</t>
  </si>
  <si>
    <t xml:space="preserve"> Lundvej 39</t>
  </si>
  <si>
    <t xml:space="preserve"> Det i en vinkel byggede forhus bestående af en længe langs Lundvej og en med denne sammenbygget længe beliggende vinkelret på Lundvej (opført1887, ombygget i jugendstil ognyindrettet 1901 af C. H. Clausen)</t>
  </si>
  <si>
    <t>Per Knoldsvej 58</t>
  </si>
  <si>
    <t xml:space="preserve"> Per Knoldsvej 58</t>
  </si>
  <si>
    <t xml:space="preserve"> Beboelseshuset (slutningen af 1800-tallet)</t>
  </si>
  <si>
    <t xml:space="preserve"> Redningsvejen 71</t>
  </si>
  <si>
    <t xml:space="preserve"> Nymindegab Redningsstation</t>
  </si>
  <si>
    <t xml:space="preserve"> Redningsstationen (1892)</t>
  </si>
  <si>
    <t>Reginevej 1</t>
  </si>
  <si>
    <t xml:space="preserve"> Reginevej 1</t>
  </si>
  <si>
    <t xml:space="preserve"> Det vinkelformede bygningsanlæg bestående af stuehus og staldlænge(1881)</t>
  </si>
  <si>
    <t>Skippervej 1 A, tidl Stærsvej 16</t>
  </si>
  <si>
    <t xml:space="preserve"> Den trelængede gård (ca 1850)</t>
  </si>
  <si>
    <t>Stationspladsen 3</t>
  </si>
  <si>
    <t xml:space="preserve"> Varde Station</t>
  </si>
  <si>
    <t xml:space="preserve"> Varde Station, hovedbygningen (1874 af NP Holsøe)</t>
  </si>
  <si>
    <t>Stokkebrovej 1 og 7</t>
  </si>
  <si>
    <t xml:space="preserve"> Nørholm</t>
  </si>
  <si>
    <t xml:space="preserve"> Hovedbygningen (1780) med lavere sidebygninger, mure og portpiller (1776 og 1779) og den hermed sammenbyggede længe mod øst samt tilbageværende mure af avlsgårdens lade (1762), søndre og nordre længe (1759 og 1766); lysthuset i parken; endvidere granitpillerne på gårdspladsen (1764) samt vandmøllen (1792, muligvis 1752) med sammenbygget stuehus, to vandhjul, nagelfast mølleinventar, bro, stigbord og malekarm</t>
  </si>
  <si>
    <t xml:space="preserve"> Udvidet 1964 og2014*</t>
  </si>
  <si>
    <t>Storegade 1</t>
  </si>
  <si>
    <t xml:space="preserve"> Den tidl toldkammerbygning</t>
  </si>
  <si>
    <t>Storegade 33</t>
  </si>
  <si>
    <t xml:space="preserve"> Den Kampmannske Gård</t>
  </si>
  <si>
    <t xml:space="preserve"> Den Kampmannske Gård, forhuset mod Storegade, det søndre sidehus sammenbygget med forhuset og den dermed sammenbyggede tværlænge (1781), den fritstående mur med de to portpiller og port mod Storegade ved forhusets sydvendte gavl samt de to afgrænsedebrolagte gårdspladser</t>
  </si>
  <si>
    <t xml:space="preserve"> Udvidet 2003</t>
  </si>
  <si>
    <t>Store Hebovej 17</t>
  </si>
  <si>
    <t xml:space="preserve"> Store Hebo</t>
  </si>
  <si>
    <t xml:space="preserve"> Stuehuset (1798)</t>
  </si>
  <si>
    <t>Strandvejen 260</t>
  </si>
  <si>
    <t xml:space="preserve"> Hennegård</t>
  </si>
  <si>
    <t xml:space="preserve"> Hovedbygning med foranliggende to længer (1831)</t>
  </si>
  <si>
    <t>Tane Hedevej 7</t>
  </si>
  <si>
    <t xml:space="preserve"> Tane Hedevej 7</t>
  </si>
  <si>
    <t xml:space="preserve"> Bygningsanlæg (ca midten af 1800-tallet) og den tilbyggedeaftægtsbolig (1869)</t>
  </si>
  <si>
    <t xml:space="preserve"> Silasens Hus</t>
  </si>
  <si>
    <t>Vejers Strand</t>
  </si>
  <si>
    <t xml:space="preserve"> Ringebjerge Båke</t>
  </si>
  <si>
    <t xml:space="preserve"> Sømærket Ringebjerge Båke (1884, istandsat 1899)</t>
  </si>
  <si>
    <t>Vejen Kommune</t>
  </si>
  <si>
    <t>Banegårdspladsen 1</t>
  </si>
  <si>
    <t xml:space="preserve"> Vejen Station</t>
  </si>
  <si>
    <t xml:space="preserve"> Hovedbygningen med perrontage, pakhus- og toiletbygning, muren og træportene mellem disse (1917 af Heinrich Wenck) og kommandoposten ca 300 m. vest forhovedbygningen (1919 af Heinrich Wenck)</t>
  </si>
  <si>
    <t>Borgergade 10</t>
  </si>
  <si>
    <t xml:space="preserve"> Borgergade 10</t>
  </si>
  <si>
    <t xml:space="preserve"> Stuehuset (1863 af Peder Holden Hansen)</t>
  </si>
  <si>
    <t>Esbjergvej 40 og 51</t>
  </si>
  <si>
    <t xml:space="preserve"> Estrup</t>
  </si>
  <si>
    <t xml:space="preserve"> Den trelængede hovedbygning (1721), avlsbygningerne (sydlængen 1721, deøvrige 1909) og skovfogedhuset (nr 40) (beg af 1800-tallet)</t>
  </si>
  <si>
    <t xml:space="preserve"> Udvidet 1984 og 1985*</t>
  </si>
  <si>
    <t>Jels Møllegade 5</t>
  </si>
  <si>
    <t xml:space="preserve"> Jels Mølle</t>
  </si>
  <si>
    <t>Knagmøllevej 8</t>
  </si>
  <si>
    <t xml:space="preserve"> Knag Mølle</t>
  </si>
  <si>
    <t xml:space="preserve"> Vandmøllen med vandhjul og det dermed sammenbyggede stuehus (ca 1780) samt Knagmøllebro med de to til- og fraløbshuller til henholdsvis engvandingskanal og møllehjul, derøde rækværker samt brolægningen og granitstelerne ved bygningen</t>
  </si>
  <si>
    <t xml:space="preserve"> Udvidet 2012</t>
  </si>
  <si>
    <t>Koldingvej 33</t>
  </si>
  <si>
    <t xml:space="preserve"> Petersborggård</t>
  </si>
  <si>
    <t xml:space="preserve"> Hovedbygningen med to sammenhængende korte sidebygninger (1852 afPeder Holden Hansen)</t>
  </si>
  <si>
    <t>Koldingvej 52</t>
  </si>
  <si>
    <t xml:space="preserve"> Det Gule Hus</t>
  </si>
  <si>
    <t xml:space="preserve"> Stuehuset (1858 af Peder Holden Hansen)</t>
  </si>
  <si>
    <t>Maltvej 94</t>
  </si>
  <si>
    <t xml:space="preserve"> Malt gamle Præstegård</t>
  </si>
  <si>
    <t xml:space="preserve"> Stuehuset og den skråtliggende østre avlslænge (1869-70 af PederHolden Hansen) samt kastanie- og lindealleen, der fører til gårdspladsen</t>
  </si>
  <si>
    <t>Møgelmosevej 3</t>
  </si>
  <si>
    <t xml:space="preserve"> Møgelmosevej 3</t>
  </si>
  <si>
    <t xml:space="preserve"> Villaen med sidefløj, forbindelsesmur og udhus (1912 af L.P.Aakjær)</t>
  </si>
  <si>
    <t>Ollingvej 1, Sdr. Hygum</t>
  </si>
  <si>
    <t xml:space="preserve"> Hygum Hjemstavnsgård.  </t>
  </si>
  <si>
    <t>Den firelængede gård fra midten af 1880'erne medhave (ca 1900) og pikstensbelagt gårdsplads</t>
  </si>
  <si>
    <t>Skolegade 12</t>
  </si>
  <si>
    <t xml:space="preserve"> Aftægtshus til Gården</t>
  </si>
  <si>
    <t xml:space="preserve"> Stuehuset (1844)</t>
  </si>
  <si>
    <t>Surhavevej 24</t>
  </si>
  <si>
    <t xml:space="preserve"> Toftager</t>
  </si>
  <si>
    <t xml:space="preserve"> Hovedbygningen (ca 1860) og den trelængede avlsgård (af Peder HoldenHansen) samt den brolagte gårdsplads</t>
  </si>
  <si>
    <t>Sønderskovgårdvej 2</t>
  </si>
  <si>
    <t xml:space="preserve"> Sønderskov</t>
  </si>
  <si>
    <t xml:space="preserve"> Hovedbygningen (1620) med to sidefløje (restaureret 1986-92)</t>
  </si>
  <si>
    <t>Vejlevej 1</t>
  </si>
  <si>
    <t xml:space="preserve"> Stenbrogård</t>
  </si>
  <si>
    <t xml:space="preserve"> Hovedbygningen (1868), den trelængede avlsgård samt gårdspladsensbrolægning (af Peder Holden Hansen)</t>
  </si>
  <si>
    <t xml:space="preserve"> Holsted Tidl Tinghus</t>
  </si>
  <si>
    <t xml:space="preserve"> Tinghuset (1845 af N.S.Nebelong) </t>
  </si>
  <si>
    <t>Vejle Kommune</t>
  </si>
  <si>
    <t>Bøgvadvej 41 og 43</t>
  </si>
  <si>
    <t xml:space="preserve"> Nybjerg Mølle</t>
  </si>
  <si>
    <t xml:space="preserve"> Vandmøllen (1850) og det dermed sammenbyggede stuehus (1838)</t>
  </si>
  <si>
    <t>Engelsholmvej 6</t>
  </si>
  <si>
    <t xml:space="preserve"> Engelsholm</t>
  </si>
  <si>
    <t xml:space="preserve"> Hovedbygningen (1592-93 muligvis af Hans (I) van Steenwinckel ellerHercules von Oberberg, ombygget ca 1740)</t>
  </si>
  <si>
    <t>Grejs Bakke 13</t>
  </si>
  <si>
    <t xml:space="preserve"> Grejs Dampmølle</t>
  </si>
  <si>
    <t xml:space="preserve"> Den røde fabriksbygning med tilbygning samt kedelhus og den storeskorsten (1847)</t>
  </si>
  <si>
    <t xml:space="preserve"> Den tofløjede bygning i to etager (1906-07 efter tegninger afVilhelm Petersen)</t>
  </si>
  <si>
    <t>Håstrupgårdsvej 11</t>
  </si>
  <si>
    <t xml:space="preserve"> Håstrupgård</t>
  </si>
  <si>
    <t xml:space="preserve"> Stuehuset (1832), østlængen (1700-tallet, ombygget), vestlængen (1906), vinkelbygningen mellem stuehuset og vestlængen (ca 1850) samt gårdspladsens brolægning</t>
  </si>
  <si>
    <t>Jellingvej 341</t>
  </si>
  <si>
    <t xml:space="preserve"> Den trefløjede hovedbygning (1793 med dele fra 1500-tallet, ombygget i1890'erne)</t>
  </si>
  <si>
    <t>Nebbegårdsvej 115</t>
  </si>
  <si>
    <t xml:space="preserve"> Nebbegård</t>
  </si>
  <si>
    <t xml:space="preserve"> Hovedbygningen (ca 1660, helt ombygget ca 1770)</t>
  </si>
  <si>
    <t>Nederbyvej 18</t>
  </si>
  <si>
    <t xml:space="preserve"> Skærup Skole</t>
  </si>
  <si>
    <t xml:space="preserve"> Den tidl Skærup Skole (1913) samt kastanietræet på gårdspladsen</t>
  </si>
  <si>
    <t>Pedersholms Allé 42 A-B</t>
  </si>
  <si>
    <t xml:space="preserve"> Pedersholm</t>
  </si>
  <si>
    <t xml:space="preserve"> Hovedbygningen med vinkelbyggede sidefløje (antagelig 1775)</t>
  </si>
  <si>
    <t>Refstrupvej 18</t>
  </si>
  <si>
    <t xml:space="preserve"> Store Refstrup</t>
  </si>
  <si>
    <t>Store Grundet Allé 71 A-E</t>
  </si>
  <si>
    <t xml:space="preserve"> Store Grundet</t>
  </si>
  <si>
    <t xml:space="preserve"> Hovedbygningen med vinkelbyggede sidefløje (1840-47)</t>
  </si>
  <si>
    <t>Tirsbækvej 135</t>
  </si>
  <si>
    <t xml:space="preserve"> Tirsbæk Gods</t>
  </si>
  <si>
    <t xml:space="preserve"> Den trefløjede hovedbygning (nord- og østfløj ca 1550 afVillestrupmesteren, tårnet og vestfløj 1577)</t>
  </si>
  <si>
    <t>Tørskindvej 95</t>
  </si>
  <si>
    <t xml:space="preserve"> Klingebækgård</t>
  </si>
  <si>
    <t xml:space="preserve"> Det fritliggende stuehus (ca 1860), de tre sammenbyggede avlslænger (1827 og 1894), det på staldens østside tilbyggede roehus, motorhuset ved ladens sydside samt denbrolagte gårdsplads</t>
  </si>
  <si>
    <t>Vandmøllevej 4 A</t>
  </si>
  <si>
    <t xml:space="preserve"> Børkop Vandmølle</t>
  </si>
  <si>
    <t xml:space="preserve"> Stuehus med den i vinkel sammenbyggede vandmølle mod vestsamt den fritliggende tidl staldlænge mod øst (ca 1830)</t>
  </si>
  <si>
    <t>Vesthimmerlands Kommune</t>
  </si>
  <si>
    <t>Aggersborgvej 170 A</t>
  </si>
  <si>
    <t xml:space="preserve"> Aggersborggård</t>
  </si>
  <si>
    <t xml:space="preserve"> Hovedbygningens tre længer (1758)</t>
  </si>
  <si>
    <t>Halkærvej 103</t>
  </si>
  <si>
    <t xml:space="preserve"> Koppesmølle Andelsmejeri (tidl)</t>
  </si>
  <si>
    <t xml:space="preserve"> Mejeribygningen, skorstenen og garagen (1932 af E.V.Lind)</t>
  </si>
  <si>
    <t>Hesselvej 40</t>
  </si>
  <si>
    <t xml:space="preserve"> Hessel</t>
  </si>
  <si>
    <t xml:space="preserve"> Den firelængede gård (beg af 1600-tallet), den brolagte gårdsplads medvandingsdam og fire lindetræer samt de to haveanlæg med stendiger vest og syd for gården</t>
  </si>
  <si>
    <t>Kanalvejen 40, Frederik VII's kanal</t>
  </si>
  <si>
    <t xml:space="preserve"> Kanalfogedboligen og Gitterdragerdrejebroen</t>
  </si>
  <si>
    <t xml:space="preserve"> Beboelseshuset, baghuset og den forbindende mur med udhuset (1863), samt gitterdragerdrejebroen (1861 af havneingeniør C.J.H. Reimers og De Smithske Jernstøberier) med de murede og granitbeklædtefundamenter</t>
  </si>
  <si>
    <t xml:space="preserve"> Udvidet 1997*</t>
  </si>
  <si>
    <t>Klostervej 4</t>
  </si>
  <si>
    <t xml:space="preserve"> Kanalbetjenthusene ved Lendrup</t>
  </si>
  <si>
    <t xml:space="preserve"> De to kanalbetjentboliger med tilhørende udhuse (1863)</t>
  </si>
  <si>
    <t>Svingelbjergvej 106</t>
  </si>
  <si>
    <t xml:space="preserve"> Lerkenfeld</t>
  </si>
  <si>
    <t xml:space="preserve"> Den trefløjede hovedbygning (sydfløj med trappetårn og udbygningersamt vestfløj ca 1555, østfløj ca 1600) tillige med de omgivende grave</t>
  </si>
  <si>
    <t>Viborgvej 475</t>
  </si>
  <si>
    <t xml:space="preserve"> Vitskøl Kloster, Bjørnsholm</t>
  </si>
  <si>
    <t xml:space="preserve"> Den trefløjede hovedbygning (middelalder, vestfløjenombygget 1643-46, østfløjen ombygget bla 1769)</t>
  </si>
  <si>
    <t>Viborg Kommune</t>
  </si>
  <si>
    <t>Banegårdspladsen 2</t>
  </si>
  <si>
    <t xml:space="preserve"> Viborg Stations remise</t>
  </si>
  <si>
    <t xml:space="preserve"> Remisen og den hermed sammenbyggede opholdsbygningsamt drejeskiven, remisespor og nære omgivelser (1889 af NP Holsøe)</t>
  </si>
  <si>
    <t>Bjerringbrovej 54</t>
  </si>
  <si>
    <t xml:space="preserve"> Tangeværket</t>
  </si>
  <si>
    <t xml:space="preserve"> Kraftværket med stigbord, hoveddæmningen med frisluse, de tosekundære dæmninger og indløbskanalen mellem Tange Sø og kraftværket</t>
  </si>
  <si>
    <t>Domkirkestræde 1 og 1 A</t>
  </si>
  <si>
    <t xml:space="preserve"> Det trefløjede anlæg (middelalder, genopført efter brand 1728-30 af Claus Stallknecht, østfløjen og en del af nordfløjen ca 1900) samt hegnsmur modDomkirkestræde</t>
  </si>
  <si>
    <t>Domkirkestræde 2</t>
  </si>
  <si>
    <t xml:space="preserve"> Viborg gamle Rådhus</t>
  </si>
  <si>
    <t xml:space="preserve"> Rådshusbygningen (1728 af Claus Stallknecht) og muren medport mod Sankt Mogensgade</t>
  </si>
  <si>
    <t>Gammel Skivevej 2</t>
  </si>
  <si>
    <t xml:space="preserve"> Viborg Katedralskole</t>
  </si>
  <si>
    <t xml:space="preserve"> De fire fløje med to udløberfløje i syd og to i nord (1920-26 af Hack Kampmann) samt de umiddelbare omgivelser afgrænset på ydersiden af de omgivende lindealléer, herunder skolegården imellem de tre fløje og kolonnaden, gårdene mellem udløberfløjene mod nord og syd, stisystemet i alléerne, trapper, den høje støttemur med aksialt trappeanlæg, nicher og murdetaljer, de to boldbaner mod nord og syd samt stensætninger og volde (1926 af GN Brandt)</t>
  </si>
  <si>
    <t xml:space="preserve"> Udvidet2020</t>
  </si>
  <si>
    <t>Gravene 23 A</t>
  </si>
  <si>
    <t xml:space="preserve"> Viborg Teater</t>
  </si>
  <si>
    <t xml:space="preserve"> Teaterkomplekset (1909-1910 af Søren Vig-Nielsen)</t>
  </si>
  <si>
    <t>Grønhøj Skivevej 26 (tidl Skivevej 26)</t>
  </si>
  <si>
    <t xml:space="preserve"> Grønhøj Kro</t>
  </si>
  <si>
    <t xml:space="preserve"> Krohus og rejsestald</t>
  </si>
  <si>
    <t>Herredsvejen 56</t>
  </si>
  <si>
    <t xml:space="preserve"> Holmgård</t>
  </si>
  <si>
    <t xml:space="preserve"> Hovedbygningen (ca 1750, ombygget 1840 og 1970) samt brolægningen ogto lindetræer på østsiden af bygningen</t>
  </si>
  <si>
    <t>Hjultorvet 9-11</t>
  </si>
  <si>
    <t xml:space="preserve"> Stiftsmuseet, Hedeselskabet (tidl)</t>
  </si>
  <si>
    <t xml:space="preserve"> Det trefløjede anlæg (1868 af Jul. Trolle, sidefløjene forhøjet1923) og gavlhuset øst herfor (1876)</t>
  </si>
  <si>
    <t>Hobro Landevej 90</t>
  </si>
  <si>
    <t xml:space="preserve"> Tjele</t>
  </si>
  <si>
    <t xml:space="preserve"> Det søndre hus (ca 1500), østfløjens lave del (ca 1500, senere delvis ombygget i grundmur) samt østfløjens høje hus med tårnet mod øst (ca 1580) og den hermed sammenbyggede portfløj (1585), alle beliggende omkring borggården, samt bindingsværkshestestalden (ca 1600) og den hermed sammenbyggede længe mod vest tillige med portpiller og mure ved beggeindkørsler</t>
  </si>
  <si>
    <t>Kalkværksvej 8</t>
  </si>
  <si>
    <t xml:space="preserve"> Mønsted Kalkværk</t>
  </si>
  <si>
    <t xml:space="preserve"> Kalkværksbygningen med tre kontinuerte skaktovne (1934)</t>
  </si>
  <si>
    <t>Karmark Møllevej 2</t>
  </si>
  <si>
    <t xml:space="preserve"> Karmark Mølle</t>
  </si>
  <si>
    <t xml:space="preserve"> Karmark Mølle. Vandmøllen (1809), laden (1863), stuehuset (ca1650 med senere tilbygning), svinehuset, frisluse med dæmning, malekarm, fraløbsrende, vandhjul og mølledam</t>
  </si>
  <si>
    <t>Lille Sankt Hansgade 20</t>
  </si>
  <si>
    <t xml:space="preserve"> Den gamle Hovedvagt</t>
  </si>
  <si>
    <t xml:space="preserve"> Hovedvagtsbygningen (1805 af Willads Stilling)</t>
  </si>
  <si>
    <t xml:space="preserve"> Forhuset (1846, kælderen fra 1500-tallet) og de to dermed sammenhængende sidehuse med halvtagsudbygning på den sydlige og enetages tilbygning i forlængelse af det nordligesidehus samt gårdspladsens brolægning</t>
  </si>
  <si>
    <t>Palstrupvej 25</t>
  </si>
  <si>
    <t xml:space="preserve"> Palstrup</t>
  </si>
  <si>
    <t xml:space="preserve"> Hovedbygningen (1722-40, ombygget 1919 af Hack Kampmann) med to sidefløje og to forbindelsesbygninger (1919 af Hack Kampmann), avlsgårdens stråtækte lade (1784) og stenbroenover den indre voldgrav (1656)</t>
  </si>
  <si>
    <t>Ravnsbjergvej 76</t>
  </si>
  <si>
    <t xml:space="preserve"> Hald</t>
  </si>
  <si>
    <t xml:space="preserve"> Hovedbygningen (1789) med 2 pavilloner i parken</t>
  </si>
  <si>
    <t>Riddergade 8</t>
  </si>
  <si>
    <t xml:space="preserve"> Brænderigården, Sindsygehospital</t>
  </si>
  <si>
    <t xml:space="preserve"> Det firefløjede anlæg (1700-tallet og senere)</t>
  </si>
  <si>
    <t>Rødevej 4</t>
  </si>
  <si>
    <t xml:space="preserve"> Exercerhuset</t>
  </si>
  <si>
    <t xml:space="preserve"> Exercerbygningen (1871 af Johannes Trolle)</t>
  </si>
  <si>
    <t>Sankt Leonis Stræde 1</t>
  </si>
  <si>
    <t xml:space="preserve"> Stiftsprovstegården</t>
  </si>
  <si>
    <t xml:space="preserve"> Hovedbygning i syd (ca 1500) med sidebygning i øst (1856)samt bygningerne mod Leonisstræde</t>
  </si>
  <si>
    <t>Sankt Mogensgade 1</t>
  </si>
  <si>
    <t xml:space="preserve"> Forhuset (ca 1740-50 af Johann Gottfried Hödrich,ombygget 1769-72 og 1842) og lysthus (1780)</t>
  </si>
  <si>
    <t>Sankt Mogensgade 11</t>
  </si>
  <si>
    <t xml:space="preserve"> Sankt Mogensgade 11</t>
  </si>
  <si>
    <t>Sankt Mogensgade 16</t>
  </si>
  <si>
    <t xml:space="preserve"> Gråbrødre Kloster, Hospitalet</t>
  </si>
  <si>
    <t xml:space="preserve"> Klosteranlæggets nord- og østfløj (ca 1500 og senere) med udløberfløj (ca 1500, forlænget og forhøjet ca 1530, tårnet ca 1850) samt hegnsmure i syd(1500-tallet) og vest samt porten</t>
  </si>
  <si>
    <t>Sankt Mogensgade 28-30</t>
  </si>
  <si>
    <t xml:space="preserve"> Sankt Mogensgade 28-30</t>
  </si>
  <si>
    <t xml:space="preserve"> Hjørnebygningen nr 28 (før 1781, ombygget mellem 1827 og 1835) med sidehus mod Rosenstræde samt forhuset nr 30 (før 1781) med side- ogbaghus</t>
  </si>
  <si>
    <t>Sankt Mogensgade 29</t>
  </si>
  <si>
    <t xml:space="preserve"> Sankt Mogensgade 29</t>
  </si>
  <si>
    <t>Sankt Mogensgade 3</t>
  </si>
  <si>
    <t xml:space="preserve"> Sankt Mogensgade 3</t>
  </si>
  <si>
    <t xml:space="preserve"> Forhuset (barok)</t>
  </si>
  <si>
    <t>Sankt Mogensgade 31 A-C</t>
  </si>
  <si>
    <t xml:space="preserve"> Karnapgården</t>
  </si>
  <si>
    <t xml:space="preserve"> Gavlhuset med portfløj* (ca 1530, udvidet og ombygget 1643og 1649) samt gavlhusets forlængelse mod vest og sidehus mod øst</t>
  </si>
  <si>
    <t>Sankt Mogensgade 32 A-B</t>
  </si>
  <si>
    <t xml:space="preserve"> Ursins Gård</t>
  </si>
  <si>
    <t xml:space="preserve"> Forhuset (ca 1825 af Willads Stilling) og det hermedsammenbyggede sidehus (1801, forlænget 1811-18 og forhøjet 1847-57)</t>
  </si>
  <si>
    <t>Sankt Mogensgade 38</t>
  </si>
  <si>
    <t xml:space="preserve"> Sankt Mogensgade 38</t>
  </si>
  <si>
    <t xml:space="preserve"> Gavlhuset og den dermed sammenbyggede forbygning(ca 1500) samt sidehuset af bindingsværk</t>
  </si>
  <si>
    <t>Sankt Mogensgade 7</t>
  </si>
  <si>
    <t xml:space="preserve"> Sankt Mogensgade 7</t>
  </si>
  <si>
    <t xml:space="preserve"> Forhuset (middelalder og senere)</t>
  </si>
  <si>
    <t>Sankt Mogensgade 8</t>
  </si>
  <si>
    <t xml:space="preserve"> Morvilles Gård</t>
  </si>
  <si>
    <t xml:space="preserve"> Forhus med sidefløj (1798 af Willads Stilling)</t>
  </si>
  <si>
    <t>Sankt Mogensgade 9 A</t>
  </si>
  <si>
    <t xml:space="preserve"> Sankt Mogensgade 9 A</t>
  </si>
  <si>
    <t xml:space="preserve"> Forhuset (ca 1520, ombygget 1643)</t>
  </si>
  <si>
    <t>Sct. Mathias Gade 96 B</t>
  </si>
  <si>
    <t>2.  Generalkommando</t>
  </si>
  <si>
    <t>2. Generalkommando (1913 af Søren Vig Nielsen) bestående af hovedbygning med tilføjet tårn, sidebygning, den svungne mur med flagstang mod Sct. Mathiasgade, de mindre bygninger, der afgrænser gården mod øst, og den brolagte gårdsplads</t>
  </si>
  <si>
    <t>Sct. Mogens Gade 26</t>
  </si>
  <si>
    <t xml:space="preserve"> Det Zahrtmannske Hus</t>
  </si>
  <si>
    <t xml:space="preserve"> Forhuset mod Sct. Mogens Gade (ca 1790) med sidehusmod Rosenstræde og baghus samt hegnsmur og port mod Sct. Mogens Gade</t>
  </si>
  <si>
    <t>Skolestræde 2</t>
  </si>
  <si>
    <t xml:space="preserve"> Skolestræde 2</t>
  </si>
  <si>
    <t xml:space="preserve"> Det middelalderlige murværk med tilhørende fundamenter i forhusetsnordgavl og østmur</t>
  </si>
  <si>
    <t xml:space="preserve"> Ændret 2019</t>
  </si>
  <si>
    <t>Store Sankt Hans Gade 2</t>
  </si>
  <si>
    <t xml:space="preserve"> Friedenreichs Gård, Stiftamtsgården</t>
  </si>
  <si>
    <t xml:space="preserve"> Forhuset mod Nytorv (1757 muligvis af Nicolaus Hinrich Rieman) samt havehus med tilhørende mur (ca 1800, ombygget ca 1850)</t>
  </si>
  <si>
    <t>Udvidet 1973</t>
  </si>
  <si>
    <t>Vinkelvej 93 B</t>
  </si>
  <si>
    <t xml:space="preserve"> Bruunshaab gamle Papfabrik</t>
  </si>
  <si>
    <t xml:space="preserve"> Papfabrikken bestående af produktionsbygningen (1909 af Søren Vig-Nielsen) med kollergangshus (1946), maskinhus med turbinerum (1909), dampmaskinerum (1943) og kedelrum (1943), værksted (1952), skorsten, kulgård (1943), lager- og kontorbygning (1946)samt det fritliggende udhus (1943)</t>
  </si>
  <si>
    <t>Virksundvej 70</t>
  </si>
  <si>
    <t xml:space="preserve"> Tårupgård</t>
  </si>
  <si>
    <t xml:space="preserve"> Den vinkelformede hovedbygning (ca 1580, stærkt ombygget ca 1747-50 formentlig af Nicolaus Hinrich Rieman) og de to bindingsværkssidelænger (ca 1550) med omgivendevoldgrave</t>
  </si>
  <si>
    <t>Vrouevej 5</t>
  </si>
  <si>
    <t xml:space="preserve"> Vroue Præstegård</t>
  </si>
  <si>
    <t>Østervangsvej 28</t>
  </si>
  <si>
    <t xml:space="preserve"> Viskum</t>
  </si>
  <si>
    <t xml:space="preserve"> Den trelængede hovedbygning samt tværlængen på nordre sidelænge (ca1780, nordfløjen 1860)</t>
  </si>
  <si>
    <t>Østervej 1-3</t>
  </si>
  <si>
    <t xml:space="preserve"> Lynderupgård</t>
  </si>
  <si>
    <t xml:space="preserve"> Den trelængede hovedbygning (1556) med omgivende grave samt dengamle springbrønd i gården</t>
  </si>
  <si>
    <t xml:space="preserve">Vordingborg Kommune </t>
  </si>
  <si>
    <t>Adelgade 77</t>
  </si>
  <si>
    <t xml:space="preserve"> Adelgade 77, Præstø</t>
  </si>
  <si>
    <t xml:space="preserve"> Forhuset (midten af 1700-tallet, forlænget med seks fag ca 1800,forhøjet 1842, grundmuret i beg af 1900-tallet)</t>
  </si>
  <si>
    <t>Algade 97</t>
  </si>
  <si>
    <t xml:space="preserve"> Vordingborg Rådhus</t>
  </si>
  <si>
    <t xml:space="preserve"> Den tidl rådhusbygning med sidebygninger mod gaden (1843 af PeterKornerup)</t>
  </si>
  <si>
    <t>Billedhuggerstræde 2 (tidl Ved Stranden 2)</t>
  </si>
  <si>
    <t xml:space="preserve"> Hages Gaard (del af)</t>
  </si>
  <si>
    <t xml:space="preserve"> Den vinkelformede bebyggelse,beliggende ud mod Billedhuggerstræde</t>
  </si>
  <si>
    <t>Bogø Hovedgade 36</t>
  </si>
  <si>
    <t xml:space="preserve"> Bogø Mølle</t>
  </si>
  <si>
    <t xml:space="preserve"> Vindmøllen (1852)</t>
  </si>
  <si>
    <t>Bogø Hovedgade 40</t>
  </si>
  <si>
    <t xml:space="preserve"> Bogø Møllegård</t>
  </si>
  <si>
    <t xml:space="preserve"> Stuehuset (ca 1790)</t>
  </si>
  <si>
    <t>Bygaden 16</t>
  </si>
  <si>
    <t xml:space="preserve"> Hospitalet, Køng</t>
  </si>
  <si>
    <t xml:space="preserve"> Den grundmurede hospitalsbygning (1793)</t>
  </si>
  <si>
    <t>Bygaden 22</t>
  </si>
  <si>
    <t xml:space="preserve"> Gamle Skole, Spindeskolen i Køng</t>
  </si>
  <si>
    <t xml:space="preserve"> Skolebygningen (1780)</t>
  </si>
  <si>
    <t>Bygaden 27</t>
  </si>
  <si>
    <t xml:space="preserve"> Gammel Øbjerggård</t>
  </si>
  <si>
    <t xml:space="preserve"> Hovedbygningen (ca 1780)</t>
  </si>
  <si>
    <t>Byvolden, mellem Stege Bugt og Stege Nor</t>
  </si>
  <si>
    <t xml:space="preserve"> Stege gamle Byvold</t>
  </si>
  <si>
    <t xml:space="preserve"> Byvolden med grav (ca 1430)</t>
  </si>
  <si>
    <t>Christinelundsvej 36 og 38</t>
  </si>
  <si>
    <t xml:space="preserve"> Christinelund</t>
  </si>
  <si>
    <t xml:space="preserve"> Hovedbygningen med tilbygget enetages længe (1859-60 afFerdinand Meldahl)</t>
  </si>
  <si>
    <t>Fæbyvej 121</t>
  </si>
  <si>
    <t xml:space="preserve"> Snertinge</t>
  </si>
  <si>
    <t xml:space="preserve"> Hovedbygningen og avlsgården (1857 af Ferdinand Meldahl)</t>
  </si>
  <si>
    <t>Færgegaardsvej 15</t>
  </si>
  <si>
    <t xml:space="preserve"> Oringe, Vordingborg Sindssygehospital</t>
  </si>
  <si>
    <t xml:space="preserve"> Bindesbølls anlæg (1854-57 af GottliebBindesbøll)</t>
  </si>
  <si>
    <t>Grønnegade 1</t>
  </si>
  <si>
    <t xml:space="preserve"> Den gamle Borgmestergård, Præstø</t>
  </si>
  <si>
    <t xml:space="preserve"> Forhus (1823, senere grundmuret), sidehus og baghus (1826)</t>
  </si>
  <si>
    <t>Grønnegade 11</t>
  </si>
  <si>
    <t xml:space="preserve"> Grønnegade 11, Præstø</t>
  </si>
  <si>
    <t xml:space="preserve"> Forhuset (1855) og de to sidehuse (det østlige 1855, detvestlige 1871)</t>
  </si>
  <si>
    <t xml:space="preserve"> Grønnegade 12, Præstø</t>
  </si>
  <si>
    <t xml:space="preserve"> Forhuset (1855, opr.  snedkerværksted, 1874 ombygget tilbeboelse)</t>
  </si>
  <si>
    <t>Grønnegade 9</t>
  </si>
  <si>
    <t xml:space="preserve"> Grønnegade 9, Præstø</t>
  </si>
  <si>
    <t xml:space="preserve"> Forhuset (1859)</t>
  </si>
  <si>
    <t>Grønsundvej 50</t>
  </si>
  <si>
    <t xml:space="preserve"> Nybøllegård</t>
  </si>
  <si>
    <t xml:space="preserve"> Hovedbygningen (1856 af Gottlieb Bindesbøll)</t>
  </si>
  <si>
    <t>Hastrupvej 1</t>
  </si>
  <si>
    <t xml:space="preserve"> Beldringe</t>
  </si>
  <si>
    <t xml:space="preserve"> Hovedbygningen (1561) samt bindingsværksladen (ca 1715-16)</t>
  </si>
  <si>
    <t>Udvidet 1990*</t>
  </si>
  <si>
    <t>Havnepladsen 12</t>
  </si>
  <si>
    <t xml:space="preserve"> Havnepladsen 12, Præstø</t>
  </si>
  <si>
    <t xml:space="preserve"> Pakhuset (1842)</t>
  </si>
  <si>
    <t>Havnepladsen 8</t>
  </si>
  <si>
    <t xml:space="preserve"> H. C. Olsens Pakhus </t>
  </si>
  <si>
    <t xml:space="preserve"> Pakhuset (1898)</t>
  </si>
  <si>
    <t>Havnestræde 2, 4 B og 4 C</t>
  </si>
  <si>
    <t xml:space="preserve"> Havnestræde 2, 4 B-C, Præstø</t>
  </si>
  <si>
    <t xml:space="preserve"> Sidehuset langs Havnestræde (1856)</t>
  </si>
  <si>
    <t>Havnevej 15</t>
  </si>
  <si>
    <t xml:space="preserve"> Sølyst, Præstø</t>
  </si>
  <si>
    <t>Jomfrustræde 4</t>
  </si>
  <si>
    <t xml:space="preserve"> Den tidl Tekniske Skole, Præstø</t>
  </si>
  <si>
    <t xml:space="preserve"> Skolebygningen (1891 af Frederik Wilsbech)</t>
  </si>
  <si>
    <t>Jomfrustræde 8</t>
  </si>
  <si>
    <t xml:space="preserve"> Den Borgerlige Velgørenheds Stiftelse, Præstø</t>
  </si>
  <si>
    <t xml:space="preserve"> Forhuset (1869), sidehuset (1870) og muren langsKlosternakken</t>
  </si>
  <si>
    <t>Kirkepladsen 1 og Dybsbrostræde 1, tidl Langgade 1</t>
  </si>
  <si>
    <t xml:space="preserve"> Stege gamle Præstegård</t>
  </si>
  <si>
    <t xml:space="preserve"> Vest-, syd- ogøstlængen samt muren mod Dybsbrostræde (1697 og senere)</t>
  </si>
  <si>
    <t>* (Fredning af nordlængen ophævet 2014)</t>
  </si>
  <si>
    <t>Klintevej 502</t>
  </si>
  <si>
    <t xml:space="preserve"> Magleby Præstegård</t>
  </si>
  <si>
    <t xml:space="preserve"> Stuehuset og de dermed forbundne to længer (1849)</t>
  </si>
  <si>
    <t>Klintholm Allé 1 M</t>
  </si>
  <si>
    <t xml:space="preserve"> Klintholm</t>
  </si>
  <si>
    <t xml:space="preserve"> Gamle hovedbygning (1837 af G.F. Hetsch)</t>
  </si>
  <si>
    <t>Klosternakken 1</t>
  </si>
  <si>
    <t xml:space="preserve"> Klosternakken 1, Præstø</t>
  </si>
  <si>
    <t xml:space="preserve"> Forhus og sidehus (1857)</t>
  </si>
  <si>
    <t>Klosternakken 3</t>
  </si>
  <si>
    <t>Klosternakken 3, Præstø</t>
  </si>
  <si>
    <t xml:space="preserve"> Forhuset (1857 af M.S.Miede)</t>
  </si>
  <si>
    <t xml:space="preserve"> Klosternakken 5</t>
  </si>
  <si>
    <t>Klosternakken 5, Præstø</t>
  </si>
  <si>
    <t>Kragevigvej 13</t>
  </si>
  <si>
    <t xml:space="preserve"> Oremandsgårds Husflidsskole</t>
  </si>
  <si>
    <t>Skolebygningen (1872)</t>
  </si>
  <si>
    <t>Kragevigvej 17</t>
  </si>
  <si>
    <t xml:space="preserve"> Skovly</t>
  </si>
  <si>
    <t xml:space="preserve"> Den firelængede stråtækte bindingsværksgård (slutn af 1600-tallet-beg af 1700-tallet)</t>
  </si>
  <si>
    <t>Langebjergvej 4, 6 og 8</t>
  </si>
  <si>
    <t xml:space="preserve"> Det Gamle Slot*, Schweitzerhytten med udhus, ishuset, Det Kinesiske Lysthus, Det Norske Hus, to som brændestakke camouflerede retirader, Bondegården (1790-92 af Andreas Kirkerup), Liselund Ny Slot* (1886-87 af Philip Smidth) og det oprindelige have- og parkanlæg herunder de på vedlagte kortbilag viste søer, øer, dæmninger og stensætninger, jorder og volde, indmålte træer og beplantninger samt følgende mindesmærker: grotten syd for Skriversøen, Monumentet for Harmonien på Pyramideøen, Skrivermonumentet nordøst for Skriverøen, soluret syd for Gl. Slot, de to monumenter på Haveøen, Gratiemonumentet og den brudte søjle ved Djævlekløften</t>
  </si>
  <si>
    <t xml:space="preserve"> Udvidet 1960, udvidet 2003</t>
  </si>
  <si>
    <t>Langebjergvej 6</t>
  </si>
  <si>
    <t xml:space="preserve"> Liselund Ny Slot</t>
  </si>
  <si>
    <t xml:space="preserve"> Hovedbygningen (1886-87 af Philip Smidth)</t>
  </si>
  <si>
    <t>* Flyttet tilLangebjergvej 4-8</t>
  </si>
  <si>
    <t>Lundbygårdsvej 100</t>
  </si>
  <si>
    <t xml:space="preserve"> Lundbygård</t>
  </si>
  <si>
    <t xml:space="preserve"> Den trefløjede hovedbygning (1806)</t>
  </si>
  <si>
    <t>Nordfeldvej 48-56</t>
  </si>
  <si>
    <t xml:space="preserve"> Nordfeld</t>
  </si>
  <si>
    <t xml:space="preserve"> Hovedbygningen, forvalterboligen med herskabsstald og udhus,gartnerboligen med udhus samt avlsgårdens fire længer (hovedbygningen 1874 af Frederik Wilsbech, avlsgården 1886 af Philip Smidth)</t>
  </si>
  <si>
    <t>Nordgade 7</t>
  </si>
  <si>
    <t xml:space="preserve"> Nordgade 7, Nyord</t>
  </si>
  <si>
    <t xml:space="preserve"> Den trelængede gård (1700-tallet)</t>
  </si>
  <si>
    <t>Nordgade 9</t>
  </si>
  <si>
    <t xml:space="preserve"> Nordgade 9, Nyord</t>
  </si>
  <si>
    <t xml:space="preserve"> Bindingsværkshuset (1800-tallet)</t>
  </si>
  <si>
    <t>Nysøvej 1-3</t>
  </si>
  <si>
    <t xml:space="preserve"> Nysø</t>
  </si>
  <si>
    <t xml:space="preserve"> Hovedbygningen (1671-73), portalen (1763-85), den gamle lade med hovedindkørslen,de med laden forbundne staldbygninger (ca 1800), Thorvaldsens værksted i haven (1839 og senere) samt voldgravene</t>
  </si>
  <si>
    <t>Petersgaards Allé 3</t>
  </si>
  <si>
    <t xml:space="preserve"> Petersgård</t>
  </si>
  <si>
    <t xml:space="preserve"> Den tofløjede hovedbygning med forbindelsesbygningen mellem fløjene(1776-80)</t>
  </si>
  <si>
    <t>Petersværft 2</t>
  </si>
  <si>
    <t xml:space="preserve"> Skovfogedstedet, Petersværft 2</t>
  </si>
  <si>
    <t xml:space="preserve"> Enetages grundmuret beboelseslænge med stråtag samtdet grundmurede stråtækte udhus (1905, bolig udvidet 1916, formentlig af Viggo Dahl)</t>
  </si>
  <si>
    <t>Petersværft 3</t>
  </si>
  <si>
    <t xml:space="preserve"> Skovridergården, Petersværft 3</t>
  </si>
  <si>
    <t xml:space="preserve"> Enetages grundmuret, teglhængt beboelseslænge medkort sidefløj samt vinkelformet stråtækt ladebygning i bindingsværk (ca 1800, beboelseslænge ombygget 1928)</t>
  </si>
  <si>
    <t>Petersværft 4</t>
  </si>
  <si>
    <t xml:space="preserve"> Officershuset, Petersværft 4</t>
  </si>
  <si>
    <t xml:space="preserve"> Grundmuret enetages vinkelbygning med høj kælder oghalvvalmet, rødt tegltag (1807, udvidet 1885 og 1903)</t>
  </si>
  <si>
    <t>Petersværft   5   A   og   5   B</t>
  </si>
  <si>
    <t xml:space="preserve">   Skovkuskeboligen   og   Den   gl</t>
  </si>
  <si>
    <t>Forpagterbolig,   Petersværft.   Enetages,   stråtæktbeboelseslænge med grundmurede langsider og bindingsværksgavle (slutningen af 1700-tallet)</t>
  </si>
  <si>
    <t>Provstestræde 2</t>
  </si>
  <si>
    <t xml:space="preserve"> Latinskolen (tidl), Stege</t>
  </si>
  <si>
    <t xml:space="preserve"> Det vinkelbyggede hus (senmiddelalder) samt det fritliggendeudhus (ca 1830) med hegnsmure</t>
  </si>
  <si>
    <t>Rosenfeldt 1</t>
  </si>
  <si>
    <t xml:space="preserve"> Rosenfeldt</t>
  </si>
  <si>
    <t xml:space="preserve"> De seks bygninger omkring den ottekantede gård (1776-77 af Christian Joseph Zuber), hovedbygningen (1868-70 af H.S. Sibbern), bøgehække og de omkransende lindealléer i haven sydøst for avlsgården samt jerngitret der lukker gårdanlægget mod sydvest</t>
  </si>
  <si>
    <t>Rødeledvej 1</t>
  </si>
  <si>
    <t xml:space="preserve"> Pottemageriet Rødeled</t>
  </si>
  <si>
    <t xml:space="preserve"> Længen med beboelse og værksted (1897), udhuset (1897),lysthuset (1936), lergraven af beton og brolægningen i gården</t>
  </si>
  <si>
    <t>Rødkildevej 42 A, D og E</t>
  </si>
  <si>
    <t xml:space="preserve"> Rødkilde Højskole</t>
  </si>
  <si>
    <t xml:space="preserve"> Hovedbygningen og elevbygningen (1866 af LudvigFenger), muren mellem disse samt det ottekantede forsamlingshus (1878 af Povlsen Nørbjerg)</t>
  </si>
  <si>
    <t>Skullebjergvej 15</t>
  </si>
  <si>
    <t xml:space="preserve"> Museumsgården ved Keldbylille</t>
  </si>
  <si>
    <t xml:space="preserve"> Den firelængede stråtækte bindingsværksgård (1800) bestående af stuehus, lade, kvægstald og hestestald, den pigstensbelagte gårdsplads, møddingsplads samt det fritliggende brændehus, vognskur og haven med stier, dam og stenhøj</t>
  </si>
  <si>
    <t>Slotstorvet 5</t>
  </si>
  <si>
    <t xml:space="preserve"> Det gamle Sprøjtehus</t>
  </si>
  <si>
    <t xml:space="preserve"> Den som sprøjtehus og vagtstue opførte bygning (1854)</t>
  </si>
  <si>
    <t>Slotstorvet 9</t>
  </si>
  <si>
    <t xml:space="preserve"> Gåsetårnet</t>
  </si>
  <si>
    <t xml:space="preserve"> Fæstningstårnet (ca 1370)</t>
  </si>
  <si>
    <t>Spangsvej 174</t>
  </si>
  <si>
    <t xml:space="preserve"> Udby Præstegård</t>
  </si>
  <si>
    <t xml:space="preserve"> Det firelængede anlæg (1700-tallet, ca 1840)</t>
  </si>
  <si>
    <t>Storegade 35 A</t>
  </si>
  <si>
    <t xml:space="preserve"> Kammerrådgården, Stege</t>
  </si>
  <si>
    <t xml:space="preserve"> Forhuslængen mod Storegade (ca 1770, facaden ombygget ca 1800), det dermed sammenbyggede sidehus, det i forlængelse heraf opførte pakhus, baghuset samtdet fritliggende grundmurede hus på gårdspladsen</t>
  </si>
  <si>
    <t>Storegade 39</t>
  </si>
  <si>
    <t xml:space="preserve"> Stege gamle Rådhus</t>
  </si>
  <si>
    <t xml:space="preserve"> Forhuset (1853-54 af Gottlieb Bindesbøll)</t>
  </si>
  <si>
    <t>Storegade 4</t>
  </si>
  <si>
    <t xml:space="preserve"> Hages Gaard</t>
  </si>
  <si>
    <t xml:space="preserve"> Hjørnebebyggelsen med facade til Storegade og sidehus langsBilledhuggerstræde (1816, de fire østligste fag 1845)</t>
  </si>
  <si>
    <t xml:space="preserve"> Apoteket, Stege</t>
  </si>
  <si>
    <t xml:space="preserve"> Forhuset (1799), sidehuset (1889) samt den brolagte gårdsplads</t>
  </si>
  <si>
    <t>Storegade 73-75</t>
  </si>
  <si>
    <t xml:space="preserve"> Møns Museum</t>
  </si>
  <si>
    <t xml:space="preserve"> Det firefløjede anlæg, samt de to bindingsværkshuse og muren medport mod Storegade (forhuset nr 15 fra 1813)</t>
  </si>
  <si>
    <t>Storegade 75 A</t>
  </si>
  <si>
    <t xml:space="preserve"> Mølleporten, Stege</t>
  </si>
  <si>
    <t xml:space="preserve"> Porttårnet (ca 1480-1500)</t>
  </si>
  <si>
    <t xml:space="preserve"> Storegade 88, hj af. Lohmannsvej</t>
  </si>
  <si>
    <t xml:space="preserve"> Storegade 88, Stege</t>
  </si>
  <si>
    <t xml:space="preserve"> Pakhuset (1832)</t>
  </si>
  <si>
    <t>Søvej 19</t>
  </si>
  <si>
    <t xml:space="preserve"> Ore Fyr</t>
  </si>
  <si>
    <t>Fyrtårnet ved Ore Fyr (1895 af Theodor Wedén)</t>
  </si>
  <si>
    <t>Torvestræde 7</t>
  </si>
  <si>
    <t xml:space="preserve"> Grundtvigs Hus, Præstø</t>
  </si>
  <si>
    <t xml:space="preserve"> Forhus og baghus (1820-21) samt sidehus (1862)</t>
  </si>
  <si>
    <t xml:space="preserve"> Præstø Rådhus og arrestbygning</t>
  </si>
  <si>
    <t xml:space="preserve"> Rådhuset (1823 efter tegning ca 1803 af Willads Stilling og CF Hansen, udvidet og ombygget 1868) og arrestbygningen (1850)</t>
  </si>
  <si>
    <t xml:space="preserve"> Torvet 11, Præstø</t>
  </si>
  <si>
    <t xml:space="preserve"> Forhuset (1845)</t>
  </si>
  <si>
    <t xml:space="preserve"> Torvet 12, Præstø</t>
  </si>
  <si>
    <t xml:space="preserve"> Forhus (1854) og sidehus (1856, forhøjet 1867)</t>
  </si>
  <si>
    <t xml:space="preserve"> Torvet 20, Præstø</t>
  </si>
  <si>
    <t xml:space="preserve"> Forhuset (1744, ombygget 1832)</t>
  </si>
  <si>
    <t>Torvet 23</t>
  </si>
  <si>
    <t xml:space="preserve"> Torvet 23, Præstø</t>
  </si>
  <si>
    <t xml:space="preserve"> Forhuset (1853 af MS Miede) og sidehuset (ca 1900)</t>
  </si>
  <si>
    <t>Torvet 24</t>
  </si>
  <si>
    <t xml:space="preserve"> Torvet 24, Præstø</t>
  </si>
  <si>
    <t xml:space="preserve"> Forhuset (1913)</t>
  </si>
  <si>
    <t xml:space="preserve"> Torvet 5, Præstø</t>
  </si>
  <si>
    <t xml:space="preserve"> Torvet 7, Præstø</t>
  </si>
  <si>
    <t xml:space="preserve"> Forhuset (1819, facaden og den ene gavl grundmuret 1846)</t>
  </si>
  <si>
    <t>Vintersbølle Strand 7</t>
  </si>
  <si>
    <t xml:space="preserve"> Overlægeboligen ved Vintersbølle Sanatorium</t>
  </si>
  <si>
    <t xml:space="preserve"> Villaen med tilhørende garage og havemur(1938 af arkitekterne Kay Fisker og CF Møller)</t>
  </si>
  <si>
    <t>Ørslevvej 134</t>
  </si>
  <si>
    <t xml:space="preserve"> Ørslev Kirkelade</t>
  </si>
  <si>
    <t>Øster Egesborgvej 6</t>
  </si>
  <si>
    <t xml:space="preserve"> Øster Egesborg Kirkelade</t>
  </si>
  <si>
    <t>Østergade 7 og Nordgade 11</t>
  </si>
  <si>
    <t xml:space="preserve"> Østergade 7 og Nordgade 11, Nyord</t>
  </si>
  <si>
    <t xml:space="preserve"> Østergade 9, Nyord</t>
  </si>
  <si>
    <t xml:space="preserve"> Den firelængede gård (sydlængen fra 1700-tallet, de øvrige bygningerfra 1800-tallet)</t>
  </si>
  <si>
    <t>Ærø Kommune</t>
  </si>
  <si>
    <t>Borgnæsvej 16</t>
  </si>
  <si>
    <t xml:space="preserve"> Kammerrådgård</t>
  </si>
  <si>
    <t xml:space="preserve"> Kammerrådgården med det fritliggende stuehus (1877), tre sammenbyggede avlslænger (1827-1949), belægningerne langs bygningerne samt gårdspladsensbrolægning</t>
  </si>
  <si>
    <t>Brogade 20</t>
  </si>
  <si>
    <t xml:space="preserve"> Brogade 20</t>
  </si>
  <si>
    <t xml:space="preserve"> Forhuset (1850-52, kvisten opsat mellem 1865 og 1867, bagsiden grundmuretformentlig i begyndelsen af 1900-tallet)</t>
  </si>
  <si>
    <t>Brogade 21</t>
  </si>
  <si>
    <t xml:space="preserve"> Brogade 21</t>
  </si>
  <si>
    <t xml:space="preserve"> Forhuset (1788)</t>
  </si>
  <si>
    <t>Brogade 28</t>
  </si>
  <si>
    <t xml:space="preserve"> Brogade 28</t>
  </si>
  <si>
    <t xml:space="preserve"> Forhuset (1700-tallet, gadesiden grundmuret 1821 og senere)</t>
  </si>
  <si>
    <t>Brogade 3-5</t>
  </si>
  <si>
    <t xml:space="preserve"> Brogade 3-5</t>
  </si>
  <si>
    <t xml:space="preserve"> Forhuset (ca 1775)</t>
  </si>
  <si>
    <t>Gydeagre 2</t>
  </si>
  <si>
    <t xml:space="preserve"> Stensagergård</t>
  </si>
  <si>
    <t xml:space="preserve"> Den vinkelformede bygning indeholdende stuehus og stald samt de tobrolagte gårdspladser</t>
  </si>
  <si>
    <t>Gyden 16</t>
  </si>
  <si>
    <t xml:space="preserve"> Zahrtmanns Hus</t>
  </si>
  <si>
    <t xml:space="preserve"> Forhuset (1700-tallet, forsiden grundmuret i 1840'rne, bagsiden efter 1867)</t>
  </si>
  <si>
    <t>Gyden 20</t>
  </si>
  <si>
    <t xml:space="preserve"> Gyden 20</t>
  </si>
  <si>
    <t xml:space="preserve"> Forhuset (mellem 1821 og 1852, bagsiden grundmuret efter 1867)</t>
  </si>
  <si>
    <t>Gyden 22 (Brogade)</t>
  </si>
  <si>
    <t xml:space="preserve"> Hammerichs Hus</t>
  </si>
  <si>
    <t xml:space="preserve"> Forhuset mod Brogade (1803, tilbygning mod Gyden ca 1900)</t>
  </si>
  <si>
    <t xml:space="preserve"> Nørregade 1</t>
  </si>
  <si>
    <t xml:space="preserve"> Forhuset (1820-21)</t>
  </si>
  <si>
    <t xml:space="preserve"> Kochs og Drejøes Hus</t>
  </si>
  <si>
    <t xml:space="preserve"> Forhusene (1795)</t>
  </si>
  <si>
    <t>Nørregade 47</t>
  </si>
  <si>
    <t xml:space="preserve"> Nørregade 47</t>
  </si>
  <si>
    <t xml:space="preserve"> Forhuset (1802, gennemgribende ombygget 1828)</t>
  </si>
  <si>
    <t>Risemarksvej 8</t>
  </si>
  <si>
    <t xml:space="preserve"> Risemarksvej 8</t>
  </si>
  <si>
    <t xml:space="preserve"> Længe indeholdende stuehus og stald, en fritliggende udhuslænge(begge ca 1790) samt de brolagte gårdspladser mellem bygningerne</t>
  </si>
  <si>
    <t>Smedegade 22</t>
  </si>
  <si>
    <t xml:space="preserve"> R. Knudsen Clausens Fattigstiftelse</t>
  </si>
  <si>
    <t xml:space="preserve"> Forhuset (de fire nordligste fag 1786, de 12 sydligstefag 1807)</t>
  </si>
  <si>
    <t>Smedegade 29</t>
  </si>
  <si>
    <t xml:space="preserve"> Smedegade 29</t>
  </si>
  <si>
    <t>Smedegade 37</t>
  </si>
  <si>
    <t xml:space="preserve"> Smedegade 37</t>
  </si>
  <si>
    <t>Store Rise Landevej 9</t>
  </si>
  <si>
    <t xml:space="preserve"> Rise Kirkelade</t>
  </si>
  <si>
    <t xml:space="preserve"> Hele kirkeladen</t>
  </si>
  <si>
    <t>NA</t>
  </si>
  <si>
    <t>Udvidet 2006</t>
  </si>
  <si>
    <t>Søbygårdsvej 2-4</t>
  </si>
  <si>
    <t xml:space="preserve"> Hovedbygning (ca 1770, ombygget ca 1830, kælderen ca 1590) samt det trelængede ladegårdsanlæg (opført i 1650, 1750 og 1775), der ligger omkring gårdspladsen, de to vest herfor fritliggende bindingsværkshuse (mejeri og svinestald, opført efter 1850), den brolagte gårdsplads med et valnøddetræ samt stensætningen og de stynede træer på og omkring borgbanken, stensætningen og brolægningen omkring ladegården og stensætningen (broen) fra gårdspladsen til borgbanken</t>
  </si>
  <si>
    <t>Udvidet 1994*</t>
  </si>
  <si>
    <t>Søndergade 18</t>
  </si>
  <si>
    <t xml:space="preserve"> Søndergade 18</t>
  </si>
  <si>
    <t xml:space="preserve"> Baghuset (1770) og gårdspladsens brolægning</t>
  </si>
  <si>
    <t>Søndergade 32</t>
  </si>
  <si>
    <t xml:space="preserve"> Priors Hus</t>
  </si>
  <si>
    <t xml:space="preserve"> Forhuset (1690)</t>
  </si>
  <si>
    <t>Søndergade 36</t>
  </si>
  <si>
    <t>Philip Kocks Hus</t>
  </si>
  <si>
    <t xml:space="preserve"> Forhuset (1645)</t>
  </si>
  <si>
    <t>Søndergade 4</t>
  </si>
  <si>
    <t xml:space="preserve"> Søndergade 4</t>
  </si>
  <si>
    <t xml:space="preserve"> Forhuset (1700-tallet, gadesiden og karnappen grundmuret formentlig1818, bagsiden grundmuret 1850)</t>
  </si>
  <si>
    <t>Søndergade 42</t>
  </si>
  <si>
    <t xml:space="preserve"> Søndergade 42</t>
  </si>
  <si>
    <t xml:space="preserve"> Forhuset (1799, bagsiden grundmuret 1873, porten omdannet til butik1950)</t>
  </si>
  <si>
    <t>Søndergade 55 (Gåsetorvet)</t>
  </si>
  <si>
    <t xml:space="preserve"> Søndergade 55</t>
  </si>
  <si>
    <t xml:space="preserve"> Forhuset (1700-tallet, karnapudbygningen 1811,grundmuret mellem 1825 og 1852)</t>
  </si>
  <si>
    <t>Søndergade 57 (Gåsetorvet)</t>
  </si>
  <si>
    <t xml:space="preserve"> Søndergade 57</t>
  </si>
  <si>
    <t xml:space="preserve"> Forhuset (1825)</t>
  </si>
  <si>
    <t xml:space="preserve"> Forhuset (før 1778 og før 1821, gadesiden skalmuret mellem 1874 og1916)</t>
  </si>
  <si>
    <t>Tivoli 4</t>
  </si>
  <si>
    <t xml:space="preserve"> Ærøskøbing Bymølle, Lille Mølle</t>
  </si>
  <si>
    <t xml:space="preserve"> Vindmølle (1848)</t>
  </si>
  <si>
    <t>Torvet 9</t>
  </si>
  <si>
    <t xml:space="preserve"> Visdommens Kilde, Den Kgl. Danske Skole</t>
  </si>
  <si>
    <t xml:space="preserve"> Forhuset (1789)</t>
  </si>
  <si>
    <t xml:space="preserve"> Forhuset (to ældre bindingsværksbygninger, ombygget 1829, bagsidengrundmuret 1931)</t>
  </si>
  <si>
    <t>Vestergade 18</t>
  </si>
  <si>
    <t xml:space="preserve"> Vestergade 18</t>
  </si>
  <si>
    <t xml:space="preserve"> Forhuset (1700-tallet, gennemgribende ombygget 1880)</t>
  </si>
  <si>
    <t xml:space="preserve"> Vestergade 22</t>
  </si>
  <si>
    <t xml:space="preserve"> Forhuset (1796, porten i de to nordligste fag sløjfet 1963)</t>
  </si>
  <si>
    <t>Vestergade 23</t>
  </si>
  <si>
    <t xml:space="preserve"> Vestergade 23</t>
  </si>
  <si>
    <t xml:space="preserve"> Forhuset (før 1766, bagsiden forhøjet 1954)</t>
  </si>
  <si>
    <t>Vestergade 28</t>
  </si>
  <si>
    <t xml:space="preserve"> Vestergade 28</t>
  </si>
  <si>
    <t>Vestergade 29</t>
  </si>
  <si>
    <t xml:space="preserve"> Postbygningen</t>
  </si>
  <si>
    <t xml:space="preserve"> Forhuset (1749, udvidet og grundmuret mellem 1798 og 1821, portensløjfet 1926-27)</t>
  </si>
  <si>
    <t>Vestergade 30</t>
  </si>
  <si>
    <t xml:space="preserve"> Vestergade 30</t>
  </si>
  <si>
    <t xml:space="preserve"> Forhuset (1700-tallet, efterhånden omsat i grundmur mellem 1804 og1880)</t>
  </si>
  <si>
    <t>Vestergade 41 A-C</t>
  </si>
  <si>
    <t xml:space="preserve"> Vestergade 41 A-C</t>
  </si>
  <si>
    <t xml:space="preserve"> Forhuset (1700-tallet, gadesiden med karnappen grundmuret 1783, forlænget med tre fag 1801, udbygning mod gården før 1821, gårdsiden grundmuret senest 1852) ogstaldbygningen mod Vestergade (1871)</t>
  </si>
  <si>
    <t>Vestergade 44-46</t>
  </si>
  <si>
    <t xml:space="preserve"> Forhuset (1784-86)</t>
  </si>
  <si>
    <t xml:space="preserve"> Forhuset (før 1788)</t>
  </si>
  <si>
    <t>Vester Møllebakke 4-6</t>
  </si>
  <si>
    <t xml:space="preserve"> Vindmøllen (1834) med tilhørende maskinhus, samt stuehus og dentidl avlsbygning (ca 1800)</t>
  </si>
  <si>
    <t>Vitsø 33</t>
  </si>
  <si>
    <t xml:space="preserve"> Vitsø Nor Pumpemølle</t>
  </si>
  <si>
    <t xml:space="preserve"> Vindmøllen (1838)</t>
  </si>
  <si>
    <t>Ærøskøbing Havn 3 A</t>
  </si>
  <si>
    <t xml:space="preserve"> Kogehuset</t>
  </si>
  <si>
    <t xml:space="preserve"> Kogehuset (ca 1800, ombygget til fyr 1860-62)</t>
  </si>
  <si>
    <t xml:space="preserve"> Østergade 9</t>
  </si>
  <si>
    <t xml:space="preserve"> Bindingsværkshuset (1766) og haven (anlagt 1944 ved Johannes Tholle)</t>
  </si>
  <si>
    <t>Aabenraa Kommune</t>
  </si>
  <si>
    <t>Brundlund Slot 1</t>
  </si>
  <si>
    <t xml:space="preserve"> Brundlund Slot, Amtmandsboligen</t>
  </si>
  <si>
    <t xml:space="preserve"> Hovedbygningen og porthuset (ca 1411-29, ca1581, ca 1600-10 og 1805-07 af C.F.Hansen) samt det grundmurede hus i syd</t>
  </si>
  <si>
    <t>Dyrhave 101</t>
  </si>
  <si>
    <t xml:space="preserve"> Eldorado</t>
  </si>
  <si>
    <t xml:space="preserve"> Det firelængede gårdanlæg bestående af stuehuset (1769), huggehuset (formentlig 1769), de to sammenbyggede avlslænger (1769, ombygget 1926) samt de to forbindende muremed portåbninger</t>
  </si>
  <si>
    <t>Egvadvej 20</t>
  </si>
  <si>
    <t xml:space="preserve"> Egvad Kirkestald</t>
  </si>
  <si>
    <t xml:space="preserve"> Staldbygningen</t>
  </si>
  <si>
    <t>Fiskergade 3 A</t>
  </si>
  <si>
    <t xml:space="preserve"> Fiskergade 3 A</t>
  </si>
  <si>
    <t xml:space="preserve"> Det 11 fag dybe gavlhus (før 1744, delvis grundmuret mellem 1825 og1835) med den korte sidebygning</t>
  </si>
  <si>
    <t>Fiskergade 8</t>
  </si>
  <si>
    <t xml:space="preserve"> Fiskergade 8</t>
  </si>
  <si>
    <t xml:space="preserve"> Forhus og sidehus (opr. gavlhus med fløj langs gaden opført 1779 ogombygget 1805, dør og dørindfatning 1779)</t>
  </si>
  <si>
    <t>Flensborgvej 158</t>
  </si>
  <si>
    <t xml:space="preserve"> Bomhuset, Flensborgvej 158</t>
  </si>
  <si>
    <t xml:space="preserve"> Bomhuset (1847)</t>
  </si>
  <si>
    <t>Gildegade 15</t>
  </si>
  <si>
    <t xml:space="preserve"> Gildegade 15</t>
  </si>
  <si>
    <t xml:space="preserve"> Dobbelthuset (1752)</t>
  </si>
  <si>
    <t>Gildegade 5</t>
  </si>
  <si>
    <t xml:space="preserve"> Gildegade 5</t>
  </si>
  <si>
    <t xml:space="preserve"> Det grundmurede, ni fag dybe gavlhus (opr. fire våninger, mellem 1775 og 1785)</t>
  </si>
  <si>
    <t>Gildegade 6</t>
  </si>
  <si>
    <t xml:space="preserve"> Gildegade 6</t>
  </si>
  <si>
    <t xml:space="preserve"> Forhuset (den ndr. halvdel af dobbeltvåning, mellem 1754 og 1759, nogetændret ca 1890)</t>
  </si>
  <si>
    <t>H.P. Hanssens Gade 42</t>
  </si>
  <si>
    <t xml:space="preserve"> Amtshus (Kreishaus), Aabenraa</t>
  </si>
  <si>
    <t xml:space="preserve"> Det trefløjede amtshus (Kreishaus) (1901 af F.W.A. Jablonowski)</t>
  </si>
  <si>
    <t>Jernbanegade 2</t>
  </si>
  <si>
    <t xml:space="preserve"> Åbenrå Banegård</t>
  </si>
  <si>
    <t xml:space="preserve"> Stationsbygningen (1867 af NP Holsøe)</t>
  </si>
  <si>
    <t>Kirkeplads 7</t>
  </si>
  <si>
    <t xml:space="preserve"> Den gamle Pigeskole</t>
  </si>
  <si>
    <t xml:space="preserve"> Forhuset (ca 1755)</t>
  </si>
  <si>
    <t>Kirkeplads 8 A-C</t>
  </si>
  <si>
    <t xml:space="preserve"> Den gamle Drengeskole</t>
  </si>
  <si>
    <t xml:space="preserve"> Kirkeplads 8A-B: forhuset (1737, sydsiden forhøjet til to etager mellem 1853 og 1855). Kirkeplads 8C: baghuset (1855), opført som værkstedsbygning</t>
  </si>
  <si>
    <t>Klinkbjerg 1</t>
  </si>
  <si>
    <t xml:space="preserve"> Klinkbjerg 1</t>
  </si>
  <si>
    <t xml:space="preserve"> Det grundmurede, 11 fag dybe gavlhus (1752, delvis ombygget 1875)</t>
  </si>
  <si>
    <t>Klinkbjerg 2</t>
  </si>
  <si>
    <t xml:space="preserve"> Klinkbjerg 2</t>
  </si>
  <si>
    <t xml:space="preserve"> Forhuset (1835-36) og det bagved liggende bulhus (mellem 1754 og 1764)</t>
  </si>
  <si>
    <t>Lille Pottergade 4</t>
  </si>
  <si>
    <t xml:space="preserve"> Lille Pottergade 4</t>
  </si>
  <si>
    <t>Lille Pottergade 5</t>
  </si>
  <si>
    <t xml:space="preserve"> Leistmanns Fattighus</t>
  </si>
  <si>
    <t xml:space="preserve"> Forhuset (før 1744, grundmuret mellem 1764 og 1775 samtsenere)</t>
  </si>
  <si>
    <t>Lindsnakkevej 95</t>
  </si>
  <si>
    <t xml:space="preserve"> Haus Lensnack</t>
  </si>
  <si>
    <t xml:space="preserve"> Villaen Haus Lensnack (1909-10 af Anton Huber, udv. 2001) medtilhørende haveanlæg</t>
  </si>
  <si>
    <t>Nybro 14</t>
  </si>
  <si>
    <t xml:space="preserve"> Nybro 14</t>
  </si>
  <si>
    <t xml:space="preserve"> Gavlhuset (10 fag langt bindingsværkshus 1705 med det 1781 tilføjede, grundmuredefag med gavlen mod gaden) samt muren langs gaden (ca 1750)</t>
  </si>
  <si>
    <t>Nygade 44</t>
  </si>
  <si>
    <t xml:space="preserve"> Nygade 44</t>
  </si>
  <si>
    <t xml:space="preserve"> Det grundmurede forhus (1740) og baghus (1864)</t>
  </si>
  <si>
    <t>Nygade 45</t>
  </si>
  <si>
    <t xml:space="preserve"> Nygade 45</t>
  </si>
  <si>
    <t xml:space="preserve"> Det grundmurede gavlhus (1737, forlænget med tre fag mellem 1751 og 1754, forhøjet i 1866) og den dermed sammenbyggede sidebygning med bulkonstruktion i gårdsidens 2. etage(formentlig 1. halvdel af 1800-tallet) samt gårdspladsens brolægning halvdel af 1800-tallet) samt gårdspladsens brolægning</t>
  </si>
  <si>
    <t>Nygade 59</t>
  </si>
  <si>
    <t xml:space="preserve"> Richelsens Stiftelse</t>
  </si>
  <si>
    <t xml:space="preserve"> Forhuset (mellem 1845 og 1852)</t>
  </si>
  <si>
    <t>Nygade 62</t>
  </si>
  <si>
    <t xml:space="preserve"> Nygade 62</t>
  </si>
  <si>
    <t xml:space="preserve"> Gavlhuset (før 1744, helt omsat i grundmur mellem 1825 og 1900)</t>
  </si>
  <si>
    <t>Nygade 66</t>
  </si>
  <si>
    <t xml:space="preserve"> Nygade 66</t>
  </si>
  <si>
    <t xml:space="preserve"> Forhuset (før 1744, gadeside og gavle grundmurede ca 1815 og senere) samtgårdspladsens brolægning</t>
  </si>
  <si>
    <t>Nygade 70</t>
  </si>
  <si>
    <t xml:space="preserve"> Nygade 70</t>
  </si>
  <si>
    <t xml:space="preserve"> Det grundmurede forhus (1745, gadedør 1789)</t>
  </si>
  <si>
    <t>Persillegade 1</t>
  </si>
  <si>
    <t xml:space="preserve"> Persillegade 1</t>
  </si>
  <si>
    <t xml:space="preserve"> Det grundmurede forhus (1748)</t>
  </si>
  <si>
    <t>Persillegade 3 A-B</t>
  </si>
  <si>
    <t xml:space="preserve"> Jomfru Fannys Hus</t>
  </si>
  <si>
    <t xml:space="preserve"> Forhusene (1752 og senere)</t>
  </si>
  <si>
    <t>Persillegade 5</t>
  </si>
  <si>
    <t xml:space="preserve"> Persillegade 5</t>
  </si>
  <si>
    <t xml:space="preserve"> Det grundmurede forhus (1866)</t>
  </si>
  <si>
    <t>Præstegaardsvej 7</t>
  </si>
  <si>
    <t xml:space="preserve"> Felsted Præstegård</t>
  </si>
  <si>
    <t xml:space="preserve"> Stuehuset og de to udlænger (1788)</t>
  </si>
  <si>
    <t>Røllum Bygade 41</t>
  </si>
  <si>
    <t xml:space="preserve"> Jacobsgård</t>
  </si>
  <si>
    <t xml:space="preserve"> Den trelængede gård (før 1790) med brolagt gårdsplads</t>
  </si>
  <si>
    <t>Skibbroen 20-22</t>
  </si>
  <si>
    <t xml:space="preserve"> Nordfløjen (1853-54 formentlig af L.A.Winstrup)</t>
  </si>
  <si>
    <t>Skibbrogade 14</t>
  </si>
  <si>
    <t xml:space="preserve"> Skibbrogade 14</t>
  </si>
  <si>
    <t xml:space="preserve"> Det grundmurede forhus (formentlig mellem 1825 og 1830)</t>
  </si>
  <si>
    <t>Skibbrogade 16</t>
  </si>
  <si>
    <t xml:space="preserve"> Skibbrogade 16</t>
  </si>
  <si>
    <t xml:space="preserve"> Det fire fag dybe bindingsværksgavlhus med grundmuret gavl modgaden (1739, senere delvis grundmuret)</t>
  </si>
  <si>
    <t>Skibbrogade 3</t>
  </si>
  <si>
    <t xml:space="preserve"> Skibbrogade 3</t>
  </si>
  <si>
    <t xml:space="preserve"> De to sammenbyggede trefags bindingsværkshuse med grundmuredegadesider (det vestre 1737, det østre 1748)</t>
  </si>
  <si>
    <t>Skibbrogade 5</t>
  </si>
  <si>
    <t xml:space="preserve"> Skibbrogade 5</t>
  </si>
  <si>
    <t xml:space="preserve"> Det grundmurede forhus og den hermed sammenbyggede sidebygning(mellem 1754 og 1764)</t>
  </si>
  <si>
    <t xml:space="preserve"> Forhus og sidehus (ældre gavlhus med fløj langs gaden, ombygget oggrundmuret 1752)</t>
  </si>
  <si>
    <t>Skolevej 1C (tidl Ramsherred 40)</t>
  </si>
  <si>
    <t xml:space="preserve"> Pakhuset</t>
  </si>
  <si>
    <t xml:space="preserve"> Det grundmurede pakhus (1863)</t>
  </si>
  <si>
    <t>Skovbølgaardvej 10</t>
  </si>
  <si>
    <t xml:space="preserve"> Skovbølgård</t>
  </si>
  <si>
    <t xml:space="preserve"> Hovedbygningen (1765) og de to udlænger (sydlængen 1760 ognordlængen 1761)</t>
  </si>
  <si>
    <t>Skrænten 50, (tidl Storegade 11 B) (tidl 7-9)</t>
  </si>
  <si>
    <t xml:space="preserve"> Skrænten 50</t>
  </si>
  <si>
    <t xml:space="preserve"> Det grundmurede pakhus i gården (førstehalvdel af 1800-tallet)</t>
  </si>
  <si>
    <t xml:space="preserve"> Slotsgade 11</t>
  </si>
  <si>
    <t xml:space="preserve"> Gavlhuset (1707, senere delvis grundmuret) med sidehus (mellem 1709 og1770) og tværhuset (ca 1864, forhøjet 1871)</t>
  </si>
  <si>
    <t>Slotsgade 14</t>
  </si>
  <si>
    <t xml:space="preserve"> Slotsgade 14</t>
  </si>
  <si>
    <t xml:space="preserve"> Gavlhuset (1713, delvis grundmuret i sidste halvdel af 1800-tallet)</t>
  </si>
  <si>
    <t xml:space="preserve"> Det otte fag dybe bindingsværksgavlhus med grundmuret gavl mod gaden (de syv forreste fag mellem 1750 og 1770, forlænget med et grundmuret fag ca 1845, vestsidengrundmuret i 1900-tallet)</t>
  </si>
  <si>
    <t xml:space="preserve"> Gavlhuset (formentlig opført i 1725-50, de fire forreste fag forhøjet til to etagerfør 1770)</t>
  </si>
  <si>
    <t xml:space="preserve"> Det grundmurede forhus (1765-66, gadesiden delvis ombygget kort efter1855) samt gårdspladsens brolægning</t>
  </si>
  <si>
    <t>Slotsgade 28</t>
  </si>
  <si>
    <t xml:space="preserve"> Slotsgade 28</t>
  </si>
  <si>
    <t xml:space="preserve"> Det grundmurede forhus (1798)</t>
  </si>
  <si>
    <t xml:space="preserve"> Det ni fag dybe toetages gavlhus (de fem forreste fag 1770, de fire bagestemellem 1775 og 1778) og det trefags sidehus (ca 1750) samt gårdspladsens brolægning</t>
  </si>
  <si>
    <t>Slotsgade 3</t>
  </si>
  <si>
    <t xml:space="preserve"> Slotsgade 3</t>
  </si>
  <si>
    <t xml:space="preserve"> Forhuset (mellem 1744 og 1754)</t>
  </si>
  <si>
    <t xml:space="preserve"> Det grundmurede forhus (mellem 1785 og 1788)</t>
  </si>
  <si>
    <t>Slotsgade 33</t>
  </si>
  <si>
    <t xml:space="preserve"> Slotsgade 33</t>
  </si>
  <si>
    <t xml:space="preserve"> Det grundmurede forhus (ca 1748, ombygget ca 1820 og 1850) og murenud mod Slotsgade</t>
  </si>
  <si>
    <t>Slotsgade 5</t>
  </si>
  <si>
    <t xml:space="preserve"> Slotsgade 5</t>
  </si>
  <si>
    <t xml:space="preserve"> Gavlhuset (1707, delvis grundmuret efter 1872)</t>
  </si>
  <si>
    <t xml:space="preserve"> Slotsgade 9</t>
  </si>
  <si>
    <t xml:space="preserve"> Gavlhuset (ca 1710-15) med sidehus (mellem 1770 og 1780)</t>
  </si>
  <si>
    <t>Snorhavevej 28</t>
  </si>
  <si>
    <t xml:space="preserve"> Snorhavevej 28</t>
  </si>
  <si>
    <t xml:space="preserve"> Stuehus samt lade- og staldbygningen (ca 1850)</t>
  </si>
  <si>
    <t xml:space="preserve"> Det 10 fag dybe bindingsværksgavlhus (kort efter 1610, gavlen mod gadengrundmuret 1752, de seks forreste fag af sydsiden 1833)</t>
  </si>
  <si>
    <t xml:space="preserve"> Marcussens Gård</t>
  </si>
  <si>
    <t xml:space="preserve"> Forhuset (formentlig 1723) med sidehus (1. sidehus før 1744, 2. sidehusmellem 1754 og 1764, 3. sidehus mellem 1845 og 1855) og tværhuset (1859) samt gårdspladsens brolægning</t>
  </si>
  <si>
    <t>Storegade 2 B</t>
  </si>
  <si>
    <t xml:space="preserve"> Kliplev Præstegård</t>
  </si>
  <si>
    <t xml:space="preserve"> Hovedbygningen (1747)</t>
  </si>
  <si>
    <t>Storegade 30</t>
  </si>
  <si>
    <t xml:space="preserve"> Aabenraa Rådhus</t>
  </si>
  <si>
    <t xml:space="preserve"> Rådhusbygningen (1828-30 af C.F.Hansen)</t>
  </si>
  <si>
    <t>Store Pottergade 11</t>
  </si>
  <si>
    <t xml:space="preserve"> Store Pottergade 11</t>
  </si>
  <si>
    <t xml:space="preserve"> Det trefags forhus (østlige våning i boderækken fra slutn af1600-tallet, gadesidens stueetage grundmuret mellem 1744 og 1754 og 2. etage mellem 1805 og 1815)</t>
  </si>
  <si>
    <t>Store Pottergade 9</t>
  </si>
  <si>
    <t xml:space="preserve"> Store Pottergade 9</t>
  </si>
  <si>
    <t xml:space="preserve"> Forhuset (før 1744, delvis grundmuret mellem 1815 og 1825)</t>
  </si>
  <si>
    <t>Storetorv 9, hj af Søndergade</t>
  </si>
  <si>
    <t xml:space="preserve"> Redergården</t>
  </si>
  <si>
    <t xml:space="preserve"> Den vinkelbyggede gård, opr. omfattende et gavlhus langsSøndergade med gavl og portbygning mod torvet (1785-87, ombygget til sit nuværende udseende ca 1825)</t>
  </si>
  <si>
    <t>Søgård Hovvej 1</t>
  </si>
  <si>
    <t xml:space="preserve"> Søgård</t>
  </si>
  <si>
    <t xml:space="preserve"> Laden (1780)</t>
  </si>
  <si>
    <t>Søndergade 10</t>
  </si>
  <si>
    <t xml:space="preserve"> Søndergade 10</t>
  </si>
  <si>
    <t xml:space="preserve"> Bulhuslængen mod Slotsgade (1767)</t>
  </si>
  <si>
    <t>Søndergade 20</t>
  </si>
  <si>
    <t xml:space="preserve"> Postholdergården</t>
  </si>
  <si>
    <t xml:space="preserve"> Det grundmurede forhus med sidebygning (1758), brolægningen i gården, stakittet mellem gårdspladsen og haven, havens anlæg med markeret akse, lysthus og busketter, den hertil grænsende havemur med omkransende træbeplantning og busketter bla rhododendron</t>
  </si>
  <si>
    <t xml:space="preserve"> Øster Løgum Præstegård</t>
  </si>
  <si>
    <t xml:space="preserve"> Det firelængede præstegårdsanlæg med udløberfløj (ca 1800-50, muligvis med dele fra 1600-tallet), brolægning og hegnsmure samt lysthuset i haven</t>
  </si>
  <si>
    <t>Sønderport 1 A</t>
  </si>
  <si>
    <t xml:space="preserve"> Schwennesens Stiftelse</t>
  </si>
  <si>
    <t>Toften 37 A</t>
  </si>
  <si>
    <t xml:space="preserve"> Jacob Michelsens Gård</t>
  </si>
  <si>
    <t xml:space="preserve"> Stuehuslængen (før 1826), ladebygningen, bagehuset (slut. 1800),den åbne vognport samt haven</t>
  </si>
  <si>
    <t xml:space="preserve"> Kliplev Kro</t>
  </si>
  <si>
    <t xml:space="preserve"> Hovedbygningen (1700-tallet, kvisten 1852)</t>
  </si>
  <si>
    <t>Varnæsvej 700</t>
  </si>
  <si>
    <t xml:space="preserve"> Varnæs Præstegård</t>
  </si>
  <si>
    <t xml:space="preserve"> Stuehuset og udlængen</t>
  </si>
  <si>
    <t>Ved Slottet 1</t>
  </si>
  <si>
    <t xml:space="preserve"> Aabenraa Slotsvandmølle</t>
  </si>
  <si>
    <t xml:space="preserve"> Vandmøllebygningen (ca 1550)</t>
  </si>
  <si>
    <t>Vægterpladsen 1</t>
  </si>
  <si>
    <t xml:space="preserve"> Vægterpladsen 1</t>
  </si>
  <si>
    <t xml:space="preserve"> Det grundmurede forhus på ni fag (kort før 1744, ombygget ca1800)</t>
  </si>
  <si>
    <t>Vægterpladsen 1 A</t>
  </si>
  <si>
    <t xml:space="preserve"> Det Blinde Æsel</t>
  </si>
  <si>
    <t xml:space="preserve"> Det fem fag dybe bindingsværksgavlhus med grundmuret gavl modpladsen (mellem 1744 og 1754)</t>
  </si>
  <si>
    <t>Vægterpladsen 2, hj af Jomfrugangen</t>
  </si>
  <si>
    <t xml:space="preserve"> Tresuren</t>
  </si>
  <si>
    <t xml:space="preserve"> Gavlhuset på tre fag (1803)</t>
  </si>
  <si>
    <t>Vægterpladsen 3</t>
  </si>
  <si>
    <t xml:space="preserve"> Vægterpladsen 3</t>
  </si>
  <si>
    <t xml:space="preserve"> Forhuset, del af byens vægterhus (1600-tallet, grundmuret 1768,forhøjet med en etage i sidste del af 1800-tallet)</t>
  </si>
  <si>
    <t>Vægterpladsen 5, hj af Store Pottergade</t>
  </si>
  <si>
    <t xml:space="preserve"> Vægterpladsen 5</t>
  </si>
  <si>
    <t xml:space="preserve"> Forhuset, del af byens vægterhus (1600-tallet, grundmuret 1768, ombygget kort efter 1827)</t>
  </si>
  <si>
    <t>Aalborg Kommune</t>
  </si>
  <si>
    <t>Adelgade 14, hj af Latinergyden og Klosterjordet</t>
  </si>
  <si>
    <t xml:space="preserve"> Ålborg Hospital, Helligåndsklosteret</t>
  </si>
  <si>
    <t>Helligåndsklosterets bygninger (ca 1400-50, ca 1500)</t>
  </si>
  <si>
    <t>Adelgade 4-6</t>
  </si>
  <si>
    <t xml:space="preserve"> Brix'es Gård</t>
  </si>
  <si>
    <t xml:space="preserve"> De fire længer mellem Cortesgyde og C.W. Obels Plads (senmiddelalder ogca 1580-90 samt senere)</t>
  </si>
  <si>
    <t>Algade 42-44</t>
  </si>
  <si>
    <t xml:space="preserve"> Aalborg Post- og Telegraf. </t>
  </si>
  <si>
    <t>Det trefløjede bygningsanlæg med side- ogbaghuse, gårdsplads og portparti (1908-10 af Hack Kampmann</t>
  </si>
  <si>
    <t>Bakmøllevej 241</t>
  </si>
  <si>
    <t xml:space="preserve"> Vang</t>
  </si>
  <si>
    <t xml:space="preserve"> Den trelængede hovedbygning (1788-89) med gravene mod nord, øst og syd</t>
  </si>
  <si>
    <t>C.A. Olesens Gade 1, Strandvejen 16 og Vestre Havnepromenade 21</t>
  </si>
  <si>
    <t xml:space="preserve"> De Danske Spritfabrikker Aalborg</t>
  </si>
  <si>
    <t>Egensevej 155</t>
  </si>
  <si>
    <t xml:space="preserve"> Klarupgård</t>
  </si>
  <si>
    <t xml:space="preserve"> Den trelængede hovedbygning (hovedfløjen 1700-tallet, sidelængerne 1847-48)</t>
  </si>
  <si>
    <t>Fjordgade 2</t>
  </si>
  <si>
    <t xml:space="preserve"> Fjordgade 2</t>
  </si>
  <si>
    <t>Gammeltorv 10</t>
  </si>
  <si>
    <t xml:space="preserve"> Gammeltorv 10</t>
  </si>
  <si>
    <t xml:space="preserve"> Den ældre bankbygning (1874-75 af J.D.Herholdt)</t>
  </si>
  <si>
    <t>Gammeltorv 2</t>
  </si>
  <si>
    <t xml:space="preserve"> Ålborg gamle Rådhus</t>
  </si>
  <si>
    <t xml:space="preserve"> Rådhusbygningen (1757-62, formentlig af Daniel Hopp)</t>
  </si>
  <si>
    <t>Gammeltorv 4 (tidl nr 6)</t>
  </si>
  <si>
    <t xml:space="preserve"> Tinghuset (1940-43, Bent Helweg-Møller)</t>
  </si>
  <si>
    <t>Gammel Østergade 8</t>
  </si>
  <si>
    <t xml:space="preserve"> Forhus med sidehus (1791)</t>
  </si>
  <si>
    <t>Halkærvej 3</t>
  </si>
  <si>
    <t xml:space="preserve"> Lundbæk</t>
  </si>
  <si>
    <t xml:space="preserve"> Hovedbygningen (1804) med omgivende grave</t>
  </si>
  <si>
    <t>Hasserisvej 168</t>
  </si>
  <si>
    <t xml:space="preserve"> Gaarden</t>
  </si>
  <si>
    <t xml:space="preserve"> Villa, garagebygning og forplads (1917 af Ejnar Packness)</t>
  </si>
  <si>
    <t>Hvorupgårdvej 82</t>
  </si>
  <si>
    <t xml:space="preserve"> Bjørumgård</t>
  </si>
  <si>
    <t xml:space="preserve"> Den trefløjede hovedbygning (ca 1800)</t>
  </si>
  <si>
    <t xml:space="preserve"> Aalborg Station</t>
  </si>
  <si>
    <t xml:space="preserve"> Aalborg Stations hovedbygning (1902 af ThomasArboe)</t>
  </si>
  <si>
    <t>Kattesundet 20, hj af Borgergade</t>
  </si>
  <si>
    <t xml:space="preserve"> Pakhuse i Kattesundet og Borgergade</t>
  </si>
  <si>
    <t xml:space="preserve"> Det toetages pakhus mod Borgergade (1700-tallet), det treetages pakhus mod Kattesundet (slutn af 1600-tallet) og den hermedsammenbyggede toetages bygning med halvtagsudbygning mod gården</t>
  </si>
  <si>
    <t>Kirkegårdsgade 3</t>
  </si>
  <si>
    <t xml:space="preserve"> Kirkegårdsgade 3</t>
  </si>
  <si>
    <t xml:space="preserve"> Forhuset (1809)</t>
  </si>
  <si>
    <t>Kong Christians Allé 50</t>
  </si>
  <si>
    <t xml:space="preserve"> Nordjyllands Kunstmuseum</t>
  </si>
  <si>
    <t xml:space="preserve"> Museumsbygningen, skulpturparken med omgivende mure og med terrasser og amfiteater, forpladsen med nedkørsel, parkeringspladsen samt den græsbevoksede vold mod Kong Christians Allé (1963-72 af Jean-Jacques Baruël i samarbejde med ElissaAalto og Alvar Aalto)</t>
  </si>
  <si>
    <t>Kong Hansgade 18</t>
  </si>
  <si>
    <t xml:space="preserve"> Det trefløjede bygningsanlæg med tilhørende gårde ogomgivende haveanlæg (1918 og 1943 af Ejnar Packness)</t>
  </si>
  <si>
    <t>Kongstedlundvej 18</t>
  </si>
  <si>
    <t xml:space="preserve"> Kongstedlund</t>
  </si>
  <si>
    <t xml:space="preserve"> Hovedbygningens vestre fløj (1592, portalen 1640) med den smalledel af søndre fløj (1700-tallet) samt de omgivende grave</t>
  </si>
  <si>
    <t>Mellemgade 52, Nibe</t>
  </si>
  <si>
    <t xml:space="preserve"> Mellemgade 52</t>
  </si>
  <si>
    <t xml:space="preserve"> Forhuset mod Strandgade (1825) og sidehuset mod Mellemgade(1848)</t>
  </si>
  <si>
    <t>Møllebrovej 2</t>
  </si>
  <si>
    <t xml:space="preserve"> Gudumlund</t>
  </si>
  <si>
    <t xml:space="preserve"> Hovedbygningen (1776), den ottekantede hollænderibygning, den brolagte gårdsplads, haven, tørveladen, de to murstykker om gårdspladsen og alléen</t>
  </si>
  <si>
    <t xml:space="preserve"> Udv 2010</t>
  </si>
  <si>
    <t>Nørregade 1, hj af Fjordgade</t>
  </si>
  <si>
    <t xml:space="preserve"> Forhus mod Nørregade (ca 1560-1600), forhus modFjordsgade (ca 1580-1600)</t>
  </si>
  <si>
    <t xml:space="preserve"> Nørregade 9</t>
  </si>
  <si>
    <t xml:space="preserve"> Bindingsværkssidelænge (sidste halvdel af 1600-tallet)</t>
  </si>
  <si>
    <t>Postgårdsvej 9-11</t>
  </si>
  <si>
    <t xml:space="preserve"> Postgård</t>
  </si>
  <si>
    <t xml:space="preserve"> Hovedbygningen (1804, et fag tilbygget ca 1860)</t>
  </si>
  <si>
    <t>Refsnæsvej 3</t>
  </si>
  <si>
    <t xml:space="preserve"> Refsnæs</t>
  </si>
  <si>
    <t xml:space="preserve"> Hovedbygningens nordfløj (1791) og østlænge (ca 1840-50) samt den store lade(1612)</t>
  </si>
  <si>
    <t>Restrup Kærvej 10</t>
  </si>
  <si>
    <t xml:space="preserve"> Store Restrup</t>
  </si>
  <si>
    <t xml:space="preserve"> Den trefløjede hovedbygning (1723, ombygget ca 1760-70) samt murmed piller mod øst og graven mod vest</t>
  </si>
  <si>
    <t>Riihimäkivej 3</t>
  </si>
  <si>
    <t xml:space="preserve"> Riihimäkivej 3</t>
  </si>
  <si>
    <t xml:space="preserve"> Industribygningen (1956 af Arne Jacobsen) samt ejendommens mur modRiihimäkivej og den fritstående skorsten</t>
  </si>
  <si>
    <t>Ryesgade 52</t>
  </si>
  <si>
    <t xml:space="preserve"> Ryesgade Skole</t>
  </si>
  <si>
    <t xml:space="preserve"> Administrations- og gymnastikbygningen, de fire pavilloner med toforbindende toiletbygninger samt skolegården (1911 og udvidet 1917 af Oscar Beck)</t>
  </si>
  <si>
    <t>Skansen 1</t>
  </si>
  <si>
    <t xml:space="preserve"> Hals Skanse</t>
  </si>
  <si>
    <t xml:space="preserve"> Den af fire bastioner bestående skanse med krudtmagasin og tøjhusbygningensamt den omgivende grav og redanen i nord</t>
  </si>
  <si>
    <t>Slotspladsen 1</t>
  </si>
  <si>
    <t xml:space="preserve"> Ålborg Slot</t>
  </si>
  <si>
    <t xml:space="preserve"> Slottets nord-, øst- og sydfløj (1539-ca 1550 af Martin Bussert samt 1633 og1705), muren der afgrænser slotsgårdens vestside samt det omgivende voldanlæg</t>
  </si>
  <si>
    <t>Vesterbro 1-15</t>
  </si>
  <si>
    <t xml:space="preserve"> Enighedslund</t>
  </si>
  <si>
    <t xml:space="preserve"> Etageboligbebyggelsen Enighedslund (1938 af Kooperative Arkitekter vedIvar Bentsen, Vagn Kasstrup og Harald Petersen) med tilhørende gård- og haveanlæg</t>
  </si>
  <si>
    <t>Vår Skovvej 6</t>
  </si>
  <si>
    <t xml:space="preserve"> Vår</t>
  </si>
  <si>
    <t xml:space="preserve"> Den tofløjede hovedbygning samt den vest herfor liggende mur med portpiller ogpavilloner (1587-90, reduceret og ombygget 1722)</t>
  </si>
  <si>
    <t>Zincksvej 1, Godthåb</t>
  </si>
  <si>
    <t xml:space="preserve"> Godthåb Hammerværk</t>
  </si>
  <si>
    <t xml:space="preserve"> Turbinetårnet (1894), Kedelhuset med skorsten (1897), Vestre smedje med shedtage, skorstene og 11 nagelfaste maskiner inkl turbine og 2 drivaksler (1915),Østre Smedje (1902) og Tørrelade nr 4 (1897)</t>
  </si>
  <si>
    <t>Østerågade 23 og Maren Turisgade 6</t>
  </si>
  <si>
    <t xml:space="preserve"> Hamborggården</t>
  </si>
  <si>
    <t xml:space="preserve"> Forhuset mod Østerå (efter 1616), den østre sidelænge langs ejendommens sdr. skel (ca 1600), den vestre sidelænge langs sdr. skel med portbygningen mod Maren Turisgade (ca 1580-90, facaden mod Maren Turisgade grundmuret i 1800-tallet)</t>
  </si>
  <si>
    <t>Østerågade 25</t>
  </si>
  <si>
    <t xml:space="preserve"> Borgmester Jørgen Olufsens Gård</t>
  </si>
  <si>
    <t xml:space="preserve"> Gavlhuset og den hermed sammenbyggedesidebygning langs ejendommens ndr. skel (1616, gårdside og sidebygning delvis ombygget i 1800-tallet)</t>
  </si>
  <si>
    <t>Østerågade 29</t>
  </si>
  <si>
    <t xml:space="preserve"> Distriktstoldkammeret</t>
  </si>
  <si>
    <t xml:space="preserve"> Det trefløjede bygningsanlæg med gårdsplads og gårdmur samttilhørende udhuse på gårdspladsen (1900-1902 af Hack Kampmann)</t>
  </si>
  <si>
    <t>Østerågade 9</t>
  </si>
  <si>
    <t xml:space="preserve"> Jens Bangs Stenhus</t>
  </si>
  <si>
    <t xml:space="preserve"> Stenhuset mod Østerågade (1623-24) med trappetårnet (1897) samt side- og bagbygningerne mod syd (Adelgade, med overhvælvet kælderrum), vest (Cortesgyde) ognord</t>
  </si>
  <si>
    <t>Århus Kommune</t>
  </si>
  <si>
    <t>Badstuegade 1H</t>
  </si>
  <si>
    <t xml:space="preserve"> Badstuegade 1H</t>
  </si>
  <si>
    <t xml:space="preserve"> Pakhuset (1809)</t>
  </si>
  <si>
    <t>Bedervej 101, Vilhelmsborg Allé 1, Vilhelmsborgvej 4-12</t>
  </si>
  <si>
    <t xml:space="preserve"> Vilhelmsborg</t>
  </si>
  <si>
    <t xml:space="preserve"> Hovedbygningen (1842-44 af Ferdinand Thielemann) og den sammenbyggede pavillonbygning i øst, staldgården bestående af forpagterbolig, hestestalden med vognremise, agerumslade, kostald og herskabsstald (1856-57 af Gustav Martens) samt smedien (ca 1870) og de fire landarbejderboliger ved Vilhelmsborgvej ("Polakhusene",1892)</t>
  </si>
  <si>
    <t xml:space="preserve"> Nationalbankbygningen (tidl) (1926 af Axel Berg, ombygget1989 af C.F.Møllers Tegnestue)</t>
  </si>
  <si>
    <t>Domkirkepladsen 5</t>
  </si>
  <si>
    <t xml:space="preserve"> Århus Rådhus (tidl)</t>
  </si>
  <si>
    <t xml:space="preserve"> Rådhuset (1857 af Ferdinand Thieleman, ombygget 1907 af S.F.Kühnel)</t>
  </si>
  <si>
    <t>Fenrisvej 31</t>
  </si>
  <si>
    <t xml:space="preserve"> Århus Statsgymnasium</t>
  </si>
  <si>
    <t xml:space="preserve"> Skolebygningen, gymnastiksalen, den tidligere rektorbolig (undtagen forbindelsesgang og tilbygning fra 1996), den tidligere pedelbolig samt omgivelser i form af forpladsen, trapperne, gårdhaven med vandbassin og øvrige befæstede arealer (1958 af Arne Gravers og Johan Richter) med relieffer af Asger Jorn og en gobelin af Asger Jorn og Pierre Wermaëre samt de to senere tilbyggede fløje til skolebygningen (1971 af Kjær og Richter) med senere forbindelsesbygning</t>
  </si>
  <si>
    <t>Fredens Torv 3B</t>
  </si>
  <si>
    <t xml:space="preserve"> Trods Katholm</t>
  </si>
  <si>
    <t xml:space="preserve"> Pakhuset mod Fredensgade 3 og muren mod Fredens Torv (1847-50)</t>
  </si>
  <si>
    <t>Frederiksgade 79</t>
  </si>
  <si>
    <t xml:space="preserve"> Købmand Herskinds Gård</t>
  </si>
  <si>
    <t xml:space="preserve"> Forhus med bindingsværkslænge (1816)</t>
  </si>
  <si>
    <t>Gedingvej 2</t>
  </si>
  <si>
    <t xml:space="preserve"> Thoralds Hus</t>
  </si>
  <si>
    <t xml:space="preserve"> Thoralds Hus (midten af 1700-tallet) med omgivende stenpikning og hækkenmod vej</t>
  </si>
  <si>
    <t>Hack Kampmanns Plads 10 (tidl Nordhavnsgade 4)</t>
  </si>
  <si>
    <t xml:space="preserve"> Stykgodspakhuset</t>
  </si>
  <si>
    <t xml:space="preserve"> Stykgodspakhuset (1923 eftertegninger af stadsarkitekt Frederik Draiby og ingeniør H.J.N.Gebauer)</t>
  </si>
  <si>
    <t>Hack Kampmanns Plads 1-3 (tidl Havnen 165)</t>
  </si>
  <si>
    <t xml:space="preserve"> Toldkammerkomplekset med hegnsmurmod Havnegade (1895-97 af Hack Kampmann)</t>
  </si>
  <si>
    <t>Hans Hartvig Seedorffs Stræde 12</t>
  </si>
  <si>
    <t xml:space="preserve"> Mejlen</t>
  </si>
  <si>
    <t xml:space="preserve"> Det tidligere børneasyl Mejlen (1883 af arkitekt Carl Lange)</t>
  </si>
  <si>
    <t>Harlev Kirkevej 11</t>
  </si>
  <si>
    <t xml:space="preserve"> Harlev Præstegård</t>
  </si>
  <si>
    <t xml:space="preserve"> Det trelængede anlæg syd for kirken (stuehus delvis 1737, vestresidelænge 1757)</t>
  </si>
  <si>
    <t>Højen 13, Brabrand</t>
  </si>
  <si>
    <t xml:space="preserve"> Højen 13, Brabrand</t>
  </si>
  <si>
    <t xml:space="preserve"> Villaen med tilbygning , udhus og carport samt den indre gårdmed omgivende mure (1958, udvidet 1970 af Knud Friis)</t>
  </si>
  <si>
    <t>Jægergårdsgade  97</t>
  </si>
  <si>
    <t xml:space="preserve">  Centralværkstederne,  administrationsbygning  m.m</t>
  </si>
  <si>
    <t xml:space="preserve"> Administrationsbygningen  (1910  afPovl Baumann), Vognrevisionsværkstedet (opført som lokomotivværksted 1911, udvidet 1932)</t>
  </si>
  <si>
    <t>Kannikegade 1-3</t>
  </si>
  <si>
    <t xml:space="preserve"> Århus Teater</t>
  </si>
  <si>
    <t xml:space="preserve"> Hele teaterbygningskomplekset (1900 af Hack Kampmann, udvidet 1953-55 og ombygget 1981 af C.F.Møller)</t>
  </si>
  <si>
    <t>Klostergade 56</t>
  </si>
  <si>
    <t xml:space="preserve"> Klostergade 56</t>
  </si>
  <si>
    <t xml:space="preserve"> Den trelængede gård (forhuset muligvis af bygmester A.G. Monrad 1812)</t>
  </si>
  <si>
    <t>Klostergade 58</t>
  </si>
  <si>
    <t xml:space="preserve"> Klostergade 58</t>
  </si>
  <si>
    <t xml:space="preserve"> Forhuset og sidehus (1700-tallet med senmiddelalderlig kælder)</t>
  </si>
  <si>
    <t>Klostergade 59</t>
  </si>
  <si>
    <t xml:space="preserve"> Vor Frue Kloster, Århus Hospital (tidl)</t>
  </si>
  <si>
    <t xml:space="preserve"> Sortebrødreklostrets fløje mod vest, nord og øst samt fratergangen langs klosterkirkens nordside (middelalder, stærkt ombygget 1878-79 af NP Holsøe,gennemgangen i nordfløjen 1956 af Aksel Skov)</t>
  </si>
  <si>
    <t>Kærbyvej 9, 11 og 13</t>
  </si>
  <si>
    <t xml:space="preserve"> Kærbygård</t>
  </si>
  <si>
    <t xml:space="preserve"> Det trefløjede anlæg bestående af hovedbygningen med to sidefløje(ca 1768, ombygget 1880) og to avlsgårdslænger (1928), den ene med lille tilbygning mod vest</t>
  </si>
  <si>
    <t>Lille Torv 6</t>
  </si>
  <si>
    <t xml:space="preserve"> Jysk Handels- og Landbrugsbank (tidl)</t>
  </si>
  <si>
    <t xml:space="preserve"> Bankbygningen (1899-1900 af S.F.Kühnel)</t>
  </si>
  <si>
    <t>Lyngbygårdsvej 25</t>
  </si>
  <si>
    <t xml:space="preserve"> Lyngbygård</t>
  </si>
  <si>
    <t xml:space="preserve"> Hovedbygningen (1755 og 1775, kælderen 1500-tallet)</t>
  </si>
  <si>
    <t>Mejlgade 19</t>
  </si>
  <si>
    <t xml:space="preserve"> Juuls Gaard</t>
  </si>
  <si>
    <t xml:space="preserve"> Forhus mod Mejlgade med to sidehuse og baghus (forhuset ca 1625)</t>
  </si>
  <si>
    <t xml:space="preserve"> Udvidet 1970*</t>
  </si>
  <si>
    <t>Mejlgade 25</t>
  </si>
  <si>
    <t xml:space="preserve"> Mejlgade 25</t>
  </si>
  <si>
    <t>Mejlgade 43</t>
  </si>
  <si>
    <t xml:space="preserve"> Mejlgade 43</t>
  </si>
  <si>
    <t xml:space="preserve"> Forhus med sidehus og baghus (1831)</t>
  </si>
  <si>
    <t>Mejlgade 45</t>
  </si>
  <si>
    <t xml:space="preserve"> Mejlgade 45</t>
  </si>
  <si>
    <t xml:space="preserve"> Forhuset (1842-43), sidehuset (1858), auktionshuset inkl interiører og denhermed sammenbyggede vinkelformede lagerbygning (1875-76) samt hegnsmuren mod Snævringen</t>
  </si>
  <si>
    <t>Mejlgade 48</t>
  </si>
  <si>
    <t xml:space="preserve"> Mejlgade 48</t>
  </si>
  <si>
    <t>Mejlgade 52-54</t>
  </si>
  <si>
    <t xml:space="preserve"> Mejlgade 52-54</t>
  </si>
  <si>
    <t>Mejlgade 7</t>
  </si>
  <si>
    <t xml:space="preserve"> Mejlgade 7</t>
  </si>
  <si>
    <t xml:space="preserve"> Forhuset og sidehuset (1848)</t>
  </si>
  <si>
    <t>Mindegade 8</t>
  </si>
  <si>
    <t xml:space="preserve"> Hans Broges Gård</t>
  </si>
  <si>
    <t xml:space="preserve"> Forhus og sidehus (1849 formentlig af Hans Wilhelm Schrøder)</t>
  </si>
  <si>
    <t>Moesgård Allé 18-20</t>
  </si>
  <si>
    <t xml:space="preserve"> Moesgård</t>
  </si>
  <si>
    <t xml:space="preserve"> Hovedbygningen med de krumme fløje (1780-84 af Christian Joseph Zuber) og alle avlsbygninger omkring gårdspladsen og hovedindkørslen mod vest samtforbindelsesmurene mellem hovedbygning og avlsgård</t>
  </si>
  <si>
    <t>Nørreport 20</t>
  </si>
  <si>
    <t xml:space="preserve"> Raaes Gård</t>
  </si>
  <si>
    <t xml:space="preserve"> Forhus og sidelænge (1798 af Anders Kruuse)</t>
  </si>
  <si>
    <t>Observatorievejen 1 og 3</t>
  </si>
  <si>
    <t xml:space="preserve"> Ole Rømer Observatoriet</t>
  </si>
  <si>
    <t xml:space="preserve"> Ole Rømer Observatoriet bestående af observatoriebygning og direktørbolig med tilhørende udhus (1911 af Anton Rosen)</t>
  </si>
  <si>
    <t>Paradisgade 5-7</t>
  </si>
  <si>
    <t xml:space="preserve"> Århus Håndværkerforenings Asyl (tidl)</t>
  </si>
  <si>
    <t xml:space="preserve"> Forhuset (1866 af V.Th.Walther)</t>
  </si>
  <si>
    <t>Rosensgade 38 A-B</t>
  </si>
  <si>
    <t xml:space="preserve"> Rosensgade 38A-B</t>
  </si>
  <si>
    <t xml:space="preserve"> Hjørnehuset (1700-tallet og senere)</t>
  </si>
  <si>
    <t>Rådhuspladsen 2 og Park Alle 2</t>
  </si>
  <si>
    <t xml:space="preserve"> Århus Rådhus</t>
  </si>
  <si>
    <t xml:space="preserve"> Århus Rådhus (1938-42 ved Arne Jacobsen og Erik Møller), Rådhuspladsen med "Grisebrønden" (bronzekopi af Mogens Bøggild's granitbrønd), Rådhushaven, Rådhusgården og Rådhusparken med "Agnete og Havmanden" (af Johannes Bjerg)</t>
  </si>
  <si>
    <t>Skolegade 15-17</t>
  </si>
  <si>
    <t xml:space="preserve"> Skolegade 15-17</t>
  </si>
  <si>
    <t xml:space="preserve"> Forhuset med to sidehuse (1642) og hegnsmuren om gården</t>
  </si>
  <si>
    <t>Skolegade 19</t>
  </si>
  <si>
    <t xml:space="preserve"> Skolegade 19</t>
  </si>
  <si>
    <t xml:space="preserve"> Forhuset (1700-tallet, kælderen middelalderlig)</t>
  </si>
  <si>
    <t>Skolegyde 1-3</t>
  </si>
  <si>
    <t xml:space="preserve"> Århus Katedralskole</t>
  </si>
  <si>
    <t xml:space="preserve"> Den gamle rektorbolig (1808)</t>
  </si>
  <si>
    <t>Skovagervej 2</t>
  </si>
  <si>
    <t xml:space="preserve"> Psykiatrisk Hospital</t>
  </si>
  <si>
    <t xml:space="preserve"> Den oprindelige trefløjede hovedbygning med tværfløje/sidefløjene (1849-50 af Gottlieb Bindesbøll) samt de to fritliggende længer vest herfor (1849-50 af Gottlieb Bindesbøllog forlænget i 1860'erne af Ferdinand Meldahl)</t>
  </si>
  <si>
    <t>Skovmøllevej 51 og 53</t>
  </si>
  <si>
    <t xml:space="preserve"> Moesgård Skovmølle</t>
  </si>
  <si>
    <t xml:space="preserve"> Vandmøllen (1785, øverste etage tilbygget 1852), de tostuehuse i nord og syd samt den østre bygning</t>
  </si>
  <si>
    <t>Skovvejen 44-46</t>
  </si>
  <si>
    <t xml:space="preserve"> Klintegaarden</t>
  </si>
  <si>
    <t xml:space="preserve"> Klintegaarden, bestående af to husrækker mod henholdsvis Skovvejen og Århus Bugten (1936 og 1938 af ingeniør Ove Christensen), to ældre villaer (1896 og 1900, ombygget1936, 1938 og senere) samt arealerne imellem bebyggelsen</t>
  </si>
  <si>
    <t>Spanien 3-7</t>
  </si>
  <si>
    <t xml:space="preserve"> Århus Kommunale Svømmehal og Badeanstalt</t>
  </si>
  <si>
    <t xml:space="preserve"> Svømmehallen og badeanstalten (1930- 31 afFrederik Draiby og Niels Christian Skjøth)</t>
  </si>
  <si>
    <t>Storetorv 3</t>
  </si>
  <si>
    <t xml:space="preserve"> Den Grå Kannikegård</t>
  </si>
  <si>
    <t xml:space="preserve"> De hvælvede kældre</t>
  </si>
  <si>
    <t>Strandvejen 104</t>
  </si>
  <si>
    <t xml:space="preserve"> Villa Kampen</t>
  </si>
  <si>
    <t xml:space="preserve"> Villaen (1901-02 af Hack Kampmann) med haveanlæg og hegn afkampestensmur og stakit</t>
  </si>
  <si>
    <t>Studsgade 29</t>
  </si>
  <si>
    <t xml:space="preserve"> Studsgade 29</t>
  </si>
  <si>
    <t xml:space="preserve"> Forhuset (1842-44)</t>
  </si>
  <si>
    <t>Studsgade 31</t>
  </si>
  <si>
    <t xml:space="preserve"> Studsgade 31</t>
  </si>
  <si>
    <t xml:space="preserve"> Forhus med sidehus (facaden 1841, resten fra beg af 1700-tallet)</t>
  </si>
  <si>
    <t>Studsgade 33</t>
  </si>
  <si>
    <t xml:space="preserve"> Studsgade 33</t>
  </si>
  <si>
    <t xml:space="preserve"> Forhuset og baghuset (1847) samt fabriksbygningen (1893 for ÅrhusDampvæveri), skorstenen ved baghusets sydgavl samt alle pigstens- og brostensbelægninger på matrnr 981</t>
  </si>
  <si>
    <t>* Udv. 1996 og 2022</t>
  </si>
  <si>
    <t>Studsgade 35</t>
  </si>
  <si>
    <t xml:space="preserve"> Studsgade 35</t>
  </si>
  <si>
    <t xml:space="preserve"> Forhus med sidelænge (1700-tallet)</t>
  </si>
  <si>
    <t>Søskrænten 4</t>
  </si>
  <si>
    <t xml:space="preserve"> Jarlsminde</t>
  </si>
  <si>
    <t xml:space="preserve"> Hovedbygningen (ca 1800, ombygget ca 1820) og det kampestensbyggedeudhus (ca 1800)</t>
  </si>
  <si>
    <t>Tarskovvej 1-3</t>
  </si>
  <si>
    <t xml:space="preserve"> Tarskov Møllegård</t>
  </si>
  <si>
    <t xml:space="preserve"> Vandmøllen og den hermed sammenbyggede beboelse (ca 1800),stuehuset og de vinkelret herpå liggende bindingsværksbygninger</t>
  </si>
  <si>
    <t>Vester Allé 1</t>
  </si>
  <si>
    <t xml:space="preserve"> Vester Allés Kaserne</t>
  </si>
  <si>
    <t xml:space="preserve"> Ridehuset på hjørnet af Frederiks Allé og Vester Allé (1858-60 afoberst JCV Steenstrup)</t>
  </si>
  <si>
    <t>Vester Allé 12</t>
  </si>
  <si>
    <t xml:space="preserve"> Erhvervsarkivet</t>
  </si>
  <si>
    <t xml:space="preserve"> Biblioteksbygningen, forarealet med mure og indkørsel samt læsesalensnagelfaste inventar inkl lysekronerne (1898-1901 af Hack Kampmann)</t>
  </si>
  <si>
    <t xml:space="preserve"> Forhus, sidehus og baghus (1600-tallet)</t>
  </si>
  <si>
    <t xml:space="preserve"> Vestergade 29</t>
  </si>
  <si>
    <t xml:space="preserve"> Forhus mod Vestergade (beg 1800-tallet formentlig af Peder Quist) ogsidelænge mod Grønnegade (midten af 1700-tallet)</t>
  </si>
  <si>
    <t>Vestergade 58</t>
  </si>
  <si>
    <t xml:space="preserve"> Vestergade 58</t>
  </si>
  <si>
    <t xml:space="preserve"> Forhuset, de to sidehuse og baghuset</t>
  </si>
  <si>
    <t>Vesterport 8 B</t>
  </si>
  <si>
    <t xml:space="preserve"> Rådmand Halds Gård</t>
  </si>
  <si>
    <t xml:space="preserve"> Det firefløjede gårdanlæg og den fritliggende, enetages bygning igården (1700-tallet)</t>
  </si>
  <si>
    <t>Vestre Skovvej 2</t>
  </si>
  <si>
    <t xml:space="preserve"> Villaen (ca 1888 af Martin Nyrop)</t>
  </si>
  <si>
    <t>Værkmestergade 7</t>
  </si>
  <si>
    <t xml:space="preserve"> Centralværkstederne</t>
  </si>
  <si>
    <t xml:space="preserve"> Boggierevisionsværkstedet (1883), Smedien (Grovsmedien) og Boggierengøringsværkstedet ("Sibirien") (1862) eksklusiv mellembygninger og tilbygninger samt den venstre del af Drejerværkstedet (1862) afgrænset ved tværmuren i flugt med "Sibiriens" østfacade</t>
  </si>
  <si>
    <t>Østergårdsvej 223</t>
  </si>
  <si>
    <t xml:space="preserve"> Astrup Præstegård</t>
  </si>
  <si>
    <t xml:space="preserve"> Præstegården (ca 1770, ombygget 1856 og 1894) og derumskabende elementer i haven</t>
  </si>
  <si>
    <t xml:space="preserve"> Hængebroen(1850) med fundamenter i granitkvadre og jordfæster i støbejern   1998*</t>
  </si>
  <si>
    <t xml:space="preserve"> Den østre sidelænge i gården (opført kort før 1789 som erstatning for et 13 fag dybt gavlhus fra 1580-83, hvis hvælvede kældre stadig er bevarede. Baggavl og gårdside grundmuret 1854 og 1857, længen forhøjet1865) samt stald- og vognportlængen mod syd (1790).   1918*</t>
  </si>
  <si>
    <t xml:space="preserve"> "Den trefløjede hovedbygning bestående af nordfløjen med slotskapellet (1600-tallet, ombygget ca 1740 af Niels Eigtved, interiører i kapellet 1735 af Lauritz de Thurah og Johann Friedrich Hännel - kapellet   1918, øvrige nordfløj 1978), østfløjen og sydfløjen (1889-92 af Axel Berg-   1997), den brostensbelagte gårdsplads (  1997) samt i parken: monumentet for Frederik V (1772 af Johannes Wiedewelt -   1964) og statuerne "Flora" og "Sabinerindernes Rov" (af JohannesWiedewelt -   1978)</t>
  </si>
  <si>
    <t>Vestergade  1  E  og  1     Vestergade  1  E  og  1     Pakhuset  (1837)  og  det  dermedsammenbyggede sidehus (1838)</t>
  </si>
  <si>
    <t>Østergade 45 A-B og 45 E-  Mads Rasmussens Gård</t>
  </si>
  <si>
    <t xml:space="preserve"> Langgade 16-18, Nykøbing   De to forhuse (nr 16: ca 1800; nr 18: 1580)</t>
  </si>
  <si>
    <t xml:space="preserve"> Vandtårnet (1912-13 af arkitekt Al  Jørgensen og ingeniørGeorg Jochimsen)</t>
  </si>
  <si>
    <t>Tromnæs Alléen 2 og 2 C-  Corselitze</t>
  </si>
  <si>
    <t xml:space="preserve"> Bulladen (opført ca 1650, flyttet 1835 og 1999).   1950</t>
  </si>
  <si>
    <t xml:space="preserve"> Den trelængede hovedbygning (1744 på kældre fra ca 1550-1600, midtfløjens bindingsværk skalmuret ca 1850, sidelængerne ca 1900) (  1951), dæmningen over voldgraven med vangemurene, murpillerne og de to hundehuse (alt sidstnævnte fra midten af 1700-tallet)samt gårdspladsen på voldstedet</t>
  </si>
  <si>
    <t xml:space="preserve"> Forhuset (nr 38 op  1792 af Peter Hersleb Classen antageligunder medvirken af Andreas Kirkerup;)</t>
  </si>
  <si>
    <t xml:space="preserve"> Forhus og de dertil stødende sidehuse med samme gesimshøjde somforhuset (sydlige del med firefags forhus opført 1782-83 af C. F.Harsdorff, resten op  1788 af Frederik Beckmann)</t>
  </si>
  <si>
    <t>Forhuset nr 27 (1811-13).   1951*</t>
  </si>
  <si>
    <t xml:space="preserve"> Hjørnehus mod Gråbrødretorv og sidehus (op  1730-31, forhøjet med en etage 1843-44) med tilbygning samt forhus mod Valkendorfsgade(1844) med side- og baghus (1747)</t>
  </si>
  <si>
    <t>* Forhuset nr 12 (ca 1680, stærkt ombygget og forhøjet til gaden 1798, til gården 1830;facadeændring ca 1850)   1945</t>
  </si>
  <si>
    <t xml:space="preserve"> (* Bevaringsdeklaration for dele af Carlsberg)Kældrene under Den Røde Lagerbygning (1883) Stjerneporten samt Kridttårnet med vagtbygningen med den tilhørende mur og det brolagte areal mellem mur og bolig (1883 af P.C. Bønecke). Malteri og Maltmagasiner (1881 af Vilhelm Dahlerup) Dipylon (Dobbeltporten (1892 af Vilhelm Dahlerup) Bryghuset (1901 af Vilhelm Klein med senere ændringer) samt siloerne nord for Bryghuset. Elefantporten (1901 af Vilhelm Dahlerup). Vejbelægningen på Ny Carlsberg Vej på strækningen under Elefantporten, under Dipylon, mellem Elefantporten og Dipylon, mellem Vesterfælledvej og Dipylon samt vejens allé- beplantning.Den Snoede Skorsten (1900 af Carl Jacobsen og Vilhelm Dahlerup, udført af murermester Beckmann). Mineralvandsfabrikkens lagerbygning samt pergola syd herfor (1920-1927 af Carl Harild i samarbejde med Carlsbergs ingeniørkontor). Kraftværket (1923-29 af Carl Harild i samarbejde med Carlsbergs projekteringsafdeling, udvidet 1953). Kedelhuset (1926 af Carl Harild i samarbejde med Carlsbergs ingeniørkontor, udvidet 1928). De hængende Haver (1967/69 af Svenn Eske Kristensen i samarbejde med Carlsbergs projekteringsafdeling og planlægningsafdeling). Haven foran Æresboligen (1851-1867 af Rudolph Rothe). Lagerkælder 3 (1969 af Svenn Eske Kristensen og ingeniørfirmaet B. Højlund Rasmussen). Carlsberg Laboratorium samt forstanderboliger mod nord og syd med tilhørende forbindelsesgange (1893-96 af F.C. Thomsen) samt indgangsparti bestående af fire portsøjler og låger.  2009.  Udvidet 2015, ændret 2017. Ændret 2017. </t>
  </si>
  <si>
    <t xml:space="preserve"> Den toetages træbygning (opr.  søbadeanstalt, op  afGottlieb Bindesbøll)</t>
  </si>
  <si>
    <t xml:space="preserve"> Udvidet 1954* Mnr 1a: ladebygningerne og den gamle smedie.   1954. Udvidet 1964</t>
  </si>
  <si>
    <t xml:space="preserve"> Forhuset (ca 1820) med hvælvet middelalderkælder (  1919)samt sidehuset (ca 1820) (  1978)</t>
  </si>
  <si>
    <t xml:space="preserve"> Den trelængede hovedbygning med omgivende grave (op  1761 påmiddelalderlige kældre)</t>
  </si>
  <si>
    <t xml:space="preserve"> Mnr 559: bislagstenene(1527)   1950</t>
  </si>
  <si>
    <t xml:space="preserve"> De Danske Spritfabrikkers anlæg i Aalborg bestående af fabriksbygning med trappetårn, brænderitårn, aftapningsbygning, kogerbygning, malteribygning med sammenbygget silobygning og forbindelsesbro til fabriksbygning, kulfilterbygning, rørtunnel mellem kulfilterbygning og brænderitårn, kedelhuse med maskinværksted, dampskorsten, jernbaneporten med murstykker og -piller, de fem nittede jerntanke nord for kulfilterbygningen samt kontorbygning (1931 af Al  Cock-Clausen og D.S.F's driftskontor, med senere tilføjelser)</t>
  </si>
  <si>
    <t>John   Kennedys Plads 3</t>
  </si>
  <si>
    <t xml:space="preserve"> Den gamle skolebygning (1763 af Christian Mørup, ombygget i 1840'rne af Hans Wilhelm Schrøder og i 1905 af Hack Kampmann), den røde bygning (1903-05 af Hack Kampmann) samt de nye bygninger medforbindende overdækning (1956-57 af C.F.Møller).   1996</t>
  </si>
  <si>
    <t>Udvidet 2004 *</t>
  </si>
  <si>
    <t>Kronprinsessegade 22</t>
  </si>
  <si>
    <t>Kronprinsessegade 24</t>
  </si>
  <si>
    <t xml:space="preserve"> Kronprinsessegade 24</t>
  </si>
  <si>
    <t>Nyhavn 14</t>
  </si>
  <si>
    <t>Udvidet 1932 og 1951*</t>
  </si>
  <si>
    <t>Sdr. Boulevard 1</t>
  </si>
  <si>
    <t>Strandetvej 49</t>
  </si>
  <si>
    <t>full_adress</t>
  </si>
  <si>
    <t>lat_raw</t>
  </si>
  <si>
    <t>lon_raw</t>
  </si>
  <si>
    <t>lat_tidy</t>
  </si>
  <si>
    <t>lon_tidy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</si>
</sst>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000"/>
    <numFmt numFmtId="170" formatCode="0.0000000"/>
  </numFmts>
  <fonts count="2" x14ac:knownFonts="1">
    <font>
      <sz val="10"/>
      <name val="Arial"/>
    </font>
    <font>
      <sz val="12"/>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1" fillId="0" borderId="0" xfId="0" quotePrefix="1" applyFont="1"/>
    <xf numFmtId="0" fontId="1" fillId="0" borderId="0" xfId="0" applyNumberFormat="1" applyFont="1"/>
    <xf numFmtId="164" fontId="0" fillId="0" borderId="0" xfId="0" applyNumberFormat="1"/>
    <xf numFmtId="165" fontId="1" fillId="0" borderId="0" xfId="0" applyNumberFormat="1" applyFont="1"/>
    <xf numFmtId="1" fontId="1" fillId="0" borderId="0" xfId="0" applyNumberFormat="1" applyFont="1"/>
    <xf numFmtId="164" fontId="1" fillId="0" borderId="0" xfId="0" applyNumberFormat="1" applyFont="1"/>
    <xf numFmtId="170"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L3876"/>
  <sheetViews>
    <sheetView tabSelected="1" topLeftCell="C1" workbookViewId="0">
      <selection activeCell="M63" sqref="M63"/>
    </sheetView>
  </sheetViews>
  <sheetFormatPr baseColWidth="10" defaultColWidth="8.83203125" defaultRowHeight="13" x14ac:dyDescent="0.15"/>
  <cols>
    <col min="1" max="1" width="14.33203125" customWidth="1"/>
    <col min="2" max="2" width="22.6640625" customWidth="1"/>
    <col min="3" max="3" width="20.83203125" customWidth="1"/>
    <col min="4" max="4" width="33.5" customWidth="1"/>
    <col min="5" max="5" width="21.33203125" customWidth="1"/>
    <col min="6" max="6" width="21.5" customWidth="1"/>
    <col min="7" max="7" width="17.6640625" customWidth="1"/>
    <col min="9" max="9" width="20.33203125" style="4" customWidth="1"/>
    <col min="10" max="10" width="15.83203125" customWidth="1"/>
    <col min="11" max="11" width="12.1640625" customWidth="1"/>
    <col min="12" max="12" width="12.1640625" bestFit="1" customWidth="1"/>
  </cols>
  <sheetData>
    <row r="1" spans="1:12" ht="21" customHeight="1" x14ac:dyDescent="0.2">
      <c r="A1" s="1" t="s">
        <v>0</v>
      </c>
      <c r="B1" s="1" t="s">
        <v>1</v>
      </c>
      <c r="C1" s="1" t="s">
        <v>2</v>
      </c>
      <c r="D1" s="1" t="s">
        <v>11406</v>
      </c>
      <c r="E1" s="1" t="s">
        <v>3</v>
      </c>
      <c r="F1" s="1" t="s">
        <v>4</v>
      </c>
      <c r="G1" s="1" t="s">
        <v>5</v>
      </c>
      <c r="H1" s="1" t="s">
        <v>6</v>
      </c>
      <c r="I1" s="5" t="s">
        <v>11407</v>
      </c>
      <c r="J1" s="1" t="s">
        <v>11408</v>
      </c>
      <c r="K1" s="1" t="s">
        <v>11409</v>
      </c>
      <c r="L1" s="1" t="s">
        <v>11410</v>
      </c>
    </row>
    <row r="2" spans="1:12" ht="16" x14ac:dyDescent="0.2">
      <c r="A2" s="1">
        <v>1</v>
      </c>
      <c r="B2" s="1" t="s">
        <v>7</v>
      </c>
      <c r="C2" s="1" t="s">
        <v>8</v>
      </c>
      <c r="D2" s="1" t="str">
        <f>B2&amp;C2</f>
        <v>Assens Kommune Alléen 5</v>
      </c>
      <c r="E2" s="1" t="s">
        <v>9</v>
      </c>
      <c r="F2" s="1" t="s">
        <v>10</v>
      </c>
      <c r="G2" s="1">
        <v>1918</v>
      </c>
      <c r="H2" s="1" t="s">
        <v>11</v>
      </c>
      <c r="I2" s="6" cm="1">
        <f t="array" ref="I2">GetLatitude(D2)</f>
        <v>551869208</v>
      </c>
      <c r="J2" s="1" cm="1">
        <f t="array" ref="J2">GetLongitude(D2)</f>
        <v>100830105</v>
      </c>
      <c r="K2" s="1">
        <f>I2/10000000</f>
        <v>55.186920800000003</v>
      </c>
      <c r="L2" s="8">
        <f>J2/10000000</f>
        <v>10.0830105</v>
      </c>
    </row>
    <row r="3" spans="1:12" ht="16" x14ac:dyDescent="0.2">
      <c r="A3" s="1">
        <v>2</v>
      </c>
      <c r="B3" s="1" t="s">
        <v>7</v>
      </c>
      <c r="C3" s="1" t="s">
        <v>12</v>
      </c>
      <c r="D3" s="1" t="str">
        <f t="shared" ref="D3:D66" si="0">B3&amp;C3</f>
        <v>Assens Kommune Billeskovvej 9</v>
      </c>
      <c r="E3" s="1" t="s">
        <v>13</v>
      </c>
      <c r="F3" s="1" t="s">
        <v>14</v>
      </c>
      <c r="G3" s="1">
        <v>1932</v>
      </c>
      <c r="H3" s="1" t="s">
        <v>15</v>
      </c>
      <c r="I3" s="6" cm="1">
        <f t="array" ref="I3">GetLatitude(D3)</f>
        <v>553477195</v>
      </c>
      <c r="J3" s="1" cm="1">
        <f t="array" ref="J3">GetLongitude(D3)</f>
        <v>99511761</v>
      </c>
      <c r="K3" s="1">
        <f>I3/10000000</f>
        <v>55.347719499999997</v>
      </c>
      <c r="L3" s="1">
        <f>J3/10000000</f>
        <v>9.9511760999999996</v>
      </c>
    </row>
    <row r="4" spans="1:12" ht="16" x14ac:dyDescent="0.2">
      <c r="A4" s="1">
        <v>3</v>
      </c>
      <c r="B4" s="1" t="s">
        <v>7</v>
      </c>
      <c r="C4" s="1" t="s">
        <v>16</v>
      </c>
      <c r="D4" s="1" t="str">
        <f t="shared" si="0"/>
        <v>Assens Kommune Brahesborgvej 29</v>
      </c>
      <c r="E4" s="1" t="s">
        <v>17</v>
      </c>
      <c r="F4" s="1" t="s">
        <v>18</v>
      </c>
      <c r="G4" s="1">
        <v>1996</v>
      </c>
      <c r="H4" s="1" t="s">
        <v>19</v>
      </c>
      <c r="I4" s="6" cm="1">
        <f t="array" ref="I4">GetLatitude(D4)</f>
        <v>552798544</v>
      </c>
      <c r="J4" s="1" cm="1">
        <f t="array" ref="J4">GetLongitude(D4)</f>
        <v>99380187</v>
      </c>
      <c r="K4" s="1">
        <f t="shared" ref="K4:K67" si="1">I4/10000000</f>
        <v>55.279854399999998</v>
      </c>
      <c r="L4" s="1">
        <f t="shared" ref="L4:L67" si="2">J4/10000000</f>
        <v>9.9380187000000006</v>
      </c>
    </row>
    <row r="5" spans="1:12" ht="16" x14ac:dyDescent="0.2">
      <c r="A5" s="1">
        <v>4</v>
      </c>
      <c r="B5" s="1" t="s">
        <v>7</v>
      </c>
      <c r="C5" s="1" t="s">
        <v>20</v>
      </c>
      <c r="D5" s="1" t="str">
        <f t="shared" si="0"/>
        <v>Assens Kommune Brydegaardsvej 10</v>
      </c>
      <c r="E5" s="1" t="s">
        <v>21</v>
      </c>
      <c r="F5" s="1" t="s">
        <v>22</v>
      </c>
      <c r="G5" s="1">
        <v>1992</v>
      </c>
      <c r="H5" s="1" t="s">
        <v>15</v>
      </c>
      <c r="I5" s="6" cm="1">
        <f t="array" ref="I5">GetLatitude(D5)</f>
        <v>552078984</v>
      </c>
      <c r="J5" s="1" cm="1">
        <f t="array" ref="J5">GetLongitude(D5)</f>
        <v>99964392</v>
      </c>
      <c r="K5" s="1">
        <f t="shared" si="1"/>
        <v>55.207898399999998</v>
      </c>
      <c r="L5" s="1">
        <f t="shared" si="2"/>
        <v>9.9964391999999993</v>
      </c>
    </row>
    <row r="6" spans="1:12" ht="16" x14ac:dyDescent="0.2">
      <c r="A6" s="1">
        <v>5</v>
      </c>
      <c r="B6" s="1" t="s">
        <v>7</v>
      </c>
      <c r="C6" s="1" t="s">
        <v>23</v>
      </c>
      <c r="D6" s="1" t="str">
        <f t="shared" si="0"/>
        <v>Assens Kommune Byvejen 11</v>
      </c>
      <c r="E6" s="1" t="s">
        <v>24</v>
      </c>
      <c r="F6" s="1" t="s">
        <v>25</v>
      </c>
      <c r="G6" s="1">
        <v>1991</v>
      </c>
      <c r="H6" s="1" t="s">
        <v>11</v>
      </c>
      <c r="I6" s="6" cm="1">
        <f t="array" ref="I6">GetLatitude(D6)</f>
        <v>552626875</v>
      </c>
      <c r="J6" s="1" cm="1">
        <f t="array" ref="J6">GetLongitude(D6)</f>
        <v>101186532</v>
      </c>
      <c r="K6" s="1">
        <f t="shared" si="1"/>
        <v>55.262687499999998</v>
      </c>
      <c r="L6" s="1">
        <f t="shared" si="2"/>
        <v>10.118653200000001</v>
      </c>
    </row>
    <row r="7" spans="1:12" ht="16" x14ac:dyDescent="0.2">
      <c r="A7" s="1">
        <v>6</v>
      </c>
      <c r="B7" s="1" t="s">
        <v>7</v>
      </c>
      <c r="C7" s="1" t="s">
        <v>26</v>
      </c>
      <c r="D7" s="1" t="str">
        <f t="shared" si="0"/>
        <v>Assens Kommune Damgade 1</v>
      </c>
      <c r="E7" s="1" t="s">
        <v>27</v>
      </c>
      <c r="F7" s="1" t="s">
        <v>28</v>
      </c>
      <c r="G7" s="1">
        <v>1954</v>
      </c>
      <c r="H7" s="1" t="s">
        <v>11</v>
      </c>
      <c r="I7" s="6" cm="1">
        <f t="array" ref="I7">GetLatitude(D7)</f>
        <v>552706261</v>
      </c>
      <c r="J7" s="1" cm="1">
        <f t="array" ref="J7">GetLongitude(D7)</f>
        <v>98930374</v>
      </c>
      <c r="K7" s="1">
        <f t="shared" si="1"/>
        <v>55.270626100000001</v>
      </c>
      <c r="L7" s="1">
        <f t="shared" si="2"/>
        <v>9.8930374000000008</v>
      </c>
    </row>
    <row r="8" spans="1:12" ht="16" x14ac:dyDescent="0.2">
      <c r="A8" s="1">
        <v>7</v>
      </c>
      <c r="B8" s="1" t="s">
        <v>7</v>
      </c>
      <c r="C8" s="1" t="s">
        <v>29</v>
      </c>
      <c r="D8" s="1" t="str">
        <f t="shared" si="0"/>
        <v>Assens Kommune Dreslettevej 5</v>
      </c>
      <c r="E8" s="1" t="s">
        <v>30</v>
      </c>
      <c r="F8" s="1" t="s">
        <v>31</v>
      </c>
      <c r="G8" s="1">
        <v>1990</v>
      </c>
      <c r="H8" s="1" t="s">
        <v>15</v>
      </c>
      <c r="I8" s="6" cm="1">
        <f t="array" ref="I8">GetLatitude(D8)</f>
        <v>552213340</v>
      </c>
      <c r="J8" s="1" cm="1">
        <f t="array" ref="J8">GetLongitude(D8)</f>
        <v>100389871</v>
      </c>
      <c r="K8" s="1">
        <f t="shared" si="1"/>
        <v>55.221333999999999</v>
      </c>
      <c r="L8" s="1">
        <f t="shared" si="2"/>
        <v>10.0389871</v>
      </c>
    </row>
    <row r="9" spans="1:12" ht="16" x14ac:dyDescent="0.2">
      <c r="A9" s="1">
        <v>8</v>
      </c>
      <c r="B9" s="1" t="s">
        <v>7</v>
      </c>
      <c r="C9" s="1" t="s">
        <v>32</v>
      </c>
      <c r="D9" s="1" t="str">
        <f t="shared" si="0"/>
        <v>Assens Kommune Ege Allé 5</v>
      </c>
      <c r="E9" s="1" t="s">
        <v>33</v>
      </c>
      <c r="F9" s="1" t="s">
        <v>34</v>
      </c>
      <c r="G9" s="1">
        <v>1973</v>
      </c>
      <c r="H9" s="1" t="s">
        <v>11</v>
      </c>
      <c r="I9" s="6" cm="1">
        <f t="array" ref="I9">GetLatitude(D9)</f>
        <v>552219163</v>
      </c>
      <c r="J9" s="1" cm="1">
        <f t="array" ref="J9">GetLongitude(D9)</f>
        <v>100045734</v>
      </c>
      <c r="K9" s="1">
        <f t="shared" si="1"/>
        <v>55.221916299999997</v>
      </c>
      <c r="L9" s="1">
        <f t="shared" si="2"/>
        <v>10.0045734</v>
      </c>
    </row>
    <row r="10" spans="1:12" ht="16" x14ac:dyDescent="0.2">
      <c r="A10" s="1">
        <v>9</v>
      </c>
      <c r="B10" s="1" t="s">
        <v>7</v>
      </c>
      <c r="C10" s="1" t="s">
        <v>35</v>
      </c>
      <c r="D10" s="1" t="str">
        <f t="shared" si="0"/>
        <v>Assens Kommune Erholmvej 25</v>
      </c>
      <c r="E10" s="1" t="s">
        <v>36</v>
      </c>
      <c r="F10" s="1" t="s">
        <v>37</v>
      </c>
      <c r="G10" s="1">
        <v>1964</v>
      </c>
      <c r="H10" s="1" t="s">
        <v>11</v>
      </c>
      <c r="I10" s="6" cm="1">
        <f t="array" ref="I10">GetLatitude(D10)</f>
        <v>553960620</v>
      </c>
      <c r="J10" s="1" cm="1">
        <f t="array" ref="J10">GetLongitude(D10)</f>
        <v>100489120</v>
      </c>
      <c r="K10" s="1">
        <f t="shared" si="1"/>
        <v>55.396062000000001</v>
      </c>
      <c r="L10" s="1">
        <f t="shared" si="2"/>
        <v>10.048912</v>
      </c>
    </row>
    <row r="11" spans="1:12" ht="16" x14ac:dyDescent="0.2">
      <c r="A11" s="1">
        <v>10</v>
      </c>
      <c r="B11" s="1" t="s">
        <v>7</v>
      </c>
      <c r="C11" s="1" t="s">
        <v>38</v>
      </c>
      <c r="D11" s="1" t="str">
        <f t="shared" si="0"/>
        <v>Assens Kommune Fåborgvej 108</v>
      </c>
      <c r="E11" s="1" t="s">
        <v>39</v>
      </c>
      <c r="F11" s="1" t="s">
        <v>40</v>
      </c>
      <c r="G11" s="1">
        <v>1994</v>
      </c>
      <c r="H11" s="1" t="s">
        <v>15</v>
      </c>
      <c r="I11" s="6" cm="1">
        <f t="array" ref="I11">GetLatitude(D11)</f>
        <v>552504980</v>
      </c>
      <c r="J11" s="1" cm="1">
        <f t="array" ref="J11">GetLongitude(D11)</f>
        <v>99538790</v>
      </c>
      <c r="K11" s="1">
        <f t="shared" si="1"/>
        <v>55.250498</v>
      </c>
      <c r="L11" s="1">
        <f t="shared" si="2"/>
        <v>9.9538790000000006</v>
      </c>
    </row>
    <row r="12" spans="1:12" ht="16" x14ac:dyDescent="0.2">
      <c r="A12" s="1">
        <v>11</v>
      </c>
      <c r="B12" s="1" t="s">
        <v>7</v>
      </c>
      <c r="C12" s="1" t="s">
        <v>41</v>
      </c>
      <c r="D12" s="1" t="str">
        <f t="shared" si="0"/>
        <v>Assens Kommune Helnæs Byvej 3</v>
      </c>
      <c r="E12" s="1" t="s">
        <v>42</v>
      </c>
      <c r="F12" s="1" t="s">
        <v>43</v>
      </c>
      <c r="G12" s="1">
        <v>1982</v>
      </c>
      <c r="H12" s="1" t="s">
        <v>11</v>
      </c>
      <c r="I12" s="6" cm="1">
        <f t="array" ref="I12">GetLatitude(D12)</f>
        <v>551682522</v>
      </c>
      <c r="J12" s="1" cm="1">
        <f t="array" ref="J12">GetLongitude(D12)</f>
        <v>99863179</v>
      </c>
      <c r="K12" s="1">
        <f t="shared" si="1"/>
        <v>55.168252199999998</v>
      </c>
      <c r="L12" s="1">
        <f t="shared" si="2"/>
        <v>9.9863178999999995</v>
      </c>
    </row>
    <row r="13" spans="1:12" ht="16" x14ac:dyDescent="0.2">
      <c r="A13" s="1">
        <v>12</v>
      </c>
      <c r="B13" s="1" t="s">
        <v>7</v>
      </c>
      <c r="C13" s="1" t="s">
        <v>44</v>
      </c>
      <c r="D13" s="1" t="str">
        <f t="shared" si="0"/>
        <v>Assens Kommune Helnæsvej 1</v>
      </c>
      <c r="E13" s="1" t="s">
        <v>45</v>
      </c>
      <c r="F13" s="1" t="s">
        <v>46</v>
      </c>
      <c r="G13" s="1">
        <v>1932</v>
      </c>
      <c r="H13" s="1" t="s">
        <v>11</v>
      </c>
      <c r="I13" s="6" cm="1">
        <f t="array" ref="I13">GetLatitude(D13)</f>
        <v>552136092</v>
      </c>
      <c r="J13" s="1" cm="1">
        <f t="array" ref="J13">GetLongitude(D13)</f>
        <v>99977488</v>
      </c>
      <c r="K13" s="1">
        <f t="shared" si="1"/>
        <v>55.2136092</v>
      </c>
      <c r="L13" s="1">
        <f t="shared" si="2"/>
        <v>9.9977488000000001</v>
      </c>
    </row>
    <row r="14" spans="1:12" ht="16" x14ac:dyDescent="0.2">
      <c r="A14" s="1">
        <v>13</v>
      </c>
      <c r="B14" s="1" t="s">
        <v>7</v>
      </c>
      <c r="C14" s="1" t="s">
        <v>47</v>
      </c>
      <c r="D14" s="1" t="str">
        <f t="shared" si="0"/>
        <v>Assens Kommune Hårbyvej 2</v>
      </c>
      <c r="E14" s="1" t="s">
        <v>48</v>
      </c>
      <c r="F14" s="1" t="s">
        <v>49</v>
      </c>
      <c r="G14" s="1">
        <v>1991</v>
      </c>
      <c r="H14" s="1" t="s">
        <v>15</v>
      </c>
      <c r="I14" s="6" cm="1">
        <f t="array" ref="I14">GetLatitude(D14)</f>
        <v>552398754</v>
      </c>
      <c r="J14" s="1" cm="1">
        <f t="array" ref="J14">GetLongitude(D14)</f>
        <v>100698387</v>
      </c>
      <c r="K14" s="1">
        <f t="shared" si="1"/>
        <v>55.239875400000003</v>
      </c>
      <c r="L14" s="1">
        <f t="shared" si="2"/>
        <v>10.0698387</v>
      </c>
    </row>
    <row r="15" spans="1:12" ht="16" x14ac:dyDescent="0.2">
      <c r="A15" s="1">
        <v>14</v>
      </c>
      <c r="B15" s="1" t="s">
        <v>7</v>
      </c>
      <c r="C15" s="1" t="s">
        <v>50</v>
      </c>
      <c r="D15" s="1" t="str">
        <f t="shared" si="0"/>
        <v>Assens Kommune Jørgen Brahesvej 1</v>
      </c>
      <c r="E15" s="1" t="s">
        <v>51</v>
      </c>
      <c r="F15" s="1" t="s">
        <v>52</v>
      </c>
      <c r="G15" s="1">
        <v>1918</v>
      </c>
      <c r="H15" s="1" t="s">
        <v>11374</v>
      </c>
      <c r="I15" s="6" cm="1">
        <f t="array" ref="I15">GetLatitude(D15)</f>
        <v>552803873</v>
      </c>
      <c r="J15" s="1" cm="1">
        <f t="array" ref="J15">GetLongitude(D15)</f>
        <v>99517197</v>
      </c>
      <c r="K15" s="1">
        <f t="shared" si="1"/>
        <v>55.280387300000001</v>
      </c>
      <c r="L15" s="1">
        <f t="shared" si="2"/>
        <v>9.9517196999999999</v>
      </c>
    </row>
    <row r="16" spans="1:12" ht="16" x14ac:dyDescent="0.2">
      <c r="A16" s="1">
        <v>15</v>
      </c>
      <c r="B16" s="1" t="s">
        <v>7</v>
      </c>
      <c r="C16" s="1" t="s">
        <v>53</v>
      </c>
      <c r="D16" s="1" t="str">
        <f t="shared" si="0"/>
        <v>Assens Kommune Kertevej 56</v>
      </c>
      <c r="E16" s="1" t="s">
        <v>54</v>
      </c>
      <c r="F16" s="1" t="s">
        <v>55</v>
      </c>
      <c r="G16" s="1">
        <v>1979</v>
      </c>
      <c r="H16" s="1" t="s">
        <v>15</v>
      </c>
      <c r="I16" s="6" cm="1">
        <f t="array" ref="I16">GetLatitude(D16)</f>
        <v>553638981</v>
      </c>
      <c r="J16" s="1" cm="1">
        <f t="array" ref="J16">GetLongitude(D16)</f>
        <v>99896413</v>
      </c>
      <c r="K16" s="1">
        <f t="shared" si="1"/>
        <v>55.3638981</v>
      </c>
      <c r="L16" s="1">
        <f t="shared" si="2"/>
        <v>9.9896413000000006</v>
      </c>
    </row>
    <row r="17" spans="1:12" ht="16" x14ac:dyDescent="0.2">
      <c r="A17" s="1">
        <v>16</v>
      </c>
      <c r="B17" s="1" t="s">
        <v>7</v>
      </c>
      <c r="C17" s="1" t="s">
        <v>56</v>
      </c>
      <c r="D17" s="1" t="str">
        <f t="shared" si="0"/>
        <v>Assens Kommune Kirke Søbyvej 73</v>
      </c>
      <c r="E17" s="1" t="s">
        <v>57</v>
      </c>
      <c r="F17" s="1" t="s">
        <v>58</v>
      </c>
      <c r="G17" s="1">
        <v>1979</v>
      </c>
      <c r="H17" s="1" t="s">
        <v>11</v>
      </c>
      <c r="I17" s="6" cm="1">
        <f t="array" ref="I17">GetLatitude(D17)</f>
        <v>552624754</v>
      </c>
      <c r="J17" s="1" cm="1">
        <f t="array" ref="J17">GetLongitude(D17)</f>
        <v>100255893</v>
      </c>
      <c r="K17" s="1">
        <f t="shared" si="1"/>
        <v>55.2624754</v>
      </c>
      <c r="L17" s="1">
        <f t="shared" si="2"/>
        <v>10.0255893</v>
      </c>
    </row>
    <row r="18" spans="1:12" ht="16" x14ac:dyDescent="0.2">
      <c r="A18" s="1">
        <v>17</v>
      </c>
      <c r="B18" s="1" t="s">
        <v>7</v>
      </c>
      <c r="C18" s="1" t="s">
        <v>59</v>
      </c>
      <c r="D18" s="1" t="str">
        <f t="shared" si="0"/>
        <v>Assens Kommune Klaregade 22</v>
      </c>
      <c r="E18" s="1" t="s">
        <v>60</v>
      </c>
      <c r="F18" s="1" t="s">
        <v>61</v>
      </c>
      <c r="G18" s="1">
        <v>1989</v>
      </c>
      <c r="H18" s="1" t="s">
        <v>11</v>
      </c>
      <c r="I18" s="6" cm="1">
        <f t="array" ref="I18">GetLatitude(D18)</f>
        <v>552570214</v>
      </c>
      <c r="J18" s="1" cm="1">
        <f t="array" ref="J18">GetLongitude(D18)</f>
        <v>101326445</v>
      </c>
      <c r="K18" s="1">
        <f t="shared" si="1"/>
        <v>55.257021399999999</v>
      </c>
      <c r="L18" s="1">
        <f t="shared" si="2"/>
        <v>10.1326445</v>
      </c>
    </row>
    <row r="19" spans="1:12" ht="16" x14ac:dyDescent="0.2">
      <c r="A19" s="1">
        <v>18</v>
      </c>
      <c r="B19" s="1" t="s">
        <v>7</v>
      </c>
      <c r="C19" s="1" t="s">
        <v>62</v>
      </c>
      <c r="D19" s="1" t="str">
        <f t="shared" si="0"/>
        <v>Assens Kommune Klaregade 23</v>
      </c>
      <c r="E19" s="1" t="s">
        <v>63</v>
      </c>
      <c r="F19" s="1" t="s">
        <v>64</v>
      </c>
      <c r="G19" s="1">
        <v>1950</v>
      </c>
      <c r="H19" s="1" t="s">
        <v>11</v>
      </c>
      <c r="I19" s="6" cm="1">
        <f t="array" ref="I19">GetLatitude(D19)</f>
        <v>552571508</v>
      </c>
      <c r="J19" s="1" cm="1">
        <f t="array" ref="J19">GetLongitude(D19)</f>
        <v>101330525</v>
      </c>
      <c r="K19" s="1">
        <f t="shared" si="1"/>
        <v>55.257150799999998</v>
      </c>
      <c r="L19" s="1">
        <f t="shared" si="2"/>
        <v>10.1330525</v>
      </c>
    </row>
    <row r="20" spans="1:12" ht="16" x14ac:dyDescent="0.2">
      <c r="A20" s="1">
        <v>19</v>
      </c>
      <c r="B20" s="1" t="s">
        <v>7</v>
      </c>
      <c r="C20" s="1" t="s">
        <v>65</v>
      </c>
      <c r="D20" s="1" t="str">
        <f t="shared" si="0"/>
        <v>Assens Kommune Klaregade 25</v>
      </c>
      <c r="E20" s="1" t="s">
        <v>66</v>
      </c>
      <c r="F20" s="1" t="s">
        <v>67</v>
      </c>
      <c r="G20" s="1">
        <v>1989</v>
      </c>
      <c r="H20" s="1" t="s">
        <v>15</v>
      </c>
      <c r="I20" s="6" cm="1">
        <f t="array" ref="I20">GetLatitude(D20)</f>
        <v>552566656</v>
      </c>
      <c r="J20" s="1" cm="1">
        <f t="array" ref="J20">GetLongitude(D20)</f>
        <v>101331168</v>
      </c>
      <c r="K20" s="1">
        <f t="shared" si="1"/>
        <v>55.256665599999998</v>
      </c>
      <c r="L20" s="1">
        <f t="shared" si="2"/>
        <v>10.1331168</v>
      </c>
    </row>
    <row r="21" spans="1:12" ht="16" x14ac:dyDescent="0.2">
      <c r="A21" s="1">
        <v>20</v>
      </c>
      <c r="B21" s="1" t="s">
        <v>7</v>
      </c>
      <c r="C21" s="1" t="s">
        <v>68</v>
      </c>
      <c r="D21" s="1" t="str">
        <f t="shared" si="0"/>
        <v>Assens Kommune Korsgade 11</v>
      </c>
      <c r="E21" s="1" t="s">
        <v>69</v>
      </c>
      <c r="F21" s="1" t="s">
        <v>70</v>
      </c>
      <c r="G21" s="1">
        <v>1918</v>
      </c>
      <c r="H21" s="1" t="s">
        <v>11</v>
      </c>
      <c r="I21" s="6" cm="1">
        <f t="array" ref="I21">GetLatitude(D21)</f>
        <v>553012998</v>
      </c>
      <c r="J21" s="1" cm="1">
        <f t="array" ref="J21">GetLongitude(D21)</f>
        <v>100327481</v>
      </c>
      <c r="K21" s="8">
        <f t="shared" si="1"/>
        <v>55.301299800000002</v>
      </c>
      <c r="L21" s="1">
        <f t="shared" si="2"/>
        <v>10.032748099999999</v>
      </c>
    </row>
    <row r="22" spans="1:12" ht="16" x14ac:dyDescent="0.2">
      <c r="A22" s="1">
        <v>21</v>
      </c>
      <c r="B22" s="1" t="s">
        <v>7</v>
      </c>
      <c r="C22" s="1" t="s">
        <v>71</v>
      </c>
      <c r="D22" s="1" t="str">
        <f t="shared" si="0"/>
        <v>Assens Kommune Korsgade 22</v>
      </c>
      <c r="E22" s="1" t="s">
        <v>72</v>
      </c>
      <c r="F22" s="1" t="s">
        <v>73</v>
      </c>
      <c r="G22" s="1">
        <v>1954</v>
      </c>
      <c r="H22" s="1" t="s">
        <v>11</v>
      </c>
      <c r="I22" s="6" cm="1">
        <f t="array" ref="I22">GetLatitude(D22)</f>
        <v>552709632</v>
      </c>
      <c r="J22" s="1" cm="1">
        <f t="array" ref="J22">GetLongitude(D22)</f>
        <v>98963250</v>
      </c>
      <c r="K22" s="1">
        <f t="shared" si="1"/>
        <v>55.270963199999997</v>
      </c>
      <c r="L22" s="1">
        <f t="shared" si="2"/>
        <v>9.8963249999999992</v>
      </c>
    </row>
    <row r="23" spans="1:12" ht="16" x14ac:dyDescent="0.2">
      <c r="A23" s="1">
        <v>22</v>
      </c>
      <c r="B23" s="1" t="s">
        <v>7</v>
      </c>
      <c r="C23" s="1" t="s">
        <v>74</v>
      </c>
      <c r="D23" s="1" t="str">
        <f t="shared" si="0"/>
        <v>Assens Kommune Krengerupvej 6</v>
      </c>
      <c r="E23" s="1" t="s">
        <v>75</v>
      </c>
      <c r="F23" s="1" t="s">
        <v>76</v>
      </c>
      <c r="G23" s="1">
        <v>1996</v>
      </c>
      <c r="H23" s="1" t="s">
        <v>15</v>
      </c>
      <c r="I23" s="6" cm="1">
        <f t="array" ref="I23">GetLatitude(D23)</f>
        <v>553162101</v>
      </c>
      <c r="J23" s="1" cm="1">
        <f t="array" ref="J23">GetLongitude(D23)</f>
        <v>102038674</v>
      </c>
      <c r="K23" s="1">
        <f t="shared" si="1"/>
        <v>55.316210099999999</v>
      </c>
      <c r="L23" s="1">
        <f t="shared" si="2"/>
        <v>10.2038674</v>
      </c>
    </row>
    <row r="24" spans="1:12" ht="16" x14ac:dyDescent="0.2">
      <c r="A24" s="1">
        <v>23</v>
      </c>
      <c r="B24" s="1" t="s">
        <v>7</v>
      </c>
      <c r="C24" s="1" t="s">
        <v>77</v>
      </c>
      <c r="D24" s="1" t="str">
        <f t="shared" si="0"/>
        <v>Assens Kommune Krengerupvej 96</v>
      </c>
      <c r="E24" s="1" t="s">
        <v>78</v>
      </c>
      <c r="F24" s="1" t="s">
        <v>79</v>
      </c>
      <c r="G24" s="1">
        <v>1918</v>
      </c>
      <c r="H24" s="1" t="s">
        <v>80</v>
      </c>
      <c r="I24" s="6" cm="1">
        <f t="array" ref="I24">GetLatitude(D24)</f>
        <v>553055845</v>
      </c>
      <c r="J24" s="1" cm="1">
        <f t="array" ref="J24">GetLongitude(D24)</f>
        <v>101570585</v>
      </c>
      <c r="K24" s="1">
        <f t="shared" si="1"/>
        <v>55.305584500000002</v>
      </c>
      <c r="L24" s="1">
        <f t="shared" si="2"/>
        <v>10.1570585</v>
      </c>
    </row>
    <row r="25" spans="1:12" ht="16" x14ac:dyDescent="0.2">
      <c r="A25" s="1">
        <v>24</v>
      </c>
      <c r="B25" s="1" t="s">
        <v>7</v>
      </c>
      <c r="C25" s="1" t="s">
        <v>81</v>
      </c>
      <c r="D25" s="1" t="str">
        <f t="shared" si="0"/>
        <v>Assens Kommune Kærlighedsstien 1</v>
      </c>
      <c r="E25" s="1" t="s">
        <v>82</v>
      </c>
      <c r="F25" s="1" t="s">
        <v>83</v>
      </c>
      <c r="G25" s="1">
        <v>1972</v>
      </c>
      <c r="H25" s="1" t="s">
        <v>11</v>
      </c>
      <c r="I25" s="6" cm="1">
        <f t="array" ref="I25">GetLatitude(D25)</f>
        <v>553612572</v>
      </c>
      <c r="J25" s="1" cm="1">
        <f t="array" ref="J25">GetLongitude(D25)</f>
        <v>100469804</v>
      </c>
      <c r="K25" s="1">
        <f t="shared" si="1"/>
        <v>55.361257199999997</v>
      </c>
      <c r="L25" s="1">
        <f t="shared" si="2"/>
        <v>10.046980400000001</v>
      </c>
    </row>
    <row r="26" spans="1:12" ht="16" x14ac:dyDescent="0.2">
      <c r="A26" s="1">
        <v>25</v>
      </c>
      <c r="B26" s="1" t="s">
        <v>7</v>
      </c>
      <c r="C26" s="1" t="s">
        <v>84</v>
      </c>
      <c r="D26" s="1" t="str">
        <f t="shared" si="0"/>
        <v>Assens Kommune Kærvangen 22</v>
      </c>
      <c r="E26" s="1" t="s">
        <v>85</v>
      </c>
      <c r="F26" s="1" t="s">
        <v>86</v>
      </c>
      <c r="G26" s="1">
        <v>1986</v>
      </c>
      <c r="H26" s="1" t="s">
        <v>15</v>
      </c>
      <c r="I26" s="6" cm="1">
        <f t="array" ref="I26">GetLatitude(D26)</f>
        <v>552990652</v>
      </c>
      <c r="J26" s="1" cm="1">
        <f t="array" ref="J26">GetLongitude(D26)</f>
        <v>99932337</v>
      </c>
      <c r="K26" s="1">
        <f t="shared" si="1"/>
        <v>55.299065200000001</v>
      </c>
      <c r="L26" s="1">
        <f t="shared" si="2"/>
        <v>9.9932336999999993</v>
      </c>
    </row>
    <row r="27" spans="1:12" ht="16" x14ac:dyDescent="0.2">
      <c r="A27" s="1">
        <v>26</v>
      </c>
      <c r="B27" s="1" t="s">
        <v>7</v>
      </c>
      <c r="C27" s="1" t="s">
        <v>87</v>
      </c>
      <c r="D27" s="1" t="str">
        <f t="shared" si="0"/>
        <v>Assens Kommune Ladegårdsgade 1, hj af Ramsherred</v>
      </c>
      <c r="E27" s="1" t="s">
        <v>88</v>
      </c>
      <c r="F27" s="1" t="s">
        <v>89</v>
      </c>
      <c r="G27" s="1">
        <v>1919</v>
      </c>
      <c r="H27" s="1" t="s">
        <v>15</v>
      </c>
      <c r="I27" s="6" cm="1">
        <f t="array" ref="I27">GetLatitude(D27)</f>
        <v>552707723</v>
      </c>
      <c r="J27" s="1" cm="1">
        <f t="array" ref="J27">GetLongitude(D27)</f>
        <v>98929831</v>
      </c>
      <c r="K27" s="1">
        <f t="shared" si="1"/>
        <v>55.270772299999997</v>
      </c>
      <c r="L27" s="1">
        <f t="shared" si="2"/>
        <v>9.8929831000000004</v>
      </c>
    </row>
    <row r="28" spans="1:12" ht="16" x14ac:dyDescent="0.2">
      <c r="A28" s="1">
        <v>27</v>
      </c>
      <c r="B28" s="1" t="s">
        <v>7</v>
      </c>
      <c r="C28" s="1" t="s">
        <v>90</v>
      </c>
      <c r="D28" s="1" t="str">
        <f t="shared" si="0"/>
        <v>Assens Kommune Ladegårdsgade 41</v>
      </c>
      <c r="E28" s="1" t="s">
        <v>91</v>
      </c>
      <c r="F28" s="1" t="s">
        <v>92</v>
      </c>
      <c r="G28" s="1">
        <v>1983</v>
      </c>
      <c r="H28" s="1" t="s">
        <v>15</v>
      </c>
      <c r="I28" s="6" cm="1">
        <f t="array" ref="I28">GetLatitude(D28)</f>
        <v>552712598</v>
      </c>
      <c r="J28" s="1" cm="1">
        <f t="array" ref="J28">GetLongitude(D28)</f>
        <v>98963459</v>
      </c>
      <c r="K28" s="1">
        <f t="shared" si="1"/>
        <v>55.271259800000003</v>
      </c>
      <c r="L28" s="1">
        <f t="shared" si="2"/>
        <v>9.8963459</v>
      </c>
    </row>
    <row r="29" spans="1:12" ht="16" x14ac:dyDescent="0.2">
      <c r="A29" s="1">
        <v>28</v>
      </c>
      <c r="B29" s="1" t="s">
        <v>7</v>
      </c>
      <c r="C29" s="1" t="s">
        <v>93</v>
      </c>
      <c r="D29" s="1" t="str">
        <f t="shared" si="0"/>
        <v>Assens Kommune Landevejen 24</v>
      </c>
      <c r="E29" s="1" t="s">
        <v>94</v>
      </c>
      <c r="F29" s="1" t="s">
        <v>95</v>
      </c>
      <c r="G29" s="1">
        <v>1918</v>
      </c>
      <c r="H29" s="1" t="s">
        <v>15</v>
      </c>
      <c r="I29" s="6" cm="1">
        <f t="array" ref="I29">GetLatitude(D29)</f>
        <v>551997079</v>
      </c>
      <c r="J29" s="1" cm="1">
        <f t="array" ref="J29">GetLongitude(D29)</f>
        <v>101560423</v>
      </c>
      <c r="K29" s="1">
        <f t="shared" si="1"/>
        <v>55.1997079</v>
      </c>
      <c r="L29" s="1">
        <f t="shared" si="2"/>
        <v>10.156042299999999</v>
      </c>
    </row>
    <row r="30" spans="1:12" ht="16" x14ac:dyDescent="0.2">
      <c r="A30" s="1">
        <v>29</v>
      </c>
      <c r="B30" s="1" t="s">
        <v>7</v>
      </c>
      <c r="C30" s="1" t="s">
        <v>96</v>
      </c>
      <c r="D30" s="1" t="str">
        <f t="shared" si="0"/>
        <v>Assens Kommune Langgade 29</v>
      </c>
      <c r="E30" s="1" t="s">
        <v>97</v>
      </c>
      <c r="F30" s="1" t="s">
        <v>98</v>
      </c>
      <c r="G30" s="1">
        <v>1950</v>
      </c>
      <c r="H30" s="1" t="s">
        <v>99</v>
      </c>
      <c r="I30" s="6" cm="1">
        <f t="array" ref="I30">GetLatitude(D30)</f>
        <v>552505646</v>
      </c>
      <c r="J30" s="1" cm="1">
        <f t="array" ref="J30">GetLongitude(D30)</f>
        <v>100671656</v>
      </c>
      <c r="K30" s="1">
        <f t="shared" si="1"/>
        <v>55.250564599999997</v>
      </c>
      <c r="L30" s="1">
        <f t="shared" si="2"/>
        <v>10.067165599999999</v>
      </c>
    </row>
    <row r="31" spans="1:12" ht="16" x14ac:dyDescent="0.2">
      <c r="A31" s="1">
        <v>30</v>
      </c>
      <c r="B31" s="1" t="s">
        <v>7</v>
      </c>
      <c r="C31" s="1" t="s">
        <v>100</v>
      </c>
      <c r="D31" s="1" t="str">
        <f t="shared" si="0"/>
        <v>Assens Kommune Lundagervej 27</v>
      </c>
      <c r="E31" s="1" t="s">
        <v>101</v>
      </c>
      <c r="F31" s="1" t="s">
        <v>102</v>
      </c>
      <c r="G31" s="1">
        <v>1971</v>
      </c>
      <c r="H31" s="1" t="s">
        <v>11</v>
      </c>
      <c r="I31" s="6" cm="1">
        <f t="array" ref="I31">GetLatitude(D31)</f>
        <v>552799733</v>
      </c>
      <c r="J31" s="1" cm="1">
        <f t="array" ref="J31">GetLongitude(D31)</f>
        <v>99365701</v>
      </c>
      <c r="K31" s="1">
        <f t="shared" si="1"/>
        <v>55.279973300000002</v>
      </c>
      <c r="L31" s="1">
        <f t="shared" si="2"/>
        <v>9.9365701000000008</v>
      </c>
    </row>
    <row r="32" spans="1:12" ht="16" x14ac:dyDescent="0.2">
      <c r="A32" s="1">
        <v>31</v>
      </c>
      <c r="B32" s="1" t="s">
        <v>7</v>
      </c>
      <c r="C32" s="1" t="s">
        <v>103</v>
      </c>
      <c r="D32" s="1" t="str">
        <f t="shared" si="0"/>
        <v>Assens Kommune Mosegårdsvej 3</v>
      </c>
      <c r="E32" s="1" t="s">
        <v>104</v>
      </c>
      <c r="F32" s="1" t="s">
        <v>105</v>
      </c>
      <c r="G32" s="1">
        <v>1996</v>
      </c>
      <c r="H32" s="1" t="s">
        <v>11</v>
      </c>
      <c r="I32" s="6" cm="1">
        <f t="array" ref="I32">GetLatitude(D32)</f>
        <v>552190690</v>
      </c>
      <c r="J32" s="1" cm="1">
        <f t="array" ref="J32">GetLongitude(D32)</f>
        <v>100368480</v>
      </c>
      <c r="K32" s="1">
        <f t="shared" si="1"/>
        <v>55.219068999999998</v>
      </c>
      <c r="L32" s="1">
        <f t="shared" si="2"/>
        <v>10.036848000000001</v>
      </c>
    </row>
    <row r="33" spans="1:12" ht="16" x14ac:dyDescent="0.2">
      <c r="A33" s="1">
        <v>32</v>
      </c>
      <c r="B33" s="1" t="s">
        <v>7</v>
      </c>
      <c r="C33" s="1" t="s">
        <v>106</v>
      </c>
      <c r="D33" s="1" t="str">
        <f t="shared" si="0"/>
        <v>Assens Kommune Mosegårdsvej 9</v>
      </c>
      <c r="E33" s="1" t="s">
        <v>107</v>
      </c>
      <c r="F33" s="1" t="s">
        <v>108</v>
      </c>
      <c r="G33" s="1">
        <v>1997</v>
      </c>
      <c r="H33" s="1" t="s">
        <v>11</v>
      </c>
      <c r="I33" s="6" cm="1">
        <f t="array" ref="I33">GetLatitude(D33)</f>
        <v>552213604</v>
      </c>
      <c r="J33" s="1" cm="1">
        <f t="array" ref="J33">GetLongitude(D33)</f>
        <v>100355142</v>
      </c>
      <c r="K33" s="1">
        <f t="shared" si="1"/>
        <v>55.221360400000002</v>
      </c>
      <c r="L33" s="1">
        <f t="shared" si="2"/>
        <v>10.0355142</v>
      </c>
    </row>
    <row r="34" spans="1:12" ht="16" x14ac:dyDescent="0.2">
      <c r="A34" s="1">
        <v>33</v>
      </c>
      <c r="B34" s="1" t="s">
        <v>7</v>
      </c>
      <c r="C34" s="1" t="s">
        <v>109</v>
      </c>
      <c r="D34" s="1" t="str">
        <f t="shared" si="0"/>
        <v>Assens Kommune Møllebakken 60</v>
      </c>
      <c r="E34" s="1" t="s">
        <v>110</v>
      </c>
      <c r="F34" s="1" t="s">
        <v>111</v>
      </c>
      <c r="G34" s="1">
        <v>1984</v>
      </c>
      <c r="H34" s="1" t="s">
        <v>99</v>
      </c>
      <c r="I34" s="6" cm="1">
        <f t="array" ref="I34">GetLatitude(D34)</f>
        <v>553216978</v>
      </c>
      <c r="J34" s="1" cm="1">
        <f t="array" ref="J34">GetLongitude(D34)</f>
        <v>102125797</v>
      </c>
      <c r="K34" s="1">
        <f t="shared" si="1"/>
        <v>55.321697800000003</v>
      </c>
      <c r="L34" s="1">
        <f t="shared" si="2"/>
        <v>10.212579699999999</v>
      </c>
    </row>
    <row r="35" spans="1:12" ht="16" x14ac:dyDescent="0.2">
      <c r="A35" s="1">
        <v>34</v>
      </c>
      <c r="B35" s="1" t="s">
        <v>7</v>
      </c>
      <c r="C35" s="1" t="s">
        <v>112</v>
      </c>
      <c r="D35" s="1" t="str">
        <f t="shared" si="0"/>
        <v>Assens Kommune Nordre Havnevej 14 A</v>
      </c>
      <c r="E35" s="1" t="s">
        <v>113</v>
      </c>
      <c r="F35" s="1" t="s">
        <v>114</v>
      </c>
      <c r="G35" s="1">
        <v>1954</v>
      </c>
      <c r="H35" s="1" t="s">
        <v>15</v>
      </c>
      <c r="I35" s="6" cm="1">
        <f t="array" ref="I35">GetLatitude(D35)</f>
        <v>552701302</v>
      </c>
      <c r="J35" s="1" cm="1">
        <f t="array" ref="J35">GetLongitude(D35)</f>
        <v>98891128</v>
      </c>
      <c r="K35" s="1">
        <f t="shared" si="1"/>
        <v>55.270130199999997</v>
      </c>
      <c r="L35" s="1">
        <f t="shared" si="2"/>
        <v>9.8891127999999995</v>
      </c>
    </row>
    <row r="36" spans="1:12" ht="16" x14ac:dyDescent="0.2">
      <c r="A36" s="1">
        <v>35</v>
      </c>
      <c r="B36" s="1" t="s">
        <v>7</v>
      </c>
      <c r="C36" s="1" t="s">
        <v>115</v>
      </c>
      <c r="D36" s="1" t="str">
        <f t="shared" si="0"/>
        <v>Assens Kommune Nordre Havnevej 19</v>
      </c>
      <c r="E36" s="1" t="s">
        <v>116</v>
      </c>
      <c r="F36" s="1" t="s">
        <v>117</v>
      </c>
      <c r="G36" s="1">
        <v>1978</v>
      </c>
      <c r="H36" s="1" t="s">
        <v>11</v>
      </c>
      <c r="I36" s="6" cm="1">
        <f t="array" ref="I36">GetLatitude(D36)</f>
        <v>552705269</v>
      </c>
      <c r="J36" s="1" cm="1">
        <f t="array" ref="J36">GetLongitude(D36)</f>
        <v>98905146</v>
      </c>
      <c r="K36" s="1">
        <f t="shared" si="1"/>
        <v>55.2705269</v>
      </c>
      <c r="L36" s="1">
        <f t="shared" si="2"/>
        <v>9.8905145999999995</v>
      </c>
    </row>
    <row r="37" spans="1:12" ht="16" x14ac:dyDescent="0.2">
      <c r="A37" s="1">
        <v>36</v>
      </c>
      <c r="B37" s="1" t="s">
        <v>7</v>
      </c>
      <c r="C37" s="1" t="s">
        <v>118</v>
      </c>
      <c r="D37" s="1" t="str">
        <f t="shared" si="0"/>
        <v>Assens Kommune Nørrelundsvej 2</v>
      </c>
      <c r="E37" s="1" t="s">
        <v>119</v>
      </c>
      <c r="F37" s="1" t="s">
        <v>120</v>
      </c>
      <c r="G37" s="1">
        <v>1950</v>
      </c>
      <c r="H37" s="1" t="s">
        <v>11</v>
      </c>
      <c r="I37" s="6" cm="1">
        <f t="array" ref="I37">GetLatitude(D37)</f>
        <v>552256732</v>
      </c>
      <c r="J37" s="1" cm="1">
        <f t="array" ref="J37">GetLongitude(D37)</f>
        <v>100321364</v>
      </c>
      <c r="K37" s="1">
        <f t="shared" si="1"/>
        <v>55.225673200000003</v>
      </c>
      <c r="L37" s="1">
        <f t="shared" si="2"/>
        <v>10.032136400000001</v>
      </c>
    </row>
    <row r="38" spans="1:12" ht="16" x14ac:dyDescent="0.2">
      <c r="A38" s="1">
        <v>37</v>
      </c>
      <c r="B38" s="1" t="s">
        <v>7</v>
      </c>
      <c r="C38" s="1" t="s">
        <v>121</v>
      </c>
      <c r="D38" s="1" t="str">
        <f t="shared" si="0"/>
        <v>Assens Kommune Odensevej 119 A</v>
      </c>
      <c r="E38" s="1" t="s">
        <v>122</v>
      </c>
      <c r="F38" s="1" t="s">
        <v>123</v>
      </c>
      <c r="G38" s="1">
        <v>1964</v>
      </c>
      <c r="H38" s="1" t="s">
        <v>11</v>
      </c>
      <c r="I38" s="6" cm="1">
        <f t="array" ref="I38">GetLatitude(D38)</f>
        <v>552628107</v>
      </c>
      <c r="J38" s="1" cm="1">
        <f t="array" ref="J38">GetLongitude(D38)</f>
        <v>99898615</v>
      </c>
      <c r="K38" s="1">
        <f t="shared" si="1"/>
        <v>55.262810700000003</v>
      </c>
      <c r="L38" s="1">
        <f t="shared" si="2"/>
        <v>9.9898614999999999</v>
      </c>
    </row>
    <row r="39" spans="1:12" ht="16" x14ac:dyDescent="0.2">
      <c r="A39" s="1">
        <v>38</v>
      </c>
      <c r="B39" s="1" t="s">
        <v>7</v>
      </c>
      <c r="C39" s="1" t="s">
        <v>124</v>
      </c>
      <c r="D39" s="1" t="str">
        <f t="shared" si="0"/>
        <v>Assens Kommune Overgade 18</v>
      </c>
      <c r="E39" s="1" t="s">
        <v>125</v>
      </c>
      <c r="F39" s="1" t="s">
        <v>126</v>
      </c>
      <c r="G39" s="1">
        <v>1996</v>
      </c>
      <c r="H39" s="1" t="s">
        <v>15</v>
      </c>
      <c r="I39" s="6" cm="1">
        <f t="array" ref="I39">GetLatitude(D39)</f>
        <v>553671322</v>
      </c>
      <c r="J39" s="1" cm="1">
        <f t="array" ref="J39">GetLongitude(D39)</f>
        <v>101489734</v>
      </c>
      <c r="K39" s="1">
        <f t="shared" si="1"/>
        <v>55.3671322</v>
      </c>
      <c r="L39" s="1">
        <f t="shared" si="2"/>
        <v>10.148973399999999</v>
      </c>
    </row>
    <row r="40" spans="1:12" ht="16" x14ac:dyDescent="0.2">
      <c r="A40" s="1">
        <v>39</v>
      </c>
      <c r="B40" s="1" t="s">
        <v>7</v>
      </c>
      <c r="C40" s="1" t="s">
        <v>127</v>
      </c>
      <c r="D40" s="1" t="str">
        <f t="shared" si="0"/>
        <v>Assens Kommune Prinsevej 51</v>
      </c>
      <c r="E40" s="1" t="s">
        <v>128</v>
      </c>
      <c r="F40" s="1" t="s">
        <v>129</v>
      </c>
      <c r="G40" s="1">
        <v>1984</v>
      </c>
      <c r="H40" s="1" t="s">
        <v>11</v>
      </c>
      <c r="I40" s="6" cm="1">
        <f t="array" ref="I40">GetLatitude(D40)</f>
        <v>552367394</v>
      </c>
      <c r="J40" s="1" cm="1">
        <f t="array" ref="J40">GetLongitude(D40)</f>
        <v>99871483</v>
      </c>
      <c r="K40" s="1">
        <f t="shared" si="1"/>
        <v>55.236739399999998</v>
      </c>
      <c r="L40" s="1">
        <f t="shared" si="2"/>
        <v>9.9871482999999994</v>
      </c>
    </row>
    <row r="41" spans="1:12" ht="16" x14ac:dyDescent="0.2">
      <c r="A41" s="1">
        <v>40</v>
      </c>
      <c r="B41" s="1" t="s">
        <v>7</v>
      </c>
      <c r="C41" s="1" t="s">
        <v>130</v>
      </c>
      <c r="D41" s="1" t="str">
        <f t="shared" si="0"/>
        <v>Assens Kommune Sandhammeren 3</v>
      </c>
      <c r="E41" s="1" t="s">
        <v>131</v>
      </c>
      <c r="F41" s="1" t="s">
        <v>132</v>
      </c>
      <c r="G41" s="1">
        <v>1945</v>
      </c>
      <c r="H41" s="1" t="s">
        <v>11</v>
      </c>
      <c r="I41" s="6" cm="1">
        <f t="array" ref="I41">GetLatitude(D41)</f>
        <v>552977350</v>
      </c>
      <c r="J41" s="1" cm="1">
        <f t="array" ref="J41">GetLongitude(D41)</f>
        <v>97997496</v>
      </c>
      <c r="K41" s="1">
        <f t="shared" si="1"/>
        <v>55.297735000000003</v>
      </c>
      <c r="L41" s="1">
        <f t="shared" si="2"/>
        <v>9.7997496000000002</v>
      </c>
    </row>
    <row r="42" spans="1:12" ht="16" x14ac:dyDescent="0.2">
      <c r="A42" s="1">
        <v>41</v>
      </c>
      <c r="B42" s="1" t="s">
        <v>7</v>
      </c>
      <c r="C42" s="1" t="s">
        <v>133</v>
      </c>
      <c r="D42" s="1" t="str">
        <f t="shared" si="0"/>
        <v>Assens Kommune Skårupvej 1</v>
      </c>
      <c r="E42" s="1" t="s">
        <v>134</v>
      </c>
      <c r="F42" s="1" t="s">
        <v>135</v>
      </c>
      <c r="G42" s="1">
        <v>1984</v>
      </c>
      <c r="H42" s="1" t="s">
        <v>11</v>
      </c>
      <c r="I42" s="6" cm="1">
        <f t="array" ref="I42">GetLatitude(D42)</f>
        <v>552156782</v>
      </c>
      <c r="J42" s="1" cm="1">
        <f t="array" ref="J42">GetLongitude(D42)</f>
        <v>100540771</v>
      </c>
      <c r="K42" s="1">
        <f t="shared" si="1"/>
        <v>55.215678199999999</v>
      </c>
      <c r="L42" s="1">
        <f t="shared" si="2"/>
        <v>10.054077100000001</v>
      </c>
    </row>
    <row r="43" spans="1:12" ht="16" x14ac:dyDescent="0.2">
      <c r="A43" s="1">
        <v>42</v>
      </c>
      <c r="B43" s="1" t="s">
        <v>7</v>
      </c>
      <c r="C43" s="1" t="s">
        <v>136</v>
      </c>
      <c r="D43" s="1" t="str">
        <f t="shared" si="0"/>
        <v>Assens Kommune Slots Allé 1</v>
      </c>
      <c r="E43" s="1" t="s">
        <v>137</v>
      </c>
      <c r="F43" s="1" t="s">
        <v>138</v>
      </c>
      <c r="G43" s="1">
        <v>1918</v>
      </c>
      <c r="H43" s="1" t="s">
        <v>11</v>
      </c>
      <c r="I43" s="6" cm="1">
        <f t="array" ref="I43">GetLatitude(D43)</f>
        <v>552275073</v>
      </c>
      <c r="J43" s="1" cm="1">
        <f t="array" ref="J43">GetLongitude(D43)</f>
        <v>99878116</v>
      </c>
      <c r="K43" s="1">
        <f t="shared" si="1"/>
        <v>55.227507299999999</v>
      </c>
      <c r="L43" s="1">
        <f t="shared" si="2"/>
        <v>9.9878116000000006</v>
      </c>
    </row>
    <row r="44" spans="1:12" ht="16" x14ac:dyDescent="0.2">
      <c r="A44" s="1">
        <v>43</v>
      </c>
      <c r="B44" s="1" t="s">
        <v>7</v>
      </c>
      <c r="C44" s="1" t="s">
        <v>139</v>
      </c>
      <c r="D44" s="1" t="str">
        <f t="shared" si="0"/>
        <v>Assens Kommune Slots Allé 26</v>
      </c>
      <c r="E44" s="1" t="s">
        <v>140</v>
      </c>
      <c r="F44" s="1" t="s">
        <v>141</v>
      </c>
      <c r="G44" s="1">
        <v>1991</v>
      </c>
      <c r="H44" s="1" t="s">
        <v>11</v>
      </c>
      <c r="I44" s="6" cm="1">
        <f t="array" ref="I44">GetLatitude(D44)</f>
        <v>552231979</v>
      </c>
      <c r="J44" s="1" cm="1">
        <f t="array" ref="J44">GetLongitude(D44)</f>
        <v>99969751</v>
      </c>
      <c r="K44" s="1">
        <f t="shared" si="1"/>
        <v>55.223197900000002</v>
      </c>
      <c r="L44" s="1">
        <f t="shared" si="2"/>
        <v>9.9969751000000002</v>
      </c>
    </row>
    <row r="45" spans="1:12" ht="16" x14ac:dyDescent="0.2">
      <c r="A45" s="1">
        <v>44</v>
      </c>
      <c r="B45" s="1" t="s">
        <v>7</v>
      </c>
      <c r="C45" s="1" t="s">
        <v>142</v>
      </c>
      <c r="D45" s="1" t="str">
        <f t="shared" si="0"/>
        <v>Assens Kommune Solevadvej 44</v>
      </c>
      <c r="E45" s="1" t="s">
        <v>143</v>
      </c>
      <c r="F45" s="1" t="s">
        <v>144</v>
      </c>
      <c r="G45" s="1">
        <v>1959</v>
      </c>
      <c r="H45" s="1" t="s">
        <v>145</v>
      </c>
      <c r="I45" s="6" cm="1">
        <f t="array" ref="I45">GetLatitude(D45)</f>
        <v>553043643</v>
      </c>
      <c r="J45" s="1" cm="1">
        <f t="array" ref="J45">GetLongitude(D45)</f>
        <v>102737609</v>
      </c>
      <c r="K45" s="1">
        <f t="shared" si="1"/>
        <v>55.304364300000003</v>
      </c>
      <c r="L45" s="1">
        <f t="shared" si="2"/>
        <v>10.273760899999999</v>
      </c>
    </row>
    <row r="46" spans="1:12" ht="16" x14ac:dyDescent="0.2">
      <c r="A46" s="1">
        <v>45</v>
      </c>
      <c r="B46" s="1" t="s">
        <v>7</v>
      </c>
      <c r="C46" s="1" t="s">
        <v>146</v>
      </c>
      <c r="D46" s="1" t="str">
        <f t="shared" si="0"/>
        <v>Assens Kommune Stationsvej 17</v>
      </c>
      <c r="E46" s="1" t="s">
        <v>147</v>
      </c>
      <c r="F46" s="1" t="s">
        <v>148</v>
      </c>
      <c r="G46" s="1">
        <v>1992</v>
      </c>
      <c r="H46" s="1" t="s">
        <v>15</v>
      </c>
      <c r="I46" s="6" cm="1">
        <f t="array" ref="I46">GetLatitude(D46)</f>
        <v>551957740</v>
      </c>
      <c r="J46" s="1" cm="1">
        <f t="array" ref="J46">GetLongitude(D46)</f>
        <v>101523812</v>
      </c>
      <c r="K46" s="1">
        <f t="shared" si="1"/>
        <v>55.195774</v>
      </c>
      <c r="L46" s="1">
        <f t="shared" si="2"/>
        <v>10.152381200000001</v>
      </c>
    </row>
    <row r="47" spans="1:12" ht="16" x14ac:dyDescent="0.2">
      <c r="A47" s="1">
        <v>46</v>
      </c>
      <c r="B47" s="1" t="s">
        <v>7</v>
      </c>
      <c r="C47" s="1" t="s">
        <v>149</v>
      </c>
      <c r="D47" s="1" t="str">
        <f t="shared" si="0"/>
        <v>Assens Kommune Strandbyvej 62 A</v>
      </c>
      <c r="E47" s="1" t="s">
        <v>150</v>
      </c>
      <c r="F47" s="1" t="s">
        <v>151</v>
      </c>
      <c r="G47" s="1">
        <v>1918</v>
      </c>
      <c r="H47" s="1" t="s">
        <v>15</v>
      </c>
      <c r="I47" s="6" cm="1">
        <f t="array" ref="I47">GetLatitude(D47)</f>
        <v>551830318</v>
      </c>
      <c r="J47" s="1" cm="1">
        <f t="array" ref="J47">GetLongitude(D47)</f>
        <v>101443813</v>
      </c>
      <c r="K47" s="1">
        <f t="shared" si="1"/>
        <v>55.183031800000002</v>
      </c>
      <c r="L47" s="1">
        <f t="shared" si="2"/>
        <v>10.144381299999999</v>
      </c>
    </row>
    <row r="48" spans="1:12" ht="16" x14ac:dyDescent="0.2">
      <c r="A48" s="1">
        <v>47</v>
      </c>
      <c r="B48" s="1" t="s">
        <v>7</v>
      </c>
      <c r="C48" s="1" t="s">
        <v>152</v>
      </c>
      <c r="D48" s="1" t="str">
        <f t="shared" si="0"/>
        <v>Assens Kommune Strandgade 7</v>
      </c>
      <c r="E48" s="1" t="s">
        <v>153</v>
      </c>
      <c r="F48" s="1" t="s">
        <v>154</v>
      </c>
      <c r="G48" s="1">
        <v>1971</v>
      </c>
      <c r="H48" s="1" t="s">
        <v>11</v>
      </c>
      <c r="I48" s="6" cm="1">
        <f t="array" ref="I48">GetLatitude(D48)</f>
        <v>553012998</v>
      </c>
      <c r="J48" s="1" cm="1">
        <f t="array" ref="J48">GetLongitude(D48)</f>
        <v>100327481</v>
      </c>
      <c r="K48" s="1">
        <f t="shared" si="1"/>
        <v>55.301299800000002</v>
      </c>
      <c r="L48" s="1">
        <f t="shared" si="2"/>
        <v>10.032748099999999</v>
      </c>
    </row>
    <row r="49" spans="1:12" ht="16" x14ac:dyDescent="0.2">
      <c r="A49" s="1">
        <v>48</v>
      </c>
      <c r="B49" s="1" t="s">
        <v>7</v>
      </c>
      <c r="C49" s="1" t="s">
        <v>155</v>
      </c>
      <c r="D49" s="1" t="str">
        <f t="shared" si="0"/>
        <v>Assens Kommune Søbovej 12</v>
      </c>
      <c r="E49" s="1" t="s">
        <v>156</v>
      </c>
      <c r="F49" s="1" t="s">
        <v>157</v>
      </c>
      <c r="G49" s="1">
        <v>1979</v>
      </c>
      <c r="H49" s="1" t="s">
        <v>11</v>
      </c>
      <c r="I49" s="6" cm="1">
        <f t="array" ref="I49">GetLatitude(D49)</f>
        <v>552063820</v>
      </c>
      <c r="J49" s="1" cm="1">
        <f t="array" ref="J49">GetLongitude(D49)</f>
        <v>102020850</v>
      </c>
      <c r="K49" s="1">
        <f t="shared" si="1"/>
        <v>55.206381999999998</v>
      </c>
      <c r="L49" s="1">
        <f t="shared" si="2"/>
        <v>10.202085</v>
      </c>
    </row>
    <row r="50" spans="1:12" ht="16" x14ac:dyDescent="0.2">
      <c r="A50" s="1">
        <v>49</v>
      </c>
      <c r="B50" s="1" t="s">
        <v>7</v>
      </c>
      <c r="C50" s="1" t="s">
        <v>158</v>
      </c>
      <c r="D50" s="1" t="str">
        <f t="shared" si="0"/>
        <v>Assens Kommune Søndersøvej 108</v>
      </c>
      <c r="E50" s="1" t="s">
        <v>159</v>
      </c>
      <c r="F50" s="1" t="s">
        <v>160</v>
      </c>
      <c r="G50" s="1">
        <v>1990</v>
      </c>
      <c r="H50" s="1" t="s">
        <v>15</v>
      </c>
      <c r="I50" s="6" cm="1">
        <f t="array" ref="I50">GetLatitude(D50)</f>
        <v>554062595</v>
      </c>
      <c r="J50" s="1" cm="1">
        <f t="array" ref="J50">GetLongitude(D50)</f>
        <v>101666943</v>
      </c>
      <c r="K50" s="1">
        <f t="shared" si="1"/>
        <v>55.406259499999997</v>
      </c>
      <c r="L50" s="1">
        <f t="shared" si="2"/>
        <v>10.1666943</v>
      </c>
    </row>
    <row r="51" spans="1:12" ht="16" x14ac:dyDescent="0.2">
      <c r="A51" s="1">
        <v>50</v>
      </c>
      <c r="B51" s="1" t="s">
        <v>7</v>
      </c>
      <c r="C51" s="1" t="s">
        <v>161</v>
      </c>
      <c r="D51" s="1" t="str">
        <f t="shared" si="0"/>
        <v>Assens Kommune Søndre Ringvej 4</v>
      </c>
      <c r="E51" s="1" t="s">
        <v>162</v>
      </c>
      <c r="F51" s="1" t="s">
        <v>163</v>
      </c>
      <c r="G51" s="1">
        <v>1992</v>
      </c>
      <c r="H51" s="1" t="s">
        <v>11</v>
      </c>
      <c r="I51" s="6" cm="1">
        <f t="array" ref="I51">GetLatitude(D51)</f>
        <v>552692210</v>
      </c>
      <c r="J51" s="1" cm="1">
        <f t="array" ref="J51">GetLongitude(D51)</f>
        <v>98914333</v>
      </c>
      <c r="K51" s="1">
        <f t="shared" si="1"/>
        <v>55.269221000000002</v>
      </c>
      <c r="L51" s="1">
        <f t="shared" si="2"/>
        <v>9.8914332999999992</v>
      </c>
    </row>
    <row r="52" spans="1:12" ht="16" x14ac:dyDescent="0.2">
      <c r="A52" s="1">
        <v>51</v>
      </c>
      <c r="B52" s="1" t="s">
        <v>7</v>
      </c>
      <c r="C52" s="1" t="s">
        <v>164</v>
      </c>
      <c r="D52" s="1" t="str">
        <f t="shared" si="0"/>
        <v>Assens Kommune Vandværksvej 1</v>
      </c>
      <c r="E52" s="1" t="s">
        <v>165</v>
      </c>
      <c r="F52" s="1" t="s">
        <v>166</v>
      </c>
      <c r="G52" s="1">
        <v>1990</v>
      </c>
      <c r="H52" s="1" t="s">
        <v>11</v>
      </c>
      <c r="I52" s="6" cm="1">
        <f t="array" ref="I52">GetLatitude(D52)</f>
        <v>553012998</v>
      </c>
      <c r="J52" s="1" cm="1">
        <f t="array" ref="J52">GetLongitude(D52)</f>
        <v>100327481</v>
      </c>
      <c r="K52" s="1">
        <f t="shared" si="1"/>
        <v>55.301299800000002</v>
      </c>
      <c r="L52" s="1">
        <f t="shared" si="2"/>
        <v>10.032748099999999</v>
      </c>
    </row>
    <row r="53" spans="1:12" ht="16" x14ac:dyDescent="0.2">
      <c r="A53" s="1">
        <v>52</v>
      </c>
      <c r="B53" s="1" t="s">
        <v>7</v>
      </c>
      <c r="C53" s="1" t="s">
        <v>167</v>
      </c>
      <c r="D53" s="1" t="str">
        <f t="shared" si="0"/>
        <v>Assens Kommune Voldtoftevej 13</v>
      </c>
      <c r="E53" s="1" t="s">
        <v>168</v>
      </c>
      <c r="F53" s="1" t="s">
        <v>169</v>
      </c>
      <c r="G53" s="1">
        <v>1995</v>
      </c>
      <c r="H53" s="1" t="s">
        <v>15</v>
      </c>
      <c r="I53" s="6" cm="1">
        <f t="array" ref="I53">GetLatitude(D53)</f>
        <v>552403037</v>
      </c>
      <c r="J53" s="1" cm="1">
        <f t="array" ref="J53">GetLongitude(D53)</f>
        <v>100725540</v>
      </c>
      <c r="K53" s="1">
        <f t="shared" si="1"/>
        <v>55.240303699999998</v>
      </c>
      <c r="L53" s="1">
        <f t="shared" si="2"/>
        <v>10.072554</v>
      </c>
    </row>
    <row r="54" spans="1:12" ht="16" x14ac:dyDescent="0.2">
      <c r="A54" s="1">
        <v>53</v>
      </c>
      <c r="B54" s="1" t="s">
        <v>7</v>
      </c>
      <c r="C54" s="1" t="s">
        <v>170</v>
      </c>
      <c r="D54" s="1" t="str">
        <f t="shared" si="0"/>
        <v>Assens Kommune Voldtoftevej 40</v>
      </c>
      <c r="E54" s="1" t="s">
        <v>171</v>
      </c>
      <c r="F54" s="1" t="s">
        <v>172</v>
      </c>
      <c r="G54" s="1">
        <v>1990</v>
      </c>
      <c r="H54" s="1" t="s">
        <v>11</v>
      </c>
      <c r="I54" s="6" cm="1">
        <f t="array" ref="I54">GetLatitude(D54)</f>
        <v>552394764</v>
      </c>
      <c r="J54" s="1" cm="1">
        <f t="array" ref="J54">GetLongitude(D54)</f>
        <v>100803976</v>
      </c>
      <c r="K54" s="1">
        <f t="shared" si="1"/>
        <v>55.239476400000001</v>
      </c>
      <c r="L54" s="1">
        <f t="shared" si="2"/>
        <v>10.0803976</v>
      </c>
    </row>
    <row r="55" spans="1:12" ht="16" x14ac:dyDescent="0.2">
      <c r="A55" s="1">
        <v>54</v>
      </c>
      <c r="B55" s="1" t="s">
        <v>7</v>
      </c>
      <c r="C55" s="1" t="s">
        <v>173</v>
      </c>
      <c r="D55" s="1" t="str">
        <f t="shared" si="0"/>
        <v>Assens Kommune Voldtoftevej 8</v>
      </c>
      <c r="E55" s="1" t="s">
        <v>174</v>
      </c>
      <c r="F55" s="1" t="s">
        <v>175</v>
      </c>
      <c r="G55" s="1">
        <v>1988</v>
      </c>
      <c r="H55" s="1" t="s">
        <v>15</v>
      </c>
      <c r="I55" s="6" cm="1">
        <f t="array" ref="I55">GetLatitude(D55)</f>
        <v>552394230</v>
      </c>
      <c r="J55" s="1" cm="1">
        <f t="array" ref="J55">GetLongitude(D55)</f>
        <v>100726559</v>
      </c>
      <c r="K55" s="1">
        <f t="shared" si="1"/>
        <v>55.239423000000002</v>
      </c>
      <c r="L55" s="1">
        <f t="shared" si="2"/>
        <v>10.072655900000001</v>
      </c>
    </row>
    <row r="56" spans="1:12" ht="16" x14ac:dyDescent="0.2">
      <c r="A56" s="1">
        <v>55</v>
      </c>
      <c r="B56" s="1" t="s">
        <v>7</v>
      </c>
      <c r="C56" s="1" t="s">
        <v>176</v>
      </c>
      <c r="D56" s="1" t="str">
        <f t="shared" si="0"/>
        <v>Assens Kommune Østergade 11</v>
      </c>
      <c r="E56" s="1" t="s">
        <v>177</v>
      </c>
      <c r="F56" s="1" t="s">
        <v>178</v>
      </c>
      <c r="G56" s="1">
        <v>1919</v>
      </c>
      <c r="H56" s="1" t="s">
        <v>15</v>
      </c>
      <c r="I56" s="6" cm="1">
        <f t="array" ref="I56">GetLatitude(D56)</f>
        <v>553012998</v>
      </c>
      <c r="J56" s="1" cm="1">
        <f t="array" ref="J56">GetLongitude(D56)</f>
        <v>100327481</v>
      </c>
      <c r="K56" s="1">
        <f t="shared" si="1"/>
        <v>55.301299800000002</v>
      </c>
      <c r="L56" s="1">
        <f t="shared" si="2"/>
        <v>10.032748099999999</v>
      </c>
    </row>
    <row r="57" spans="1:12" ht="16" x14ac:dyDescent="0.2">
      <c r="A57" s="1">
        <v>56</v>
      </c>
      <c r="B57" s="1" t="s">
        <v>7</v>
      </c>
      <c r="C57" s="1" t="s">
        <v>179</v>
      </c>
      <c r="D57" s="1" t="str">
        <f t="shared" si="0"/>
        <v>Assens Kommune Østergade 27</v>
      </c>
      <c r="E57" s="1" t="s">
        <v>180</v>
      </c>
      <c r="F57" s="1" t="s">
        <v>181</v>
      </c>
      <c r="G57" s="1">
        <v>1978</v>
      </c>
      <c r="H57" s="1" t="s">
        <v>11</v>
      </c>
      <c r="I57" s="6" cm="1">
        <f t="array" ref="I57">GetLatitude(D57)</f>
        <v>552701288</v>
      </c>
      <c r="J57" s="1" cm="1">
        <f t="array" ref="J57">GetLongitude(D57)</f>
        <v>98987939</v>
      </c>
      <c r="K57" s="1">
        <f t="shared" si="1"/>
        <v>55.270128800000002</v>
      </c>
      <c r="L57" s="1">
        <f t="shared" si="2"/>
        <v>9.8987938999999994</v>
      </c>
    </row>
    <row r="58" spans="1:12" ht="16" x14ac:dyDescent="0.2">
      <c r="A58" s="1">
        <v>57</v>
      </c>
      <c r="B58" s="1" t="s">
        <v>7</v>
      </c>
      <c r="C58" s="1" t="s">
        <v>182</v>
      </c>
      <c r="D58" s="1" t="str">
        <f t="shared" si="0"/>
        <v>Assens Kommune Østergade 36</v>
      </c>
      <c r="E58" s="1" t="s">
        <v>183</v>
      </c>
      <c r="F58" s="1" t="s">
        <v>184</v>
      </c>
      <c r="G58" s="1">
        <v>1918</v>
      </c>
      <c r="H58" s="1" t="s">
        <v>11</v>
      </c>
      <c r="I58" s="6" cm="1">
        <f t="array" ref="I58">GetLatitude(D58)</f>
        <v>553012998</v>
      </c>
      <c r="J58" s="1" cm="1">
        <f t="array" ref="J58">GetLongitude(D58)</f>
        <v>100327481</v>
      </c>
      <c r="K58" s="1">
        <f t="shared" si="1"/>
        <v>55.301299800000002</v>
      </c>
      <c r="L58" s="1">
        <f t="shared" si="2"/>
        <v>10.032748099999999</v>
      </c>
    </row>
    <row r="59" spans="1:12" ht="16" x14ac:dyDescent="0.2">
      <c r="A59" s="1">
        <v>58</v>
      </c>
      <c r="B59" s="1" t="s">
        <v>7</v>
      </c>
      <c r="C59" s="1" t="s">
        <v>185</v>
      </c>
      <c r="D59" s="1" t="str">
        <f t="shared" si="0"/>
        <v>Assens Kommune Østergade 38 D</v>
      </c>
      <c r="E59" s="1" t="s">
        <v>186</v>
      </c>
      <c r="F59" s="1" t="s">
        <v>187</v>
      </c>
      <c r="G59" s="1">
        <v>2003</v>
      </c>
      <c r="H59" s="1" t="s">
        <v>15</v>
      </c>
      <c r="I59" s="6" cm="1">
        <f t="array" ref="I59">GetLatitude(D59)</f>
        <v>553012998</v>
      </c>
      <c r="J59" s="1" cm="1">
        <f t="array" ref="J59">GetLongitude(D59)</f>
        <v>100327481</v>
      </c>
      <c r="K59" s="1">
        <f t="shared" si="1"/>
        <v>55.301299800000002</v>
      </c>
      <c r="L59" s="1">
        <f t="shared" si="2"/>
        <v>10.032748099999999</v>
      </c>
    </row>
    <row r="60" spans="1:12" ht="16" x14ac:dyDescent="0.2">
      <c r="A60" s="1">
        <v>59</v>
      </c>
      <c r="B60" s="1" t="s">
        <v>7</v>
      </c>
      <c r="C60" s="1" t="s">
        <v>188</v>
      </c>
      <c r="D60" s="1" t="str">
        <f t="shared" si="0"/>
        <v>Assens Kommune Østergade 42</v>
      </c>
      <c r="E60" s="1" t="s">
        <v>189</v>
      </c>
      <c r="F60" s="1" t="s">
        <v>190</v>
      </c>
      <c r="G60" s="1">
        <v>1919</v>
      </c>
      <c r="H60" s="1" t="s">
        <v>15</v>
      </c>
      <c r="I60" s="6" cm="1">
        <f t="array" ref="I60">GetLatitude(D60)</f>
        <v>553858185</v>
      </c>
      <c r="J60" s="1" cm="1">
        <f t="array" ref="J60">GetLongitude(D60)</f>
        <v>101425142</v>
      </c>
      <c r="K60" s="1">
        <f t="shared" si="1"/>
        <v>55.385818499999999</v>
      </c>
      <c r="L60" s="1">
        <f t="shared" si="2"/>
        <v>10.142514200000001</v>
      </c>
    </row>
    <row r="61" spans="1:12" ht="16" x14ac:dyDescent="0.2">
      <c r="A61" s="1">
        <v>60</v>
      </c>
      <c r="B61" s="1" t="s">
        <v>191</v>
      </c>
      <c r="C61" s="1" t="s">
        <v>192</v>
      </c>
      <c r="D61" s="1" t="str">
        <f t="shared" si="0"/>
        <v>Billund Kommune Billundvej 47</v>
      </c>
      <c r="E61" s="1" t="s">
        <v>193</v>
      </c>
      <c r="F61" s="1" t="s">
        <v>194</v>
      </c>
      <c r="G61" s="1">
        <v>1996</v>
      </c>
      <c r="H61" s="1" t="s">
        <v>15</v>
      </c>
      <c r="I61" s="6" cm="1">
        <f t="array" ref="I61">GetLatitude(D61)</f>
        <v>557100677</v>
      </c>
      <c r="J61" s="1" cm="1">
        <f t="array" ref="J61">GetLongitude(D61)</f>
        <v>90373572</v>
      </c>
      <c r="K61" s="1">
        <f t="shared" si="1"/>
        <v>55.710067700000003</v>
      </c>
      <c r="L61" s="1">
        <f t="shared" si="2"/>
        <v>9.0373572000000006</v>
      </c>
    </row>
    <row r="62" spans="1:12" ht="16" x14ac:dyDescent="0.2">
      <c r="A62" s="1">
        <v>61</v>
      </c>
      <c r="B62" s="1" t="s">
        <v>195</v>
      </c>
      <c r="C62" s="1" t="s">
        <v>196</v>
      </c>
      <c r="D62" s="1" t="str">
        <f t="shared" si="0"/>
        <v>Bornholm Kommune Almindingsvej 40</v>
      </c>
      <c r="E62" s="1" t="s">
        <v>197</v>
      </c>
      <c r="F62" s="1" t="s">
        <v>198</v>
      </c>
      <c r="G62" s="1">
        <v>1985</v>
      </c>
      <c r="H62" s="1" t="s">
        <v>15</v>
      </c>
      <c r="I62" s="6" cm="1">
        <f t="array" ref="I62">GetLatitude(D62)</f>
        <v>551237390</v>
      </c>
      <c r="J62" s="1" cm="1">
        <f t="array" ref="J62">GetLongitude(D62)</f>
        <v>149130058</v>
      </c>
      <c r="K62" s="1">
        <f t="shared" si="1"/>
        <v>55.123739</v>
      </c>
      <c r="L62" s="1">
        <f t="shared" si="2"/>
        <v>14.913005800000001</v>
      </c>
    </row>
    <row r="63" spans="1:12" ht="16" x14ac:dyDescent="0.2">
      <c r="A63" s="1">
        <v>62</v>
      </c>
      <c r="B63" s="1" t="s">
        <v>195</v>
      </c>
      <c r="C63" s="1" t="s">
        <v>199</v>
      </c>
      <c r="D63" s="1" t="str">
        <f t="shared" si="0"/>
        <v>Bornholm Kommune Arsenalvej 8, tidl Sønder Allé 24</v>
      </c>
      <c r="E63" s="1" t="s">
        <v>200</v>
      </c>
      <c r="F63" s="1" t="s">
        <v>201</v>
      </c>
      <c r="G63" s="1">
        <v>1954</v>
      </c>
      <c r="H63" s="1" t="s">
        <v>11</v>
      </c>
      <c r="I63" s="6" cm="1">
        <f t="array" ref="I63">GetLatitude(D63)</f>
        <v>551604280</v>
      </c>
      <c r="J63" s="1" cm="1">
        <f t="array" ref="J63">GetLongitude(D63)</f>
        <v>148668836</v>
      </c>
      <c r="K63" s="1">
        <f t="shared" si="1"/>
        <v>55.160428000000003</v>
      </c>
      <c r="L63" s="1">
        <f t="shared" si="2"/>
        <v>14.8668836</v>
      </c>
    </row>
    <row r="64" spans="1:12" ht="16" x14ac:dyDescent="0.2">
      <c r="A64" s="1">
        <v>63</v>
      </c>
      <c r="B64" s="1" t="s">
        <v>195</v>
      </c>
      <c r="C64" s="1" t="s">
        <v>202</v>
      </c>
      <c r="D64" s="1" t="str">
        <f t="shared" si="0"/>
        <v>Bornholm Kommune Borgergade 11</v>
      </c>
      <c r="E64" s="1" t="s">
        <v>203</v>
      </c>
      <c r="F64" s="1" t="s">
        <v>204</v>
      </c>
      <c r="G64" s="1">
        <v>1954</v>
      </c>
      <c r="H64" s="1" t="s">
        <v>11</v>
      </c>
      <c r="I64" s="6" cm="1">
        <f t="array" ref="I64">GetLatitude(D64)</f>
        <v>551041077</v>
      </c>
      <c r="J64" s="1" cm="1">
        <f t="array" ref="J64">GetLongitude(D64)</f>
        <v>146975895</v>
      </c>
      <c r="K64" s="1">
        <f t="shared" si="1"/>
        <v>55.1041077</v>
      </c>
      <c r="L64" s="1">
        <f t="shared" si="2"/>
        <v>14.697589499999999</v>
      </c>
    </row>
    <row r="65" spans="1:12" ht="16" x14ac:dyDescent="0.2">
      <c r="A65" s="1">
        <v>64</v>
      </c>
      <c r="B65" s="1" t="s">
        <v>195</v>
      </c>
      <c r="C65" s="1" t="s">
        <v>205</v>
      </c>
      <c r="D65" s="1" t="str">
        <f t="shared" si="0"/>
        <v>Bornholm Kommune Ferskesøstræde 36</v>
      </c>
      <c r="E65" s="1" t="s">
        <v>206</v>
      </c>
      <c r="F65" s="1" t="s">
        <v>207</v>
      </c>
      <c r="G65" s="1">
        <v>1983</v>
      </c>
      <c r="H65" s="1" t="s">
        <v>11</v>
      </c>
      <c r="I65" s="6" cm="1">
        <f t="array" ref="I65">GetLatitude(D65)</f>
        <v>550577014</v>
      </c>
      <c r="J65" s="1" cm="1">
        <f t="array" ref="J65">GetLongitude(D65)</f>
        <v>151276240</v>
      </c>
      <c r="K65" s="1">
        <f t="shared" si="1"/>
        <v>55.057701399999999</v>
      </c>
      <c r="L65" s="1">
        <f t="shared" si="2"/>
        <v>15.127624000000001</v>
      </c>
    </row>
    <row r="66" spans="1:12" ht="16" x14ac:dyDescent="0.2">
      <c r="A66" s="1">
        <v>65</v>
      </c>
      <c r="B66" s="1" t="s">
        <v>195</v>
      </c>
      <c r="C66" s="1" t="s">
        <v>208</v>
      </c>
      <c r="D66" s="1" t="str">
        <f t="shared" si="0"/>
        <v>Bornholm Kommune Fiskerivej 8</v>
      </c>
      <c r="E66" s="1" t="s">
        <v>209</v>
      </c>
      <c r="F66" s="1" t="s">
        <v>210</v>
      </c>
      <c r="G66" s="1">
        <v>1998</v>
      </c>
      <c r="H66" s="1" t="s">
        <v>15</v>
      </c>
      <c r="I66" s="6" cm="1">
        <f t="array" ref="I66">GetLatitude(D66)</f>
        <v>550930470</v>
      </c>
      <c r="J66" s="1" cm="1">
        <f t="array" ref="J66">GetLongitude(D66)</f>
        <v>146932700</v>
      </c>
      <c r="K66" s="1">
        <f t="shared" si="1"/>
        <v>55.093046999999999</v>
      </c>
      <c r="L66" s="1">
        <f t="shared" si="2"/>
        <v>14.69327</v>
      </c>
    </row>
    <row r="67" spans="1:12" ht="16" x14ac:dyDescent="0.2">
      <c r="A67" s="1">
        <v>66</v>
      </c>
      <c r="B67" s="1" t="s">
        <v>195</v>
      </c>
      <c r="C67" s="1" t="s">
        <v>211</v>
      </c>
      <c r="D67" s="1" t="str">
        <f t="shared" ref="D67:D130" si="3">B67&amp;C67</f>
        <v>Bornholm Kommune  Gaden 44</v>
      </c>
      <c r="E67" s="1" t="s">
        <v>212</v>
      </c>
      <c r="F67" s="1" t="s">
        <v>213</v>
      </c>
      <c r="G67" s="1">
        <v>1960</v>
      </c>
      <c r="H67" s="1" t="s">
        <v>11</v>
      </c>
      <c r="I67" s="6" cm="1">
        <f t="array" ref="I67">GetLatitude(D67)</f>
        <v>551604280</v>
      </c>
      <c r="J67" s="1" cm="1">
        <f t="array" ref="J67">GetLongitude(D67)</f>
        <v>148668836</v>
      </c>
      <c r="K67" s="1">
        <f t="shared" si="1"/>
        <v>55.160428000000003</v>
      </c>
      <c r="L67" s="1">
        <f t="shared" si="2"/>
        <v>14.8668836</v>
      </c>
    </row>
    <row r="68" spans="1:12" ht="16" x14ac:dyDescent="0.2">
      <c r="A68" s="1">
        <v>67</v>
      </c>
      <c r="B68" s="1" t="s">
        <v>195</v>
      </c>
      <c r="C68" s="1" t="s">
        <v>214</v>
      </c>
      <c r="D68" s="1" t="str">
        <f t="shared" si="3"/>
        <v>Bornholm Kommune Gl. Rønnevej 1 A (tidl Rønnevej 1)</v>
      </c>
      <c r="E68" s="1" t="s">
        <v>215</v>
      </c>
      <c r="F68" s="1" t="s">
        <v>216</v>
      </c>
      <c r="G68" s="1">
        <v>1947</v>
      </c>
      <c r="H68" s="1" t="s">
        <v>15</v>
      </c>
      <c r="I68" s="6" cm="1">
        <f t="array" ref="I68">GetLatitude(D68)</f>
        <v>550627151</v>
      </c>
      <c r="J68" s="1" cm="1">
        <f t="array" ref="J68">GetLongitude(D68)</f>
        <v>151226498</v>
      </c>
      <c r="K68" s="1">
        <f t="shared" ref="K68:K131" si="4">I68/10000000</f>
        <v>55.062715099999998</v>
      </c>
      <c r="L68" s="1">
        <f t="shared" ref="L68:L131" si="5">J68/10000000</f>
        <v>15.1226498</v>
      </c>
    </row>
    <row r="69" spans="1:12" ht="16" x14ac:dyDescent="0.2">
      <c r="A69" s="1">
        <v>68</v>
      </c>
      <c r="B69" s="1" t="s">
        <v>195</v>
      </c>
      <c r="C69" s="1" t="s">
        <v>217</v>
      </c>
      <c r="D69" s="1" t="str">
        <f t="shared" si="3"/>
        <v>Bornholm Kommune Godthåbsvej 59B</v>
      </c>
      <c r="E69" s="1" t="s">
        <v>218</v>
      </c>
      <c r="F69" s="1" t="s">
        <v>219</v>
      </c>
      <c r="G69" s="1">
        <v>1984</v>
      </c>
      <c r="H69" s="1" t="s">
        <v>11</v>
      </c>
      <c r="I69" s="6" cm="1">
        <f t="array" ref="I69">GetLatitude(D69)</f>
        <v>551441966</v>
      </c>
      <c r="J69" s="1" cm="1">
        <f t="array" ref="J69">GetLongitude(D69)</f>
        <v>150073885</v>
      </c>
      <c r="K69" s="1">
        <f t="shared" si="4"/>
        <v>55.144196600000001</v>
      </c>
      <c r="L69" s="1">
        <f t="shared" si="5"/>
        <v>15.007388499999999</v>
      </c>
    </row>
    <row r="70" spans="1:12" ht="16" x14ac:dyDescent="0.2">
      <c r="A70" s="1">
        <v>69</v>
      </c>
      <c r="B70" s="1" t="s">
        <v>195</v>
      </c>
      <c r="C70" s="1" t="s">
        <v>220</v>
      </c>
      <c r="D70" s="1" t="str">
        <f t="shared" si="3"/>
        <v>Bornholm Kommune Gudhjemvej 28-30</v>
      </c>
      <c r="E70" s="1" t="s">
        <v>221</v>
      </c>
      <c r="F70" s="1" t="s">
        <v>222</v>
      </c>
      <c r="G70" s="1">
        <v>1990</v>
      </c>
      <c r="H70" s="1" t="s">
        <v>15</v>
      </c>
      <c r="I70" s="6" cm="1">
        <f t="array" ref="I70">GetLatitude(D70)</f>
        <v>551698220</v>
      </c>
      <c r="J70" s="1" cm="1">
        <f t="array" ref="J70">GetLongitude(D70)</f>
        <v>149598910</v>
      </c>
      <c r="K70" s="1">
        <f t="shared" si="4"/>
        <v>55.169822000000003</v>
      </c>
      <c r="L70" s="1">
        <f t="shared" si="5"/>
        <v>14.959891000000001</v>
      </c>
    </row>
    <row r="71" spans="1:12" ht="16" x14ac:dyDescent="0.2">
      <c r="A71" s="1">
        <v>70</v>
      </c>
      <c r="B71" s="1" t="s">
        <v>195</v>
      </c>
      <c r="C71" s="1" t="s">
        <v>223</v>
      </c>
      <c r="D71" s="1" t="str">
        <f t="shared" si="3"/>
        <v>Bornholm Kommune Jørn Utzons Sti 2 og Hans Thygesensvej 46A</v>
      </c>
      <c r="E71" s="1" t="s">
        <v>224</v>
      </c>
      <c r="F71" s="1" t="s">
        <v>225</v>
      </c>
      <c r="G71" s="1">
        <v>1990</v>
      </c>
      <c r="H71" s="1" t="s">
        <v>226</v>
      </c>
      <c r="I71" s="6" cm="1">
        <f t="array" ref="I71">GetLatitude(D71)</f>
        <v>551453677</v>
      </c>
      <c r="J71" s="1" cm="1">
        <f t="array" ref="J71">GetLongitude(D71)</f>
        <v>151098247</v>
      </c>
      <c r="K71" s="1">
        <f t="shared" si="4"/>
        <v>55.145367700000001</v>
      </c>
      <c r="L71" s="1">
        <f t="shared" si="5"/>
        <v>15.109824700000001</v>
      </c>
    </row>
    <row r="72" spans="1:12" ht="16" x14ac:dyDescent="0.2">
      <c r="A72" s="1">
        <v>71</v>
      </c>
      <c r="B72" s="1" t="s">
        <v>195</v>
      </c>
      <c r="C72" s="1" t="s">
        <v>227</v>
      </c>
      <c r="D72" s="1" t="str">
        <f t="shared" si="3"/>
        <v>Bornholm Kommune Kirkebakken 9</v>
      </c>
      <c r="E72" s="1" t="s">
        <v>228</v>
      </c>
      <c r="F72" s="1" t="s">
        <v>229</v>
      </c>
      <c r="G72" s="1">
        <v>2003</v>
      </c>
      <c r="H72" s="1" t="s">
        <v>15</v>
      </c>
      <c r="I72" s="6" cm="1">
        <f t="array" ref="I72">GetLatitude(D72)</f>
        <v>552456260</v>
      </c>
      <c r="J72" s="1" cm="1">
        <f t="array" ref="J72">GetLongitude(D72)</f>
        <v>148360934</v>
      </c>
      <c r="K72" s="1">
        <f t="shared" si="4"/>
        <v>55.245626000000001</v>
      </c>
      <c r="L72" s="1">
        <f t="shared" si="5"/>
        <v>14.836093399999999</v>
      </c>
    </row>
    <row r="73" spans="1:12" ht="16" x14ac:dyDescent="0.2">
      <c r="A73" s="1">
        <v>72</v>
      </c>
      <c r="B73" s="1" t="s">
        <v>195</v>
      </c>
      <c r="C73" s="1" t="s">
        <v>230</v>
      </c>
      <c r="D73" s="1" t="str">
        <f t="shared" si="3"/>
        <v>Bornholm Kommune Krystalgade 5. L</v>
      </c>
      <c r="E73" s="1" t="s">
        <v>231</v>
      </c>
      <c r="F73" s="1" t="s">
        <v>232</v>
      </c>
      <c r="G73" s="1">
        <v>1984</v>
      </c>
      <c r="H73" s="1" t="s">
        <v>11</v>
      </c>
      <c r="I73" s="6" cm="1">
        <f t="array" ref="I73">GetLatitude(D73)</f>
        <v>551025570</v>
      </c>
      <c r="J73" s="1" cm="1">
        <f t="array" ref="J73">GetLongitude(D73)</f>
        <v>146971092</v>
      </c>
      <c r="K73" s="1">
        <f t="shared" si="4"/>
        <v>55.102556999999997</v>
      </c>
      <c r="L73" s="1">
        <f t="shared" si="5"/>
        <v>14.6971092</v>
      </c>
    </row>
    <row r="74" spans="1:12" ht="16" x14ac:dyDescent="0.2">
      <c r="A74" s="1">
        <v>73</v>
      </c>
      <c r="B74" s="1" t="s">
        <v>195</v>
      </c>
      <c r="C74" s="1" t="s">
        <v>233</v>
      </c>
      <c r="D74" s="1" t="str">
        <f t="shared" si="3"/>
        <v>Bornholm Kommune Købmagergade 33</v>
      </c>
      <c r="E74" s="1" t="s">
        <v>234</v>
      </c>
      <c r="F74" s="1" t="s">
        <v>235</v>
      </c>
      <c r="G74" s="1">
        <v>1954</v>
      </c>
      <c r="H74" s="1" t="s">
        <v>11</v>
      </c>
      <c r="I74" s="6" cm="1">
        <f t="array" ref="I74">GetLatitude(D74)</f>
        <v>550595300</v>
      </c>
      <c r="J74" s="1" cm="1">
        <f t="array" ref="J74">GetLongitude(D74)</f>
        <v>151330170</v>
      </c>
      <c r="K74" s="1">
        <f t="shared" si="4"/>
        <v>55.059530000000002</v>
      </c>
      <c r="L74" s="1">
        <f t="shared" si="5"/>
        <v>15.133017000000001</v>
      </c>
    </row>
    <row r="75" spans="1:12" ht="16" x14ac:dyDescent="0.2">
      <c r="A75" s="1">
        <v>74</v>
      </c>
      <c r="B75" s="1" t="s">
        <v>195</v>
      </c>
      <c r="C75" s="1" t="s">
        <v>236</v>
      </c>
      <c r="D75" s="1" t="str">
        <f t="shared" si="3"/>
        <v>Bornholm Kommune Laksegade 5</v>
      </c>
      <c r="E75" s="1" t="s">
        <v>237</v>
      </c>
      <c r="F75" s="1" t="s">
        <v>238</v>
      </c>
      <c r="G75" s="1">
        <v>1954</v>
      </c>
      <c r="H75" s="1" t="s">
        <v>11</v>
      </c>
      <c r="I75" s="6" cm="1">
        <f t="array" ref="I75">GetLatitude(D75)</f>
        <v>551035709</v>
      </c>
      <c r="J75" s="1" cm="1">
        <f t="array" ref="J75">GetLongitude(D75)</f>
        <v>146972799</v>
      </c>
      <c r="K75" s="1">
        <f t="shared" si="4"/>
        <v>55.103570900000001</v>
      </c>
      <c r="L75" s="1">
        <f t="shared" si="5"/>
        <v>14.6972799</v>
      </c>
    </row>
    <row r="76" spans="1:12" ht="16" x14ac:dyDescent="0.2">
      <c r="A76" s="1">
        <v>75</v>
      </c>
      <c r="B76" s="1" t="s">
        <v>195</v>
      </c>
      <c r="C76" s="1" t="s">
        <v>239</v>
      </c>
      <c r="D76" s="1" t="str">
        <f t="shared" si="3"/>
        <v>Bornholm Kommune Laksegade 7</v>
      </c>
      <c r="E76" s="1" t="s">
        <v>240</v>
      </c>
      <c r="F76" s="1" t="s">
        <v>241</v>
      </c>
      <c r="G76" s="1">
        <v>1919</v>
      </c>
      <c r="H76" s="1" t="s">
        <v>242</v>
      </c>
      <c r="I76" s="6" cm="1">
        <f t="array" ref="I76">GetLatitude(D76)</f>
        <v>551604280</v>
      </c>
      <c r="J76" s="1" cm="1">
        <f t="array" ref="J76">GetLongitude(D76)</f>
        <v>148668836</v>
      </c>
      <c r="K76" s="1">
        <f t="shared" si="4"/>
        <v>55.160428000000003</v>
      </c>
      <c r="L76" s="1">
        <f t="shared" si="5"/>
        <v>14.8668836</v>
      </c>
    </row>
    <row r="77" spans="1:12" ht="16" x14ac:dyDescent="0.2">
      <c r="A77" s="1">
        <v>76</v>
      </c>
      <c r="B77" s="1" t="s">
        <v>195</v>
      </c>
      <c r="C77" s="1" t="s">
        <v>243</v>
      </c>
      <c r="D77" s="1" t="str">
        <f t="shared" si="3"/>
        <v>Bornholm Kommune Langebjergvej 15</v>
      </c>
      <c r="E77" s="1" t="s">
        <v>244</v>
      </c>
      <c r="F77" s="1" t="s">
        <v>245</v>
      </c>
      <c r="G77" s="1">
        <v>2013</v>
      </c>
      <c r="H77" s="1" t="s">
        <v>15</v>
      </c>
      <c r="I77" s="6" cm="1">
        <f t="array" ref="I77">GetLatitude(D77)</f>
        <v>552770259</v>
      </c>
      <c r="J77" s="1" cm="1">
        <f t="array" ref="J77">GetLongitude(D77)</f>
        <v>147666365</v>
      </c>
      <c r="K77" s="1">
        <f t="shared" si="4"/>
        <v>55.277025899999998</v>
      </c>
      <c r="L77" s="1">
        <f t="shared" si="5"/>
        <v>14.766636500000001</v>
      </c>
    </row>
    <row r="78" spans="1:12" ht="16" x14ac:dyDescent="0.2">
      <c r="A78" s="1">
        <v>77</v>
      </c>
      <c r="B78" s="1" t="s">
        <v>195</v>
      </c>
      <c r="C78" s="1" t="s">
        <v>246</v>
      </c>
      <c r="D78" s="1" t="str">
        <f t="shared" si="3"/>
        <v>Bornholm Kommune Lille Madsegade 32-34</v>
      </c>
      <c r="E78" s="1" t="s">
        <v>247</v>
      </c>
      <c r="F78" s="1" t="s">
        <v>248</v>
      </c>
      <c r="G78" s="1">
        <v>2015</v>
      </c>
      <c r="H78" s="1" t="s">
        <v>15</v>
      </c>
      <c r="I78" s="6" cm="1">
        <f t="array" ref="I78">GetLatitude(D78)</f>
        <v>551031387</v>
      </c>
      <c r="J78" s="1" cm="1">
        <f t="array" ref="J78">GetLongitude(D78)</f>
        <v>147040148</v>
      </c>
      <c r="K78" s="1">
        <f t="shared" si="4"/>
        <v>55.103138700000002</v>
      </c>
      <c r="L78" s="1">
        <f t="shared" si="5"/>
        <v>14.704014799999999</v>
      </c>
    </row>
    <row r="79" spans="1:12" ht="16" x14ac:dyDescent="0.2">
      <c r="A79" s="1">
        <v>78</v>
      </c>
      <c r="B79" s="1" t="s">
        <v>195</v>
      </c>
      <c r="C79" s="1" t="s">
        <v>249</v>
      </c>
      <c r="D79" s="1" t="str">
        <f t="shared" si="3"/>
        <v>Bornholm Kommune Marie Kofoedsvej 1, 3 og 5</v>
      </c>
      <c r="E79" s="1" t="s">
        <v>250</v>
      </c>
      <c r="F79" s="1" t="s">
        <v>251</v>
      </c>
      <c r="G79" s="1">
        <v>1977</v>
      </c>
      <c r="H79" s="1" t="s">
        <v>11</v>
      </c>
      <c r="I79" s="6" cm="1">
        <f t="array" ref="I79">GetLatitude(D79)</f>
        <v>551050176</v>
      </c>
      <c r="J79" s="1" cm="1">
        <f t="array" ref="J79">GetLongitude(D79)</f>
        <v>147030516</v>
      </c>
      <c r="K79" s="1">
        <f t="shared" si="4"/>
        <v>55.105017599999996</v>
      </c>
      <c r="L79" s="1">
        <f t="shared" si="5"/>
        <v>14.7030516</v>
      </c>
    </row>
    <row r="80" spans="1:12" ht="16" x14ac:dyDescent="0.2">
      <c r="A80" s="1">
        <v>79</v>
      </c>
      <c r="B80" s="1" t="s">
        <v>195</v>
      </c>
      <c r="C80" s="1" t="s">
        <v>252</v>
      </c>
      <c r="D80" s="1" t="str">
        <f t="shared" si="3"/>
        <v>Bornholm Kommune Melsted By 8</v>
      </c>
      <c r="E80" s="1" t="s">
        <v>253</v>
      </c>
      <c r="F80" s="1" t="s">
        <v>254</v>
      </c>
      <c r="G80" s="1">
        <v>1975</v>
      </c>
      <c r="H80" s="1" t="s">
        <v>11</v>
      </c>
      <c r="I80" s="6" cm="1">
        <f t="array" ref="I80">GetLatitude(D80)</f>
        <v>552031738</v>
      </c>
      <c r="J80" s="1" cm="1">
        <f t="array" ref="J80">GetLongitude(D80)</f>
        <v>149811648</v>
      </c>
      <c r="K80" s="1">
        <f t="shared" si="4"/>
        <v>55.203173800000002</v>
      </c>
      <c r="L80" s="1">
        <f t="shared" si="5"/>
        <v>14.9811648</v>
      </c>
    </row>
    <row r="81" spans="1:12" ht="16" x14ac:dyDescent="0.2">
      <c r="A81" s="1">
        <v>80</v>
      </c>
      <c r="B81" s="1" t="s">
        <v>195</v>
      </c>
      <c r="C81" s="1" t="s">
        <v>255</v>
      </c>
      <c r="D81" s="1" t="str">
        <f t="shared" si="3"/>
        <v>Bornholm Kommune Melstedvej 25</v>
      </c>
      <c r="E81" s="1" t="s">
        <v>256</v>
      </c>
      <c r="F81" s="1" t="s">
        <v>257</v>
      </c>
      <c r="G81" s="1">
        <v>1950</v>
      </c>
      <c r="H81" s="1" t="s">
        <v>11</v>
      </c>
      <c r="I81" s="6" cm="1">
        <f t="array" ref="I81">GetLatitude(D81)</f>
        <v>552025767</v>
      </c>
      <c r="J81" s="1" cm="1">
        <f t="array" ref="J81">GetLongitude(D81)</f>
        <v>149793261</v>
      </c>
      <c r="K81" s="1">
        <f t="shared" si="4"/>
        <v>55.202576700000002</v>
      </c>
      <c r="L81" s="1">
        <f t="shared" si="5"/>
        <v>14.9793261</v>
      </c>
    </row>
    <row r="82" spans="1:12" ht="16" x14ac:dyDescent="0.2">
      <c r="A82" s="1">
        <v>81</v>
      </c>
      <c r="B82" s="1" t="s">
        <v>195</v>
      </c>
      <c r="C82" s="1" t="s">
        <v>258</v>
      </c>
      <c r="D82" s="1" t="str">
        <f t="shared" si="3"/>
        <v>Bornholm Kommune Melstedvej 25 M (tidl Møllegade 7 A)</v>
      </c>
      <c r="E82" s="1" t="s">
        <v>259</v>
      </c>
      <c r="F82" s="1" t="s">
        <v>260</v>
      </c>
      <c r="G82" s="1">
        <v>1959</v>
      </c>
      <c r="H82" s="1" t="s">
        <v>15</v>
      </c>
      <c r="I82" s="6" cm="1">
        <f t="array" ref="I82">GetLatitude(D82)</f>
        <v>552025767</v>
      </c>
      <c r="J82" s="1" cm="1">
        <f t="array" ref="J82">GetLongitude(D82)</f>
        <v>149793261</v>
      </c>
      <c r="K82" s="1">
        <f t="shared" si="4"/>
        <v>55.202576700000002</v>
      </c>
      <c r="L82" s="1">
        <f t="shared" si="5"/>
        <v>14.9793261</v>
      </c>
    </row>
    <row r="83" spans="1:12" ht="16" x14ac:dyDescent="0.2">
      <c r="A83" s="1">
        <v>82</v>
      </c>
      <c r="B83" s="1" t="s">
        <v>195</v>
      </c>
      <c r="C83" s="1" t="s">
        <v>261</v>
      </c>
      <c r="D83" s="1" t="str">
        <f t="shared" si="3"/>
        <v>Bornholm Kommune Munch Petersensvej 10</v>
      </c>
      <c r="E83" s="1" t="s">
        <v>262</v>
      </c>
      <c r="F83" s="1" t="s">
        <v>263</v>
      </c>
      <c r="G83" s="1">
        <v>1973</v>
      </c>
      <c r="H83" s="1" t="s">
        <v>15</v>
      </c>
      <c r="I83" s="6" cm="1">
        <f t="array" ref="I83">GetLatitude(D83)</f>
        <v>551003734</v>
      </c>
      <c r="J83" s="1" cm="1">
        <f t="array" ref="J83">GetLongitude(D83)</f>
        <v>146930165</v>
      </c>
      <c r="K83" s="1">
        <f t="shared" si="4"/>
        <v>55.100373400000002</v>
      </c>
      <c r="L83" s="1">
        <f t="shared" si="5"/>
        <v>14.693016500000001</v>
      </c>
    </row>
    <row r="84" spans="1:12" ht="16" x14ac:dyDescent="0.2">
      <c r="A84" s="1">
        <v>83</v>
      </c>
      <c r="B84" s="1" t="s">
        <v>195</v>
      </c>
      <c r="C84" s="1" t="s">
        <v>264</v>
      </c>
      <c r="D84" s="1" t="str">
        <f t="shared" si="3"/>
        <v>Bornholm Kommune Munch Petersens Vej 9</v>
      </c>
      <c r="E84" s="1" t="s">
        <v>265</v>
      </c>
      <c r="F84" s="1" t="s">
        <v>266</v>
      </c>
      <c r="G84" s="1">
        <v>1985</v>
      </c>
      <c r="H84" s="1" t="s">
        <v>267</v>
      </c>
      <c r="I84" s="6" cm="1">
        <f t="array" ref="I84">GetLatitude(D84)</f>
        <v>550999827</v>
      </c>
      <c r="J84" s="1" cm="1">
        <f t="array" ref="J84">GetLongitude(D84)</f>
        <v>146944012</v>
      </c>
      <c r="K84" s="1">
        <f t="shared" si="4"/>
        <v>55.099982699999998</v>
      </c>
      <c r="L84" s="1">
        <f t="shared" si="5"/>
        <v>14.6944012</v>
      </c>
    </row>
    <row r="85" spans="1:12" ht="16" x14ac:dyDescent="0.2">
      <c r="A85" s="1">
        <v>84</v>
      </c>
      <c r="B85" s="1" t="s">
        <v>195</v>
      </c>
      <c r="C85" s="1" t="s">
        <v>268</v>
      </c>
      <c r="D85" s="1" t="str">
        <f t="shared" si="3"/>
        <v>Bornholm Kommune Møllebakken 13</v>
      </c>
      <c r="E85" s="1" t="s">
        <v>269</v>
      </c>
      <c r="F85" s="1" t="s">
        <v>270</v>
      </c>
      <c r="G85" s="1">
        <v>1960</v>
      </c>
      <c r="H85" s="1" t="s">
        <v>11</v>
      </c>
      <c r="I85" s="6" cm="1">
        <f t="array" ref="I85">GetLatitude(D85)</f>
        <v>551604280</v>
      </c>
      <c r="J85" s="1" cm="1">
        <f t="array" ref="J85">GetLongitude(D85)</f>
        <v>148668836</v>
      </c>
      <c r="K85" s="1">
        <f t="shared" si="4"/>
        <v>55.160428000000003</v>
      </c>
      <c r="L85" s="1">
        <f t="shared" si="5"/>
        <v>14.8668836</v>
      </c>
    </row>
    <row r="86" spans="1:12" ht="16" x14ac:dyDescent="0.2">
      <c r="A86" s="1">
        <v>85</v>
      </c>
      <c r="B86" s="1" t="s">
        <v>195</v>
      </c>
      <c r="C86" s="1" t="s">
        <v>271</v>
      </c>
      <c r="D86" s="1" t="str">
        <f t="shared" si="3"/>
        <v>Bornholm Kommune Nexøvej 26</v>
      </c>
      <c r="E86" s="1" t="s">
        <v>272</v>
      </c>
      <c r="F86" s="1" t="s">
        <v>273</v>
      </c>
      <c r="G86" s="1">
        <v>1971</v>
      </c>
      <c r="H86" s="1" t="s">
        <v>15</v>
      </c>
      <c r="I86" s="6" cm="1">
        <f t="array" ref="I86">GetLatitude(D86)</f>
        <v>550686076</v>
      </c>
      <c r="J86" s="1" cm="1">
        <f t="array" ref="J86">GetLongitude(D86)</f>
        <v>149656723</v>
      </c>
      <c r="K86" s="1">
        <f t="shared" si="4"/>
        <v>55.0686076</v>
      </c>
      <c r="L86" s="1">
        <f t="shared" si="5"/>
        <v>14.9656723</v>
      </c>
    </row>
    <row r="87" spans="1:12" ht="16" x14ac:dyDescent="0.2">
      <c r="A87" s="1">
        <v>86</v>
      </c>
      <c r="B87" s="1" t="s">
        <v>195</v>
      </c>
      <c r="C87" s="1" t="s">
        <v>274</v>
      </c>
      <c r="D87" s="1" t="str">
        <f t="shared" si="3"/>
        <v>Bornholm Kommune Nexøvej 74 A</v>
      </c>
      <c r="E87" s="1" t="s">
        <v>275</v>
      </c>
      <c r="F87" s="1" t="s">
        <v>276</v>
      </c>
      <c r="G87" s="1">
        <v>1964</v>
      </c>
      <c r="H87" s="1" t="s">
        <v>11</v>
      </c>
      <c r="I87" s="6" cm="1">
        <f t="array" ref="I87">GetLatitude(D87)</f>
        <v>550644677</v>
      </c>
      <c r="J87" s="1" cm="1">
        <f t="array" ref="J87">GetLongitude(D87)</f>
        <v>150018680</v>
      </c>
      <c r="K87" s="1">
        <f t="shared" si="4"/>
        <v>55.064467700000002</v>
      </c>
      <c r="L87" s="1">
        <f t="shared" si="5"/>
        <v>15.001868</v>
      </c>
    </row>
    <row r="88" spans="1:12" ht="16" x14ac:dyDescent="0.2">
      <c r="A88" s="1">
        <v>87</v>
      </c>
      <c r="B88" s="1" t="s">
        <v>195</v>
      </c>
      <c r="C88" s="1" t="s">
        <v>277</v>
      </c>
      <c r="D88" s="1" t="str">
        <f t="shared" si="3"/>
        <v>Bornholm Kommune Nybrovej 33</v>
      </c>
      <c r="E88" s="1" t="s">
        <v>278</v>
      </c>
      <c r="F88" s="1" t="s">
        <v>279</v>
      </c>
      <c r="G88" s="1">
        <v>1984</v>
      </c>
      <c r="H88" s="1" t="s">
        <v>15</v>
      </c>
      <c r="I88" s="6" cm="1">
        <f t="array" ref="I88">GetLatitude(D88)</f>
        <v>551647692</v>
      </c>
      <c r="J88" s="1" cm="1">
        <f t="array" ref="J88">GetLongitude(D88)</f>
        <v>149689866</v>
      </c>
      <c r="K88" s="1">
        <f t="shared" si="4"/>
        <v>55.164769200000002</v>
      </c>
      <c r="L88" s="1">
        <f t="shared" si="5"/>
        <v>14.968986599999999</v>
      </c>
    </row>
    <row r="89" spans="1:12" ht="16" x14ac:dyDescent="0.2">
      <c r="A89" s="1">
        <v>88</v>
      </c>
      <c r="B89" s="1" t="s">
        <v>195</v>
      </c>
      <c r="C89" s="1" t="s">
        <v>280</v>
      </c>
      <c r="D89" s="1" t="str">
        <f t="shared" si="3"/>
        <v>Bornholm Kommune Nybrovej 47</v>
      </c>
      <c r="E89" s="1" t="s">
        <v>281</v>
      </c>
      <c r="F89" s="1" t="s">
        <v>282</v>
      </c>
      <c r="G89" s="1">
        <v>1979</v>
      </c>
      <c r="H89" s="1" t="s">
        <v>283</v>
      </c>
      <c r="I89" s="6" cm="1">
        <f t="array" ref="I89">GetLatitude(D89)</f>
        <v>551602776</v>
      </c>
      <c r="J89" s="1" cm="1">
        <f t="array" ref="J89">GetLongitude(D89)</f>
        <v>149963415</v>
      </c>
      <c r="K89" s="1">
        <f t="shared" si="4"/>
        <v>55.160277600000001</v>
      </c>
      <c r="L89" s="1">
        <f t="shared" si="5"/>
        <v>14.9963415</v>
      </c>
    </row>
    <row r="90" spans="1:12" ht="16" x14ac:dyDescent="0.2">
      <c r="A90" s="1">
        <v>89</v>
      </c>
      <c r="B90" s="1" t="s">
        <v>195</v>
      </c>
      <c r="C90" s="1" t="s">
        <v>284</v>
      </c>
      <c r="D90" s="1" t="str">
        <f t="shared" si="3"/>
        <v>Bornholm Kommune Nørrevang 9 C</v>
      </c>
      <c r="E90" s="1" t="s">
        <v>285</v>
      </c>
      <c r="F90" s="1" t="s">
        <v>286</v>
      </c>
      <c r="G90" s="1">
        <v>1960</v>
      </c>
      <c r="H90" s="1" t="s">
        <v>11</v>
      </c>
      <c r="I90" s="6" cm="1">
        <f t="array" ref="I90">GetLatitude(D90)</f>
        <v>551604280</v>
      </c>
      <c r="J90" s="1" cm="1">
        <f t="array" ref="J90">GetLongitude(D90)</f>
        <v>148668836</v>
      </c>
      <c r="K90" s="1">
        <f t="shared" si="4"/>
        <v>55.160428000000003</v>
      </c>
      <c r="L90" s="1">
        <f t="shared" si="5"/>
        <v>14.8668836</v>
      </c>
    </row>
    <row r="91" spans="1:12" ht="16" x14ac:dyDescent="0.2">
      <c r="A91" s="1">
        <v>90</v>
      </c>
      <c r="B91" s="1" t="s">
        <v>195</v>
      </c>
      <c r="C91" s="1" t="s">
        <v>287</v>
      </c>
      <c r="D91" s="1" t="str">
        <f t="shared" si="3"/>
        <v>Bornholm Kommune Pilegade 7 B</v>
      </c>
      <c r="E91" s="1" t="s">
        <v>288</v>
      </c>
      <c r="F91" s="1" t="s">
        <v>289</v>
      </c>
      <c r="G91" s="1">
        <v>2003</v>
      </c>
      <c r="H91" s="1" t="s">
        <v>15</v>
      </c>
      <c r="I91" s="6" cm="1">
        <f t="array" ref="I91">GetLatitude(D91)</f>
        <v>552760340</v>
      </c>
      <c r="J91" s="1" cm="1">
        <f t="array" ref="J91">GetLongitude(D91)</f>
        <v>148000403</v>
      </c>
      <c r="K91" s="1">
        <f t="shared" si="4"/>
        <v>55.276034000000003</v>
      </c>
      <c r="L91" s="1">
        <f t="shared" si="5"/>
        <v>14.800040299999999</v>
      </c>
    </row>
    <row r="92" spans="1:12" ht="16" x14ac:dyDescent="0.2">
      <c r="A92" s="1">
        <v>91</v>
      </c>
      <c r="B92" s="1" t="s">
        <v>195</v>
      </c>
      <c r="C92" s="1" t="s">
        <v>290</v>
      </c>
      <c r="D92" s="1" t="str">
        <f t="shared" si="3"/>
        <v>Bornholm Kommune Sandgade 1-11 og Store Torvegade 36A-B</v>
      </c>
      <c r="E92" s="1" t="s">
        <v>291</v>
      </c>
      <c r="F92" s="1" t="s">
        <v>292</v>
      </c>
      <c r="G92" s="1">
        <v>2015</v>
      </c>
      <c r="H92" s="1" t="s">
        <v>11</v>
      </c>
      <c r="I92" s="6" cm="1">
        <f t="array" ref="I92">GetLatitude(D92)</f>
        <v>551093980</v>
      </c>
      <c r="J92" s="1" cm="1">
        <f t="array" ref="J92">GetLongitude(D92)</f>
        <v>147027380</v>
      </c>
      <c r="K92" s="1">
        <f t="shared" si="4"/>
        <v>55.109397999999999</v>
      </c>
      <c r="L92" s="1">
        <f t="shared" si="5"/>
        <v>14.702738</v>
      </c>
    </row>
    <row r="93" spans="1:12" ht="16" x14ac:dyDescent="0.2">
      <c r="A93" s="1">
        <v>92</v>
      </c>
      <c r="B93" s="1" t="s">
        <v>195</v>
      </c>
      <c r="C93" s="1" t="s">
        <v>293</v>
      </c>
      <c r="D93" s="1" t="str">
        <f t="shared" si="3"/>
        <v>Bornholm Kommune Segenvej 50</v>
      </c>
      <c r="E93" s="1" t="s">
        <v>294</v>
      </c>
      <c r="F93" s="1" t="s">
        <v>295</v>
      </c>
      <c r="G93" s="1">
        <v>2013</v>
      </c>
      <c r="H93" s="1" t="s">
        <v>15</v>
      </c>
      <c r="I93" s="6" cm="1">
        <f t="array" ref="I93">GetLatitude(D93)</f>
        <v>551217541</v>
      </c>
      <c r="J93" s="1" cm="1">
        <f t="array" ref="J93">GetLongitude(D93)</f>
        <v>149064799</v>
      </c>
      <c r="K93" s="1">
        <f t="shared" si="4"/>
        <v>55.121754099999997</v>
      </c>
      <c r="L93" s="1">
        <f t="shared" si="5"/>
        <v>14.906479900000001</v>
      </c>
    </row>
    <row r="94" spans="1:12" ht="16" x14ac:dyDescent="0.2">
      <c r="A94" s="1">
        <v>93</v>
      </c>
      <c r="B94" s="1" t="s">
        <v>195</v>
      </c>
      <c r="C94" s="1" t="s">
        <v>296</v>
      </c>
      <c r="D94" s="1" t="str">
        <f t="shared" si="3"/>
        <v>Bornholm Kommune Stationsvej 1</v>
      </c>
      <c r="E94" s="1" t="s">
        <v>297</v>
      </c>
      <c r="F94" s="1" t="s">
        <v>298</v>
      </c>
      <c r="G94" s="1">
        <v>1984</v>
      </c>
      <c r="H94" s="1" t="s">
        <v>15</v>
      </c>
      <c r="I94" s="6" cm="1">
        <f t="array" ref="I94">GetLatitude(D94)</f>
        <v>551402736</v>
      </c>
      <c r="J94" s="1" cm="1">
        <f t="array" ref="J94">GetLongitude(D94)</f>
        <v>147665854</v>
      </c>
      <c r="K94" s="1">
        <f t="shared" si="4"/>
        <v>55.1402736</v>
      </c>
      <c r="L94" s="1">
        <f t="shared" si="5"/>
        <v>14.7665854</v>
      </c>
    </row>
    <row r="95" spans="1:12" ht="16" x14ac:dyDescent="0.2">
      <c r="A95" s="1">
        <v>94</v>
      </c>
      <c r="B95" s="1" t="s">
        <v>195</v>
      </c>
      <c r="C95" s="1" t="s">
        <v>299</v>
      </c>
      <c r="D95" s="1" t="str">
        <f t="shared" si="3"/>
        <v>Bornholm Kommune Stenbrudsvej 55</v>
      </c>
      <c r="E95" s="1" t="s">
        <v>300</v>
      </c>
      <c r="F95" s="1" t="s">
        <v>301</v>
      </c>
      <c r="G95" s="1">
        <v>1988</v>
      </c>
      <c r="H95" s="1" t="s">
        <v>302</v>
      </c>
      <c r="I95" s="6" cm="1">
        <f t="array" ref="I95">GetLatitude(D95)</f>
        <v>550752068</v>
      </c>
      <c r="J95" s="1" cm="1">
        <f t="array" ref="J95">GetLongitude(D95)</f>
        <v>151431701</v>
      </c>
      <c r="K95" s="1">
        <f t="shared" si="4"/>
        <v>55.075206799999997</v>
      </c>
      <c r="L95" s="1">
        <f t="shared" si="5"/>
        <v>15.143170100000001</v>
      </c>
    </row>
    <row r="96" spans="1:12" ht="16" x14ac:dyDescent="0.2">
      <c r="A96" s="1">
        <v>95</v>
      </c>
      <c r="B96" s="1" t="s">
        <v>195</v>
      </c>
      <c r="C96" s="1" t="s">
        <v>303</v>
      </c>
      <c r="D96" s="1" t="str">
        <f t="shared" si="3"/>
        <v>Bornholm Kommune Storegade 15</v>
      </c>
      <c r="E96" s="1" t="s">
        <v>304</v>
      </c>
      <c r="F96" s="1" t="s">
        <v>305</v>
      </c>
      <c r="G96" s="1">
        <v>1988</v>
      </c>
      <c r="H96" s="1" t="s">
        <v>15</v>
      </c>
      <c r="I96" s="6" cm="1">
        <f t="array" ref="I96">GetLatitude(D96)</f>
        <v>551025760</v>
      </c>
      <c r="J96" s="1" cm="1">
        <f t="array" ref="J96">GetLongitude(D96)</f>
        <v>146960187</v>
      </c>
      <c r="K96" s="1">
        <f t="shared" si="4"/>
        <v>55.102575999999999</v>
      </c>
      <c r="L96" s="1">
        <f t="shared" si="5"/>
        <v>14.6960187</v>
      </c>
    </row>
    <row r="97" spans="1:12" ht="16" x14ac:dyDescent="0.2">
      <c r="A97" s="1">
        <v>96</v>
      </c>
      <c r="B97" s="1" t="s">
        <v>195</v>
      </c>
      <c r="C97" s="1" t="s">
        <v>306</v>
      </c>
      <c r="D97" s="1" t="str">
        <f t="shared" si="3"/>
        <v>Bornholm Kommune Storegade 15 A-F og Rådhusstræde 2-8</v>
      </c>
      <c r="E97" s="1" t="s">
        <v>307</v>
      </c>
      <c r="F97" s="1" t="s">
        <v>308</v>
      </c>
      <c r="G97" s="1">
        <v>1969</v>
      </c>
      <c r="H97" s="1" t="s">
        <v>309</v>
      </c>
      <c r="I97" s="6" cm="1">
        <f t="array" ref="I97">GetLatitude(D97)</f>
        <v>551604280</v>
      </c>
      <c r="J97" s="1" cm="1">
        <f t="array" ref="J97">GetLongitude(D97)</f>
        <v>148668836</v>
      </c>
      <c r="K97" s="1">
        <f t="shared" si="4"/>
        <v>55.160428000000003</v>
      </c>
      <c r="L97" s="1">
        <f t="shared" si="5"/>
        <v>14.8668836</v>
      </c>
    </row>
    <row r="98" spans="1:12" ht="16" x14ac:dyDescent="0.2">
      <c r="A98" s="1">
        <v>97</v>
      </c>
      <c r="B98" s="1" t="s">
        <v>195</v>
      </c>
      <c r="C98" s="1" t="s">
        <v>310</v>
      </c>
      <c r="D98" s="1" t="str">
        <f t="shared" si="3"/>
        <v>Bornholm Kommune Storegade 19, Grønnegade</v>
      </c>
      <c r="E98" s="1" t="s">
        <v>311</v>
      </c>
      <c r="F98" s="1" t="s">
        <v>312</v>
      </c>
      <c r="G98" s="1">
        <v>1954</v>
      </c>
      <c r="H98" s="1" t="s">
        <v>15</v>
      </c>
      <c r="I98" s="6" cm="1">
        <f t="array" ref="I98">GetLatitude(D98)</f>
        <v>551604280</v>
      </c>
      <c r="J98" s="1" cm="1">
        <f t="array" ref="J98">GetLongitude(D98)</f>
        <v>148668836</v>
      </c>
      <c r="K98" s="1">
        <f t="shared" si="4"/>
        <v>55.160428000000003</v>
      </c>
      <c r="L98" s="1">
        <f t="shared" si="5"/>
        <v>14.8668836</v>
      </c>
    </row>
    <row r="99" spans="1:12" ht="16" x14ac:dyDescent="0.2">
      <c r="A99" s="1">
        <v>98</v>
      </c>
      <c r="B99" s="1" t="s">
        <v>195</v>
      </c>
      <c r="C99" s="1" t="s">
        <v>313</v>
      </c>
      <c r="D99" s="1" t="str">
        <f t="shared" si="3"/>
        <v>Bornholm Kommune Storegade 28</v>
      </c>
      <c r="E99" s="1" t="s">
        <v>314</v>
      </c>
      <c r="F99" s="1" t="s">
        <v>315</v>
      </c>
      <c r="G99" s="1">
        <v>1987</v>
      </c>
      <c r="H99" s="1" t="s">
        <v>15</v>
      </c>
      <c r="I99" s="6" cm="1">
        <f t="array" ref="I99">GetLatitude(D99)</f>
        <v>551009698</v>
      </c>
      <c r="J99" s="1" cm="1">
        <f t="array" ref="J99">GetLongitude(D99)</f>
        <v>146956877</v>
      </c>
      <c r="K99" s="1">
        <f t="shared" si="4"/>
        <v>55.100969800000001</v>
      </c>
      <c r="L99" s="1">
        <f t="shared" si="5"/>
        <v>14.695687700000001</v>
      </c>
    </row>
    <row r="100" spans="1:12" ht="16" x14ac:dyDescent="0.2">
      <c r="A100" s="1">
        <v>99</v>
      </c>
      <c r="B100" s="1" t="s">
        <v>195</v>
      </c>
      <c r="C100" s="1" t="s">
        <v>316</v>
      </c>
      <c r="D100" s="1" t="str">
        <f t="shared" si="3"/>
        <v>Bornholm Kommune Storegade 36</v>
      </c>
      <c r="E100" s="1" t="s">
        <v>317</v>
      </c>
      <c r="F100" s="1" t="s">
        <v>318</v>
      </c>
      <c r="G100" s="1">
        <v>1919</v>
      </c>
      <c r="H100" s="1" t="s">
        <v>242</v>
      </c>
      <c r="I100" s="6" cm="1">
        <f t="array" ref="I100">GetLatitude(D100)</f>
        <v>551604280</v>
      </c>
      <c r="J100" s="1" cm="1">
        <f t="array" ref="J100">GetLongitude(D100)</f>
        <v>148668836</v>
      </c>
      <c r="K100" s="1">
        <f t="shared" si="4"/>
        <v>55.160428000000003</v>
      </c>
      <c r="L100" s="1">
        <f t="shared" si="5"/>
        <v>14.8668836</v>
      </c>
    </row>
    <row r="101" spans="1:12" ht="16" x14ac:dyDescent="0.2">
      <c r="A101" s="1">
        <v>100</v>
      </c>
      <c r="B101" s="1" t="s">
        <v>195</v>
      </c>
      <c r="C101" s="1" t="s">
        <v>319</v>
      </c>
      <c r="D101" s="1" t="str">
        <f t="shared" si="3"/>
        <v>Bornholm Kommune Storegade 42</v>
      </c>
      <c r="E101" s="1" t="s">
        <v>320</v>
      </c>
      <c r="F101" s="1" t="s">
        <v>321</v>
      </c>
      <c r="G101" s="1">
        <v>1919</v>
      </c>
      <c r="H101" s="1" t="s">
        <v>322</v>
      </c>
      <c r="I101" s="6" cm="1">
        <f t="array" ref="I101">GetLatitude(D101)</f>
        <v>551029446</v>
      </c>
      <c r="J101" s="1" cm="1">
        <f t="array" ref="J101">GetLongitude(D101)</f>
        <v>146963247</v>
      </c>
      <c r="K101" s="1">
        <f t="shared" si="4"/>
        <v>55.102944600000001</v>
      </c>
      <c r="L101" s="1">
        <f t="shared" si="5"/>
        <v>14.6963247</v>
      </c>
    </row>
    <row r="102" spans="1:12" ht="16" x14ac:dyDescent="0.2">
      <c r="A102" s="1">
        <v>101</v>
      </c>
      <c r="B102" s="1" t="s">
        <v>195</v>
      </c>
      <c r="C102" s="1" t="s">
        <v>323</v>
      </c>
      <c r="D102" s="1" t="str">
        <f t="shared" si="3"/>
        <v>Bornholm Kommune Store Torv 1</v>
      </c>
      <c r="E102" s="1" t="s">
        <v>324</v>
      </c>
      <c r="F102" s="1" t="s">
        <v>325</v>
      </c>
      <c r="G102" s="1">
        <v>1977</v>
      </c>
      <c r="H102" s="1" t="s">
        <v>11</v>
      </c>
      <c r="I102" s="6" cm="1">
        <f t="array" ref="I102">GetLatitude(D102)</f>
        <v>551024760</v>
      </c>
      <c r="J102" s="1" cm="1">
        <f t="array" ref="J102">GetLongitude(D102)</f>
        <v>146997010</v>
      </c>
      <c r="K102" s="1">
        <f t="shared" si="4"/>
        <v>55.102476000000003</v>
      </c>
      <c r="L102" s="1">
        <f t="shared" si="5"/>
        <v>14.699700999999999</v>
      </c>
    </row>
    <row r="103" spans="1:12" ht="16" x14ac:dyDescent="0.2">
      <c r="A103" s="1">
        <v>102</v>
      </c>
      <c r="B103" s="1" t="s">
        <v>195</v>
      </c>
      <c r="C103" s="1" t="s">
        <v>326</v>
      </c>
      <c r="D103" s="1" t="str">
        <f t="shared" si="3"/>
        <v>Bornholm Kommune Strandpromenaden 24</v>
      </c>
      <c r="E103" s="1" t="s">
        <v>327</v>
      </c>
      <c r="F103" s="1" t="s">
        <v>216</v>
      </c>
      <c r="G103" s="1">
        <v>1950</v>
      </c>
      <c r="H103" s="1" t="s">
        <v>15</v>
      </c>
      <c r="I103" s="6" cm="1">
        <f t="array" ref="I103">GetLatitude(D103)</f>
        <v>552890072</v>
      </c>
      <c r="J103" s="1" cm="1">
        <f t="array" ref="J103">GetLongitude(D103)</f>
        <v>147811880</v>
      </c>
      <c r="K103" s="1">
        <f t="shared" si="4"/>
        <v>55.2890072</v>
      </c>
      <c r="L103" s="1">
        <f t="shared" si="5"/>
        <v>14.781188</v>
      </c>
    </row>
    <row r="104" spans="1:12" ht="16" x14ac:dyDescent="0.2">
      <c r="A104" s="1">
        <v>103</v>
      </c>
      <c r="B104" s="1" t="s">
        <v>195</v>
      </c>
      <c r="C104" s="1" t="s">
        <v>328</v>
      </c>
      <c r="D104" s="1" t="str">
        <f t="shared" si="3"/>
        <v>Bornholm Kommune Strandvejen 10</v>
      </c>
      <c r="E104" s="1" t="s">
        <v>329</v>
      </c>
      <c r="F104" s="1" t="s">
        <v>330</v>
      </c>
      <c r="G104" s="1">
        <v>1960</v>
      </c>
      <c r="H104" s="1" t="s">
        <v>331</v>
      </c>
      <c r="I104" s="6" cm="1">
        <f t="array" ref="I104">GetLatitude(D104)</f>
        <v>551604280</v>
      </c>
      <c r="J104" s="1" cm="1">
        <f t="array" ref="J104">GetLongitude(D104)</f>
        <v>148668836</v>
      </c>
      <c r="K104" s="1">
        <f t="shared" si="4"/>
        <v>55.160428000000003</v>
      </c>
      <c r="L104" s="1">
        <f t="shared" si="5"/>
        <v>14.8668836</v>
      </c>
    </row>
    <row r="105" spans="1:12" ht="16" x14ac:dyDescent="0.2">
      <c r="A105" s="1">
        <v>104</v>
      </c>
      <c r="B105" s="1" t="s">
        <v>195</v>
      </c>
      <c r="C105" s="1" t="s">
        <v>332</v>
      </c>
      <c r="D105" s="1" t="str">
        <f t="shared" si="3"/>
        <v>Bornholm Kommune Søborgstræde 11</v>
      </c>
      <c r="E105" s="1" t="s">
        <v>333</v>
      </c>
      <c r="F105" s="1" t="s">
        <v>334</v>
      </c>
      <c r="G105" s="1">
        <v>1969</v>
      </c>
      <c r="H105" s="1" t="s">
        <v>11</v>
      </c>
      <c r="I105" s="6" cm="1">
        <f t="array" ref="I105">GetLatitude(D105)</f>
        <v>551006730</v>
      </c>
      <c r="J105" s="1" cm="1">
        <f t="array" ref="J105">GetLongitude(D105)</f>
        <v>146978420</v>
      </c>
      <c r="K105" s="1">
        <f t="shared" si="4"/>
        <v>55.100673</v>
      </c>
      <c r="L105" s="1">
        <f t="shared" si="5"/>
        <v>14.697842</v>
      </c>
    </row>
    <row r="106" spans="1:12" ht="16" x14ac:dyDescent="0.2">
      <c r="A106" s="1">
        <v>105</v>
      </c>
      <c r="B106" s="1" t="s">
        <v>195</v>
      </c>
      <c r="C106" s="1" t="s">
        <v>335</v>
      </c>
      <c r="D106" s="1" t="str">
        <f t="shared" si="3"/>
        <v>Bornholm Kommune Søndergade 12</v>
      </c>
      <c r="E106" s="1" t="s">
        <v>336</v>
      </c>
      <c r="F106" s="1" t="s">
        <v>337</v>
      </c>
      <c r="G106" s="1">
        <v>1919</v>
      </c>
      <c r="H106" s="1" t="s">
        <v>15</v>
      </c>
      <c r="I106" s="6" cm="1">
        <f t="array" ref="I106">GetLatitude(D106)</f>
        <v>551604280</v>
      </c>
      <c r="J106" s="1" cm="1">
        <f t="array" ref="J106">GetLongitude(D106)</f>
        <v>148668836</v>
      </c>
      <c r="K106" s="1">
        <f t="shared" si="4"/>
        <v>55.160428000000003</v>
      </c>
      <c r="L106" s="1">
        <f t="shared" si="5"/>
        <v>14.8668836</v>
      </c>
    </row>
    <row r="107" spans="1:12" ht="16" x14ac:dyDescent="0.2">
      <c r="A107" s="1">
        <v>106</v>
      </c>
      <c r="B107" s="1" t="s">
        <v>195</v>
      </c>
      <c r="C107" s="1" t="s">
        <v>338</v>
      </c>
      <c r="D107" s="1" t="str">
        <f t="shared" si="3"/>
        <v>Bornholm Kommune Søndergade 14 og Bagergade 12</v>
      </c>
      <c r="E107" s="1" t="s">
        <v>339</v>
      </c>
      <c r="F107" s="1" t="s">
        <v>340</v>
      </c>
      <c r="G107" s="1">
        <v>1924</v>
      </c>
      <c r="H107" s="1" t="s">
        <v>322</v>
      </c>
      <c r="I107" s="6" cm="1">
        <f t="array" ref="I107">GetLatitude(D107)</f>
        <v>550991225</v>
      </c>
      <c r="J107" s="1" cm="1">
        <f t="array" ref="J107">GetLongitude(D107)</f>
        <v>147005939</v>
      </c>
      <c r="K107" s="1">
        <f t="shared" si="4"/>
        <v>55.0991225</v>
      </c>
      <c r="L107" s="1">
        <f t="shared" si="5"/>
        <v>14.700593899999999</v>
      </c>
    </row>
    <row r="108" spans="1:12" ht="16" x14ac:dyDescent="0.2">
      <c r="A108" s="1">
        <v>107</v>
      </c>
      <c r="B108" s="1" t="s">
        <v>195</v>
      </c>
      <c r="C108" s="1" t="s">
        <v>341</v>
      </c>
      <c r="D108" s="1" t="str">
        <f t="shared" si="3"/>
        <v>Bornholm Kommune Søndre Bæk 18</v>
      </c>
      <c r="E108" s="1" t="s">
        <v>342</v>
      </c>
      <c r="F108" s="1" t="s">
        <v>343</v>
      </c>
      <c r="G108" s="1">
        <v>1986</v>
      </c>
      <c r="H108" s="1" t="s">
        <v>15</v>
      </c>
      <c r="I108" s="6" cm="1">
        <f t="array" ref="I108">GetLatitude(D108)</f>
        <v>551800116</v>
      </c>
      <c r="J108" s="1" cm="1">
        <f t="array" ref="J108">GetLongitude(D108)</f>
        <v>147034493</v>
      </c>
      <c r="K108" s="1">
        <f t="shared" si="4"/>
        <v>55.1800116</v>
      </c>
      <c r="L108" s="1">
        <f t="shared" si="5"/>
        <v>14.703449300000001</v>
      </c>
    </row>
    <row r="109" spans="1:12" ht="16" x14ac:dyDescent="0.2">
      <c r="A109" s="1">
        <v>108</v>
      </c>
      <c r="B109" s="1" t="s">
        <v>195</v>
      </c>
      <c r="C109" s="1" t="s">
        <v>344</v>
      </c>
      <c r="D109" s="1" t="str">
        <f t="shared" si="3"/>
        <v>Bornholm Kommune Søndre Landevej 55</v>
      </c>
      <c r="E109" s="1" t="s">
        <v>345</v>
      </c>
      <c r="F109" s="1" t="s">
        <v>346</v>
      </c>
      <c r="G109" s="1">
        <v>1960</v>
      </c>
      <c r="H109" s="1" t="s">
        <v>15</v>
      </c>
      <c r="I109" s="6" cm="1">
        <f t="array" ref="I109">GetLatitude(D109)</f>
        <v>550338361</v>
      </c>
      <c r="J109" s="1" cm="1">
        <f t="array" ref="J109">GetLongitude(D109)</f>
        <v>149229218</v>
      </c>
      <c r="K109" s="1">
        <f t="shared" si="4"/>
        <v>55.033836100000002</v>
      </c>
      <c r="L109" s="1">
        <f t="shared" si="5"/>
        <v>14.922921799999999</v>
      </c>
    </row>
    <row r="110" spans="1:12" ht="16" x14ac:dyDescent="0.2">
      <c r="A110" s="1">
        <v>109</v>
      </c>
      <c r="B110" s="1" t="s">
        <v>195</v>
      </c>
      <c r="C110" s="1" t="s">
        <v>347</v>
      </c>
      <c r="D110" s="1" t="str">
        <f t="shared" si="3"/>
        <v>Bornholm Kommune Teaterstræde 2</v>
      </c>
      <c r="E110" s="1" t="s">
        <v>348</v>
      </c>
      <c r="F110" s="1" t="s">
        <v>349</v>
      </c>
      <c r="G110" s="1">
        <v>1938</v>
      </c>
      <c r="H110" s="1" t="s">
        <v>11</v>
      </c>
      <c r="I110" s="6" cm="1">
        <f t="array" ref="I110">GetLatitude(D110)</f>
        <v>550997664</v>
      </c>
      <c r="J110" s="1" cm="1">
        <f t="array" ref="J110">GetLongitude(D110)</f>
        <v>146990228</v>
      </c>
      <c r="K110" s="1">
        <f t="shared" si="4"/>
        <v>55.0997664</v>
      </c>
      <c r="L110" s="1">
        <f t="shared" si="5"/>
        <v>14.6990228</v>
      </c>
    </row>
    <row r="111" spans="1:12" ht="16" x14ac:dyDescent="0.2">
      <c r="A111" s="1">
        <v>110</v>
      </c>
      <c r="B111" s="1" t="s">
        <v>195</v>
      </c>
      <c r="C111" s="1" t="s">
        <v>350</v>
      </c>
      <c r="D111" s="1" t="str">
        <f t="shared" si="3"/>
        <v>Bornholm Kommune Toldbodgade 1</v>
      </c>
      <c r="E111" s="1" t="s">
        <v>351</v>
      </c>
      <c r="F111" s="1" t="s">
        <v>352</v>
      </c>
      <c r="G111" s="1">
        <v>1969</v>
      </c>
      <c r="H111" s="1" t="s">
        <v>15</v>
      </c>
      <c r="I111" s="6" cm="1">
        <f t="array" ref="I111">GetLatitude(D111)</f>
        <v>551853052</v>
      </c>
      <c r="J111" s="1" cm="1">
        <f t="array" ref="J111">GetLongitude(D111)</f>
        <v>147048901</v>
      </c>
      <c r="K111" s="1">
        <f t="shared" si="4"/>
        <v>55.185305200000002</v>
      </c>
      <c r="L111" s="1">
        <f t="shared" si="5"/>
        <v>14.7048901</v>
      </c>
    </row>
    <row r="112" spans="1:12" ht="16" x14ac:dyDescent="0.2">
      <c r="A112" s="1">
        <v>111</v>
      </c>
      <c r="B112" s="1" t="s">
        <v>195</v>
      </c>
      <c r="C112" s="1" t="s">
        <v>353</v>
      </c>
      <c r="D112" s="1" t="str">
        <f t="shared" si="3"/>
        <v>Bornholm Kommune Toldbodgade 2, tidl Munch Petersensvej 7</v>
      </c>
      <c r="E112" s="1" t="s">
        <v>354</v>
      </c>
      <c r="F112" s="1" t="s">
        <v>355</v>
      </c>
      <c r="G112" s="1">
        <v>1984</v>
      </c>
      <c r="H112" s="1" t="s">
        <v>242</v>
      </c>
      <c r="I112" s="6" cm="1">
        <f t="array" ref="I112">GetLatitude(D112)</f>
        <v>551007908</v>
      </c>
      <c r="J112" s="1" cm="1">
        <f t="array" ref="J112">GetLongitude(D112)</f>
        <v>146925106</v>
      </c>
      <c r="K112" s="1">
        <f t="shared" si="4"/>
        <v>55.100790799999999</v>
      </c>
      <c r="L112" s="1">
        <f t="shared" si="5"/>
        <v>14.6925106</v>
      </c>
    </row>
    <row r="113" spans="1:12" ht="16" x14ac:dyDescent="0.2">
      <c r="A113" s="1">
        <v>112</v>
      </c>
      <c r="B113" s="1" t="s">
        <v>195</v>
      </c>
      <c r="C113" s="1" t="s">
        <v>356</v>
      </c>
      <c r="D113" s="1" t="str">
        <f t="shared" si="3"/>
        <v>Bornholm Kommune Vagtbodgade 2</v>
      </c>
      <c r="E113" s="1" t="s">
        <v>357</v>
      </c>
      <c r="F113" s="1" t="s">
        <v>358</v>
      </c>
      <c r="G113" s="1">
        <v>1973</v>
      </c>
      <c r="H113" s="1" t="s">
        <v>11</v>
      </c>
      <c r="I113" s="6" cm="1">
        <f t="array" ref="I113">GetLatitude(D113)</f>
        <v>551391547</v>
      </c>
      <c r="J113" s="1" cm="1">
        <f t="array" ref="J113">GetLongitude(D113)</f>
        <v>151440536</v>
      </c>
      <c r="K113" s="1">
        <f t="shared" si="4"/>
        <v>55.139154699999999</v>
      </c>
      <c r="L113" s="1">
        <f t="shared" si="5"/>
        <v>15.144053599999999</v>
      </c>
    </row>
    <row r="114" spans="1:12" ht="16" x14ac:dyDescent="0.2">
      <c r="A114" s="1">
        <v>113</v>
      </c>
      <c r="B114" s="1" t="s">
        <v>195</v>
      </c>
      <c r="C114" s="1" t="s">
        <v>359</v>
      </c>
      <c r="D114" s="1" t="str">
        <f t="shared" si="3"/>
        <v>Bornholm Kommune Vandmøllevej 8</v>
      </c>
      <c r="E114" s="1" t="s">
        <v>360</v>
      </c>
      <c r="F114" s="1" t="s">
        <v>361</v>
      </c>
      <c r="G114" s="1">
        <v>1959</v>
      </c>
      <c r="H114" s="1" t="s">
        <v>15</v>
      </c>
      <c r="I114" s="6" cm="1">
        <f t="array" ref="I114">GetLatitude(D114)</f>
        <v>552470908</v>
      </c>
      <c r="J114" s="1" cm="1">
        <f t="array" ref="J114">GetLongitude(D114)</f>
        <v>147361479</v>
      </c>
      <c r="K114" s="1">
        <f t="shared" si="4"/>
        <v>55.247090800000002</v>
      </c>
      <c r="L114" s="1">
        <f t="shared" si="5"/>
        <v>14.736147900000001</v>
      </c>
    </row>
    <row r="115" spans="1:12" ht="16" x14ac:dyDescent="0.2">
      <c r="A115" s="1">
        <v>114</v>
      </c>
      <c r="B115" s="1" t="s">
        <v>195</v>
      </c>
      <c r="C115" s="1" t="s">
        <v>362</v>
      </c>
      <c r="D115" s="1" t="str">
        <f t="shared" si="3"/>
        <v>Bornholm Kommune Vestergade 1</v>
      </c>
      <c r="E115" s="1" t="s">
        <v>363</v>
      </c>
      <c r="F115" s="1" t="s">
        <v>364</v>
      </c>
      <c r="G115" s="1">
        <v>1982</v>
      </c>
      <c r="H115" s="1" t="s">
        <v>15</v>
      </c>
      <c r="I115" s="6" cm="1">
        <f t="array" ref="I115">GetLatitude(D115)</f>
        <v>551604280</v>
      </c>
      <c r="J115" s="1" cm="1">
        <f t="array" ref="J115">GetLongitude(D115)</f>
        <v>148668836</v>
      </c>
      <c r="K115" s="1">
        <f t="shared" si="4"/>
        <v>55.160428000000003</v>
      </c>
      <c r="L115" s="1">
        <f t="shared" si="5"/>
        <v>14.8668836</v>
      </c>
    </row>
    <row r="116" spans="1:12" ht="16" x14ac:dyDescent="0.2">
      <c r="A116" s="1">
        <v>115</v>
      </c>
      <c r="B116" s="1" t="s">
        <v>195</v>
      </c>
      <c r="C116" s="1" t="s">
        <v>365</v>
      </c>
      <c r="D116" s="1" t="str">
        <f t="shared" si="3"/>
        <v>Bornholm Kommune Vigebakke 1 A</v>
      </c>
      <c r="E116" s="1" t="s">
        <v>366</v>
      </c>
      <c r="F116" s="1" t="s">
        <v>367</v>
      </c>
      <c r="G116" s="1">
        <v>1987</v>
      </c>
      <c r="H116" s="1" t="s">
        <v>15</v>
      </c>
      <c r="I116" s="6" cm="1">
        <f t="array" ref="I116">GetLatitude(D116)</f>
        <v>551372950</v>
      </c>
      <c r="J116" s="1" cm="1">
        <f t="array" ref="J116">GetLongitude(D116)</f>
        <v>151391480</v>
      </c>
      <c r="K116" s="1">
        <f t="shared" si="4"/>
        <v>55.137295000000002</v>
      </c>
      <c r="L116" s="1">
        <f t="shared" si="5"/>
        <v>15.139148</v>
      </c>
    </row>
    <row r="117" spans="1:12" ht="16" x14ac:dyDescent="0.2">
      <c r="A117" s="1">
        <v>116</v>
      </c>
      <c r="B117" s="1" t="s">
        <v>195</v>
      </c>
      <c r="C117" s="1" t="s">
        <v>368</v>
      </c>
      <c r="D117" s="1" t="str">
        <f t="shared" si="3"/>
        <v>Bornholm Kommune Ølenevej 8</v>
      </c>
      <c r="E117" s="1" t="s">
        <v>369</v>
      </c>
      <c r="F117" s="1" t="s">
        <v>370</v>
      </c>
      <c r="G117" s="1">
        <v>2000</v>
      </c>
      <c r="H117" s="1" t="s">
        <v>15</v>
      </c>
      <c r="I117" s="6" cm="1">
        <f t="array" ref="I117">GetLatitude(D117)</f>
        <v>551284638</v>
      </c>
      <c r="J117" s="1" cm="1">
        <f t="array" ref="J117">GetLongitude(D117)</f>
        <v>150170775</v>
      </c>
      <c r="K117" s="1">
        <f t="shared" si="4"/>
        <v>55.128463799999999</v>
      </c>
      <c r="L117" s="1">
        <f t="shared" si="5"/>
        <v>15.017077499999999</v>
      </c>
    </row>
    <row r="118" spans="1:12" ht="16" x14ac:dyDescent="0.2">
      <c r="A118" s="1">
        <v>117</v>
      </c>
      <c r="B118" s="1" t="s">
        <v>195</v>
      </c>
      <c r="C118" s="1" t="s">
        <v>371</v>
      </c>
      <c r="D118" s="1" t="str">
        <f t="shared" si="3"/>
        <v>Bornholm Kommune Østergade 2</v>
      </c>
      <c r="E118" s="1" t="s">
        <v>372</v>
      </c>
      <c r="F118" s="1" t="s">
        <v>373</v>
      </c>
      <c r="G118" s="1">
        <v>1974</v>
      </c>
      <c r="H118" s="1" t="s">
        <v>15</v>
      </c>
      <c r="I118" s="6" cm="1">
        <f t="array" ref="I118">GetLatitude(D118)</f>
        <v>551604280</v>
      </c>
      <c r="J118" s="1" cm="1">
        <f t="array" ref="J118">GetLongitude(D118)</f>
        <v>148668836</v>
      </c>
      <c r="K118" s="1">
        <f t="shared" si="4"/>
        <v>55.160428000000003</v>
      </c>
      <c r="L118" s="1">
        <f t="shared" si="5"/>
        <v>14.8668836</v>
      </c>
    </row>
    <row r="119" spans="1:12" ht="16" x14ac:dyDescent="0.2">
      <c r="A119" s="1">
        <v>118</v>
      </c>
      <c r="B119" s="1" t="s">
        <v>374</v>
      </c>
      <c r="C119" s="1" t="s">
        <v>375</v>
      </c>
      <c r="D119" s="1" t="str">
        <f t="shared" si="3"/>
        <v>Brøndby KommuneKirkebjerg Allé 186</v>
      </c>
      <c r="E119" s="1" t="s">
        <v>376</v>
      </c>
      <c r="F119" s="1" t="s">
        <v>377</v>
      </c>
      <c r="G119" s="1">
        <v>1988</v>
      </c>
      <c r="H119" s="1" t="s">
        <v>11</v>
      </c>
      <c r="I119" s="6" cm="1">
        <f t="array" ref="I119">GetLatitude(D119)</f>
        <v>556459875</v>
      </c>
      <c r="J119" s="1" cm="1">
        <f t="array" ref="J119">GetLongitude(D119)</f>
        <v>124092600</v>
      </c>
      <c r="K119" s="1">
        <f t="shared" si="4"/>
        <v>55.645987499999997</v>
      </c>
      <c r="L119" s="1">
        <f t="shared" si="5"/>
        <v>12.40926</v>
      </c>
    </row>
    <row r="120" spans="1:12" ht="16" x14ac:dyDescent="0.2">
      <c r="A120" s="1">
        <v>119</v>
      </c>
      <c r="B120" s="1" t="s">
        <v>374</v>
      </c>
      <c r="C120" s="1" t="s">
        <v>378</v>
      </c>
      <c r="D120" s="1" t="str">
        <f t="shared" si="3"/>
        <v>Brøndby KommuneNykær 26</v>
      </c>
      <c r="E120" s="1" t="s">
        <v>379</v>
      </c>
      <c r="F120" s="1" t="s">
        <v>380</v>
      </c>
      <c r="G120" s="1">
        <v>2017</v>
      </c>
      <c r="H120" s="1" t="s">
        <v>15</v>
      </c>
      <c r="I120" s="6" cm="1">
        <f t="array" ref="I120">GetLatitude(D120)</f>
        <v>556690850</v>
      </c>
      <c r="J120" s="1" cm="1">
        <f t="array" ref="J120">GetLongitude(D120)</f>
        <v>124459370</v>
      </c>
      <c r="K120" s="1">
        <f t="shared" si="4"/>
        <v>55.669085000000003</v>
      </c>
      <c r="L120" s="1">
        <f t="shared" si="5"/>
        <v>12.445937000000001</v>
      </c>
    </row>
    <row r="121" spans="1:12" ht="16" x14ac:dyDescent="0.2">
      <c r="A121" s="1">
        <v>120</v>
      </c>
      <c r="B121" s="1" t="s">
        <v>381</v>
      </c>
      <c r="C121" s="1" t="s">
        <v>382</v>
      </c>
      <c r="D121" s="1" t="str">
        <f t="shared" si="3"/>
        <v>Brønderslev KommuneDorfgade 6</v>
      </c>
      <c r="E121" s="1" t="s">
        <v>383</v>
      </c>
      <c r="F121" s="1" t="s">
        <v>384</v>
      </c>
      <c r="G121" s="1">
        <v>1999</v>
      </c>
      <c r="H121" s="1" t="s">
        <v>15</v>
      </c>
      <c r="I121" s="6" cm="1">
        <f t="array" ref="I121">GetLatitude(D121)</f>
        <v>572229425</v>
      </c>
      <c r="J121" s="1" cm="1">
        <f t="array" ref="J121">GetLongitude(D121)</f>
        <v>102816316</v>
      </c>
      <c r="K121" s="1">
        <f t="shared" si="4"/>
        <v>57.222942500000002</v>
      </c>
      <c r="L121" s="1">
        <f t="shared" si="5"/>
        <v>10.281631600000001</v>
      </c>
    </row>
    <row r="122" spans="1:12" ht="16" x14ac:dyDescent="0.2">
      <c r="A122" s="1">
        <v>121</v>
      </c>
      <c r="B122" s="1" t="s">
        <v>381</v>
      </c>
      <c r="C122" s="1" t="s">
        <v>385</v>
      </c>
      <c r="D122" s="1" t="str">
        <f t="shared" si="3"/>
        <v>Brønderslev KommuneHammelmosevej 19-21</v>
      </c>
      <c r="E122" s="1" t="s">
        <v>386</v>
      </c>
      <c r="F122" s="1" t="s">
        <v>387</v>
      </c>
      <c r="G122" s="1">
        <v>1918</v>
      </c>
      <c r="H122" s="1" t="s">
        <v>15</v>
      </c>
      <c r="I122" s="6" cm="1">
        <f t="array" ref="I122">GetLatitude(D122)</f>
        <v>572796307</v>
      </c>
      <c r="J122" s="1" cm="1">
        <f t="array" ref="J122">GetLongitude(D122)</f>
        <v>98112423</v>
      </c>
      <c r="K122" s="1">
        <f t="shared" si="4"/>
        <v>57.279630699999998</v>
      </c>
      <c r="L122" s="1">
        <f t="shared" si="5"/>
        <v>9.8112423</v>
      </c>
    </row>
    <row r="123" spans="1:12" ht="16" x14ac:dyDescent="0.2">
      <c r="A123" s="1">
        <v>122</v>
      </c>
      <c r="B123" s="1" t="s">
        <v>381</v>
      </c>
      <c r="C123" s="1" t="s">
        <v>388</v>
      </c>
      <c r="D123" s="1" t="str">
        <f t="shared" si="3"/>
        <v>Brønderslev KommuneLærkevej 21</v>
      </c>
      <c r="E123" s="1" t="s">
        <v>389</v>
      </c>
      <c r="F123" s="1" t="s">
        <v>390</v>
      </c>
      <c r="G123" s="1">
        <v>1918</v>
      </c>
      <c r="H123" s="1" t="s">
        <v>391</v>
      </c>
      <c r="I123" s="6" cm="1">
        <f t="array" ref="I123">GetLatitude(D123)</f>
        <v>571815572</v>
      </c>
      <c r="J123" s="1" cm="1">
        <f t="array" ref="J123">GetLongitude(D123)</f>
        <v>102326639</v>
      </c>
      <c r="K123" s="1">
        <f t="shared" si="4"/>
        <v>57.1815572</v>
      </c>
      <c r="L123" s="1">
        <f t="shared" si="5"/>
        <v>10.2326639</v>
      </c>
    </row>
    <row r="124" spans="1:12" ht="16" x14ac:dyDescent="0.2">
      <c r="A124" s="1">
        <v>123</v>
      </c>
      <c r="B124" s="1" t="s">
        <v>381</v>
      </c>
      <c r="C124" s="1" t="s">
        <v>392</v>
      </c>
      <c r="D124" s="1" t="str">
        <f t="shared" si="3"/>
        <v>Brønderslev KommuneSlotsgade 2, 4, 4a og 6</v>
      </c>
      <c r="E124" s="1" t="s">
        <v>393</v>
      </c>
      <c r="F124" s="1" t="s">
        <v>394</v>
      </c>
      <c r="G124" s="1">
        <v>1918</v>
      </c>
      <c r="H124" s="1" t="s">
        <v>395</v>
      </c>
      <c r="I124" s="6" cm="1">
        <f t="array" ref="I124">GetLatitude(D124)</f>
        <v>571815572</v>
      </c>
      <c r="J124" s="1" cm="1">
        <f t="array" ref="J124">GetLongitude(D124)</f>
        <v>102326639</v>
      </c>
      <c r="K124" s="1">
        <f t="shared" si="4"/>
        <v>57.1815572</v>
      </c>
      <c r="L124" s="1">
        <f t="shared" si="5"/>
        <v>10.2326639</v>
      </c>
    </row>
    <row r="125" spans="1:12" ht="16" x14ac:dyDescent="0.2">
      <c r="A125" s="1">
        <v>124</v>
      </c>
      <c r="B125" s="1" t="s">
        <v>381</v>
      </c>
      <c r="C125" s="1" t="s">
        <v>396</v>
      </c>
      <c r="D125" s="1" t="str">
        <f t="shared" si="3"/>
        <v>Brønderslev KommuneSlotsgade 8</v>
      </c>
      <c r="E125" s="1" t="s">
        <v>397</v>
      </c>
      <c r="F125" s="1" t="s">
        <v>398</v>
      </c>
      <c r="G125" s="1">
        <v>1918</v>
      </c>
      <c r="H125" s="1" t="s">
        <v>399</v>
      </c>
      <c r="I125" s="6" cm="1">
        <f t="array" ref="I125">GetLatitude(D125)</f>
        <v>571579633</v>
      </c>
      <c r="J125" s="1" cm="1">
        <f t="array" ref="J125">GetLongitude(D125)</f>
        <v>102810166</v>
      </c>
      <c r="K125" s="1">
        <f t="shared" si="4"/>
        <v>57.157963299999999</v>
      </c>
      <c r="L125" s="1">
        <f t="shared" si="5"/>
        <v>10.281016599999999</v>
      </c>
    </row>
    <row r="126" spans="1:12" ht="16" x14ac:dyDescent="0.2">
      <c r="A126" s="1">
        <v>125</v>
      </c>
      <c r="B126" s="1" t="s">
        <v>381</v>
      </c>
      <c r="C126" s="1" t="s">
        <v>400</v>
      </c>
      <c r="D126" s="1" t="str">
        <f t="shared" si="3"/>
        <v>Brønderslev KommuneStorskovvej 39</v>
      </c>
      <c r="E126" s="1" t="s">
        <v>401</v>
      </c>
      <c r="F126" s="1" t="s">
        <v>402</v>
      </c>
      <c r="G126" s="1">
        <v>1999</v>
      </c>
      <c r="H126" s="1" t="s">
        <v>15</v>
      </c>
      <c r="I126" s="6" cm="1">
        <f t="array" ref="I126">GetLatitude(D126)</f>
        <v>572212720</v>
      </c>
      <c r="J126" s="1" cm="1">
        <f t="array" ref="J126">GetLongitude(D126)</f>
        <v>102841829</v>
      </c>
      <c r="K126" s="1">
        <f t="shared" si="4"/>
        <v>57.221271999999999</v>
      </c>
      <c r="L126" s="1">
        <f t="shared" si="5"/>
        <v>10.284182899999999</v>
      </c>
    </row>
    <row r="127" spans="1:12" ht="16" x14ac:dyDescent="0.2">
      <c r="A127" s="1">
        <v>126</v>
      </c>
      <c r="B127" s="1" t="s">
        <v>381</v>
      </c>
      <c r="C127" s="1" t="s">
        <v>403</v>
      </c>
      <c r="D127" s="1" t="str">
        <f t="shared" si="3"/>
        <v>Brønderslev KommuneVoergård 6</v>
      </c>
      <c r="E127" s="1" t="s">
        <v>404</v>
      </c>
      <c r="F127" s="1" t="s">
        <v>405</v>
      </c>
      <c r="G127" s="1">
        <v>1918</v>
      </c>
      <c r="H127" s="1" t="s">
        <v>11</v>
      </c>
      <c r="I127" s="6" cm="1">
        <f t="array" ref="I127">GetLatitude(D127)</f>
        <v>572425707</v>
      </c>
      <c r="J127" s="1" cm="1">
        <f t="array" ref="J127">GetLongitude(D127)</f>
        <v>103354675</v>
      </c>
      <c r="K127" s="1">
        <f t="shared" si="4"/>
        <v>57.242570700000002</v>
      </c>
      <c r="L127" s="1">
        <f t="shared" si="5"/>
        <v>10.3354675</v>
      </c>
    </row>
    <row r="128" spans="1:12" ht="16" x14ac:dyDescent="0.2">
      <c r="A128" s="1">
        <v>127</v>
      </c>
      <c r="B128" s="1" t="s">
        <v>406</v>
      </c>
      <c r="C128" s="1" t="s">
        <v>407</v>
      </c>
      <c r="D128" s="1" t="str">
        <f t="shared" si="3"/>
        <v>Dragør KommuneBachersmindevej 1</v>
      </c>
      <c r="E128" s="1" t="s">
        <v>408</v>
      </c>
      <c r="F128" s="1" t="s">
        <v>409</v>
      </c>
      <c r="G128" s="1">
        <v>1984</v>
      </c>
      <c r="H128" s="1" t="s">
        <v>15</v>
      </c>
      <c r="I128" s="6" cm="1">
        <f t="array" ref="I128">GetLatitude(D128)</f>
        <v>555833125</v>
      </c>
      <c r="J128" s="1" cm="1">
        <f t="array" ref="J128">GetLongitude(D128)</f>
        <v>126365285</v>
      </c>
      <c r="K128" s="1">
        <f t="shared" si="4"/>
        <v>55.583312499999998</v>
      </c>
      <c r="L128" s="1">
        <f t="shared" si="5"/>
        <v>12.636528500000001</v>
      </c>
    </row>
    <row r="129" spans="1:12" ht="16" x14ac:dyDescent="0.2">
      <c r="A129" s="1">
        <v>128</v>
      </c>
      <c r="B129" s="1" t="s">
        <v>406</v>
      </c>
      <c r="C129" s="1" t="s">
        <v>410</v>
      </c>
      <c r="D129" s="1" t="str">
        <f t="shared" si="3"/>
        <v>Dragør KommuneBadstuevælen 12</v>
      </c>
      <c r="E129" s="1" t="s">
        <v>411</v>
      </c>
      <c r="F129" s="1" t="s">
        <v>412</v>
      </c>
      <c r="G129" s="1">
        <v>1964</v>
      </c>
      <c r="H129" s="1" t="s">
        <v>15</v>
      </c>
      <c r="I129" s="6" cm="1">
        <f t="array" ref="I129">GetLatitude(D129)</f>
        <v>555936978</v>
      </c>
      <c r="J129" s="1" cm="1">
        <f t="array" ref="J129">GetLongitude(D129)</f>
        <v>126726076</v>
      </c>
      <c r="K129" s="1">
        <f t="shared" si="4"/>
        <v>55.593697800000001</v>
      </c>
      <c r="L129" s="1">
        <f t="shared" si="5"/>
        <v>12.672607599999999</v>
      </c>
    </row>
    <row r="130" spans="1:12" ht="16" x14ac:dyDescent="0.2">
      <c r="A130" s="1">
        <v>129</v>
      </c>
      <c r="B130" s="1" t="s">
        <v>406</v>
      </c>
      <c r="C130" s="1" t="s">
        <v>413</v>
      </c>
      <c r="D130" s="1" t="str">
        <f t="shared" si="3"/>
        <v>Dragør KommuneBadstuevælen 8</v>
      </c>
      <c r="E130" s="1" t="s">
        <v>414</v>
      </c>
      <c r="F130" s="1"/>
      <c r="G130" s="1">
        <v>1964</v>
      </c>
      <c r="H130" s="1" t="s">
        <v>11</v>
      </c>
      <c r="I130" s="6" cm="1">
        <f t="array" ref="I130">GetLatitude(D130)</f>
        <v>555938476</v>
      </c>
      <c r="J130" s="1" cm="1">
        <f t="array" ref="J130">GetLongitude(D130)</f>
        <v>126723351</v>
      </c>
      <c r="K130" s="1">
        <f t="shared" si="4"/>
        <v>55.593847599999997</v>
      </c>
      <c r="L130" s="1">
        <f t="shared" si="5"/>
        <v>12.6723351</v>
      </c>
    </row>
    <row r="131" spans="1:12" ht="16" x14ac:dyDescent="0.2">
      <c r="A131" s="1">
        <v>130</v>
      </c>
      <c r="B131" s="1" t="s">
        <v>406</v>
      </c>
      <c r="C131" s="1" t="s">
        <v>415</v>
      </c>
      <c r="D131" s="1" t="str">
        <f t="shared" ref="D131:D194" si="6">B131&amp;C131</f>
        <v>Dragør KommuneBjergerlav 11</v>
      </c>
      <c r="E131" s="1" t="s">
        <v>416</v>
      </c>
      <c r="F131" s="1"/>
      <c r="G131" s="1">
        <v>1950</v>
      </c>
      <c r="H131" s="1" t="s">
        <v>11</v>
      </c>
      <c r="I131" s="6" cm="1">
        <f t="array" ref="I131">GetLatitude(D131)</f>
        <v>555929302</v>
      </c>
      <c r="J131" s="1" cm="1">
        <f t="array" ref="J131">GetLongitude(D131)</f>
        <v>126716300</v>
      </c>
      <c r="K131" s="1">
        <f t="shared" si="4"/>
        <v>55.592930199999998</v>
      </c>
      <c r="L131" s="1">
        <f t="shared" si="5"/>
        <v>12.67163</v>
      </c>
    </row>
    <row r="132" spans="1:12" ht="16" x14ac:dyDescent="0.2">
      <c r="A132" s="1">
        <v>131</v>
      </c>
      <c r="B132" s="1" t="s">
        <v>406</v>
      </c>
      <c r="C132" s="1" t="s">
        <v>417</v>
      </c>
      <c r="D132" s="1" t="str">
        <f t="shared" si="6"/>
        <v>Dragør KommuneBjergerlav 3</v>
      </c>
      <c r="E132" s="1" t="s">
        <v>418</v>
      </c>
      <c r="F132" s="1" t="s">
        <v>419</v>
      </c>
      <c r="G132" s="1">
        <v>1950</v>
      </c>
      <c r="H132" s="1" t="s">
        <v>15</v>
      </c>
      <c r="I132" s="6" cm="1">
        <f t="array" ref="I132">GetLatitude(D132)</f>
        <v>555929417</v>
      </c>
      <c r="J132" s="1" cm="1">
        <f t="array" ref="J132">GetLongitude(D132)</f>
        <v>126709953</v>
      </c>
      <c r="K132" s="1">
        <f t="shared" ref="K132:K195" si="7">I132/10000000</f>
        <v>55.592941699999997</v>
      </c>
      <c r="L132" s="1">
        <f t="shared" ref="L132:L195" si="8">J132/10000000</f>
        <v>12.6709953</v>
      </c>
    </row>
    <row r="133" spans="1:12" ht="16" x14ac:dyDescent="0.2">
      <c r="A133" s="1">
        <v>132</v>
      </c>
      <c r="B133" s="1" t="s">
        <v>406</v>
      </c>
      <c r="C133" s="1" t="s">
        <v>420</v>
      </c>
      <c r="D133" s="1" t="str">
        <f t="shared" si="6"/>
        <v>Dragør KommuneBjergerlav 7</v>
      </c>
      <c r="E133" s="1" t="s">
        <v>421</v>
      </c>
      <c r="F133" s="1" t="s">
        <v>422</v>
      </c>
      <c r="G133" s="1">
        <v>1950</v>
      </c>
      <c r="H133" s="1" t="s">
        <v>15</v>
      </c>
      <c r="I133" s="6" cm="1">
        <f t="array" ref="I133">GetLatitude(D133)</f>
        <v>555929355</v>
      </c>
      <c r="J133" s="1" cm="1">
        <f t="array" ref="J133">GetLongitude(D133)</f>
        <v>126713699</v>
      </c>
      <c r="K133" s="1">
        <f t="shared" si="7"/>
        <v>55.592935500000003</v>
      </c>
      <c r="L133" s="1">
        <f t="shared" si="8"/>
        <v>12.6713699</v>
      </c>
    </row>
    <row r="134" spans="1:12" ht="16" x14ac:dyDescent="0.2">
      <c r="A134" s="1">
        <v>133</v>
      </c>
      <c r="B134" s="1" t="s">
        <v>406</v>
      </c>
      <c r="C134" s="1" t="s">
        <v>423</v>
      </c>
      <c r="D134" s="1" t="str">
        <f t="shared" si="6"/>
        <v>Dragør KommuneBjergerlav 9</v>
      </c>
      <c r="E134" s="1" t="s">
        <v>424</v>
      </c>
      <c r="F134" s="1" t="s">
        <v>425</v>
      </c>
      <c r="G134" s="1">
        <v>1950</v>
      </c>
      <c r="H134" s="1" t="s">
        <v>15</v>
      </c>
      <c r="I134" s="6" cm="1">
        <f t="array" ref="I134">GetLatitude(D134)</f>
        <v>555929378</v>
      </c>
      <c r="J134" s="1" cm="1">
        <f t="array" ref="J134">GetLongitude(D134)</f>
        <v>126714531</v>
      </c>
      <c r="K134" s="1">
        <f t="shared" si="7"/>
        <v>55.592937800000001</v>
      </c>
      <c r="L134" s="1">
        <f t="shared" si="8"/>
        <v>12.671453100000001</v>
      </c>
    </row>
    <row r="135" spans="1:12" ht="16" x14ac:dyDescent="0.2">
      <c r="A135" s="1">
        <v>134</v>
      </c>
      <c r="B135" s="1" t="s">
        <v>406</v>
      </c>
      <c r="C135" s="1" t="s">
        <v>426</v>
      </c>
      <c r="D135" s="1" t="str">
        <f t="shared" si="6"/>
        <v>Dragør KommuneBlegerstræde 1 A</v>
      </c>
      <c r="E135" s="1" t="s">
        <v>427</v>
      </c>
      <c r="F135" s="1" t="s">
        <v>428</v>
      </c>
      <c r="G135" s="1">
        <v>1950</v>
      </c>
      <c r="H135" s="1" t="s">
        <v>15</v>
      </c>
      <c r="I135" s="6" cm="1">
        <f t="array" ref="I135">GetLatitude(D135)</f>
        <v>555920150</v>
      </c>
      <c r="J135" s="1" cm="1">
        <f t="array" ref="J135">GetLongitude(D135)</f>
        <v>126714230</v>
      </c>
      <c r="K135" s="1">
        <f t="shared" si="7"/>
        <v>55.592015000000004</v>
      </c>
      <c r="L135" s="1">
        <f t="shared" si="8"/>
        <v>12.671423000000001</v>
      </c>
    </row>
    <row r="136" spans="1:12" ht="16" x14ac:dyDescent="0.2">
      <c r="A136" s="1">
        <v>135</v>
      </c>
      <c r="B136" s="1" t="s">
        <v>406</v>
      </c>
      <c r="C136" s="1" t="s">
        <v>429</v>
      </c>
      <c r="D136" s="1" t="str">
        <f t="shared" si="6"/>
        <v>Dragør KommuneBymandsgade 12</v>
      </c>
      <c r="E136" s="1" t="s">
        <v>430</v>
      </c>
      <c r="F136" s="1" t="s">
        <v>431</v>
      </c>
      <c r="G136" s="1">
        <v>1987</v>
      </c>
      <c r="H136" s="1" t="s">
        <v>99</v>
      </c>
      <c r="I136" s="6" cm="1">
        <f t="array" ref="I136">GetLatitude(D136)</f>
        <v>555917423</v>
      </c>
      <c r="J136" s="1" cm="1">
        <f t="array" ref="J136">GetLongitude(D136)</f>
        <v>126716152</v>
      </c>
      <c r="K136" s="1">
        <f t="shared" si="7"/>
        <v>55.5917423</v>
      </c>
      <c r="L136" s="1">
        <f t="shared" si="8"/>
        <v>12.6716152</v>
      </c>
    </row>
    <row r="137" spans="1:12" ht="16" x14ac:dyDescent="0.2">
      <c r="A137" s="1">
        <v>136</v>
      </c>
      <c r="B137" s="1" t="s">
        <v>406</v>
      </c>
      <c r="C137" s="1" t="s">
        <v>432</v>
      </c>
      <c r="D137" s="1" t="str">
        <f t="shared" si="6"/>
        <v>Dragør KommuneByskriverstræde 5</v>
      </c>
      <c r="E137" s="1" t="s">
        <v>433</v>
      </c>
      <c r="F137" s="1"/>
      <c r="G137" s="1">
        <v>1964</v>
      </c>
      <c r="H137" s="1" t="s">
        <v>11</v>
      </c>
      <c r="I137" s="6" cm="1">
        <f t="array" ref="I137">GetLatitude(D137)</f>
        <v>555914046</v>
      </c>
      <c r="J137" s="1" cm="1">
        <f t="array" ref="J137">GetLongitude(D137)</f>
        <v>126734713</v>
      </c>
      <c r="K137" s="1">
        <f t="shared" si="7"/>
        <v>55.591404599999997</v>
      </c>
      <c r="L137" s="1">
        <f t="shared" si="8"/>
        <v>12.673471299999999</v>
      </c>
    </row>
    <row r="138" spans="1:12" ht="16" x14ac:dyDescent="0.2">
      <c r="A138" s="1">
        <v>137</v>
      </c>
      <c r="B138" s="1" t="s">
        <v>406</v>
      </c>
      <c r="C138" s="1" t="s">
        <v>434</v>
      </c>
      <c r="D138" s="1" t="str">
        <f t="shared" si="6"/>
        <v>Dragør KommuneChristian Mølstedsgade 12</v>
      </c>
      <c r="E138" s="1" t="s">
        <v>435</v>
      </c>
      <c r="F138" s="1"/>
      <c r="G138" s="1">
        <v>1950</v>
      </c>
      <c r="H138" s="1" t="s">
        <v>15</v>
      </c>
      <c r="I138" s="6" cm="1">
        <f t="array" ref="I138">GetLatitude(D138)</f>
        <v>555904872</v>
      </c>
      <c r="J138" s="1" cm="1">
        <f t="array" ref="J138">GetLongitude(D138)</f>
        <v>126374198</v>
      </c>
      <c r="K138" s="1">
        <f t="shared" si="7"/>
        <v>55.590487199999998</v>
      </c>
      <c r="L138" s="1">
        <f t="shared" si="8"/>
        <v>12.6374198</v>
      </c>
    </row>
    <row r="139" spans="1:12" ht="16" x14ac:dyDescent="0.2">
      <c r="A139" s="1">
        <v>138</v>
      </c>
      <c r="B139" s="1" t="s">
        <v>406</v>
      </c>
      <c r="C139" s="1" t="s">
        <v>436</v>
      </c>
      <c r="D139" s="1" t="str">
        <f t="shared" si="6"/>
        <v>Dragør KommuneChristian Mølstedsgade 5</v>
      </c>
      <c r="E139" s="1" t="s">
        <v>437</v>
      </c>
      <c r="F139" s="1" t="s">
        <v>438</v>
      </c>
      <c r="G139" s="1">
        <v>1945</v>
      </c>
      <c r="H139" s="1" t="s">
        <v>15</v>
      </c>
      <c r="I139" s="6" cm="1">
        <f t="array" ref="I139">GetLatitude(D139)</f>
        <v>555904872</v>
      </c>
      <c r="J139" s="1" cm="1">
        <f t="array" ref="J139">GetLongitude(D139)</f>
        <v>126374198</v>
      </c>
      <c r="K139" s="1">
        <f t="shared" si="7"/>
        <v>55.590487199999998</v>
      </c>
      <c r="L139" s="1">
        <f t="shared" si="8"/>
        <v>12.6374198</v>
      </c>
    </row>
    <row r="140" spans="1:12" ht="16" x14ac:dyDescent="0.2">
      <c r="A140" s="1">
        <v>139</v>
      </c>
      <c r="B140" s="1" t="s">
        <v>406</v>
      </c>
      <c r="C140" s="1" t="s">
        <v>439</v>
      </c>
      <c r="D140" s="1" t="str">
        <f t="shared" si="6"/>
        <v>Dragør KommuneChristian Mølstedsgade 7</v>
      </c>
      <c r="E140" s="1" t="s">
        <v>440</v>
      </c>
      <c r="F140" s="1" t="s">
        <v>441</v>
      </c>
      <c r="G140" s="1">
        <v>1950</v>
      </c>
      <c r="H140" s="1" t="s">
        <v>15</v>
      </c>
      <c r="I140" s="6" cm="1">
        <f t="array" ref="I140">GetLatitude(D140)</f>
        <v>555904872</v>
      </c>
      <c r="J140" s="1" cm="1">
        <f t="array" ref="J140">GetLongitude(D140)</f>
        <v>126374198</v>
      </c>
      <c r="K140" s="1">
        <f t="shared" si="7"/>
        <v>55.590487199999998</v>
      </c>
      <c r="L140" s="1">
        <f t="shared" si="8"/>
        <v>12.6374198</v>
      </c>
    </row>
    <row r="141" spans="1:12" ht="16" x14ac:dyDescent="0.2">
      <c r="A141" s="1">
        <v>140</v>
      </c>
      <c r="B141" s="1" t="s">
        <v>406</v>
      </c>
      <c r="C141" s="1"/>
      <c r="D141" s="1" t="str">
        <f t="shared" si="6"/>
        <v>Dragør Kommune</v>
      </c>
      <c r="E141" s="1" t="s">
        <v>442</v>
      </c>
      <c r="F141" s="1" t="s">
        <v>443</v>
      </c>
      <c r="G141" s="1">
        <v>1950</v>
      </c>
      <c r="H141" s="1" t="s">
        <v>15</v>
      </c>
      <c r="I141" s="6" cm="1">
        <f t="array" ref="I141">GetLatitude(D141)</f>
        <v>555904872</v>
      </c>
      <c r="J141" s="1" cm="1">
        <f t="array" ref="J141">GetLongitude(D141)</f>
        <v>126374198</v>
      </c>
      <c r="K141" s="1">
        <f t="shared" si="7"/>
        <v>55.590487199999998</v>
      </c>
      <c r="L141" s="1">
        <f t="shared" si="8"/>
        <v>12.6374198</v>
      </c>
    </row>
    <row r="142" spans="1:12" ht="16" x14ac:dyDescent="0.2">
      <c r="A142" s="1">
        <v>141</v>
      </c>
      <c r="B142" s="1" t="s">
        <v>406</v>
      </c>
      <c r="C142" s="1" t="s">
        <v>444</v>
      </c>
      <c r="D142" s="1" t="str">
        <f t="shared" si="6"/>
        <v>Dragør KommuneFogdens Plads 13 A-B</v>
      </c>
      <c r="E142" s="1" t="s">
        <v>445</v>
      </c>
      <c r="F142" s="1" t="s">
        <v>446</v>
      </c>
      <c r="G142" s="1">
        <v>1945</v>
      </c>
      <c r="H142" s="1" t="s">
        <v>15</v>
      </c>
      <c r="I142" s="6" cm="1">
        <f t="array" ref="I142">GetLatitude(D142)</f>
        <v>555914347</v>
      </c>
      <c r="J142" s="1" cm="1">
        <f t="array" ref="J142">GetLongitude(D142)</f>
        <v>126727636</v>
      </c>
      <c r="K142" s="1">
        <f t="shared" si="7"/>
        <v>55.591434700000001</v>
      </c>
      <c r="L142" s="1">
        <f t="shared" si="8"/>
        <v>12.6727636</v>
      </c>
    </row>
    <row r="143" spans="1:12" ht="16" x14ac:dyDescent="0.2">
      <c r="A143" s="1">
        <v>142</v>
      </c>
      <c r="B143" s="1" t="s">
        <v>406</v>
      </c>
      <c r="C143" s="1" t="s">
        <v>447</v>
      </c>
      <c r="D143" s="1" t="str">
        <f t="shared" si="6"/>
        <v>Dragør KommuneFogdens Plads 2 A-B</v>
      </c>
      <c r="E143" s="1" t="s">
        <v>448</v>
      </c>
      <c r="F143" s="1" t="s">
        <v>449</v>
      </c>
      <c r="G143" s="1">
        <v>1945</v>
      </c>
      <c r="H143" s="1" t="s">
        <v>15</v>
      </c>
      <c r="I143" s="6" cm="1">
        <f t="array" ref="I143">GetLatitude(D143)</f>
        <v>555918659</v>
      </c>
      <c r="J143" s="1" cm="1">
        <f t="array" ref="J143">GetLongitude(D143)</f>
        <v>126733432</v>
      </c>
      <c r="K143" s="1">
        <f t="shared" si="7"/>
        <v>55.591865900000002</v>
      </c>
      <c r="L143" s="1">
        <f t="shared" si="8"/>
        <v>12.6733432</v>
      </c>
    </row>
    <row r="144" spans="1:12" ht="16" x14ac:dyDescent="0.2">
      <c r="A144" s="1">
        <v>143</v>
      </c>
      <c r="B144" s="1" t="s">
        <v>406</v>
      </c>
      <c r="C144" s="1" t="s">
        <v>450</v>
      </c>
      <c r="D144" s="1" t="str">
        <f t="shared" si="6"/>
        <v>Dragør KommuneGamle Havn 11</v>
      </c>
      <c r="E144" s="1" t="s">
        <v>451</v>
      </c>
      <c r="F144" s="1" t="s">
        <v>452</v>
      </c>
      <c r="G144" s="1">
        <v>1987</v>
      </c>
      <c r="H144" s="1" t="s">
        <v>15</v>
      </c>
      <c r="I144" s="6" cm="1">
        <f t="array" ref="I144">GetLatitude(D144)</f>
        <v>555934328</v>
      </c>
      <c r="J144" s="1" cm="1">
        <f t="array" ref="J144">GetLongitude(D144)</f>
        <v>126754511</v>
      </c>
      <c r="K144" s="1">
        <f t="shared" si="7"/>
        <v>55.593432800000002</v>
      </c>
      <c r="L144" s="1">
        <f t="shared" si="8"/>
        <v>12.6754511</v>
      </c>
    </row>
    <row r="145" spans="1:12" ht="16" x14ac:dyDescent="0.2">
      <c r="A145" s="1">
        <v>144</v>
      </c>
      <c r="B145" s="1" t="s">
        <v>406</v>
      </c>
      <c r="C145" s="1" t="s">
        <v>453</v>
      </c>
      <c r="D145" s="1" t="str">
        <f t="shared" si="6"/>
        <v>Dragør KommuneGamle Havn 14</v>
      </c>
      <c r="E145" s="1" t="s">
        <v>454</v>
      </c>
      <c r="F145" s="1" t="s">
        <v>455</v>
      </c>
      <c r="G145" s="1">
        <v>1964</v>
      </c>
      <c r="H145" s="1" t="s">
        <v>15</v>
      </c>
      <c r="I145" s="6" cm="1">
        <f t="array" ref="I145">GetLatitude(D145)</f>
        <v>555933332</v>
      </c>
      <c r="J145" s="1" cm="1">
        <f t="array" ref="J145">GetLongitude(D145)</f>
        <v>126751403</v>
      </c>
      <c r="K145" s="1">
        <f t="shared" si="7"/>
        <v>55.593333199999996</v>
      </c>
      <c r="L145" s="1">
        <f t="shared" si="8"/>
        <v>12.675140300000001</v>
      </c>
    </row>
    <row r="146" spans="1:12" ht="16" x14ac:dyDescent="0.2">
      <c r="A146" s="1">
        <v>145</v>
      </c>
      <c r="B146" s="1" t="s">
        <v>406</v>
      </c>
      <c r="C146" s="1" t="s">
        <v>456</v>
      </c>
      <c r="D146" s="1" t="str">
        <f t="shared" si="6"/>
        <v>Dragør KommuneGl. Havn 13</v>
      </c>
      <c r="E146" s="1" t="s">
        <v>457</v>
      </c>
      <c r="F146" s="1" t="s">
        <v>458</v>
      </c>
      <c r="G146" s="1">
        <v>1945</v>
      </c>
      <c r="H146" s="1" t="s">
        <v>15</v>
      </c>
      <c r="I146" s="6" cm="1">
        <f t="array" ref="I146">GetLatitude(D146)</f>
        <v>555934347</v>
      </c>
      <c r="J146" s="1" cm="1">
        <f t="array" ref="J146">GetLongitude(D146)</f>
        <v>126752222</v>
      </c>
      <c r="K146" s="1">
        <f t="shared" si="7"/>
        <v>55.593434700000003</v>
      </c>
      <c r="L146" s="1">
        <f t="shared" si="8"/>
        <v>12.6752222</v>
      </c>
    </row>
    <row r="147" spans="1:12" ht="16" x14ac:dyDescent="0.2">
      <c r="A147" s="1">
        <v>146</v>
      </c>
      <c r="B147" s="1" t="s">
        <v>406</v>
      </c>
      <c r="C147" s="1" t="s">
        <v>459</v>
      </c>
      <c r="D147" s="1" t="str">
        <f t="shared" si="6"/>
        <v>Dragør KommuneHollandsfed 1</v>
      </c>
      <c r="E147" s="1" t="s">
        <v>460</v>
      </c>
      <c r="F147" s="1" t="s">
        <v>461</v>
      </c>
      <c r="G147" s="1">
        <v>1945</v>
      </c>
      <c r="H147" s="1" t="s">
        <v>15</v>
      </c>
      <c r="I147" s="6" cm="1">
        <f t="array" ref="I147">GetLatitude(D147)</f>
        <v>555930140</v>
      </c>
      <c r="J147" s="1" cm="1">
        <f t="array" ref="J147">GetLongitude(D147)</f>
        <v>126734690</v>
      </c>
      <c r="K147" s="1">
        <f t="shared" si="7"/>
        <v>55.593013999999997</v>
      </c>
      <c r="L147" s="1">
        <f t="shared" si="8"/>
        <v>12.673469000000001</v>
      </c>
    </row>
    <row r="148" spans="1:12" ht="16" x14ac:dyDescent="0.2">
      <c r="A148" s="1">
        <v>147</v>
      </c>
      <c r="B148" s="1" t="s">
        <v>406</v>
      </c>
      <c r="C148" s="1" t="s">
        <v>462</v>
      </c>
      <c r="D148" s="1" t="str">
        <f t="shared" si="6"/>
        <v>Dragør KommuneHovedgaden 12</v>
      </c>
      <c r="E148" s="1" t="s">
        <v>463</v>
      </c>
      <c r="F148" s="1" t="s">
        <v>464</v>
      </c>
      <c r="G148" s="1">
        <v>1981</v>
      </c>
      <c r="H148" s="1" t="s">
        <v>11</v>
      </c>
      <c r="I148" s="6" cm="1">
        <f t="array" ref="I148">GetLatitude(D148)</f>
        <v>556001385</v>
      </c>
      <c r="J148" s="1" cm="1">
        <f t="array" ref="J148">GetLongitude(D148)</f>
        <v>126356952</v>
      </c>
      <c r="K148" s="1">
        <f t="shared" si="7"/>
        <v>55.6001385</v>
      </c>
      <c r="L148" s="1">
        <f t="shared" si="8"/>
        <v>12.635695200000001</v>
      </c>
    </row>
    <row r="149" spans="1:12" ht="16" x14ac:dyDescent="0.2">
      <c r="A149" s="1">
        <v>148</v>
      </c>
      <c r="B149" s="1" t="s">
        <v>406</v>
      </c>
      <c r="C149" s="1" t="s">
        <v>465</v>
      </c>
      <c r="D149" s="1" t="str">
        <f t="shared" si="6"/>
        <v>Dragør KommuneHovedgaden 2-4</v>
      </c>
      <c r="E149" s="1" t="s">
        <v>466</v>
      </c>
      <c r="F149" s="1" t="s">
        <v>467</v>
      </c>
      <c r="G149" s="1">
        <v>1981</v>
      </c>
      <c r="H149" s="1" t="s">
        <v>11</v>
      </c>
      <c r="I149" s="6" cm="1">
        <f t="array" ref="I149">GetLatitude(D149)</f>
        <v>555904872</v>
      </c>
      <c r="J149" s="1" cm="1">
        <f t="array" ref="J149">GetLongitude(D149)</f>
        <v>126374198</v>
      </c>
      <c r="K149" s="1">
        <f t="shared" si="7"/>
        <v>55.590487199999998</v>
      </c>
      <c r="L149" s="1">
        <f t="shared" si="8"/>
        <v>12.6374198</v>
      </c>
    </row>
    <row r="150" spans="1:12" ht="16" x14ac:dyDescent="0.2">
      <c r="A150" s="1">
        <v>149</v>
      </c>
      <c r="B150" s="1" t="s">
        <v>406</v>
      </c>
      <c r="C150" s="1" t="s">
        <v>468</v>
      </c>
      <c r="D150" s="1" t="str">
        <f t="shared" si="6"/>
        <v>Dragør KommuneJens Eyberts Plads 1</v>
      </c>
      <c r="E150" s="1" t="s">
        <v>469</v>
      </c>
      <c r="F150" s="1" t="s">
        <v>470</v>
      </c>
      <c r="G150" s="1">
        <v>1945</v>
      </c>
      <c r="H150" s="1" t="s">
        <v>15</v>
      </c>
      <c r="I150" s="6" cm="1">
        <f t="array" ref="I150">GetLatitude(D150)</f>
        <v>555927100</v>
      </c>
      <c r="J150" s="1" cm="1">
        <f t="array" ref="J150">GetLongitude(D150)</f>
        <v>126719160</v>
      </c>
      <c r="K150" s="1">
        <f t="shared" si="7"/>
        <v>55.592709999999997</v>
      </c>
      <c r="L150" s="1">
        <f t="shared" si="8"/>
        <v>12.671916</v>
      </c>
    </row>
    <row r="151" spans="1:12" ht="16" x14ac:dyDescent="0.2">
      <c r="A151" s="1">
        <v>150</v>
      </c>
      <c r="B151" s="1" t="s">
        <v>406</v>
      </c>
      <c r="C151" s="1" t="s">
        <v>471</v>
      </c>
      <c r="D151" s="1" t="str">
        <f t="shared" si="6"/>
        <v>Dragør KommuneJens Eyberts Plads 2</v>
      </c>
      <c r="E151" s="1" t="s">
        <v>472</v>
      </c>
      <c r="F151" s="1" t="s">
        <v>473</v>
      </c>
      <c r="G151" s="1">
        <v>1950</v>
      </c>
      <c r="H151" s="1" t="s">
        <v>15</v>
      </c>
      <c r="I151" s="6" cm="1">
        <f t="array" ref="I151">GetLatitude(D151)</f>
        <v>555927064</v>
      </c>
      <c r="J151" s="1" cm="1">
        <f t="array" ref="J151">GetLongitude(D151)</f>
        <v>126720690</v>
      </c>
      <c r="K151" s="1">
        <f t="shared" si="7"/>
        <v>55.592706399999997</v>
      </c>
      <c r="L151" s="1">
        <f t="shared" si="8"/>
        <v>12.672069</v>
      </c>
    </row>
    <row r="152" spans="1:12" ht="16" x14ac:dyDescent="0.2">
      <c r="A152" s="1">
        <v>151</v>
      </c>
      <c r="B152" s="1" t="s">
        <v>406</v>
      </c>
      <c r="C152" s="1" t="s">
        <v>474</v>
      </c>
      <c r="D152" s="1" t="str">
        <f t="shared" si="6"/>
        <v>Dragør Kommune Jens Eyberts Plads 6</v>
      </c>
      <c r="E152" s="1" t="s">
        <v>474</v>
      </c>
      <c r="F152" s="1" t="s">
        <v>475</v>
      </c>
      <c r="G152" s="1">
        <v>1950</v>
      </c>
      <c r="H152" s="1" t="s">
        <v>11</v>
      </c>
      <c r="I152" s="6" cm="1">
        <f t="array" ref="I152">GetLatitude(D152)</f>
        <v>555925040</v>
      </c>
      <c r="J152" s="1" cm="1">
        <f t="array" ref="J152">GetLongitude(D152)</f>
        <v>126722288</v>
      </c>
      <c r="K152" s="1">
        <f t="shared" si="7"/>
        <v>55.592503999999998</v>
      </c>
      <c r="L152" s="1">
        <f t="shared" si="8"/>
        <v>12.672228799999999</v>
      </c>
    </row>
    <row r="153" spans="1:12" ht="16" x14ac:dyDescent="0.2">
      <c r="A153" s="1">
        <v>152</v>
      </c>
      <c r="B153" s="1" t="s">
        <v>406</v>
      </c>
      <c r="C153" s="1" t="s">
        <v>476</v>
      </c>
      <c r="D153" s="1" t="str">
        <f t="shared" si="6"/>
        <v>Dragør KommuneKirkevej 129</v>
      </c>
      <c r="E153" s="1" t="s">
        <v>477</v>
      </c>
      <c r="F153" s="1" t="s">
        <v>478</v>
      </c>
      <c r="G153" s="1">
        <v>1954</v>
      </c>
      <c r="H153" s="1" t="s">
        <v>11</v>
      </c>
      <c r="I153" s="6" cm="1">
        <f t="array" ref="I153">GetLatitude(D153)</f>
        <v>555950468</v>
      </c>
      <c r="J153" s="1" cm="1">
        <f t="array" ref="J153">GetLongitude(D153)</f>
        <v>126597323</v>
      </c>
      <c r="K153" s="1">
        <f t="shared" si="7"/>
        <v>55.595046799999999</v>
      </c>
      <c r="L153" s="1">
        <f t="shared" si="8"/>
        <v>12.6597323</v>
      </c>
    </row>
    <row r="154" spans="1:12" ht="16" x14ac:dyDescent="0.2">
      <c r="A154" s="1">
        <v>153</v>
      </c>
      <c r="B154" s="1" t="s">
        <v>406</v>
      </c>
      <c r="C154" s="1" t="s">
        <v>479</v>
      </c>
      <c r="D154" s="1" t="str">
        <f t="shared" si="6"/>
        <v>Dragør KommuneKongevejen 23 A og Magstræde 3</v>
      </c>
      <c r="E154" s="1" t="s">
        <v>480</v>
      </c>
      <c r="F154" s="1" t="s">
        <v>481</v>
      </c>
      <c r="G154" s="1">
        <v>1945</v>
      </c>
      <c r="H154" s="1" t="s">
        <v>11</v>
      </c>
      <c r="I154" s="6" cm="1">
        <f t="array" ref="I154">GetLatitude(D154)</f>
        <v>555904872</v>
      </c>
      <c r="J154" s="1" cm="1">
        <f t="array" ref="J154">GetLongitude(D154)</f>
        <v>126374198</v>
      </c>
      <c r="K154" s="1">
        <f t="shared" si="7"/>
        <v>55.590487199999998</v>
      </c>
      <c r="L154" s="1">
        <f t="shared" si="8"/>
        <v>12.6374198</v>
      </c>
    </row>
    <row r="155" spans="1:12" ht="16" x14ac:dyDescent="0.2">
      <c r="A155" s="1">
        <v>154</v>
      </c>
      <c r="B155" s="1" t="s">
        <v>406</v>
      </c>
      <c r="C155" s="1" t="s">
        <v>482</v>
      </c>
      <c r="D155" s="1" t="str">
        <f t="shared" si="6"/>
        <v>Dragør KommuneKrudttårnsvej 31</v>
      </c>
      <c r="E155" s="1" t="s">
        <v>483</v>
      </c>
      <c r="F155" s="1" t="s">
        <v>484</v>
      </c>
      <c r="G155" s="1">
        <v>1984</v>
      </c>
      <c r="H155" s="1" t="s">
        <v>15</v>
      </c>
      <c r="I155" s="6" cm="1">
        <f t="array" ref="I155">GetLatitude(D155)</f>
        <v>555842692</v>
      </c>
      <c r="J155" s="1" cm="1">
        <f t="array" ref="J155">GetLongitude(D155)</f>
        <v>126545409</v>
      </c>
      <c r="K155" s="1">
        <f t="shared" si="7"/>
        <v>55.584269200000001</v>
      </c>
      <c r="L155" s="1">
        <f t="shared" si="8"/>
        <v>12.654540900000001</v>
      </c>
    </row>
    <row r="156" spans="1:12" ht="16" x14ac:dyDescent="0.2">
      <c r="A156" s="1">
        <v>155</v>
      </c>
      <c r="B156" s="1" t="s">
        <v>406</v>
      </c>
      <c r="C156" s="1" t="s">
        <v>485</v>
      </c>
      <c r="D156" s="1" t="str">
        <f t="shared" si="6"/>
        <v>Dragør Kommune Lodsstræde 15</v>
      </c>
      <c r="E156" s="1" t="s">
        <v>485</v>
      </c>
      <c r="F156" s="1" t="s">
        <v>486</v>
      </c>
      <c r="G156" s="1">
        <v>1945</v>
      </c>
      <c r="H156" s="1" t="s">
        <v>11</v>
      </c>
      <c r="I156" s="6" cm="1">
        <f t="array" ref="I156">GetLatitude(D156)</f>
        <v>555922380</v>
      </c>
      <c r="J156" s="1" cm="1">
        <f t="array" ref="J156">GetLongitude(D156)</f>
        <v>126730854</v>
      </c>
      <c r="K156" s="1">
        <f t="shared" si="7"/>
        <v>55.592238000000002</v>
      </c>
      <c r="L156" s="1">
        <f t="shared" si="8"/>
        <v>12.6730854</v>
      </c>
    </row>
    <row r="157" spans="1:12" ht="16" x14ac:dyDescent="0.2">
      <c r="A157" s="1">
        <v>156</v>
      </c>
      <c r="B157" s="1" t="s">
        <v>406</v>
      </c>
      <c r="C157" s="1" t="s">
        <v>487</v>
      </c>
      <c r="D157" s="1" t="str">
        <f t="shared" si="6"/>
        <v>Dragør KommuneLodsstræde 4 A</v>
      </c>
      <c r="E157" s="1" t="s">
        <v>488</v>
      </c>
      <c r="F157" s="1" t="s">
        <v>489</v>
      </c>
      <c r="G157" s="1">
        <v>1987</v>
      </c>
      <c r="H157" s="1" t="s">
        <v>11</v>
      </c>
      <c r="I157" s="6" cm="1">
        <f t="array" ref="I157">GetLatitude(D157)</f>
        <v>555926319</v>
      </c>
      <c r="J157" s="1" cm="1">
        <f t="array" ref="J157">GetLongitude(D157)</f>
        <v>126733228</v>
      </c>
      <c r="K157" s="1">
        <f t="shared" si="7"/>
        <v>55.592631900000001</v>
      </c>
      <c r="L157" s="1">
        <f t="shared" si="8"/>
        <v>12.673322799999999</v>
      </c>
    </row>
    <row r="158" spans="1:12" ht="16" x14ac:dyDescent="0.2">
      <c r="A158" s="1">
        <v>157</v>
      </c>
      <c r="B158" s="1" t="s">
        <v>406</v>
      </c>
      <c r="C158" s="1" t="s">
        <v>490</v>
      </c>
      <c r="D158" s="1" t="str">
        <f t="shared" si="6"/>
        <v>Dragør KommuneRønne Allé 32</v>
      </c>
      <c r="E158" s="1" t="s">
        <v>491</v>
      </c>
      <c r="F158" s="1" t="s">
        <v>492</v>
      </c>
      <c r="G158" s="1">
        <v>1945</v>
      </c>
      <c r="H158" s="1" t="s">
        <v>15</v>
      </c>
      <c r="I158" s="6" cm="1">
        <f t="array" ref="I158">GetLatitude(D158)</f>
        <v>555914270</v>
      </c>
      <c r="J158" s="1" cm="1">
        <f t="array" ref="J158">GetLongitude(D158)</f>
        <v>126724000</v>
      </c>
      <c r="K158" s="1">
        <f t="shared" si="7"/>
        <v>55.591427000000003</v>
      </c>
      <c r="L158" s="1">
        <f t="shared" si="8"/>
        <v>12.6724</v>
      </c>
    </row>
    <row r="159" spans="1:12" ht="16" x14ac:dyDescent="0.2">
      <c r="A159" s="1">
        <v>158</v>
      </c>
      <c r="B159" s="1" t="s">
        <v>406</v>
      </c>
      <c r="C159" s="1" t="s">
        <v>493</v>
      </c>
      <c r="D159" s="1" t="str">
        <f t="shared" si="6"/>
        <v>Dragør KommuneRønne Allé 38</v>
      </c>
      <c r="E159" s="1" t="s">
        <v>494</v>
      </c>
      <c r="F159" s="1" t="s">
        <v>495</v>
      </c>
      <c r="G159" s="1">
        <v>1950</v>
      </c>
      <c r="H159" s="1" t="s">
        <v>15</v>
      </c>
      <c r="I159" s="6" cm="1">
        <f t="array" ref="I159">GetLatitude(D159)</f>
        <v>555911926</v>
      </c>
      <c r="J159" s="1" cm="1">
        <f t="array" ref="J159">GetLongitude(D159)</f>
        <v>126732870</v>
      </c>
      <c r="K159" s="1">
        <f t="shared" si="7"/>
        <v>55.591192599999999</v>
      </c>
      <c r="L159" s="1">
        <f t="shared" si="8"/>
        <v>12.673287</v>
      </c>
    </row>
    <row r="160" spans="1:12" ht="16" x14ac:dyDescent="0.2">
      <c r="A160" s="1">
        <v>159</v>
      </c>
      <c r="B160" s="1" t="s">
        <v>406</v>
      </c>
      <c r="C160" s="1" t="s">
        <v>496</v>
      </c>
      <c r="D160" s="1" t="str">
        <f t="shared" si="6"/>
        <v>Dragør KommuneRønne Allé 40</v>
      </c>
      <c r="E160" s="1" t="s">
        <v>497</v>
      </c>
      <c r="F160" s="1" t="s">
        <v>498</v>
      </c>
      <c r="G160" s="1">
        <v>1950</v>
      </c>
      <c r="H160" s="1" t="s">
        <v>11</v>
      </c>
      <c r="I160" s="6" cm="1">
        <f t="array" ref="I160">GetLatitude(D160)</f>
        <v>555911795</v>
      </c>
      <c r="J160" s="1" cm="1">
        <f t="array" ref="J160">GetLongitude(D160)</f>
        <v>126734120</v>
      </c>
      <c r="K160" s="1">
        <f t="shared" si="7"/>
        <v>55.591179500000003</v>
      </c>
      <c r="L160" s="1">
        <f t="shared" si="8"/>
        <v>12.673412000000001</v>
      </c>
    </row>
    <row r="161" spans="1:12" ht="16" x14ac:dyDescent="0.2">
      <c r="A161" s="1">
        <v>160</v>
      </c>
      <c r="B161" s="1" t="s">
        <v>406</v>
      </c>
      <c r="C161" s="1" t="s">
        <v>499</v>
      </c>
      <c r="D161" s="1" t="str">
        <f t="shared" si="6"/>
        <v>Dragør KommuneSkipperstræde 2</v>
      </c>
      <c r="E161" s="1" t="s">
        <v>500</v>
      </c>
      <c r="F161" s="1" t="s">
        <v>501</v>
      </c>
      <c r="G161" s="1">
        <v>1964</v>
      </c>
      <c r="H161" s="1" t="s">
        <v>15</v>
      </c>
      <c r="I161" s="6" cm="1">
        <f t="array" ref="I161">GetLatitude(D161)</f>
        <v>555927992</v>
      </c>
      <c r="J161" s="1" cm="1">
        <f t="array" ref="J161">GetLongitude(D161)</f>
        <v>126728800</v>
      </c>
      <c r="K161" s="1">
        <f t="shared" si="7"/>
        <v>55.592799200000002</v>
      </c>
      <c r="L161" s="1">
        <f t="shared" si="8"/>
        <v>12.672879999999999</v>
      </c>
    </row>
    <row r="162" spans="1:12" ht="16" x14ac:dyDescent="0.2">
      <c r="A162" s="1">
        <v>161</v>
      </c>
      <c r="B162" s="1" t="s">
        <v>406</v>
      </c>
      <c r="C162" s="1" t="s">
        <v>502</v>
      </c>
      <c r="D162" s="1" t="str">
        <f t="shared" si="6"/>
        <v>Dragør KommuneSlippen 4</v>
      </c>
      <c r="E162" s="1" t="s">
        <v>503</v>
      </c>
      <c r="F162" s="1" t="s">
        <v>504</v>
      </c>
      <c r="G162" s="1">
        <v>1987</v>
      </c>
      <c r="H162" s="1" t="s">
        <v>11</v>
      </c>
      <c r="I162" s="6" cm="1">
        <f t="array" ref="I162">GetLatitude(D162)</f>
        <v>555930046</v>
      </c>
      <c r="J162" s="1" cm="1">
        <f t="array" ref="J162">GetLongitude(D162)</f>
        <v>126720762</v>
      </c>
      <c r="K162" s="1">
        <f t="shared" si="7"/>
        <v>55.5930046</v>
      </c>
      <c r="L162" s="1">
        <f t="shared" si="8"/>
        <v>12.672076199999999</v>
      </c>
    </row>
    <row r="163" spans="1:12" ht="16" x14ac:dyDescent="0.2">
      <c r="A163" s="1">
        <v>162</v>
      </c>
      <c r="B163" s="1" t="s">
        <v>406</v>
      </c>
      <c r="C163" s="1" t="s">
        <v>505</v>
      </c>
      <c r="D163" s="1" t="str">
        <f t="shared" si="6"/>
        <v>Dragør KommuneStralsundstræde 4 A</v>
      </c>
      <c r="E163" s="1" t="s">
        <v>506</v>
      </c>
      <c r="F163" s="1" t="s">
        <v>507</v>
      </c>
      <c r="G163" s="1">
        <v>1988</v>
      </c>
      <c r="H163" s="1" t="s">
        <v>11</v>
      </c>
      <c r="I163" s="6" cm="1">
        <f t="array" ref="I163">GetLatitude(D163)</f>
        <v>555944588</v>
      </c>
      <c r="J163" s="1" cm="1">
        <f t="array" ref="J163">GetLongitude(D163)</f>
        <v>126716670</v>
      </c>
      <c r="K163" s="1">
        <f t="shared" si="7"/>
        <v>55.594458799999998</v>
      </c>
      <c r="L163" s="1">
        <f t="shared" si="8"/>
        <v>12.671666999999999</v>
      </c>
    </row>
    <row r="164" spans="1:12" ht="16" x14ac:dyDescent="0.2">
      <c r="A164" s="1">
        <v>163</v>
      </c>
      <c r="B164" s="1" t="s">
        <v>406</v>
      </c>
      <c r="C164" s="1" t="s">
        <v>508</v>
      </c>
      <c r="D164" s="1" t="str">
        <f t="shared" si="6"/>
        <v>Dragør KommuneStrandgade 10</v>
      </c>
      <c r="E164" s="1" t="s">
        <v>509</v>
      </c>
      <c r="F164" s="1" t="s">
        <v>510</v>
      </c>
      <c r="G164" s="1">
        <v>1987</v>
      </c>
      <c r="H164" s="1" t="s">
        <v>15</v>
      </c>
      <c r="I164" s="6" cm="1">
        <f t="array" ref="I164">GetLatitude(D164)</f>
        <v>555932756</v>
      </c>
      <c r="J164" s="1" cm="1">
        <f t="array" ref="J164">GetLongitude(D164)</f>
        <v>126717530</v>
      </c>
      <c r="K164" s="1">
        <f t="shared" si="7"/>
        <v>55.593275599999998</v>
      </c>
      <c r="L164" s="1">
        <f t="shared" si="8"/>
        <v>12.671753000000001</v>
      </c>
    </row>
    <row r="165" spans="1:12" ht="16" x14ac:dyDescent="0.2">
      <c r="A165" s="1">
        <v>164</v>
      </c>
      <c r="B165" s="1" t="s">
        <v>406</v>
      </c>
      <c r="C165" s="1" t="s">
        <v>511</v>
      </c>
      <c r="D165" s="1" t="str">
        <f t="shared" si="6"/>
        <v>Dragør KommuneStrandgade 12</v>
      </c>
      <c r="E165" s="1" t="s">
        <v>512</v>
      </c>
      <c r="F165" s="1" t="s">
        <v>513</v>
      </c>
      <c r="G165" s="1">
        <v>1987</v>
      </c>
      <c r="H165" s="1" t="s">
        <v>15</v>
      </c>
      <c r="I165" s="6" cm="1">
        <f t="array" ref="I165">GetLatitude(D165)</f>
        <v>555934279</v>
      </c>
      <c r="J165" s="1" cm="1">
        <f t="array" ref="J165">GetLongitude(D165)</f>
        <v>126718207</v>
      </c>
      <c r="K165" s="1">
        <f t="shared" si="7"/>
        <v>55.593427900000002</v>
      </c>
      <c r="L165" s="1">
        <f t="shared" si="8"/>
        <v>12.6718207</v>
      </c>
    </row>
    <row r="166" spans="1:12" ht="16" x14ac:dyDescent="0.2">
      <c r="A166" s="1">
        <v>165</v>
      </c>
      <c r="B166" s="1" t="s">
        <v>406</v>
      </c>
      <c r="C166" s="1" t="s">
        <v>514</v>
      </c>
      <c r="D166" s="1" t="str">
        <f t="shared" si="6"/>
        <v>Dragør KommuneStrandgade 13</v>
      </c>
      <c r="E166" s="1" t="s">
        <v>515</v>
      </c>
      <c r="F166" s="1" t="s">
        <v>516</v>
      </c>
      <c r="G166" s="1">
        <v>1987</v>
      </c>
      <c r="H166" s="1" t="s">
        <v>15</v>
      </c>
      <c r="I166" s="6" cm="1">
        <f t="array" ref="I166">GetLatitude(D166)</f>
        <v>555931327</v>
      </c>
      <c r="J166" s="1" cm="1">
        <f t="array" ref="J166">GetLongitude(D166)</f>
        <v>126722201</v>
      </c>
      <c r="K166" s="1">
        <f t="shared" si="7"/>
        <v>55.593132699999998</v>
      </c>
      <c r="L166" s="1">
        <f t="shared" si="8"/>
        <v>12.672220100000001</v>
      </c>
    </row>
    <row r="167" spans="1:12" ht="16" x14ac:dyDescent="0.2">
      <c r="A167" s="1">
        <v>166</v>
      </c>
      <c r="B167" s="1" t="s">
        <v>406</v>
      </c>
      <c r="C167" s="1" t="s">
        <v>517</v>
      </c>
      <c r="D167" s="1" t="str">
        <f t="shared" si="6"/>
        <v>Dragør KommuneStrandgade 16</v>
      </c>
      <c r="E167" s="1" t="s">
        <v>518</v>
      </c>
      <c r="F167" s="1" t="s">
        <v>519</v>
      </c>
      <c r="G167" s="1">
        <v>1945</v>
      </c>
      <c r="H167" s="1" t="s">
        <v>11</v>
      </c>
      <c r="I167" s="6" cm="1">
        <f t="array" ref="I167">GetLatitude(D167)</f>
        <v>555932972</v>
      </c>
      <c r="J167" s="1" cm="1">
        <f t="array" ref="J167">GetLongitude(D167)</f>
        <v>126723323</v>
      </c>
      <c r="K167" s="1">
        <f t="shared" si="7"/>
        <v>55.593297200000002</v>
      </c>
      <c r="L167" s="1">
        <f t="shared" si="8"/>
        <v>12.672332300000001</v>
      </c>
    </row>
    <row r="168" spans="1:12" ht="16" x14ac:dyDescent="0.2">
      <c r="A168" s="1">
        <v>167</v>
      </c>
      <c r="B168" s="1" t="s">
        <v>406</v>
      </c>
      <c r="C168" s="1" t="s">
        <v>520</v>
      </c>
      <c r="D168" s="1" t="str">
        <f t="shared" si="6"/>
        <v>Dragør KommuneStrandgade 5</v>
      </c>
      <c r="E168" s="1" t="s">
        <v>521</v>
      </c>
      <c r="F168" s="1" t="s">
        <v>522</v>
      </c>
      <c r="G168" s="1">
        <v>1987</v>
      </c>
      <c r="H168" s="1" t="s">
        <v>15</v>
      </c>
      <c r="I168" s="6" cm="1">
        <f t="array" ref="I168">GetLatitude(D168)</f>
        <v>555931792</v>
      </c>
      <c r="J168" s="1" cm="1">
        <f t="array" ref="J168">GetLongitude(D168)</f>
        <v>126713561</v>
      </c>
      <c r="K168" s="1">
        <f t="shared" si="7"/>
        <v>55.593179200000002</v>
      </c>
      <c r="L168" s="1">
        <f t="shared" si="8"/>
        <v>12.671356100000001</v>
      </c>
    </row>
    <row r="169" spans="1:12" ht="16" x14ac:dyDescent="0.2">
      <c r="A169" s="1">
        <v>168</v>
      </c>
      <c r="B169" s="1" t="s">
        <v>406</v>
      </c>
      <c r="C169" s="1" t="s">
        <v>523</v>
      </c>
      <c r="D169" s="1" t="str">
        <f t="shared" si="6"/>
        <v>Dragør KommuneStrandlinien 2-4</v>
      </c>
      <c r="E169" s="1" t="s">
        <v>524</v>
      </c>
      <c r="F169" s="1" t="s">
        <v>525</v>
      </c>
      <c r="G169" s="1">
        <v>1945</v>
      </c>
      <c r="H169" s="1" t="s">
        <v>15</v>
      </c>
      <c r="I169" s="6" cm="1">
        <f t="array" ref="I169">GetLatitude(D169)</f>
        <v>555936175</v>
      </c>
      <c r="J169" s="1" cm="1">
        <f t="array" ref="J169">GetLongitude(D169)</f>
        <v>126749492</v>
      </c>
      <c r="K169" s="1">
        <f t="shared" si="7"/>
        <v>55.593617500000001</v>
      </c>
      <c r="L169" s="1">
        <f t="shared" si="8"/>
        <v>12.6749492</v>
      </c>
    </row>
    <row r="170" spans="1:12" ht="16" x14ac:dyDescent="0.2">
      <c r="A170" s="1">
        <v>169</v>
      </c>
      <c r="B170" s="1" t="s">
        <v>406</v>
      </c>
      <c r="C170" s="1" t="s">
        <v>526</v>
      </c>
      <c r="D170" s="1" t="str">
        <f t="shared" si="6"/>
        <v>Dragør KommuneStrandlinien 33</v>
      </c>
      <c r="E170" s="1" t="s">
        <v>527</v>
      </c>
      <c r="F170" s="1" t="s">
        <v>528</v>
      </c>
      <c r="G170" s="1">
        <v>1945</v>
      </c>
      <c r="H170" s="1" t="s">
        <v>15</v>
      </c>
      <c r="I170" s="6" cm="1">
        <f t="array" ref="I170">GetLatitude(D170)</f>
        <v>555925902</v>
      </c>
      <c r="J170" s="1" cm="1">
        <f t="array" ref="J170">GetLongitude(D170)</f>
        <v>126744536</v>
      </c>
      <c r="K170" s="1">
        <f t="shared" si="7"/>
        <v>55.592590199999997</v>
      </c>
      <c r="L170" s="1">
        <f t="shared" si="8"/>
        <v>12.6744536</v>
      </c>
    </row>
    <row r="171" spans="1:12" ht="16" x14ac:dyDescent="0.2">
      <c r="A171" s="1">
        <v>170</v>
      </c>
      <c r="B171" s="1" t="s">
        <v>406</v>
      </c>
      <c r="C171" s="1" t="s">
        <v>529</v>
      </c>
      <c r="D171" s="1" t="str">
        <f t="shared" si="6"/>
        <v>Dragør KommuneStrandlinien 39</v>
      </c>
      <c r="E171" s="1" t="s">
        <v>530</v>
      </c>
      <c r="F171" s="1" t="s">
        <v>531</v>
      </c>
      <c r="G171" s="1">
        <v>1988</v>
      </c>
      <c r="H171" s="1" t="s">
        <v>11</v>
      </c>
      <c r="I171" s="6" cm="1">
        <f t="array" ref="I171">GetLatitude(D171)</f>
        <v>555921423</v>
      </c>
      <c r="J171" s="1" cm="1">
        <f t="array" ref="J171">GetLongitude(D171)</f>
        <v>126744181</v>
      </c>
      <c r="K171" s="1">
        <f t="shared" si="7"/>
        <v>55.592142299999999</v>
      </c>
      <c r="L171" s="1">
        <f t="shared" si="8"/>
        <v>12.6744181</v>
      </c>
    </row>
    <row r="172" spans="1:12" ht="16" x14ac:dyDescent="0.2">
      <c r="A172" s="1">
        <v>171</v>
      </c>
      <c r="B172" s="1" t="s">
        <v>406</v>
      </c>
      <c r="C172" s="1" t="s">
        <v>532</v>
      </c>
      <c r="D172" s="1" t="str">
        <f t="shared" si="6"/>
        <v>Dragør KommuneStrandlinien 5A</v>
      </c>
      <c r="E172" s="1" t="s">
        <v>533</v>
      </c>
      <c r="F172" s="1" t="s">
        <v>534</v>
      </c>
      <c r="G172" s="1">
        <v>1945</v>
      </c>
      <c r="H172" s="1" t="s">
        <v>15</v>
      </c>
      <c r="I172" s="6" cm="1">
        <f t="array" ref="I172">GetLatitude(D172)</f>
        <v>555944071</v>
      </c>
      <c r="J172" s="1" cm="1">
        <f t="array" ref="J172">GetLongitude(D172)</f>
        <v>126747719</v>
      </c>
      <c r="K172" s="1">
        <f t="shared" si="7"/>
        <v>55.594407099999998</v>
      </c>
      <c r="L172" s="1">
        <f t="shared" si="8"/>
        <v>12.6747719</v>
      </c>
    </row>
    <row r="173" spans="1:12" ht="16" x14ac:dyDescent="0.2">
      <c r="A173" s="1">
        <v>172</v>
      </c>
      <c r="B173" s="1" t="s">
        <v>406</v>
      </c>
      <c r="C173" s="1" t="s">
        <v>535</v>
      </c>
      <c r="D173" s="1" t="str">
        <f t="shared" si="6"/>
        <v>Dragør KommuneStrandstræde 33 B</v>
      </c>
      <c r="E173" s="1" t="s">
        <v>536</v>
      </c>
      <c r="F173" s="1" t="s">
        <v>537</v>
      </c>
      <c r="G173" s="1">
        <v>1964</v>
      </c>
      <c r="H173" s="1" t="s">
        <v>15</v>
      </c>
      <c r="I173" s="6" cm="1">
        <f t="array" ref="I173">GetLatitude(D173)</f>
        <v>555919232</v>
      </c>
      <c r="J173" s="1" cm="1">
        <f t="array" ref="J173">GetLongitude(D173)</f>
        <v>126741439</v>
      </c>
      <c r="K173" s="1">
        <f t="shared" si="7"/>
        <v>55.591923199999997</v>
      </c>
      <c r="L173" s="1">
        <f t="shared" si="8"/>
        <v>12.674143900000001</v>
      </c>
    </row>
    <row r="174" spans="1:12" ht="16" x14ac:dyDescent="0.2">
      <c r="A174" s="1">
        <v>173</v>
      </c>
      <c r="B174" s="1" t="s">
        <v>406</v>
      </c>
      <c r="C174" s="1" t="s">
        <v>538</v>
      </c>
      <c r="D174" s="1" t="str">
        <f t="shared" si="6"/>
        <v>Dragør KommuneStrandstræde 8</v>
      </c>
      <c r="E174" s="1" t="s">
        <v>539</v>
      </c>
      <c r="F174" s="1" t="s">
        <v>540</v>
      </c>
      <c r="G174" s="1">
        <v>1945</v>
      </c>
      <c r="H174" s="1" t="s">
        <v>15</v>
      </c>
      <c r="I174" s="6" cm="1">
        <f t="array" ref="I174">GetLatitude(D174)</f>
        <v>555931147</v>
      </c>
      <c r="J174" s="1" cm="1">
        <f t="array" ref="J174">GetLongitude(D174)</f>
        <v>126739679</v>
      </c>
      <c r="K174" s="1">
        <f t="shared" si="7"/>
        <v>55.593114700000001</v>
      </c>
      <c r="L174" s="1">
        <f t="shared" si="8"/>
        <v>12.673967899999999</v>
      </c>
    </row>
    <row r="175" spans="1:12" ht="16" x14ac:dyDescent="0.2">
      <c r="A175" s="1">
        <v>174</v>
      </c>
      <c r="B175" s="1" t="s">
        <v>406</v>
      </c>
      <c r="C175" s="1" t="s">
        <v>541</v>
      </c>
      <c r="D175" s="1" t="str">
        <f t="shared" si="6"/>
        <v>Dragør KommuneSønderstræde 11</v>
      </c>
      <c r="E175" s="1" t="s">
        <v>542</v>
      </c>
      <c r="F175" s="1" t="s">
        <v>543</v>
      </c>
      <c r="G175" s="1">
        <v>1988</v>
      </c>
      <c r="H175" s="1" t="s">
        <v>15</v>
      </c>
      <c r="I175" s="6" cm="1">
        <f t="array" ref="I175">GetLatitude(D175)</f>
        <v>555915628</v>
      </c>
      <c r="J175" s="1" cm="1">
        <f t="array" ref="J175">GetLongitude(D175)</f>
        <v>126718569</v>
      </c>
      <c r="K175" s="1">
        <f t="shared" si="7"/>
        <v>55.591562799999998</v>
      </c>
      <c r="L175" s="1">
        <f t="shared" si="8"/>
        <v>12.6718569</v>
      </c>
    </row>
    <row r="176" spans="1:12" ht="16" x14ac:dyDescent="0.2">
      <c r="A176" s="1">
        <v>175</v>
      </c>
      <c r="B176" s="1" t="s">
        <v>406</v>
      </c>
      <c r="C176" s="1" t="s">
        <v>544</v>
      </c>
      <c r="D176" s="1" t="str">
        <f t="shared" si="6"/>
        <v>Dragør KommuneSønderstræde 13</v>
      </c>
      <c r="E176" s="1" t="s">
        <v>545</v>
      </c>
      <c r="F176" s="1" t="s">
        <v>546</v>
      </c>
      <c r="G176" s="1">
        <v>1945</v>
      </c>
      <c r="H176" s="1" t="s">
        <v>15</v>
      </c>
      <c r="I176" s="6" cm="1">
        <f t="array" ref="I176">GetLatitude(D176)</f>
        <v>555913231</v>
      </c>
      <c r="J176" s="1" cm="1">
        <f t="array" ref="J176">GetLongitude(D176)</f>
        <v>126720943</v>
      </c>
      <c r="K176" s="1">
        <f t="shared" si="7"/>
        <v>55.591323099999997</v>
      </c>
      <c r="L176" s="1">
        <f t="shared" si="8"/>
        <v>12.672094299999999</v>
      </c>
    </row>
    <row r="177" spans="1:12" ht="16" x14ac:dyDescent="0.2">
      <c r="A177" s="1">
        <v>176</v>
      </c>
      <c r="B177" s="1" t="s">
        <v>406</v>
      </c>
      <c r="C177" s="1" t="s">
        <v>547</v>
      </c>
      <c r="D177" s="1" t="str">
        <f t="shared" si="6"/>
        <v>Dragør KommuneVestgrønningen 18-20</v>
      </c>
      <c r="E177" s="1" t="s">
        <v>548</v>
      </c>
      <c r="F177" s="1" t="s">
        <v>549</v>
      </c>
      <c r="G177" s="1">
        <v>1945</v>
      </c>
      <c r="H177" s="1" t="s">
        <v>15</v>
      </c>
      <c r="I177" s="6" cm="1">
        <f t="array" ref="I177">GetLatitude(D177)</f>
        <v>555932171</v>
      </c>
      <c r="J177" s="1" cm="1">
        <f t="array" ref="J177">GetLongitude(D177)</f>
        <v>126707802</v>
      </c>
      <c r="K177" s="1">
        <f t="shared" si="7"/>
        <v>55.593217099999997</v>
      </c>
      <c r="L177" s="1">
        <f t="shared" si="8"/>
        <v>12.670780199999999</v>
      </c>
    </row>
    <row r="178" spans="1:12" ht="16" x14ac:dyDescent="0.2">
      <c r="A178" s="1">
        <v>177</v>
      </c>
      <c r="B178" s="1" t="s">
        <v>406</v>
      </c>
      <c r="C178" s="1" t="s">
        <v>550</v>
      </c>
      <c r="D178" s="1" t="str">
        <f t="shared" si="6"/>
        <v>Dragør KommuneVestgrønningen 22</v>
      </c>
      <c r="E178" s="1" t="s">
        <v>551</v>
      </c>
      <c r="F178" s="1" t="s">
        <v>552</v>
      </c>
      <c r="G178" s="1">
        <v>1950</v>
      </c>
      <c r="H178" s="1" t="s">
        <v>15</v>
      </c>
      <c r="I178" s="6" cm="1">
        <f t="array" ref="I178">GetLatitude(D178)</f>
        <v>555929315</v>
      </c>
      <c r="J178" s="1" cm="1">
        <f t="array" ref="J178">GetLongitude(D178)</f>
        <v>126707770</v>
      </c>
      <c r="K178" s="1">
        <f t="shared" si="7"/>
        <v>55.592931499999999</v>
      </c>
      <c r="L178" s="1">
        <f t="shared" si="8"/>
        <v>12.670776999999999</v>
      </c>
    </row>
    <row r="179" spans="1:12" ht="16" x14ac:dyDescent="0.2">
      <c r="A179" s="1">
        <v>178</v>
      </c>
      <c r="B179" s="1" t="s">
        <v>406</v>
      </c>
      <c r="C179" s="1" t="s">
        <v>553</v>
      </c>
      <c r="D179" s="1" t="str">
        <f t="shared" si="6"/>
        <v>Dragør KommuneVestgrønningen 3</v>
      </c>
      <c r="E179" s="1" t="s">
        <v>554</v>
      </c>
      <c r="F179" s="1" t="s">
        <v>555</v>
      </c>
      <c r="G179" s="1">
        <v>1945</v>
      </c>
      <c r="H179" s="1" t="s">
        <v>15</v>
      </c>
      <c r="I179" s="6" cm="1">
        <f t="array" ref="I179">GetLatitude(D179)</f>
        <v>555937790</v>
      </c>
      <c r="J179" s="1" cm="1">
        <f t="array" ref="J179">GetLongitude(D179)</f>
        <v>126701516</v>
      </c>
      <c r="K179" s="1">
        <f t="shared" si="7"/>
        <v>55.593778999999998</v>
      </c>
      <c r="L179" s="1">
        <f t="shared" si="8"/>
        <v>12.670151600000001</v>
      </c>
    </row>
    <row r="180" spans="1:12" ht="16" x14ac:dyDescent="0.2">
      <c r="A180" s="1">
        <v>179</v>
      </c>
      <c r="B180" s="1" t="s">
        <v>406</v>
      </c>
      <c r="C180" s="1" t="s">
        <v>556</v>
      </c>
      <c r="D180" s="1" t="str">
        <f t="shared" si="6"/>
        <v>Dragør KommuneVestgrønningen 30</v>
      </c>
      <c r="E180" s="1" t="s">
        <v>557</v>
      </c>
      <c r="F180" s="1" t="s">
        <v>558</v>
      </c>
      <c r="G180" s="1">
        <v>1945</v>
      </c>
      <c r="H180" s="1" t="s">
        <v>15</v>
      </c>
      <c r="I180" s="6" cm="1">
        <f t="array" ref="I180">GetLatitude(D180)</f>
        <v>555925173</v>
      </c>
      <c r="J180" s="1" cm="1">
        <f t="array" ref="J180">GetLongitude(D180)</f>
        <v>126706839</v>
      </c>
      <c r="K180" s="1">
        <f t="shared" si="7"/>
        <v>55.592517299999997</v>
      </c>
      <c r="L180" s="1">
        <f t="shared" si="8"/>
        <v>12.6706839</v>
      </c>
    </row>
    <row r="181" spans="1:12" ht="16" x14ac:dyDescent="0.2">
      <c r="A181" s="1">
        <v>180</v>
      </c>
      <c r="B181" s="1" t="s">
        <v>406</v>
      </c>
      <c r="C181" s="1" t="s">
        <v>559</v>
      </c>
      <c r="D181" s="1" t="str">
        <f t="shared" si="6"/>
        <v>Dragør KommuneVestgrønningen 34</v>
      </c>
      <c r="E181" s="1" t="s">
        <v>560</v>
      </c>
      <c r="F181" s="1" t="s">
        <v>561</v>
      </c>
      <c r="G181" s="1">
        <v>1945</v>
      </c>
      <c r="H181" s="1" t="s">
        <v>11</v>
      </c>
      <c r="I181" s="6" cm="1">
        <f t="array" ref="I181">GetLatitude(D181)</f>
        <v>555922581</v>
      </c>
      <c r="J181" s="1" cm="1">
        <f t="array" ref="J181">GetLongitude(D181)</f>
        <v>126706702</v>
      </c>
      <c r="K181" s="1">
        <f t="shared" si="7"/>
        <v>55.592258100000002</v>
      </c>
      <c r="L181" s="1">
        <f t="shared" si="8"/>
        <v>12.6706702</v>
      </c>
    </row>
    <row r="182" spans="1:12" ht="16" x14ac:dyDescent="0.2">
      <c r="A182" s="1">
        <v>181</v>
      </c>
      <c r="B182" s="1" t="s">
        <v>406</v>
      </c>
      <c r="C182" s="1" t="s">
        <v>562</v>
      </c>
      <c r="D182" s="1" t="str">
        <f t="shared" si="6"/>
        <v>Dragør KommuneVestgrønningen 38 A</v>
      </c>
      <c r="E182" s="1" t="s">
        <v>563</v>
      </c>
      <c r="F182" s="1" t="s">
        <v>564</v>
      </c>
      <c r="G182" s="1">
        <v>1945</v>
      </c>
      <c r="H182" s="1" t="s">
        <v>15</v>
      </c>
      <c r="I182" s="6" cm="1">
        <f t="array" ref="I182">GetLatitude(D182)</f>
        <v>555919920</v>
      </c>
      <c r="J182" s="1" cm="1">
        <f t="array" ref="J182">GetLongitude(D182)</f>
        <v>126706517</v>
      </c>
      <c r="K182" s="1">
        <f t="shared" si="7"/>
        <v>55.591991999999998</v>
      </c>
      <c r="L182" s="1">
        <f t="shared" si="8"/>
        <v>12.670651700000001</v>
      </c>
    </row>
    <row r="183" spans="1:12" ht="16" x14ac:dyDescent="0.2">
      <c r="A183" s="1">
        <v>182</v>
      </c>
      <c r="B183" s="1" t="s">
        <v>406</v>
      </c>
      <c r="C183" s="1" t="s">
        <v>565</v>
      </c>
      <c r="D183" s="1" t="str">
        <f t="shared" si="6"/>
        <v>Dragør KommuneVestgrønningen 40</v>
      </c>
      <c r="E183" s="1" t="s">
        <v>566</v>
      </c>
      <c r="F183" s="1" t="s">
        <v>567</v>
      </c>
      <c r="G183" s="1">
        <v>1945</v>
      </c>
      <c r="H183" s="1" t="s">
        <v>15</v>
      </c>
      <c r="I183" s="6" cm="1">
        <f t="array" ref="I183">GetLatitude(D183)</f>
        <v>555917986</v>
      </c>
      <c r="J183" s="1" cm="1">
        <f t="array" ref="J183">GetLongitude(D183)</f>
        <v>126706575</v>
      </c>
      <c r="K183" s="1">
        <f t="shared" si="7"/>
        <v>55.591798599999997</v>
      </c>
      <c r="L183" s="1">
        <f t="shared" si="8"/>
        <v>12.670657500000001</v>
      </c>
    </row>
    <row r="184" spans="1:12" ht="16" x14ac:dyDescent="0.2">
      <c r="A184" s="1">
        <v>183</v>
      </c>
      <c r="B184" s="1" t="s">
        <v>406</v>
      </c>
      <c r="C184" s="1" t="s">
        <v>568</v>
      </c>
      <c r="D184" s="1" t="str">
        <f t="shared" si="6"/>
        <v>Dragør KommuneVognmandsgade 4</v>
      </c>
      <c r="E184" s="1" t="s">
        <v>569</v>
      </c>
      <c r="F184" s="1" t="s">
        <v>570</v>
      </c>
      <c r="G184" s="1">
        <v>1987</v>
      </c>
      <c r="H184" s="1" t="s">
        <v>15</v>
      </c>
      <c r="I184" s="6" cm="1">
        <f t="array" ref="I184">GetLatitude(D184)</f>
        <v>555935927</v>
      </c>
      <c r="J184" s="1" cm="1">
        <f t="array" ref="J184">GetLongitude(D184)</f>
        <v>126711943</v>
      </c>
      <c r="K184" s="1">
        <f t="shared" si="7"/>
        <v>55.593592700000002</v>
      </c>
      <c r="L184" s="1">
        <f t="shared" si="8"/>
        <v>12.6711943</v>
      </c>
    </row>
    <row r="185" spans="1:12" ht="16" x14ac:dyDescent="0.2">
      <c r="A185" s="1">
        <v>184</v>
      </c>
      <c r="B185" s="1" t="s">
        <v>406</v>
      </c>
      <c r="C185" s="1" t="s">
        <v>571</v>
      </c>
      <c r="D185" s="1" t="str">
        <f t="shared" si="6"/>
        <v>Dragør KommuneVon Ostensgade 11</v>
      </c>
      <c r="E185" s="1" t="s">
        <v>572</v>
      </c>
      <c r="F185" s="1" t="s">
        <v>558</v>
      </c>
      <c r="G185" s="1">
        <v>1950</v>
      </c>
      <c r="H185" s="1" t="s">
        <v>15</v>
      </c>
      <c r="I185" s="6" cm="1">
        <f t="array" ref="I185">GetLatitude(D185)</f>
        <v>555926665</v>
      </c>
      <c r="J185" s="1" cm="1">
        <f t="array" ref="J185">GetLongitude(D185)</f>
        <v>126715192</v>
      </c>
      <c r="K185" s="1">
        <f t="shared" si="7"/>
        <v>55.5926665</v>
      </c>
      <c r="L185" s="1">
        <f t="shared" si="8"/>
        <v>12.671519200000001</v>
      </c>
    </row>
    <row r="186" spans="1:12" ht="16" x14ac:dyDescent="0.2">
      <c r="A186" s="1">
        <v>185</v>
      </c>
      <c r="B186" s="1" t="s">
        <v>406</v>
      </c>
      <c r="C186" s="1" t="s">
        <v>573</v>
      </c>
      <c r="D186" s="1" t="str">
        <f t="shared" si="6"/>
        <v>Dragør KommuneVon Ostensgade 13</v>
      </c>
      <c r="E186" s="1" t="s">
        <v>574</v>
      </c>
      <c r="F186" s="1" t="s">
        <v>558</v>
      </c>
      <c r="G186" s="1">
        <v>1950</v>
      </c>
      <c r="H186" s="1" t="s">
        <v>15</v>
      </c>
      <c r="I186" s="6" cm="1">
        <f t="array" ref="I186">GetLatitude(D186)</f>
        <v>555926888</v>
      </c>
      <c r="J186" s="1" cm="1">
        <f t="array" ref="J186">GetLongitude(D186)</f>
        <v>126717269</v>
      </c>
      <c r="K186" s="1">
        <f t="shared" si="7"/>
        <v>55.592688799999998</v>
      </c>
      <c r="L186" s="1">
        <f t="shared" si="8"/>
        <v>12.671726899999999</v>
      </c>
    </row>
    <row r="187" spans="1:12" ht="16" x14ac:dyDescent="0.2">
      <c r="A187" s="1">
        <v>186</v>
      </c>
      <c r="B187" s="1" t="s">
        <v>406</v>
      </c>
      <c r="C187" s="1" t="s">
        <v>575</v>
      </c>
      <c r="D187" s="1" t="str">
        <f t="shared" si="6"/>
        <v>Dragør KommuneVon Ostensgade 3</v>
      </c>
      <c r="E187" s="1" t="s">
        <v>576</v>
      </c>
      <c r="F187" s="1" t="s">
        <v>558</v>
      </c>
      <c r="G187" s="1">
        <v>1945</v>
      </c>
      <c r="H187" s="1" t="s">
        <v>15</v>
      </c>
      <c r="I187" s="6" cm="1">
        <f t="array" ref="I187">GetLatitude(D187)</f>
        <v>555926062</v>
      </c>
      <c r="J187" s="1" cm="1">
        <f t="array" ref="J187">GetLongitude(D187)</f>
        <v>126708335</v>
      </c>
      <c r="K187" s="1">
        <f t="shared" si="7"/>
        <v>55.592606199999999</v>
      </c>
      <c r="L187" s="1">
        <f t="shared" si="8"/>
        <v>12.670833500000001</v>
      </c>
    </row>
    <row r="188" spans="1:12" ht="16" x14ac:dyDescent="0.2">
      <c r="A188" s="1">
        <v>187</v>
      </c>
      <c r="B188" s="1" t="s">
        <v>406</v>
      </c>
      <c r="C188" s="1" t="s">
        <v>577</v>
      </c>
      <c r="D188" s="1" t="str">
        <f t="shared" si="6"/>
        <v>Dragør KommuneVon Ostensgade 30</v>
      </c>
      <c r="E188" s="1" t="s">
        <v>578</v>
      </c>
      <c r="F188" s="1" t="s">
        <v>579</v>
      </c>
      <c r="G188" s="1">
        <v>1945</v>
      </c>
      <c r="H188" s="1" t="s">
        <v>15</v>
      </c>
      <c r="I188" s="6" cm="1">
        <f t="array" ref="I188">GetLatitude(D188)</f>
        <v>555929361</v>
      </c>
      <c r="J188" s="1" cm="1">
        <f t="array" ref="J188">GetLongitude(D188)</f>
        <v>126730446</v>
      </c>
      <c r="K188" s="1">
        <f t="shared" si="7"/>
        <v>55.592936100000003</v>
      </c>
      <c r="L188" s="1">
        <f t="shared" si="8"/>
        <v>12.673044600000001</v>
      </c>
    </row>
    <row r="189" spans="1:12" ht="16" x14ac:dyDescent="0.2">
      <c r="A189" s="1">
        <v>188</v>
      </c>
      <c r="B189" s="1" t="s">
        <v>406</v>
      </c>
      <c r="C189" s="1" t="s">
        <v>580</v>
      </c>
      <c r="D189" s="1" t="str">
        <f t="shared" si="6"/>
        <v>Dragør KommuneVon Ostensgade 32</v>
      </c>
      <c r="E189" s="1" t="s">
        <v>581</v>
      </c>
      <c r="F189" s="1" t="s">
        <v>582</v>
      </c>
      <c r="G189" s="1">
        <v>1945</v>
      </c>
      <c r="H189" s="1" t="s">
        <v>15</v>
      </c>
      <c r="I189" s="6" cm="1">
        <f t="array" ref="I189">GetLatitude(D189)</f>
        <v>555929584</v>
      </c>
      <c r="J189" s="1" cm="1">
        <f t="array" ref="J189">GetLongitude(D189)</f>
        <v>126732523</v>
      </c>
      <c r="K189" s="1">
        <f t="shared" si="7"/>
        <v>55.592958400000001</v>
      </c>
      <c r="L189" s="1">
        <f t="shared" si="8"/>
        <v>12.6732523</v>
      </c>
    </row>
    <row r="190" spans="1:12" ht="16" x14ac:dyDescent="0.2">
      <c r="A190" s="1">
        <v>189</v>
      </c>
      <c r="B190" s="1" t="s">
        <v>406</v>
      </c>
      <c r="C190" s="1" t="s">
        <v>583</v>
      </c>
      <c r="D190" s="1" t="str">
        <f t="shared" si="6"/>
        <v>Dragør KommuneVon Ostensgade 4</v>
      </c>
      <c r="E190" s="1" t="s">
        <v>584</v>
      </c>
      <c r="F190" s="1" t="s">
        <v>558</v>
      </c>
      <c r="G190" s="1">
        <v>1945</v>
      </c>
      <c r="H190" s="1" t="s">
        <v>15</v>
      </c>
      <c r="I190" s="6" cm="1">
        <f t="array" ref="I190">GetLatitude(D190)</f>
        <v>555927310</v>
      </c>
      <c r="J190" s="1" cm="1">
        <f t="array" ref="J190">GetLongitude(D190)</f>
        <v>126710086</v>
      </c>
      <c r="K190" s="1">
        <f t="shared" si="7"/>
        <v>55.592731000000001</v>
      </c>
      <c r="L190" s="1">
        <f t="shared" si="8"/>
        <v>12.6710086</v>
      </c>
    </row>
    <row r="191" spans="1:12" ht="16" x14ac:dyDescent="0.2">
      <c r="A191" s="1">
        <v>190</v>
      </c>
      <c r="B191" s="1" t="s">
        <v>406</v>
      </c>
      <c r="C191" s="1" t="s">
        <v>585</v>
      </c>
      <c r="D191" s="1" t="str">
        <f t="shared" si="6"/>
        <v>Dragør KommuneVon Ostensgade 6</v>
      </c>
      <c r="E191" s="1" t="s">
        <v>586</v>
      </c>
      <c r="F191" s="1" t="s">
        <v>587</v>
      </c>
      <c r="G191" s="1">
        <v>1945</v>
      </c>
      <c r="H191" s="1" t="s">
        <v>11</v>
      </c>
      <c r="I191" s="6" cm="1">
        <f t="array" ref="I191">GetLatitude(D191)</f>
        <v>555927897</v>
      </c>
      <c r="J191" s="1" cm="1">
        <f t="array" ref="J191">GetLongitude(D191)</f>
        <v>126711847</v>
      </c>
      <c r="K191" s="1">
        <f t="shared" si="7"/>
        <v>55.592789699999997</v>
      </c>
      <c r="L191" s="1">
        <f t="shared" si="8"/>
        <v>12.6711847</v>
      </c>
    </row>
    <row r="192" spans="1:12" ht="16" x14ac:dyDescent="0.2">
      <c r="A192" s="1">
        <v>191</v>
      </c>
      <c r="B192" s="1" t="s">
        <v>406</v>
      </c>
      <c r="C192" s="1" t="s">
        <v>588</v>
      </c>
      <c r="D192" s="1" t="str">
        <f t="shared" si="6"/>
        <v>Dragør KommuneVon Ostensgade 7</v>
      </c>
      <c r="E192" s="1" t="s">
        <v>589</v>
      </c>
      <c r="F192" s="1" t="s">
        <v>558</v>
      </c>
      <c r="G192" s="1">
        <v>1945</v>
      </c>
      <c r="H192" s="1" t="s">
        <v>11</v>
      </c>
      <c r="I192" s="6" cm="1">
        <f t="array" ref="I192">GetLatitude(D192)</f>
        <v>555926430</v>
      </c>
      <c r="J192" s="1" cm="1">
        <f t="array" ref="J192">GetLongitude(D192)</f>
        <v>126711477</v>
      </c>
      <c r="K192" s="1">
        <f t="shared" si="7"/>
        <v>55.592643000000002</v>
      </c>
      <c r="L192" s="1">
        <f t="shared" si="8"/>
        <v>12.671147700000001</v>
      </c>
    </row>
    <row r="193" spans="1:12" ht="16" x14ac:dyDescent="0.2">
      <c r="A193" s="1">
        <v>192</v>
      </c>
      <c r="B193" s="1" t="s">
        <v>406</v>
      </c>
      <c r="C193" s="1" t="s">
        <v>590</v>
      </c>
      <c r="D193" s="1" t="str">
        <f t="shared" si="6"/>
        <v>Dragør KommuneVon Ostensgade 8</v>
      </c>
      <c r="E193" s="1" t="s">
        <v>591</v>
      </c>
      <c r="F193" s="1" t="s">
        <v>592</v>
      </c>
      <c r="G193" s="1">
        <v>1945</v>
      </c>
      <c r="H193" s="1" t="s">
        <v>11</v>
      </c>
      <c r="I193" s="6" cm="1">
        <f t="array" ref="I193">GetLatitude(D193)</f>
        <v>555927802</v>
      </c>
      <c r="J193" s="1" cm="1">
        <f t="array" ref="J193">GetLongitude(D193)</f>
        <v>126715905</v>
      </c>
      <c r="K193" s="1">
        <f t="shared" si="7"/>
        <v>55.5927802</v>
      </c>
      <c r="L193" s="1">
        <f t="shared" si="8"/>
        <v>12.671590500000001</v>
      </c>
    </row>
    <row r="194" spans="1:12" ht="16" x14ac:dyDescent="0.2">
      <c r="A194" s="1">
        <v>193</v>
      </c>
      <c r="B194" s="1" t="s">
        <v>406</v>
      </c>
      <c r="C194" s="1" t="s">
        <v>593</v>
      </c>
      <c r="D194" s="1" t="str">
        <f t="shared" si="6"/>
        <v>Dragør KommuneZytfensgade 3</v>
      </c>
      <c r="E194" s="1" t="s">
        <v>594</v>
      </c>
      <c r="F194" s="1" t="s">
        <v>595</v>
      </c>
      <c r="G194" s="1">
        <v>1945</v>
      </c>
      <c r="H194" s="1" t="s">
        <v>15</v>
      </c>
      <c r="I194" s="6" cm="1">
        <f t="array" ref="I194">GetLatitude(D194)</f>
        <v>555924505</v>
      </c>
      <c r="J194" s="1" cm="1">
        <f t="array" ref="J194">GetLongitude(D194)</f>
        <v>126742076</v>
      </c>
      <c r="K194" s="1">
        <f t="shared" si="7"/>
        <v>55.592450499999998</v>
      </c>
      <c r="L194" s="1">
        <f t="shared" si="8"/>
        <v>12.674207600000001</v>
      </c>
    </row>
    <row r="195" spans="1:12" ht="16" x14ac:dyDescent="0.2">
      <c r="A195" s="1">
        <v>194</v>
      </c>
      <c r="B195" s="1" t="s">
        <v>406</v>
      </c>
      <c r="C195" s="1" t="s">
        <v>596</v>
      </c>
      <c r="D195" s="1" t="str">
        <f t="shared" ref="D195:D258" si="9">B195&amp;C195</f>
        <v>Dragør KommuneZytfensgade 4</v>
      </c>
      <c r="E195" s="1" t="s">
        <v>597</v>
      </c>
      <c r="F195" s="1" t="s">
        <v>598</v>
      </c>
      <c r="G195" s="1">
        <v>1945</v>
      </c>
      <c r="H195" s="1" t="s">
        <v>15</v>
      </c>
      <c r="I195" s="6" cm="1">
        <f t="array" ref="I195">GetLatitude(D195)</f>
        <v>555925944</v>
      </c>
      <c r="J195" s="1" cm="1">
        <f t="array" ref="J195">GetLongitude(D195)</f>
        <v>126743079</v>
      </c>
      <c r="K195" s="1">
        <f t="shared" si="7"/>
        <v>55.592594400000003</v>
      </c>
      <c r="L195" s="1">
        <f t="shared" si="8"/>
        <v>12.674307900000001</v>
      </c>
    </row>
    <row r="196" spans="1:12" ht="16" x14ac:dyDescent="0.2">
      <c r="A196" s="1">
        <v>195</v>
      </c>
      <c r="B196" s="1" t="s">
        <v>599</v>
      </c>
      <c r="C196" s="1" t="s">
        <v>600</v>
      </c>
      <c r="D196" s="1" t="str">
        <f t="shared" si="9"/>
        <v>Egedal KommuneEdelgavevej 28</v>
      </c>
      <c r="E196" s="1" t="s">
        <v>601</v>
      </c>
      <c r="F196" s="1" t="s">
        <v>602</v>
      </c>
      <c r="G196" s="1">
        <v>1918</v>
      </c>
      <c r="H196" s="1" t="s">
        <v>11</v>
      </c>
      <c r="I196" s="6" cm="1">
        <f t="array" ref="I196">GetLatitude(D196)</f>
        <v>557255430</v>
      </c>
      <c r="J196" s="1" cm="1">
        <f t="array" ref="J196">GetLongitude(D196)</f>
        <v>122565690</v>
      </c>
      <c r="K196" s="1">
        <f t="shared" ref="K196:K259" si="10">I196/10000000</f>
        <v>55.725543000000002</v>
      </c>
      <c r="L196" s="1">
        <f t="shared" ref="L196:L259" si="11">J196/10000000</f>
        <v>12.256569000000001</v>
      </c>
    </row>
    <row r="197" spans="1:12" ht="16" x14ac:dyDescent="0.2">
      <c r="A197" s="1">
        <v>196</v>
      </c>
      <c r="B197" s="1" t="s">
        <v>599</v>
      </c>
      <c r="C197" s="1" t="s">
        <v>603</v>
      </c>
      <c r="D197" s="1" t="str">
        <f t="shared" si="9"/>
        <v>Egedal KommuneEngholmvej 1</v>
      </c>
      <c r="E197" s="1" t="s">
        <v>604</v>
      </c>
      <c r="F197" s="1" t="s">
        <v>605</v>
      </c>
      <c r="G197" s="1">
        <v>1964</v>
      </c>
      <c r="H197" s="1" t="s">
        <v>15</v>
      </c>
      <c r="I197" s="6" cm="1">
        <f t="array" ref="I197">GetLatitude(D197)</f>
        <v>557675401</v>
      </c>
      <c r="J197" s="1" cm="1">
        <f t="array" ref="J197">GetLongitude(D197)</f>
        <v>121985455</v>
      </c>
      <c r="K197" s="1">
        <f t="shared" si="10"/>
        <v>55.767540099999998</v>
      </c>
      <c r="L197" s="1">
        <f t="shared" si="11"/>
        <v>12.1985455</v>
      </c>
    </row>
    <row r="198" spans="1:12" ht="16" x14ac:dyDescent="0.2">
      <c r="A198" s="1">
        <v>197</v>
      </c>
      <c r="B198" s="1" t="s">
        <v>606</v>
      </c>
      <c r="C198" s="1" t="s">
        <v>607</v>
      </c>
      <c r="D198" s="1" t="str">
        <f t="shared" si="9"/>
        <v>Esbjerg KommuneBispegade 13</v>
      </c>
      <c r="E198" s="1" t="s">
        <v>608</v>
      </c>
      <c r="F198" s="1" t="s">
        <v>609</v>
      </c>
      <c r="G198" s="1">
        <v>1964</v>
      </c>
      <c r="H198" s="1" t="s">
        <v>11</v>
      </c>
      <c r="I198" s="6" cm="1">
        <f t="array" ref="I198">GetLatitude(D198)</f>
        <v>553266427</v>
      </c>
      <c r="J198" s="1" cm="1">
        <f t="array" ref="J198">GetLongitude(D198)</f>
        <v>87626596</v>
      </c>
      <c r="K198" s="1">
        <f t="shared" si="10"/>
        <v>55.326642700000001</v>
      </c>
      <c r="L198" s="1">
        <f t="shared" si="11"/>
        <v>8.7626595999999992</v>
      </c>
    </row>
    <row r="199" spans="1:12" ht="16" x14ac:dyDescent="0.2">
      <c r="A199" s="1">
        <v>198</v>
      </c>
      <c r="B199" s="1" t="s">
        <v>606</v>
      </c>
      <c r="C199" s="1" t="s">
        <v>610</v>
      </c>
      <c r="D199" s="1" t="str">
        <f t="shared" si="9"/>
        <v>Esbjerg KommuneBispegade 15</v>
      </c>
      <c r="E199" s="1" t="s">
        <v>611</v>
      </c>
      <c r="F199" s="1" t="s">
        <v>612</v>
      </c>
      <c r="G199" s="1">
        <v>1964</v>
      </c>
      <c r="H199" s="1" t="s">
        <v>11</v>
      </c>
      <c r="I199" s="6" cm="1">
        <f t="array" ref="I199">GetLatitude(D199)</f>
        <v>553265962</v>
      </c>
      <c r="J199" s="1" cm="1">
        <f t="array" ref="J199">GetLongitude(D199)</f>
        <v>87626374</v>
      </c>
      <c r="K199" s="1">
        <f t="shared" si="10"/>
        <v>55.326596199999997</v>
      </c>
      <c r="L199" s="1">
        <f t="shared" si="11"/>
        <v>8.7626373999999991</v>
      </c>
    </row>
    <row r="200" spans="1:12" ht="16" x14ac:dyDescent="0.2">
      <c r="A200" s="1">
        <v>199</v>
      </c>
      <c r="B200" s="1" t="s">
        <v>606</v>
      </c>
      <c r="C200" s="1" t="s">
        <v>613</v>
      </c>
      <c r="D200" s="1" t="str">
        <f t="shared" si="9"/>
        <v>Esbjerg KommuneBispegade 17</v>
      </c>
      <c r="E200" s="1" t="s">
        <v>614</v>
      </c>
      <c r="F200" s="1" t="s">
        <v>612</v>
      </c>
      <c r="G200" s="1">
        <v>1964</v>
      </c>
      <c r="H200" s="1" t="s">
        <v>11</v>
      </c>
      <c r="I200" s="6" cm="1">
        <f t="array" ref="I200">GetLatitude(D200)</f>
        <v>553265456</v>
      </c>
      <c r="J200" s="1" cm="1">
        <f t="array" ref="J200">GetLongitude(D200)</f>
        <v>87626795</v>
      </c>
      <c r="K200" s="1">
        <f t="shared" si="10"/>
        <v>55.326545600000003</v>
      </c>
      <c r="L200" s="1">
        <f t="shared" si="11"/>
        <v>8.7626795000000008</v>
      </c>
    </row>
    <row r="201" spans="1:12" ht="16" x14ac:dyDescent="0.2">
      <c r="A201" s="1">
        <v>200</v>
      </c>
      <c r="B201" s="1" t="s">
        <v>606</v>
      </c>
      <c r="C201" s="1" t="s">
        <v>615</v>
      </c>
      <c r="D201" s="1" t="str">
        <f t="shared" si="9"/>
        <v>Esbjerg KommuneBispegade 19</v>
      </c>
      <c r="E201" s="1" t="s">
        <v>616</v>
      </c>
      <c r="F201" s="1" t="s">
        <v>612</v>
      </c>
      <c r="G201" s="1">
        <v>1964</v>
      </c>
      <c r="H201" s="1" t="s">
        <v>11</v>
      </c>
      <c r="I201" s="6" cm="1">
        <f t="array" ref="I201">GetLatitude(D201)</f>
        <v>553265456</v>
      </c>
      <c r="J201" s="1" cm="1">
        <f t="array" ref="J201">GetLongitude(D201)</f>
        <v>87626795</v>
      </c>
      <c r="K201" s="1">
        <f t="shared" si="10"/>
        <v>55.326545600000003</v>
      </c>
      <c r="L201" s="1">
        <f t="shared" si="11"/>
        <v>8.7626795000000008</v>
      </c>
    </row>
    <row r="202" spans="1:12" ht="16" x14ac:dyDescent="0.2">
      <c r="A202" s="1">
        <v>201</v>
      </c>
      <c r="B202" s="1" t="s">
        <v>606</v>
      </c>
      <c r="C202" s="1" t="s">
        <v>617</v>
      </c>
      <c r="D202" s="1" t="str">
        <f t="shared" si="9"/>
        <v>Esbjerg KommuneBispegade 21</v>
      </c>
      <c r="E202" s="1" t="s">
        <v>618</v>
      </c>
      <c r="F202" s="1" t="s">
        <v>609</v>
      </c>
      <c r="G202" s="1">
        <v>1964</v>
      </c>
      <c r="H202" s="1" t="s">
        <v>15</v>
      </c>
      <c r="I202" s="6" cm="1">
        <f t="array" ref="I202">GetLatitude(D202)</f>
        <v>553264235</v>
      </c>
      <c r="J202" s="1" cm="1">
        <f t="array" ref="J202">GetLongitude(D202)</f>
        <v>87625552</v>
      </c>
      <c r="K202" s="1">
        <f t="shared" si="10"/>
        <v>55.326423499999997</v>
      </c>
      <c r="L202" s="1">
        <f t="shared" si="11"/>
        <v>8.7625551999999995</v>
      </c>
    </row>
    <row r="203" spans="1:12" ht="16" x14ac:dyDescent="0.2">
      <c r="A203" s="1">
        <v>202</v>
      </c>
      <c r="B203" s="1" t="s">
        <v>606</v>
      </c>
      <c r="C203" s="1" t="s">
        <v>619</v>
      </c>
      <c r="D203" s="1" t="str">
        <f t="shared" si="9"/>
        <v>Esbjerg KommuneBispegade 23</v>
      </c>
      <c r="E203" s="1" t="s">
        <v>620</v>
      </c>
      <c r="F203" s="1" t="s">
        <v>621</v>
      </c>
      <c r="G203" s="1">
        <v>1964</v>
      </c>
      <c r="H203" s="1" t="s">
        <v>11</v>
      </c>
      <c r="I203" s="6" cm="1">
        <f t="array" ref="I203">GetLatitude(D203)</f>
        <v>553263278</v>
      </c>
      <c r="J203" s="1" cm="1">
        <f t="array" ref="J203">GetLongitude(D203)</f>
        <v>87625028</v>
      </c>
      <c r="K203" s="1">
        <f t="shared" si="10"/>
        <v>55.326327800000001</v>
      </c>
      <c r="L203" s="1">
        <f t="shared" si="11"/>
        <v>8.7625028</v>
      </c>
    </row>
    <row r="204" spans="1:12" ht="16" x14ac:dyDescent="0.2">
      <c r="A204" s="1">
        <v>203</v>
      </c>
      <c r="B204" s="1" t="s">
        <v>606</v>
      </c>
      <c r="C204" s="1" t="s">
        <v>622</v>
      </c>
      <c r="D204" s="1" t="str">
        <f t="shared" si="9"/>
        <v>Esbjerg KommuneBispegade 6</v>
      </c>
      <c r="E204" s="1" t="s">
        <v>623</v>
      </c>
      <c r="F204" s="1" t="s">
        <v>624</v>
      </c>
      <c r="G204" s="1">
        <v>1964</v>
      </c>
      <c r="H204" s="1" t="s">
        <v>11</v>
      </c>
      <c r="I204" s="6" cm="1">
        <f t="array" ref="I204">GetLatitude(D204)</f>
        <v>553272181</v>
      </c>
      <c r="J204" s="1" cm="1">
        <f t="array" ref="J204">GetLongitude(D204)</f>
        <v>87624121</v>
      </c>
      <c r="K204" s="1">
        <f t="shared" si="10"/>
        <v>55.327218100000003</v>
      </c>
      <c r="L204" s="1">
        <f t="shared" si="11"/>
        <v>8.7624121000000006</v>
      </c>
    </row>
    <row r="205" spans="1:12" ht="16" x14ac:dyDescent="0.2">
      <c r="A205" s="1">
        <v>204</v>
      </c>
      <c r="B205" s="1" t="s">
        <v>606</v>
      </c>
      <c r="C205" s="1" t="s">
        <v>625</v>
      </c>
      <c r="D205" s="1" t="str">
        <f t="shared" si="9"/>
        <v>Esbjerg KommuneBredeslippe 8</v>
      </c>
      <c r="E205" s="1" t="s">
        <v>626</v>
      </c>
      <c r="F205" s="1" t="s">
        <v>627</v>
      </c>
      <c r="G205" s="1">
        <v>1964</v>
      </c>
      <c r="H205" s="1" t="s">
        <v>11</v>
      </c>
      <c r="I205" s="6" cm="1">
        <f t="array" ref="I205">GetLatitude(D205)</f>
        <v>553298214</v>
      </c>
      <c r="J205" s="1" cm="1">
        <f t="array" ref="J205">GetLongitude(D205)</f>
        <v>87617873</v>
      </c>
      <c r="K205" s="1">
        <f t="shared" si="10"/>
        <v>55.3298214</v>
      </c>
      <c r="L205" s="1">
        <f t="shared" si="11"/>
        <v>8.7617872999999999</v>
      </c>
    </row>
    <row r="206" spans="1:12" ht="16" x14ac:dyDescent="0.2">
      <c r="A206" s="1">
        <v>205</v>
      </c>
      <c r="B206" s="1" t="s">
        <v>606</v>
      </c>
      <c r="C206" s="1" t="s">
        <v>628</v>
      </c>
      <c r="D206" s="1" t="str">
        <f t="shared" si="9"/>
        <v>Esbjerg KommuneBredeslippe 9 og 11</v>
      </c>
      <c r="E206" s="1" t="s">
        <v>629</v>
      </c>
      <c r="F206" s="1" t="s">
        <v>630</v>
      </c>
      <c r="G206" s="1">
        <v>1964</v>
      </c>
      <c r="H206" s="1" t="s">
        <v>15</v>
      </c>
      <c r="I206" s="6" cm="1">
        <f t="array" ref="I206">GetLatitude(D206)</f>
        <v>553297520</v>
      </c>
      <c r="J206" s="1" cm="1">
        <f t="array" ref="J206">GetLongitude(D206)</f>
        <v>87612330</v>
      </c>
      <c r="K206" s="1">
        <f t="shared" si="10"/>
        <v>55.329751999999999</v>
      </c>
      <c r="L206" s="1">
        <f t="shared" si="11"/>
        <v>8.7612330000000007</v>
      </c>
    </row>
    <row r="207" spans="1:12" ht="16" x14ac:dyDescent="0.2">
      <c r="A207" s="1">
        <v>206</v>
      </c>
      <c r="B207" s="1" t="s">
        <v>606</v>
      </c>
      <c r="C207" s="1" t="s">
        <v>631</v>
      </c>
      <c r="D207" s="1" t="str">
        <f t="shared" si="9"/>
        <v>Esbjerg KommuneDagmarsgade 16</v>
      </c>
      <c r="E207" s="1" t="s">
        <v>632</v>
      </c>
      <c r="F207" s="1" t="s">
        <v>633</v>
      </c>
      <c r="G207" s="1">
        <v>1993</v>
      </c>
      <c r="H207" s="1" t="s">
        <v>11</v>
      </c>
      <c r="I207" s="6" cm="1">
        <f t="array" ref="I207">GetLatitude(D207)</f>
        <v>553276048</v>
      </c>
      <c r="J207" s="1" cm="1">
        <f t="array" ref="J207">GetLongitude(D207)</f>
        <v>87700283</v>
      </c>
      <c r="K207" s="1">
        <f t="shared" si="10"/>
        <v>55.327604800000003</v>
      </c>
      <c r="L207" s="1">
        <f t="shared" si="11"/>
        <v>8.7700282999999999</v>
      </c>
    </row>
    <row r="208" spans="1:12" ht="16" x14ac:dyDescent="0.2">
      <c r="A208" s="1">
        <v>207</v>
      </c>
      <c r="B208" s="1" t="s">
        <v>606</v>
      </c>
      <c r="C208" s="1" t="s">
        <v>634</v>
      </c>
      <c r="D208" s="1" t="str">
        <f t="shared" si="9"/>
        <v>Esbjerg KommuneFarup Kirkevej 50</v>
      </c>
      <c r="E208" s="1" t="s">
        <v>635</v>
      </c>
      <c r="F208" s="1" t="s">
        <v>636</v>
      </c>
      <c r="G208" s="1">
        <v>1981</v>
      </c>
      <c r="H208" s="1" t="s">
        <v>11</v>
      </c>
      <c r="I208" s="6" cm="1">
        <f t="array" ref="I208">GetLatitude(D208)</f>
        <v>553628398</v>
      </c>
      <c r="J208" s="1" cm="1">
        <f t="array" ref="J208">GetLongitude(D208)</f>
        <v>87352401</v>
      </c>
      <c r="K208" s="1">
        <f t="shared" si="10"/>
        <v>55.362839800000003</v>
      </c>
      <c r="L208" s="1">
        <f t="shared" si="11"/>
        <v>8.7352401000000004</v>
      </c>
    </row>
    <row r="209" spans="1:12" ht="16" x14ac:dyDescent="0.2">
      <c r="A209" s="1">
        <v>208</v>
      </c>
      <c r="B209" s="1" t="s">
        <v>606</v>
      </c>
      <c r="C209" s="1" t="s">
        <v>637</v>
      </c>
      <c r="D209" s="1" t="str">
        <f t="shared" si="9"/>
        <v>Esbjerg KommuneFarup Kirkevej 6</v>
      </c>
      <c r="E209" s="1" t="s">
        <v>638</v>
      </c>
      <c r="F209" s="1" t="s">
        <v>639</v>
      </c>
      <c r="G209" s="1">
        <v>1981</v>
      </c>
      <c r="H209" s="1" t="s">
        <v>15</v>
      </c>
      <c r="I209" s="6" cm="1">
        <f t="array" ref="I209">GetLatitude(D209)</f>
        <v>553596802</v>
      </c>
      <c r="J209" s="1" cm="1">
        <f t="array" ref="J209">GetLongitude(D209)</f>
        <v>87407165</v>
      </c>
      <c r="K209" s="1">
        <f t="shared" si="10"/>
        <v>55.3596802</v>
      </c>
      <c r="L209" s="1">
        <f t="shared" si="11"/>
        <v>8.7407164999999996</v>
      </c>
    </row>
    <row r="210" spans="1:12" ht="16" x14ac:dyDescent="0.2">
      <c r="A210" s="1">
        <v>209</v>
      </c>
      <c r="B210" s="1" t="s">
        <v>606</v>
      </c>
      <c r="C210" s="1" t="s">
        <v>640</v>
      </c>
      <c r="D210" s="1" t="str">
        <f t="shared" si="9"/>
        <v>Esbjerg KommuneFeilbergvej 15</v>
      </c>
      <c r="E210" s="1" t="s">
        <v>641</v>
      </c>
      <c r="F210" s="1" t="s">
        <v>642</v>
      </c>
      <c r="G210" s="1">
        <v>1992</v>
      </c>
      <c r="H210" s="1" t="s">
        <v>15</v>
      </c>
      <c r="I210" s="6" cm="1">
        <f t="array" ref="I210">GetLatitude(D210)</f>
        <v>554259922</v>
      </c>
      <c r="J210" s="1" cm="1">
        <f t="array" ref="J210">GetLongitude(D210)</f>
        <v>86478264</v>
      </c>
      <c r="K210" s="1">
        <f t="shared" si="10"/>
        <v>55.425992200000003</v>
      </c>
      <c r="L210" s="1">
        <f t="shared" si="11"/>
        <v>8.6478263999999996</v>
      </c>
    </row>
    <row r="211" spans="1:12" ht="16" x14ac:dyDescent="0.2">
      <c r="A211" s="1">
        <v>210</v>
      </c>
      <c r="B211" s="1" t="s">
        <v>606</v>
      </c>
      <c r="C211" s="1" t="s">
        <v>643</v>
      </c>
      <c r="D211" s="1" t="str">
        <f t="shared" si="9"/>
        <v>Esbjerg KommuneFiskergade 1, hj af Overdammen</v>
      </c>
      <c r="E211" s="1" t="s">
        <v>644</v>
      </c>
      <c r="F211" s="1" t="s">
        <v>645</v>
      </c>
      <c r="G211" s="1">
        <v>1918</v>
      </c>
      <c r="H211" s="1" t="s">
        <v>15</v>
      </c>
      <c r="I211" s="6" cm="1">
        <f t="array" ref="I211">GetLatitude(D211)</f>
        <v>553285539</v>
      </c>
      <c r="J211" s="1" cm="1">
        <f t="array" ref="J211">GetLongitude(D211)</f>
        <v>87625386</v>
      </c>
      <c r="K211" s="1">
        <f t="shared" si="10"/>
        <v>55.328553900000003</v>
      </c>
      <c r="L211" s="1">
        <f t="shared" si="11"/>
        <v>8.7625385999999992</v>
      </c>
    </row>
    <row r="212" spans="1:12" ht="16" x14ac:dyDescent="0.2">
      <c r="A212" s="1">
        <v>211</v>
      </c>
      <c r="B212" s="1" t="s">
        <v>606</v>
      </c>
      <c r="C212" s="1" t="s">
        <v>646</v>
      </c>
      <c r="D212" s="1" t="str">
        <f t="shared" si="9"/>
        <v>Esbjerg KommuneFiskergade 3</v>
      </c>
      <c r="E212" s="1" t="s">
        <v>647</v>
      </c>
      <c r="F212" s="1" t="s">
        <v>648</v>
      </c>
      <c r="G212" s="1">
        <v>1919</v>
      </c>
      <c r="H212" s="1" t="s">
        <v>11</v>
      </c>
      <c r="I212" s="6" cm="1">
        <f t="array" ref="I212">GetLatitude(D212)</f>
        <v>553097657</v>
      </c>
      <c r="J212" s="1" cm="1">
        <f t="array" ref="J212">GetLongitude(D212)</f>
        <v>87716638</v>
      </c>
      <c r="K212" s="1">
        <f t="shared" si="10"/>
        <v>55.3097657</v>
      </c>
      <c r="L212" s="1">
        <f t="shared" si="11"/>
        <v>8.7716638000000007</v>
      </c>
    </row>
    <row r="213" spans="1:12" ht="16" x14ac:dyDescent="0.2">
      <c r="A213" s="1">
        <v>212</v>
      </c>
      <c r="B213" s="1" t="s">
        <v>606</v>
      </c>
      <c r="C213" s="1" t="s">
        <v>649</v>
      </c>
      <c r="D213" s="1" t="str">
        <f t="shared" si="9"/>
        <v>Esbjerg KommuneFiskergade 5</v>
      </c>
      <c r="E213" s="1" t="s">
        <v>650</v>
      </c>
      <c r="F213" s="1" t="s">
        <v>651</v>
      </c>
      <c r="G213" s="1">
        <v>1919</v>
      </c>
      <c r="H213" s="1" t="s">
        <v>11</v>
      </c>
      <c r="I213" s="6" cm="1">
        <f t="array" ref="I213">GetLatitude(D213)</f>
        <v>553295800</v>
      </c>
      <c r="J213" s="1" cm="1">
        <f t="array" ref="J213">GetLongitude(D213)</f>
        <v>87616619</v>
      </c>
      <c r="K213" s="1">
        <f t="shared" si="10"/>
        <v>55.32958</v>
      </c>
      <c r="L213" s="1">
        <f t="shared" si="11"/>
        <v>8.7616619</v>
      </c>
    </row>
    <row r="214" spans="1:12" ht="16" x14ac:dyDescent="0.2">
      <c r="A214" s="1">
        <v>213</v>
      </c>
      <c r="B214" s="1" t="s">
        <v>606</v>
      </c>
      <c r="C214" s="1" t="s">
        <v>652</v>
      </c>
      <c r="D214" s="1" t="str">
        <f t="shared" si="9"/>
        <v>Esbjerg KommuneFiskergade 7-9</v>
      </c>
      <c r="E214" s="1" t="s">
        <v>653</v>
      </c>
      <c r="F214" s="1" t="s">
        <v>654</v>
      </c>
      <c r="G214" s="1">
        <v>1964</v>
      </c>
      <c r="H214" s="1" t="s">
        <v>655</v>
      </c>
      <c r="I214" s="6" cm="1">
        <f t="array" ref="I214">GetLatitude(D214)</f>
        <v>553097657</v>
      </c>
      <c r="J214" s="1" cm="1">
        <f t="array" ref="J214">GetLongitude(D214)</f>
        <v>87716638</v>
      </c>
      <c r="K214" s="1">
        <f t="shared" si="10"/>
        <v>55.3097657</v>
      </c>
      <c r="L214" s="1">
        <f t="shared" si="11"/>
        <v>8.7716638000000007</v>
      </c>
    </row>
    <row r="215" spans="1:12" ht="16" x14ac:dyDescent="0.2">
      <c r="A215" s="1">
        <v>214</v>
      </c>
      <c r="B215" s="1" t="s">
        <v>606</v>
      </c>
      <c r="C215" s="1" t="s">
        <v>656</v>
      </c>
      <c r="D215" s="1" t="str">
        <f t="shared" si="9"/>
        <v>Esbjerg KommuneFyrparken 9</v>
      </c>
      <c r="E215" s="1" t="s">
        <v>657</v>
      </c>
      <c r="F215" s="1" t="s">
        <v>658</v>
      </c>
      <c r="G215" s="1">
        <v>2002</v>
      </c>
      <c r="H215" s="1" t="s">
        <v>15</v>
      </c>
      <c r="I215" s="6" cm="1">
        <f t="array" ref="I215">GetLatitude(D215)</f>
        <v>554990492</v>
      </c>
      <c r="J215" s="1" cm="1">
        <f t="array" ref="J215">GetLongitude(D215)</f>
        <v>84058951</v>
      </c>
      <c r="K215" s="1">
        <f t="shared" si="10"/>
        <v>55.499049200000002</v>
      </c>
      <c r="L215" s="1">
        <f t="shared" si="11"/>
        <v>8.4058951000000004</v>
      </c>
    </row>
    <row r="216" spans="1:12" ht="16" x14ac:dyDescent="0.2">
      <c r="A216" s="1">
        <v>215</v>
      </c>
      <c r="B216" s="1" t="s">
        <v>606</v>
      </c>
      <c r="C216" s="1" t="s">
        <v>659</v>
      </c>
      <c r="D216" s="1" t="str">
        <f t="shared" si="9"/>
        <v>Esbjerg Kommune Gammel Skolevej 40</v>
      </c>
      <c r="E216" s="1" t="s">
        <v>660</v>
      </c>
      <c r="F216" s="1" t="s">
        <v>661</v>
      </c>
      <c r="G216" s="1">
        <v>1987</v>
      </c>
      <c r="H216" s="1" t="s">
        <v>11</v>
      </c>
      <c r="I216" s="6" cm="1">
        <f t="array" ref="I216">GetLatitude(D216)</f>
        <v>554758996</v>
      </c>
      <c r="J216" s="1" cm="1">
        <f t="array" ref="J216">GetLongitude(D216)</f>
        <v>86306777</v>
      </c>
      <c r="K216" s="1">
        <f t="shared" si="10"/>
        <v>55.475899599999998</v>
      </c>
      <c r="L216" s="1">
        <f t="shared" si="11"/>
        <v>8.6306776999999997</v>
      </c>
    </row>
    <row r="217" spans="1:12" ht="16" x14ac:dyDescent="0.2">
      <c r="A217" s="1">
        <v>216</v>
      </c>
      <c r="B217" s="1" t="s">
        <v>606</v>
      </c>
      <c r="C217" s="1" t="s">
        <v>662</v>
      </c>
      <c r="D217" s="1" t="str">
        <f t="shared" si="9"/>
        <v>Esbjerg KommuneGravsgade 33</v>
      </c>
      <c r="E217" s="1" t="s">
        <v>663</v>
      </c>
      <c r="F217" s="1" t="s">
        <v>664</v>
      </c>
      <c r="G217" s="1">
        <v>1964</v>
      </c>
      <c r="H217" s="1" t="s">
        <v>15</v>
      </c>
      <c r="I217" s="6" cm="1">
        <f t="array" ref="I217">GetLatitude(D217)</f>
        <v>553259430</v>
      </c>
      <c r="J217" s="1" cm="1">
        <f t="array" ref="J217">GetLongitude(D217)</f>
        <v>87621295</v>
      </c>
      <c r="K217" s="1">
        <f t="shared" si="10"/>
        <v>55.325943000000002</v>
      </c>
      <c r="L217" s="1">
        <f t="shared" si="11"/>
        <v>8.7621295000000003</v>
      </c>
    </row>
    <row r="218" spans="1:12" ht="16" x14ac:dyDescent="0.2">
      <c r="A218" s="1">
        <v>217</v>
      </c>
      <c r="B218" s="1" t="s">
        <v>606</v>
      </c>
      <c r="C218" s="1" t="s">
        <v>665</v>
      </c>
      <c r="D218" s="1" t="str">
        <f t="shared" si="9"/>
        <v>Esbjerg KommuneGrønnegade 12</v>
      </c>
      <c r="E218" s="1" t="s">
        <v>666</v>
      </c>
      <c r="F218" s="1" t="s">
        <v>667</v>
      </c>
      <c r="G218" s="1">
        <v>1918</v>
      </c>
      <c r="H218" s="1" t="s">
        <v>11</v>
      </c>
      <c r="I218" s="6" cm="1">
        <f t="array" ref="I218">GetLatitude(D218)</f>
        <v>554764660</v>
      </c>
      <c r="J218" s="1" cm="1">
        <f t="array" ref="J218">GetLongitude(D218)</f>
        <v>84594050</v>
      </c>
      <c r="K218" s="1">
        <f t="shared" si="10"/>
        <v>55.476466000000002</v>
      </c>
      <c r="L218" s="1">
        <f t="shared" si="11"/>
        <v>8.4594050000000003</v>
      </c>
    </row>
    <row r="219" spans="1:12" ht="16" x14ac:dyDescent="0.2">
      <c r="A219" s="1">
        <v>218</v>
      </c>
      <c r="B219" s="1" t="s">
        <v>606</v>
      </c>
      <c r="C219" s="1" t="s">
        <v>668</v>
      </c>
      <c r="D219" s="1" t="str">
        <f t="shared" si="9"/>
        <v>Esbjerg KommuneGrønnegade 18, Mellemslippe 1</v>
      </c>
      <c r="E219" s="1" t="s">
        <v>669</v>
      </c>
      <c r="F219" s="1" t="s">
        <v>670</v>
      </c>
      <c r="G219" s="1">
        <v>1964</v>
      </c>
      <c r="H219" s="1" t="s">
        <v>15</v>
      </c>
      <c r="I219" s="6" cm="1">
        <f t="array" ref="I219">GetLatitude(D219)</f>
        <v>553291739</v>
      </c>
      <c r="J219" s="1" cm="1">
        <f t="array" ref="J219">GetLongitude(D219)</f>
        <v>87612070</v>
      </c>
      <c r="K219" s="1">
        <f t="shared" si="10"/>
        <v>55.329173900000001</v>
      </c>
      <c r="L219" s="1">
        <f t="shared" si="11"/>
        <v>8.7612070000000006</v>
      </c>
    </row>
    <row r="220" spans="1:12" ht="16" x14ac:dyDescent="0.2">
      <c r="A220" s="1">
        <v>219</v>
      </c>
      <c r="B220" s="1" t="s">
        <v>606</v>
      </c>
      <c r="C220" s="1" t="s">
        <v>671</v>
      </c>
      <c r="D220" s="1" t="str">
        <f t="shared" si="9"/>
        <v>Esbjerg KommuneGrønnegade 20</v>
      </c>
      <c r="E220" s="1" t="s">
        <v>672</v>
      </c>
      <c r="F220" s="1" t="s">
        <v>673</v>
      </c>
      <c r="G220" s="1">
        <v>1964</v>
      </c>
      <c r="H220" s="1" t="s">
        <v>11</v>
      </c>
      <c r="I220" s="6" cm="1">
        <f t="array" ref="I220">GetLatitude(D220)</f>
        <v>554674880</v>
      </c>
      <c r="J220" s="1" cm="1">
        <f t="array" ref="J220">GetLongitude(D220)</f>
        <v>84659050</v>
      </c>
      <c r="K220" s="1">
        <f t="shared" si="10"/>
        <v>55.467488000000003</v>
      </c>
      <c r="L220" s="1">
        <f t="shared" si="11"/>
        <v>8.4659049999999993</v>
      </c>
    </row>
    <row r="221" spans="1:12" ht="16" x14ac:dyDescent="0.2">
      <c r="A221" s="1">
        <v>220</v>
      </c>
      <c r="B221" s="1" t="s">
        <v>606</v>
      </c>
      <c r="C221" s="1" t="s">
        <v>674</v>
      </c>
      <c r="D221" s="1" t="str">
        <f t="shared" si="9"/>
        <v>Esbjerg KommuneGrønnegade 21</v>
      </c>
      <c r="E221" s="1" t="s">
        <v>675</v>
      </c>
      <c r="F221" s="1" t="s">
        <v>676</v>
      </c>
      <c r="G221" s="1">
        <v>1919</v>
      </c>
      <c r="H221" s="1" t="s">
        <v>11</v>
      </c>
      <c r="I221" s="6" cm="1">
        <f t="array" ref="I221">GetLatitude(D221)</f>
        <v>554764660</v>
      </c>
      <c r="J221" s="1" cm="1">
        <f t="array" ref="J221">GetLongitude(D221)</f>
        <v>84594050</v>
      </c>
      <c r="K221" s="1">
        <f t="shared" si="10"/>
        <v>55.476466000000002</v>
      </c>
      <c r="L221" s="1">
        <f t="shared" si="11"/>
        <v>8.4594050000000003</v>
      </c>
    </row>
    <row r="222" spans="1:12" ht="16" x14ac:dyDescent="0.2">
      <c r="A222" s="1">
        <v>221</v>
      </c>
      <c r="B222" s="1" t="s">
        <v>606</v>
      </c>
      <c r="C222" s="1" t="s">
        <v>677</v>
      </c>
      <c r="D222" s="1" t="str">
        <f t="shared" si="9"/>
        <v>Esbjerg KommuneGrønnegade 22</v>
      </c>
      <c r="E222" s="1" t="s">
        <v>678</v>
      </c>
      <c r="F222" s="1" t="s">
        <v>679</v>
      </c>
      <c r="G222" s="1">
        <v>1919</v>
      </c>
      <c r="H222" s="1" t="s">
        <v>11</v>
      </c>
      <c r="I222" s="6" cm="1">
        <f t="array" ref="I222">GetLatitude(D222)</f>
        <v>554655090</v>
      </c>
      <c r="J222" s="1" cm="1">
        <f t="array" ref="J222">GetLongitude(D222)</f>
        <v>84640271</v>
      </c>
      <c r="K222" s="1">
        <f t="shared" si="10"/>
        <v>55.465508999999997</v>
      </c>
      <c r="L222" s="1">
        <f t="shared" si="11"/>
        <v>8.4640270999999991</v>
      </c>
    </row>
    <row r="223" spans="1:12" ht="16" x14ac:dyDescent="0.2">
      <c r="A223" s="1">
        <v>222</v>
      </c>
      <c r="B223" s="1" t="s">
        <v>606</v>
      </c>
      <c r="C223" s="1" t="s">
        <v>680</v>
      </c>
      <c r="D223" s="1" t="str">
        <f t="shared" si="9"/>
        <v>Esbjerg KommuneGrønnegade 30</v>
      </c>
      <c r="E223" s="1" t="s">
        <v>681</v>
      </c>
      <c r="F223" s="1" t="s">
        <v>682</v>
      </c>
      <c r="G223" s="1">
        <v>1964</v>
      </c>
      <c r="H223" s="1" t="s">
        <v>11</v>
      </c>
      <c r="I223" s="6" cm="1">
        <f t="array" ref="I223">GetLatitude(D223)</f>
        <v>554657264</v>
      </c>
      <c r="J223" s="1" cm="1">
        <f t="array" ref="J223">GetLongitude(D223)</f>
        <v>84640353</v>
      </c>
      <c r="K223" s="1">
        <f t="shared" si="10"/>
        <v>55.465726400000001</v>
      </c>
      <c r="L223" s="1">
        <f t="shared" si="11"/>
        <v>8.4640353000000008</v>
      </c>
    </row>
    <row r="224" spans="1:12" ht="16" x14ac:dyDescent="0.2">
      <c r="A224" s="1">
        <v>223</v>
      </c>
      <c r="B224" s="1" t="s">
        <v>606</v>
      </c>
      <c r="C224" s="1" t="s">
        <v>683</v>
      </c>
      <c r="D224" s="1" t="str">
        <f t="shared" si="9"/>
        <v>Esbjerg KommuneGrønnegade 41</v>
      </c>
      <c r="E224" s="1" t="s">
        <v>684</v>
      </c>
      <c r="F224" s="1" t="s">
        <v>685</v>
      </c>
      <c r="G224" s="1">
        <v>1964</v>
      </c>
      <c r="H224" s="1" t="s">
        <v>15</v>
      </c>
      <c r="I224" s="6" cm="1">
        <f t="array" ref="I224">GetLatitude(D224)</f>
        <v>554764660</v>
      </c>
      <c r="J224" s="1" cm="1">
        <f t="array" ref="J224">GetLongitude(D224)</f>
        <v>84594050</v>
      </c>
      <c r="K224" s="1">
        <f t="shared" si="10"/>
        <v>55.476466000000002</v>
      </c>
      <c r="L224" s="1">
        <f t="shared" si="11"/>
        <v>8.4594050000000003</v>
      </c>
    </row>
    <row r="225" spans="1:12" ht="16" x14ac:dyDescent="0.2">
      <c r="A225" s="1">
        <v>224</v>
      </c>
      <c r="B225" s="1" t="s">
        <v>606</v>
      </c>
      <c r="C225" s="1" t="s">
        <v>686</v>
      </c>
      <c r="D225" s="1" t="str">
        <f t="shared" si="9"/>
        <v>Esbjerg KommuneGråbrødregade 11</v>
      </c>
      <c r="E225" s="1" t="s">
        <v>687</v>
      </c>
      <c r="F225" s="1" t="s">
        <v>688</v>
      </c>
      <c r="G225" s="1">
        <v>1964</v>
      </c>
      <c r="H225" s="1" t="s">
        <v>11</v>
      </c>
      <c r="I225" s="6" cm="1">
        <f t="array" ref="I225">GetLatitude(D225)</f>
        <v>553275523</v>
      </c>
      <c r="J225" s="1" cm="1">
        <f t="array" ref="J225">GetLongitude(D225)</f>
        <v>87595881</v>
      </c>
      <c r="K225" s="1">
        <f t="shared" si="10"/>
        <v>55.327552300000001</v>
      </c>
      <c r="L225" s="1">
        <f t="shared" si="11"/>
        <v>8.7595881000000002</v>
      </c>
    </row>
    <row r="226" spans="1:12" ht="16" x14ac:dyDescent="0.2">
      <c r="A226" s="1">
        <v>225</v>
      </c>
      <c r="B226" s="1" t="s">
        <v>606</v>
      </c>
      <c r="C226" s="1" t="s">
        <v>689</v>
      </c>
      <c r="D226" s="1" t="str">
        <f t="shared" si="9"/>
        <v>Esbjerg KommuneGråbrødregade 15</v>
      </c>
      <c r="E226" s="1" t="s">
        <v>690</v>
      </c>
      <c r="F226" s="1" t="s">
        <v>691</v>
      </c>
      <c r="G226" s="1">
        <v>1964</v>
      </c>
      <c r="H226" s="1" t="s">
        <v>11</v>
      </c>
      <c r="I226" s="6" cm="1">
        <f t="array" ref="I226">GetLatitude(D226)</f>
        <v>553274606</v>
      </c>
      <c r="J226" s="1" cm="1">
        <f t="array" ref="J226">GetLongitude(D226)</f>
        <v>87597571</v>
      </c>
      <c r="K226" s="1">
        <f t="shared" si="10"/>
        <v>55.327460600000002</v>
      </c>
      <c r="L226" s="1">
        <f t="shared" si="11"/>
        <v>8.7597570999999999</v>
      </c>
    </row>
    <row r="227" spans="1:12" ht="16" x14ac:dyDescent="0.2">
      <c r="A227" s="1">
        <v>226</v>
      </c>
      <c r="B227" s="1" t="s">
        <v>606</v>
      </c>
      <c r="C227" s="1" t="s">
        <v>692</v>
      </c>
      <c r="D227" s="1" t="str">
        <f t="shared" si="9"/>
        <v>Esbjerg KommuneGråbrødregade 17</v>
      </c>
      <c r="E227" s="1" t="s">
        <v>693</v>
      </c>
      <c r="F227" s="1" t="s">
        <v>694</v>
      </c>
      <c r="G227" s="1">
        <v>1964</v>
      </c>
      <c r="H227" s="1" t="s">
        <v>15</v>
      </c>
      <c r="I227" s="6" cm="1">
        <f t="array" ref="I227">GetLatitude(D227)</f>
        <v>553274024</v>
      </c>
      <c r="J227" s="1" cm="1">
        <f t="array" ref="J227">GetLongitude(D227)</f>
        <v>87596136</v>
      </c>
      <c r="K227" s="1">
        <f t="shared" si="10"/>
        <v>55.327402399999997</v>
      </c>
      <c r="L227" s="1">
        <f t="shared" si="11"/>
        <v>8.7596135999999998</v>
      </c>
    </row>
    <row r="228" spans="1:12" ht="16" x14ac:dyDescent="0.2">
      <c r="A228" s="1">
        <v>227</v>
      </c>
      <c r="B228" s="1" t="s">
        <v>606</v>
      </c>
      <c r="C228" s="1" t="s">
        <v>695</v>
      </c>
      <c r="D228" s="1" t="str">
        <f t="shared" si="9"/>
        <v>Esbjerg KommuneGråbrødregade 4</v>
      </c>
      <c r="E228" s="1" t="s">
        <v>696</v>
      </c>
      <c r="F228" s="1" t="s">
        <v>697</v>
      </c>
      <c r="G228" s="1">
        <v>1964</v>
      </c>
      <c r="H228" s="1" t="s">
        <v>11</v>
      </c>
      <c r="I228" s="6" cm="1">
        <f t="array" ref="I228">GetLatitude(D228)</f>
        <v>553278068</v>
      </c>
      <c r="J228" s="1" cm="1">
        <f t="array" ref="J228">GetLongitude(D228)</f>
        <v>87591849</v>
      </c>
      <c r="K228" s="1">
        <f t="shared" si="10"/>
        <v>55.327806799999998</v>
      </c>
      <c r="L228" s="1">
        <f t="shared" si="11"/>
        <v>8.7591848999999993</v>
      </c>
    </row>
    <row r="229" spans="1:12" ht="16" x14ac:dyDescent="0.2">
      <c r="A229" s="1">
        <v>228</v>
      </c>
      <c r="B229" s="1" t="s">
        <v>606</v>
      </c>
      <c r="C229" s="1" t="s">
        <v>698</v>
      </c>
      <c r="D229" s="1" t="str">
        <f t="shared" si="9"/>
        <v>Esbjerg KommuneGråbrødregade 6</v>
      </c>
      <c r="E229" s="1" t="s">
        <v>699</v>
      </c>
      <c r="F229" s="1" t="s">
        <v>700</v>
      </c>
      <c r="G229" s="1">
        <v>1919</v>
      </c>
      <c r="H229" s="1" t="s">
        <v>701</v>
      </c>
      <c r="I229" s="6" cm="1">
        <f t="array" ref="I229">GetLatitude(D229)</f>
        <v>553277622</v>
      </c>
      <c r="J229" s="1" cm="1">
        <f t="array" ref="J229">GetLongitude(D229)</f>
        <v>87592446</v>
      </c>
      <c r="K229" s="1">
        <f t="shared" si="10"/>
        <v>55.327762200000002</v>
      </c>
      <c r="L229" s="1">
        <f t="shared" si="11"/>
        <v>8.7592446000000006</v>
      </c>
    </row>
    <row r="230" spans="1:12" ht="16" x14ac:dyDescent="0.2">
      <c r="A230" s="1">
        <v>229</v>
      </c>
      <c r="B230" s="1" t="s">
        <v>606</v>
      </c>
      <c r="C230" s="1" t="s">
        <v>702</v>
      </c>
      <c r="D230" s="1" t="str">
        <f t="shared" si="9"/>
        <v>Esbjerg KommuneGråbrødregade 8</v>
      </c>
      <c r="E230" s="1" t="s">
        <v>703</v>
      </c>
      <c r="F230" s="1" t="s">
        <v>704</v>
      </c>
      <c r="G230" s="1">
        <v>1964</v>
      </c>
      <c r="H230" s="1" t="s">
        <v>11</v>
      </c>
      <c r="I230" s="6" cm="1">
        <f t="array" ref="I230">GetLatitude(D230)</f>
        <v>553276749</v>
      </c>
      <c r="J230" s="1" cm="1">
        <f t="array" ref="J230">GetLongitude(D230)</f>
        <v>87592464</v>
      </c>
      <c r="K230" s="1">
        <f t="shared" si="10"/>
        <v>55.327674899999998</v>
      </c>
      <c r="L230" s="1">
        <f t="shared" si="11"/>
        <v>8.7592464000000003</v>
      </c>
    </row>
    <row r="231" spans="1:12" ht="16" x14ac:dyDescent="0.2">
      <c r="A231" s="1">
        <v>230</v>
      </c>
      <c r="B231" s="1" t="s">
        <v>606</v>
      </c>
      <c r="C231" s="1" t="s">
        <v>705</v>
      </c>
      <c r="D231" s="1" t="str">
        <f t="shared" si="9"/>
        <v>Esbjerg KommuneGråbrødregade 9</v>
      </c>
      <c r="E231" s="1" t="s">
        <v>706</v>
      </c>
      <c r="F231" s="1" t="s">
        <v>707</v>
      </c>
      <c r="G231" s="1">
        <v>1964</v>
      </c>
      <c r="H231" s="1" t="s">
        <v>15</v>
      </c>
      <c r="I231" s="6" cm="1">
        <f t="array" ref="I231">GetLatitude(D231)</f>
        <v>553276768</v>
      </c>
      <c r="J231" s="1" cm="1">
        <f t="array" ref="J231">GetLongitude(D231)</f>
        <v>87595221</v>
      </c>
      <c r="K231" s="1">
        <f t="shared" si="10"/>
        <v>55.327676799999999</v>
      </c>
      <c r="L231" s="1">
        <f t="shared" si="11"/>
        <v>8.7595220999999999</v>
      </c>
    </row>
    <row r="232" spans="1:12" ht="16" x14ac:dyDescent="0.2">
      <c r="A232" s="1">
        <v>231</v>
      </c>
      <c r="B232" s="1" t="s">
        <v>606</v>
      </c>
      <c r="C232" s="1" t="s">
        <v>708</v>
      </c>
      <c r="D232" s="1" t="str">
        <f t="shared" si="9"/>
        <v>Esbjerg KommuneGuldager Stationsvej 101</v>
      </c>
      <c r="E232" s="1" t="s">
        <v>709</v>
      </c>
      <c r="F232" s="1" t="s">
        <v>710</v>
      </c>
      <c r="G232" s="1">
        <v>1992</v>
      </c>
      <c r="H232" s="1" t="s">
        <v>15</v>
      </c>
      <c r="I232" s="6" cm="1">
        <f t="array" ref="I232">GetLatitude(D232)</f>
        <v>555360555</v>
      </c>
      <c r="J232" s="1" cm="1">
        <f t="array" ref="J232">GetLongitude(D232)</f>
        <v>84401340</v>
      </c>
      <c r="K232" s="1">
        <f t="shared" si="10"/>
        <v>55.536055500000003</v>
      </c>
      <c r="L232" s="1">
        <f t="shared" si="11"/>
        <v>8.4401340000000005</v>
      </c>
    </row>
    <row r="233" spans="1:12" ht="16" x14ac:dyDescent="0.2">
      <c r="A233" s="1">
        <v>232</v>
      </c>
      <c r="B233" s="1" t="s">
        <v>606</v>
      </c>
      <c r="C233" s="1" t="s">
        <v>711</v>
      </c>
      <c r="D233" s="1" t="str">
        <f t="shared" si="9"/>
        <v>Esbjerg KommuneHavnegade 22</v>
      </c>
      <c r="E233" s="1" t="s">
        <v>712</v>
      </c>
      <c r="F233" s="1" t="s">
        <v>713</v>
      </c>
      <c r="G233" s="1">
        <v>1983</v>
      </c>
      <c r="H233" s="1" t="s">
        <v>15</v>
      </c>
      <c r="I233" s="6" cm="1">
        <f t="array" ref="I233">GetLatitude(D233)</f>
        <v>554650984</v>
      </c>
      <c r="J233" s="1" cm="1">
        <f t="array" ref="J233">GetLongitude(D233)</f>
        <v>84502777</v>
      </c>
      <c r="K233" s="1">
        <f t="shared" si="10"/>
        <v>55.465098400000002</v>
      </c>
      <c r="L233" s="1">
        <f t="shared" si="11"/>
        <v>8.4502776999999991</v>
      </c>
    </row>
    <row r="234" spans="1:12" ht="16" x14ac:dyDescent="0.2">
      <c r="A234" s="1">
        <v>233</v>
      </c>
      <c r="B234" s="1" t="s">
        <v>606</v>
      </c>
      <c r="C234" s="1" t="s">
        <v>714</v>
      </c>
      <c r="D234" s="1" t="str">
        <f t="shared" si="9"/>
        <v>Esbjerg KommuneHjortlundvej 116</v>
      </c>
      <c r="E234" s="1" t="s">
        <v>715</v>
      </c>
      <c r="F234" s="1" t="s">
        <v>716</v>
      </c>
      <c r="G234" s="1">
        <v>1992</v>
      </c>
      <c r="H234" s="1" t="s">
        <v>11</v>
      </c>
      <c r="I234" s="6" cm="1">
        <f t="array" ref="I234">GetLatitude(D234)</f>
        <v>553998039</v>
      </c>
      <c r="J234" s="1" cm="1">
        <f t="array" ref="J234">GetLongitude(D234)</f>
        <v>88339558</v>
      </c>
      <c r="K234" s="1">
        <f t="shared" si="10"/>
        <v>55.399803900000002</v>
      </c>
      <c r="L234" s="1">
        <f t="shared" si="11"/>
        <v>8.8339558</v>
      </c>
    </row>
    <row r="235" spans="1:12" ht="16" x14ac:dyDescent="0.2">
      <c r="A235" s="1">
        <v>234</v>
      </c>
      <c r="B235" s="1" t="s">
        <v>606</v>
      </c>
      <c r="C235" s="1" t="s">
        <v>717</v>
      </c>
      <c r="D235" s="1" t="str">
        <f t="shared" si="9"/>
        <v>Esbjerg KommuneHovedvej A1 28</v>
      </c>
      <c r="E235" s="1" t="s">
        <v>718</v>
      </c>
      <c r="F235" s="1" t="s">
        <v>719</v>
      </c>
      <c r="G235" s="1">
        <v>1918</v>
      </c>
      <c r="H235" s="1" t="s">
        <v>720</v>
      </c>
      <c r="I235" s="6" cm="1">
        <f t="array" ref="I235">GetLatitude(D235)</f>
        <v>555203910</v>
      </c>
      <c r="J235" s="1" cm="1">
        <f t="array" ref="J235">GetLongitude(D235)</f>
        <v>87175380</v>
      </c>
      <c r="K235" s="1">
        <f t="shared" si="10"/>
        <v>55.520390999999996</v>
      </c>
      <c r="L235" s="1">
        <f t="shared" si="11"/>
        <v>8.7175379999999993</v>
      </c>
    </row>
    <row r="236" spans="1:12" ht="16" x14ac:dyDescent="0.2">
      <c r="A236" s="1">
        <v>235</v>
      </c>
      <c r="B236" s="1" t="s">
        <v>606</v>
      </c>
      <c r="C236" s="1" t="s">
        <v>721</v>
      </c>
      <c r="D236" s="1" t="str">
        <f t="shared" si="9"/>
        <v>Esbjerg KommuneHundegade 21</v>
      </c>
      <c r="E236" s="1" t="s">
        <v>722</v>
      </c>
      <c r="F236" s="1" t="s">
        <v>723</v>
      </c>
      <c r="G236" s="1">
        <v>1964</v>
      </c>
      <c r="H236" s="1" t="s">
        <v>11</v>
      </c>
      <c r="I236" s="6" cm="1">
        <f t="array" ref="I236">GetLatitude(D236)</f>
        <v>553265646</v>
      </c>
      <c r="J236" s="1" cm="1">
        <f t="array" ref="J236">GetLongitude(D236)</f>
        <v>87640765</v>
      </c>
      <c r="K236" s="1">
        <f t="shared" si="10"/>
        <v>55.326564599999998</v>
      </c>
      <c r="L236" s="1">
        <f t="shared" si="11"/>
        <v>8.7640764999999998</v>
      </c>
    </row>
    <row r="237" spans="1:12" ht="16" x14ac:dyDescent="0.2">
      <c r="A237" s="1">
        <v>236</v>
      </c>
      <c r="B237" s="1" t="s">
        <v>606</v>
      </c>
      <c r="C237" s="1" t="s">
        <v>724</v>
      </c>
      <c r="D237" s="1" t="str">
        <f t="shared" si="9"/>
        <v>Esbjerg KommuneJernbanegade 31</v>
      </c>
      <c r="E237" s="1" t="s">
        <v>725</v>
      </c>
      <c r="F237" s="1" t="s">
        <v>726</v>
      </c>
      <c r="G237" s="1">
        <v>1983</v>
      </c>
      <c r="H237" s="1" t="s">
        <v>15</v>
      </c>
      <c r="I237" s="6" cm="1">
        <f t="array" ref="I237">GetLatitude(D237)</f>
        <v>554678726</v>
      </c>
      <c r="J237" s="1" cm="1">
        <f t="array" ref="J237">GetLongitude(D237)</f>
        <v>84580975</v>
      </c>
      <c r="K237" s="1">
        <f t="shared" si="10"/>
        <v>55.4678726</v>
      </c>
      <c r="L237" s="1">
        <f t="shared" si="11"/>
        <v>8.4580974999999992</v>
      </c>
    </row>
    <row r="238" spans="1:12" ht="16" x14ac:dyDescent="0.2">
      <c r="A238" s="1">
        <v>237</v>
      </c>
      <c r="B238" s="1" t="s">
        <v>606</v>
      </c>
      <c r="C238" s="1" t="s">
        <v>727</v>
      </c>
      <c r="D238" s="1" t="str">
        <f t="shared" si="9"/>
        <v>Esbjerg KommuneKirkebrovej 7, tidl Gabelsvej 37</v>
      </c>
      <c r="E238" s="1" t="s">
        <v>728</v>
      </c>
      <c r="F238" s="1" t="s">
        <v>729</v>
      </c>
      <c r="G238" s="1">
        <v>1918</v>
      </c>
      <c r="H238" s="1" t="s">
        <v>11</v>
      </c>
      <c r="I238" s="6" cm="1">
        <f t="array" ref="I238">GetLatitude(D238)</f>
        <v>554854421</v>
      </c>
      <c r="J238" s="1" cm="1">
        <f t="array" ref="J238">GetLongitude(D238)</f>
        <v>86949751</v>
      </c>
      <c r="K238" s="1">
        <f t="shared" si="10"/>
        <v>55.4854421</v>
      </c>
      <c r="L238" s="1">
        <f t="shared" si="11"/>
        <v>8.6949751000000006</v>
      </c>
    </row>
    <row r="239" spans="1:12" ht="16" x14ac:dyDescent="0.2">
      <c r="A239" s="1">
        <v>238</v>
      </c>
      <c r="B239" s="1" t="s">
        <v>606</v>
      </c>
      <c r="C239" s="1" t="s">
        <v>730</v>
      </c>
      <c r="D239" s="1" t="str">
        <f t="shared" si="9"/>
        <v>Esbjerg KommuneKirkegade 25, Skolegade 47</v>
      </c>
      <c r="E239" s="1" t="s">
        <v>731</v>
      </c>
      <c r="F239" s="1" t="s">
        <v>732</v>
      </c>
      <c r="G239" s="1">
        <v>1983</v>
      </c>
      <c r="H239" s="1" t="s">
        <v>11</v>
      </c>
      <c r="I239" s="6" cm="1">
        <f t="array" ref="I239">GetLatitude(D239)</f>
        <v>554667750</v>
      </c>
      <c r="J239" s="1" cm="1">
        <f t="array" ref="J239">GetLongitude(D239)</f>
        <v>84536653</v>
      </c>
      <c r="K239" s="1">
        <f t="shared" si="10"/>
        <v>55.466774999999998</v>
      </c>
      <c r="L239" s="1">
        <f t="shared" si="11"/>
        <v>8.4536653000000008</v>
      </c>
    </row>
    <row r="240" spans="1:12" ht="16" x14ac:dyDescent="0.2">
      <c r="A240" s="1">
        <v>239</v>
      </c>
      <c r="B240" s="1" t="s">
        <v>606</v>
      </c>
      <c r="C240" s="1" t="s">
        <v>733</v>
      </c>
      <c r="D240" s="1" t="str">
        <f t="shared" si="9"/>
        <v>Esbjerg KommuneKjærgårdsvej 31</v>
      </c>
      <c r="E240" s="1" t="s">
        <v>734</v>
      </c>
      <c r="F240" s="1" t="s">
        <v>735</v>
      </c>
      <c r="G240" s="1">
        <v>1918</v>
      </c>
      <c r="H240" s="1" t="s">
        <v>11</v>
      </c>
      <c r="I240" s="6" cm="1">
        <f t="array" ref="I240">GetLatitude(D240)</f>
        <v>554218510</v>
      </c>
      <c r="J240" s="1" cm="1">
        <f t="array" ref="J240">GetLongitude(D240)</f>
        <v>87127440</v>
      </c>
      <c r="K240" s="1">
        <f t="shared" si="10"/>
        <v>55.421850999999997</v>
      </c>
      <c r="L240" s="1">
        <f t="shared" si="11"/>
        <v>8.7127440000000007</v>
      </c>
    </row>
    <row r="241" spans="1:12" ht="16" x14ac:dyDescent="0.2">
      <c r="A241" s="1">
        <v>240</v>
      </c>
      <c r="B241" s="1" t="s">
        <v>606</v>
      </c>
      <c r="C241" s="1" t="s">
        <v>736</v>
      </c>
      <c r="D241" s="1" t="str">
        <f t="shared" si="9"/>
        <v>Esbjerg KommuneKlostergade 1-3</v>
      </c>
      <c r="E241" s="1" t="s">
        <v>737</v>
      </c>
      <c r="F241" s="1" t="s">
        <v>738</v>
      </c>
      <c r="G241" s="1">
        <v>1975</v>
      </c>
      <c r="H241" s="1" t="s">
        <v>11</v>
      </c>
      <c r="I241" s="6" cm="1">
        <f t="array" ref="I241">GetLatitude(D241)</f>
        <v>553097657</v>
      </c>
      <c r="J241" s="1" cm="1">
        <f t="array" ref="J241">GetLongitude(D241)</f>
        <v>87716638</v>
      </c>
      <c r="K241" s="1">
        <f t="shared" si="10"/>
        <v>55.3097657</v>
      </c>
      <c r="L241" s="1">
        <f t="shared" si="11"/>
        <v>8.7716638000000007</v>
      </c>
    </row>
    <row r="242" spans="1:12" ht="16" x14ac:dyDescent="0.2">
      <c r="A242" s="1">
        <v>241</v>
      </c>
      <c r="B242" s="1" t="s">
        <v>606</v>
      </c>
      <c r="C242" s="1" t="s">
        <v>739</v>
      </c>
      <c r="D242" s="1" t="str">
        <f t="shared" si="9"/>
        <v>Esbjerg KommuneKlostergade 26</v>
      </c>
      <c r="E242" s="1" t="s">
        <v>740</v>
      </c>
      <c r="F242" s="1" t="s">
        <v>741</v>
      </c>
      <c r="G242" s="1">
        <v>1964</v>
      </c>
      <c r="H242" s="1" t="s">
        <v>11</v>
      </c>
      <c r="I242" s="6" cm="1">
        <f t="array" ref="I242">GetLatitude(D242)</f>
        <v>553267961</v>
      </c>
      <c r="J242" s="1" cm="1">
        <f t="array" ref="J242">GetLongitude(D242)</f>
        <v>87644890</v>
      </c>
      <c r="K242" s="1">
        <f t="shared" si="10"/>
        <v>55.326796100000003</v>
      </c>
      <c r="L242" s="1">
        <f t="shared" si="11"/>
        <v>8.7644889999999993</v>
      </c>
    </row>
    <row r="243" spans="1:12" ht="16" x14ac:dyDescent="0.2">
      <c r="A243" s="1">
        <v>242</v>
      </c>
      <c r="B243" s="1" t="s">
        <v>606</v>
      </c>
      <c r="C243" s="1" t="s">
        <v>742</v>
      </c>
      <c r="D243" s="1" t="str">
        <f t="shared" si="9"/>
        <v>Esbjerg KommuneKlostergade 4</v>
      </c>
      <c r="E243" s="1" t="s">
        <v>743</v>
      </c>
      <c r="F243" s="1" t="s">
        <v>744</v>
      </c>
      <c r="G243" s="1">
        <v>1964</v>
      </c>
      <c r="H243" s="1" t="s">
        <v>11</v>
      </c>
      <c r="I243" s="6" cm="1">
        <f t="array" ref="I243">GetLatitude(D243)</f>
        <v>553273995</v>
      </c>
      <c r="J243" s="1" cm="1">
        <f t="array" ref="J243">GetLongitude(D243)</f>
        <v>87641223</v>
      </c>
      <c r="K243" s="1">
        <f t="shared" si="10"/>
        <v>55.327399499999999</v>
      </c>
      <c r="L243" s="1">
        <f t="shared" si="11"/>
        <v>8.7641223000000004</v>
      </c>
    </row>
    <row r="244" spans="1:12" ht="16" x14ac:dyDescent="0.2">
      <c r="A244" s="1">
        <v>243</v>
      </c>
      <c r="B244" s="1" t="s">
        <v>606</v>
      </c>
      <c r="C244" s="1" t="s">
        <v>745</v>
      </c>
      <c r="D244" s="1" t="str">
        <f t="shared" si="9"/>
        <v>Esbjerg KommuneKlostergade 6</v>
      </c>
      <c r="E244" s="1" t="s">
        <v>743</v>
      </c>
      <c r="F244" s="1" t="s">
        <v>744</v>
      </c>
      <c r="G244" s="1">
        <v>1964</v>
      </c>
      <c r="H244" s="1" t="s">
        <v>11</v>
      </c>
      <c r="I244" s="6" cm="1">
        <f t="array" ref="I244">GetLatitude(D244)</f>
        <v>553097657</v>
      </c>
      <c r="J244" s="1" cm="1">
        <f t="array" ref="J244">GetLongitude(D244)</f>
        <v>87716638</v>
      </c>
      <c r="K244" s="1">
        <f t="shared" si="10"/>
        <v>55.3097657</v>
      </c>
      <c r="L244" s="1">
        <f t="shared" si="11"/>
        <v>8.7716638000000007</v>
      </c>
    </row>
    <row r="245" spans="1:12" ht="16" x14ac:dyDescent="0.2">
      <c r="A245" s="1">
        <v>244</v>
      </c>
      <c r="B245" s="1" t="s">
        <v>606</v>
      </c>
      <c r="C245" s="1" t="s">
        <v>746</v>
      </c>
      <c r="D245" s="1" t="str">
        <f t="shared" si="9"/>
        <v>Esbjerg KommuneKorsbrødregade 11</v>
      </c>
      <c r="E245" s="1" t="s">
        <v>747</v>
      </c>
      <c r="F245" s="1" t="s">
        <v>621</v>
      </c>
      <c r="G245" s="1">
        <v>1964</v>
      </c>
      <c r="H245" s="1" t="s">
        <v>11</v>
      </c>
      <c r="I245" s="6" cm="1">
        <f t="array" ref="I245">GetLatitude(D245)</f>
        <v>553296333</v>
      </c>
      <c r="J245" s="1" cm="1">
        <f t="array" ref="J245">GetLongitude(D245)</f>
        <v>87591119</v>
      </c>
      <c r="K245" s="1">
        <f t="shared" si="10"/>
        <v>55.329633299999998</v>
      </c>
      <c r="L245" s="1">
        <f t="shared" si="11"/>
        <v>8.7591119000000006</v>
      </c>
    </row>
    <row r="246" spans="1:12" ht="16" x14ac:dyDescent="0.2">
      <c r="A246" s="1">
        <v>245</v>
      </c>
      <c r="B246" s="1" t="s">
        <v>606</v>
      </c>
      <c r="C246" s="1" t="s">
        <v>748</v>
      </c>
      <c r="D246" s="1" t="str">
        <f t="shared" si="9"/>
        <v>Esbjerg KommuneKorsbrødregade 22</v>
      </c>
      <c r="E246" s="1" t="s">
        <v>749</v>
      </c>
      <c r="F246" s="1" t="s">
        <v>750</v>
      </c>
      <c r="G246" s="1">
        <v>1964</v>
      </c>
      <c r="H246" s="1" t="s">
        <v>11</v>
      </c>
      <c r="I246" s="6" cm="1">
        <f t="array" ref="I246">GetLatitude(D246)</f>
        <v>553291869</v>
      </c>
      <c r="J246" s="1" cm="1">
        <f t="array" ref="J246">GetLongitude(D246)</f>
        <v>87592061</v>
      </c>
      <c r="K246" s="1">
        <f t="shared" si="10"/>
        <v>55.329186900000003</v>
      </c>
      <c r="L246" s="1">
        <f t="shared" si="11"/>
        <v>8.7592061000000001</v>
      </c>
    </row>
    <row r="247" spans="1:12" ht="16" x14ac:dyDescent="0.2">
      <c r="A247" s="1">
        <v>246</v>
      </c>
      <c r="B247" s="1" t="s">
        <v>606</v>
      </c>
      <c r="C247" s="1" t="s">
        <v>751</v>
      </c>
      <c r="D247" s="1" t="str">
        <f t="shared" si="9"/>
        <v>Esbjerg KommuneKorsbrødregade 26</v>
      </c>
      <c r="E247" s="1" t="s">
        <v>752</v>
      </c>
      <c r="F247" s="1" t="s">
        <v>753</v>
      </c>
      <c r="G247" s="1">
        <v>1964</v>
      </c>
      <c r="H247" s="1" t="s">
        <v>15</v>
      </c>
      <c r="I247" s="6" cm="1">
        <f t="array" ref="I247">GetLatitude(D247)</f>
        <v>553293087</v>
      </c>
      <c r="J247" s="1" cm="1">
        <f t="array" ref="J247">GetLongitude(D247)</f>
        <v>87592343</v>
      </c>
      <c r="K247" s="1">
        <f t="shared" si="10"/>
        <v>55.329308699999999</v>
      </c>
      <c r="L247" s="1">
        <f t="shared" si="11"/>
        <v>8.7592342999999993</v>
      </c>
    </row>
    <row r="248" spans="1:12" ht="16" x14ac:dyDescent="0.2">
      <c r="A248" s="1">
        <v>247</v>
      </c>
      <c r="B248" s="1" t="s">
        <v>606</v>
      </c>
      <c r="C248" s="1" t="s">
        <v>754</v>
      </c>
      <c r="D248" s="1" t="str">
        <f t="shared" si="9"/>
        <v>Esbjerg KommuneKorsbrødregade 5</v>
      </c>
      <c r="E248" s="1" t="s">
        <v>755</v>
      </c>
      <c r="F248" s="1" t="s">
        <v>756</v>
      </c>
      <c r="G248" s="1">
        <v>1964</v>
      </c>
      <c r="H248" s="1" t="s">
        <v>11</v>
      </c>
      <c r="I248" s="6" cm="1">
        <f t="array" ref="I248">GetLatitude(D248)</f>
        <v>553285058</v>
      </c>
      <c r="J248" s="1" cm="1">
        <f t="array" ref="J248">GetLongitude(D248)</f>
        <v>87590463</v>
      </c>
      <c r="K248" s="1">
        <f t="shared" si="10"/>
        <v>55.328505800000002</v>
      </c>
      <c r="L248" s="1">
        <f t="shared" si="11"/>
        <v>8.7590462999999996</v>
      </c>
    </row>
    <row r="249" spans="1:12" ht="16" x14ac:dyDescent="0.2">
      <c r="A249" s="1">
        <v>248</v>
      </c>
      <c r="B249" s="1" t="s">
        <v>606</v>
      </c>
      <c r="C249" s="1" t="s">
        <v>757</v>
      </c>
      <c r="D249" s="1" t="str">
        <f t="shared" si="9"/>
        <v>Esbjerg KommuneKorsbrødregade 7</v>
      </c>
      <c r="E249" s="1" t="s">
        <v>758</v>
      </c>
      <c r="F249" s="1" t="s">
        <v>759</v>
      </c>
      <c r="G249" s="1">
        <v>1919</v>
      </c>
      <c r="H249" s="1" t="s">
        <v>15</v>
      </c>
      <c r="I249" s="6" cm="1">
        <f t="array" ref="I249">GetLatitude(D249)</f>
        <v>553292530</v>
      </c>
      <c r="J249" s="1" cm="1">
        <f t="array" ref="J249">GetLongitude(D249)</f>
        <v>87589076</v>
      </c>
      <c r="K249" s="1">
        <f t="shared" si="10"/>
        <v>55.329253000000001</v>
      </c>
      <c r="L249" s="1">
        <f t="shared" si="11"/>
        <v>8.7589076000000006</v>
      </c>
    </row>
    <row r="250" spans="1:12" ht="16" x14ac:dyDescent="0.2">
      <c r="A250" s="1">
        <v>249</v>
      </c>
      <c r="B250" s="1" t="s">
        <v>606</v>
      </c>
      <c r="C250" s="1" t="s">
        <v>760</v>
      </c>
      <c r="D250" s="1" t="str">
        <f t="shared" si="9"/>
        <v>Esbjerg KommuneLustrupvej 4</v>
      </c>
      <c r="E250" s="1" t="s">
        <v>761</v>
      </c>
      <c r="F250" s="1" t="s">
        <v>762</v>
      </c>
      <c r="G250" s="1">
        <v>1945</v>
      </c>
      <c r="H250" s="1" t="s">
        <v>11</v>
      </c>
      <c r="I250" s="6" cm="1">
        <f t="array" ref="I250">GetLatitude(D250)</f>
        <v>553104033</v>
      </c>
      <c r="J250" s="1" cm="1">
        <f t="array" ref="J250">GetLongitude(D250)</f>
        <v>87687120</v>
      </c>
      <c r="K250" s="1">
        <f t="shared" si="10"/>
        <v>55.310403299999997</v>
      </c>
      <c r="L250" s="1">
        <f t="shared" si="11"/>
        <v>8.7687120000000007</v>
      </c>
    </row>
    <row r="251" spans="1:12" ht="16" x14ac:dyDescent="0.2">
      <c r="A251" s="1">
        <v>250</v>
      </c>
      <c r="B251" s="1" t="s">
        <v>606</v>
      </c>
      <c r="C251" s="1" t="s">
        <v>763</v>
      </c>
      <c r="D251" s="1" t="str">
        <f t="shared" si="9"/>
        <v>Esbjerg KommuneMandø Byvej 15</v>
      </c>
      <c r="E251" s="1" t="s">
        <v>764</v>
      </c>
      <c r="F251" s="1" t="s">
        <v>765</v>
      </c>
      <c r="G251" s="1">
        <v>1996</v>
      </c>
      <c r="H251" s="1" t="s">
        <v>15</v>
      </c>
      <c r="I251" s="6" cm="1">
        <f t="array" ref="I251">GetLatitude(D251)</f>
        <v>552754301</v>
      </c>
      <c r="J251" s="1" cm="1">
        <f t="array" ref="J251">GetLongitude(D251)</f>
        <v>85361696</v>
      </c>
      <c r="K251" s="1">
        <f t="shared" si="10"/>
        <v>55.275430100000001</v>
      </c>
      <c r="L251" s="1">
        <f t="shared" si="11"/>
        <v>8.5361695999999991</v>
      </c>
    </row>
    <row r="252" spans="1:12" ht="16" x14ac:dyDescent="0.2">
      <c r="A252" s="1">
        <v>251</v>
      </c>
      <c r="B252" s="1" t="s">
        <v>606</v>
      </c>
      <c r="C252" s="1" t="s">
        <v>766</v>
      </c>
      <c r="D252" s="1" t="str">
        <f t="shared" si="9"/>
        <v>Esbjerg KommuneMandø Byvej 35</v>
      </c>
      <c r="E252" s="1" t="s">
        <v>767</v>
      </c>
      <c r="F252" s="1" t="s">
        <v>768</v>
      </c>
      <c r="G252" s="1">
        <v>2009</v>
      </c>
      <c r="H252" s="1" t="s">
        <v>15</v>
      </c>
      <c r="I252" s="6" cm="1">
        <f t="array" ref="I252">GetLatitude(D252)</f>
        <v>552782183</v>
      </c>
      <c r="J252" s="1" cm="1">
        <f t="array" ref="J252">GetLongitude(D252)</f>
        <v>85375044</v>
      </c>
      <c r="K252" s="1">
        <f t="shared" si="10"/>
        <v>55.278218299999999</v>
      </c>
      <c r="L252" s="1">
        <f t="shared" si="11"/>
        <v>8.5375043999999995</v>
      </c>
    </row>
    <row r="253" spans="1:12" ht="16" x14ac:dyDescent="0.2">
      <c r="A253" s="1">
        <v>252</v>
      </c>
      <c r="B253" s="1" t="s">
        <v>606</v>
      </c>
      <c r="C253" s="1" t="s">
        <v>769</v>
      </c>
      <c r="D253" s="1" t="str">
        <f t="shared" si="9"/>
        <v>Esbjerg KommuneMandø Byvej 5</v>
      </c>
      <c r="E253" s="1" t="s">
        <v>770</v>
      </c>
      <c r="F253" s="1" t="s">
        <v>771</v>
      </c>
      <c r="G253" s="1">
        <v>1992</v>
      </c>
      <c r="H253" s="1" t="s">
        <v>701</v>
      </c>
      <c r="I253" s="6" cm="1">
        <f t="array" ref="I253">GetLatitude(D253)</f>
        <v>552740452</v>
      </c>
      <c r="J253" s="1" cm="1">
        <f t="array" ref="J253">GetLongitude(D253)</f>
        <v>85373063</v>
      </c>
      <c r="K253" s="1">
        <f t="shared" si="10"/>
        <v>55.274045200000003</v>
      </c>
      <c r="L253" s="1">
        <f t="shared" si="11"/>
        <v>8.5373062999999991</v>
      </c>
    </row>
    <row r="254" spans="1:12" ht="16" x14ac:dyDescent="0.2">
      <c r="A254" s="1">
        <v>253</v>
      </c>
      <c r="B254" s="1" t="s">
        <v>606</v>
      </c>
      <c r="C254" s="1" t="s">
        <v>772</v>
      </c>
      <c r="D254" s="1" t="str">
        <f t="shared" si="9"/>
        <v>Esbjerg KommuneMellemdammen 16</v>
      </c>
      <c r="E254" s="1" t="s">
        <v>773</v>
      </c>
      <c r="F254" s="1" t="s">
        <v>774</v>
      </c>
      <c r="G254" s="1">
        <v>1918</v>
      </c>
      <c r="H254" s="1" t="s">
        <v>775</v>
      </c>
      <c r="I254" s="6" cm="1">
        <f t="array" ref="I254">GetLatitude(D254)</f>
        <v>553290648</v>
      </c>
      <c r="J254" s="1" cm="1">
        <f t="array" ref="J254">GetLongitude(D254)</f>
        <v>87641781</v>
      </c>
      <c r="K254" s="1">
        <f t="shared" si="10"/>
        <v>55.329064799999998</v>
      </c>
      <c r="L254" s="1">
        <f t="shared" si="11"/>
        <v>8.7641781000000005</v>
      </c>
    </row>
    <row r="255" spans="1:12" ht="16" x14ac:dyDescent="0.2">
      <c r="A255" s="1">
        <v>254</v>
      </c>
      <c r="B255" s="1" t="s">
        <v>606</v>
      </c>
      <c r="C255" s="1" t="s">
        <v>776</v>
      </c>
      <c r="D255" s="1" t="str">
        <f t="shared" si="9"/>
        <v>Esbjerg KommuneMellemdammen 18</v>
      </c>
      <c r="E255" s="1" t="s">
        <v>777</v>
      </c>
      <c r="F255" s="1" t="s">
        <v>778</v>
      </c>
      <c r="G255" s="1">
        <v>1918</v>
      </c>
      <c r="H255" s="1" t="s">
        <v>11</v>
      </c>
      <c r="I255" s="6" cm="1">
        <f t="array" ref="I255">GetLatitude(D255)</f>
        <v>553292010</v>
      </c>
      <c r="J255" s="1" cm="1">
        <f t="array" ref="J255">GetLongitude(D255)</f>
        <v>87641990</v>
      </c>
      <c r="K255" s="1">
        <f t="shared" si="10"/>
        <v>55.329200999999998</v>
      </c>
      <c r="L255" s="1">
        <f t="shared" si="11"/>
        <v>8.7641989999999996</v>
      </c>
    </row>
    <row r="256" spans="1:12" ht="16" x14ac:dyDescent="0.2">
      <c r="A256" s="1">
        <v>255</v>
      </c>
      <c r="B256" s="1" t="s">
        <v>606</v>
      </c>
      <c r="C256" s="1" t="s">
        <v>779</v>
      </c>
      <c r="D256" s="1" t="str">
        <f t="shared" si="9"/>
        <v>Esbjerg KommuneMellemdammen 22</v>
      </c>
      <c r="E256" s="1" t="s">
        <v>780</v>
      </c>
      <c r="F256" s="1" t="s">
        <v>781</v>
      </c>
      <c r="G256" s="1">
        <v>1991</v>
      </c>
      <c r="H256" s="1" t="s">
        <v>11</v>
      </c>
      <c r="I256" s="6" cm="1">
        <f t="array" ref="I256">GetLatitude(D256)</f>
        <v>553292332</v>
      </c>
      <c r="J256" s="1" cm="1">
        <f t="array" ref="J256">GetLongitude(D256)</f>
        <v>87645359</v>
      </c>
      <c r="K256" s="1">
        <f t="shared" si="10"/>
        <v>55.329233199999997</v>
      </c>
      <c r="L256" s="1">
        <f t="shared" si="11"/>
        <v>8.7645359000000003</v>
      </c>
    </row>
    <row r="257" spans="1:12" ht="16" x14ac:dyDescent="0.2">
      <c r="A257" s="1">
        <v>256</v>
      </c>
      <c r="B257" s="1" t="s">
        <v>606</v>
      </c>
      <c r="C257" s="1" t="s">
        <v>782</v>
      </c>
      <c r="D257" s="1" t="str">
        <f t="shared" si="9"/>
        <v>Esbjerg KommuneNederdammen 24 og 24 B</v>
      </c>
      <c r="E257" s="1" t="s">
        <v>783</v>
      </c>
      <c r="F257" s="1" t="s">
        <v>784</v>
      </c>
      <c r="G257" s="1">
        <v>1964</v>
      </c>
      <c r="H257" s="1" t="s">
        <v>11</v>
      </c>
      <c r="I257" s="6" cm="1">
        <f t="array" ref="I257">GetLatitude(D257)</f>
        <v>553293986</v>
      </c>
      <c r="J257" s="1" cm="1">
        <f t="array" ref="J257">GetLongitude(D257)</f>
        <v>87647811</v>
      </c>
      <c r="K257" s="1">
        <f t="shared" si="10"/>
        <v>55.329398599999998</v>
      </c>
      <c r="L257" s="1">
        <f t="shared" si="11"/>
        <v>8.7647811000000004</v>
      </c>
    </row>
    <row r="258" spans="1:12" ht="16" x14ac:dyDescent="0.2">
      <c r="A258" s="1">
        <v>257</v>
      </c>
      <c r="B258" s="1" t="s">
        <v>606</v>
      </c>
      <c r="C258" s="1" t="s">
        <v>785</v>
      </c>
      <c r="D258" s="1" t="str">
        <f t="shared" si="9"/>
        <v>Esbjerg KommuneNederdammen 28</v>
      </c>
      <c r="E258" s="1" t="s">
        <v>786</v>
      </c>
      <c r="F258" s="1" t="s">
        <v>787</v>
      </c>
      <c r="G258" s="1">
        <v>1918</v>
      </c>
      <c r="H258" s="1" t="s">
        <v>11</v>
      </c>
      <c r="I258" s="6" cm="1">
        <f t="array" ref="I258">GetLatitude(D258)</f>
        <v>553294961</v>
      </c>
      <c r="J258" s="1" cm="1">
        <f t="array" ref="J258">GetLongitude(D258)</f>
        <v>87652412</v>
      </c>
      <c r="K258" s="1">
        <f t="shared" si="10"/>
        <v>55.3294961</v>
      </c>
      <c r="L258" s="1">
        <f t="shared" si="11"/>
        <v>8.7652412000000002</v>
      </c>
    </row>
    <row r="259" spans="1:12" ht="16" x14ac:dyDescent="0.2">
      <c r="A259" s="1">
        <v>258</v>
      </c>
      <c r="B259" s="1" t="s">
        <v>606</v>
      </c>
      <c r="C259" s="1" t="s">
        <v>788</v>
      </c>
      <c r="D259" s="1" t="str">
        <f t="shared" ref="D259:D322" si="12">B259&amp;C259</f>
        <v>Esbjerg KommuneNederdammen 31</v>
      </c>
      <c r="E259" s="1" t="s">
        <v>789</v>
      </c>
      <c r="F259" s="1" t="s">
        <v>790</v>
      </c>
      <c r="G259" s="1">
        <v>1987</v>
      </c>
      <c r="H259" s="1" t="s">
        <v>15</v>
      </c>
      <c r="I259" s="6" cm="1">
        <f t="array" ref="I259">GetLatitude(D259)</f>
        <v>553297852</v>
      </c>
      <c r="J259" s="1" cm="1">
        <f t="array" ref="J259">GetLongitude(D259)</f>
        <v>87654587</v>
      </c>
      <c r="K259" s="1">
        <f t="shared" si="10"/>
        <v>55.329785200000003</v>
      </c>
      <c r="L259" s="1">
        <f t="shared" si="11"/>
        <v>8.7654586999999999</v>
      </c>
    </row>
    <row r="260" spans="1:12" ht="16" x14ac:dyDescent="0.2">
      <c r="A260" s="1">
        <v>259</v>
      </c>
      <c r="B260" s="1" t="s">
        <v>606</v>
      </c>
      <c r="C260" s="1" t="s">
        <v>791</v>
      </c>
      <c r="D260" s="1" t="str">
        <f t="shared" si="12"/>
        <v>Esbjerg KommuneNederdammen 33</v>
      </c>
      <c r="E260" s="1" t="s">
        <v>792</v>
      </c>
      <c r="F260" s="1" t="s">
        <v>793</v>
      </c>
      <c r="G260" s="1">
        <v>1918</v>
      </c>
      <c r="H260" s="1" t="s">
        <v>794</v>
      </c>
      <c r="I260" s="6" cm="1">
        <f t="array" ref="I260">GetLatitude(D260)</f>
        <v>553297434</v>
      </c>
      <c r="J260" s="1" cm="1">
        <f t="array" ref="J260">GetLongitude(D260)</f>
        <v>87655789</v>
      </c>
      <c r="K260" s="1">
        <f t="shared" ref="K260:K323" si="13">I260/10000000</f>
        <v>55.329743399999998</v>
      </c>
      <c r="L260" s="1">
        <f t="shared" ref="L260:L323" si="14">J260/10000000</f>
        <v>8.7655788999999995</v>
      </c>
    </row>
    <row r="261" spans="1:12" ht="16" x14ac:dyDescent="0.2">
      <c r="A261" s="1">
        <v>260</v>
      </c>
      <c r="B261" s="1" t="s">
        <v>606</v>
      </c>
      <c r="C261" s="1" t="s">
        <v>795</v>
      </c>
      <c r="D261" s="1" t="str">
        <f t="shared" si="12"/>
        <v>Esbjerg KommuneNederdammen 35-37</v>
      </c>
      <c r="E261" s="1" t="s">
        <v>796</v>
      </c>
      <c r="F261" s="1" t="s">
        <v>797</v>
      </c>
      <c r="G261" s="1">
        <v>1919</v>
      </c>
      <c r="H261" s="1" t="s">
        <v>11</v>
      </c>
      <c r="I261" s="6" cm="1">
        <f t="array" ref="I261">GetLatitude(D261)</f>
        <v>553299085</v>
      </c>
      <c r="J261" s="1" cm="1">
        <f t="array" ref="J261">GetLongitude(D261)</f>
        <v>87655605</v>
      </c>
      <c r="K261" s="1">
        <f t="shared" si="13"/>
        <v>55.329908500000002</v>
      </c>
      <c r="L261" s="1">
        <f t="shared" si="14"/>
        <v>8.7655604999999994</v>
      </c>
    </row>
    <row r="262" spans="1:12" ht="16" x14ac:dyDescent="0.2">
      <c r="A262" s="1">
        <v>261</v>
      </c>
      <c r="B262" s="1" t="s">
        <v>606</v>
      </c>
      <c r="C262" s="1" t="s">
        <v>798</v>
      </c>
      <c r="D262" s="1" t="str">
        <f t="shared" si="12"/>
        <v>Esbjerg KommuneNederdammen 36</v>
      </c>
      <c r="E262" s="1" t="s">
        <v>799</v>
      </c>
      <c r="F262" s="1" t="s">
        <v>800</v>
      </c>
      <c r="G262" s="1">
        <v>1919</v>
      </c>
      <c r="H262" s="1" t="s">
        <v>15</v>
      </c>
      <c r="I262" s="6" cm="1">
        <f t="array" ref="I262">GetLatitude(D262)</f>
        <v>553296484</v>
      </c>
      <c r="J262" s="1" cm="1">
        <f t="array" ref="J262">GetLongitude(D262)</f>
        <v>87661473</v>
      </c>
      <c r="K262" s="1">
        <f t="shared" si="13"/>
        <v>55.329648400000004</v>
      </c>
      <c r="L262" s="1">
        <f t="shared" si="14"/>
        <v>8.7661473000000001</v>
      </c>
    </row>
    <row r="263" spans="1:12" ht="16" x14ac:dyDescent="0.2">
      <c r="A263" s="1">
        <v>262</v>
      </c>
      <c r="B263" s="1" t="s">
        <v>606</v>
      </c>
      <c r="C263" s="1" t="s">
        <v>801</v>
      </c>
      <c r="D263" s="1" t="str">
        <f t="shared" si="12"/>
        <v>Esbjerg KommuneNygårdsvej 65</v>
      </c>
      <c r="E263" s="1" t="s">
        <v>802</v>
      </c>
      <c r="F263" s="1" t="s">
        <v>803</v>
      </c>
      <c r="G263" s="1">
        <v>1993</v>
      </c>
      <c r="H263" s="1" t="s">
        <v>11</v>
      </c>
      <c r="I263" s="6" cm="1">
        <f t="array" ref="I263">GetLatitude(D263)</f>
        <v>554706910</v>
      </c>
      <c r="J263" s="1" cm="1">
        <f t="array" ref="J263">GetLongitude(D263)</f>
        <v>84513930</v>
      </c>
      <c r="K263" s="1">
        <f t="shared" si="13"/>
        <v>55.470691000000002</v>
      </c>
      <c r="L263" s="1">
        <f t="shared" si="14"/>
        <v>8.4513929999999995</v>
      </c>
    </row>
    <row r="264" spans="1:12" ht="16" x14ac:dyDescent="0.2">
      <c r="A264" s="1">
        <v>263</v>
      </c>
      <c r="B264" s="1" t="s">
        <v>606</v>
      </c>
      <c r="C264" s="1" t="s">
        <v>804</v>
      </c>
      <c r="D264" s="1" t="str">
        <f t="shared" si="12"/>
        <v>Esbjerg KommuneOverdammen 1</v>
      </c>
      <c r="E264" s="1" t="s">
        <v>805</v>
      </c>
      <c r="F264" s="1" t="s">
        <v>806</v>
      </c>
      <c r="G264" s="1">
        <v>1918</v>
      </c>
      <c r="H264" s="1" t="s">
        <v>11</v>
      </c>
      <c r="I264" s="6" cm="1">
        <f t="array" ref="I264">GetLatitude(D264)</f>
        <v>553286179</v>
      </c>
      <c r="J264" s="1" cm="1">
        <f t="array" ref="J264">GetLongitude(D264)</f>
        <v>87623231</v>
      </c>
      <c r="K264" s="1">
        <f t="shared" si="13"/>
        <v>55.328617899999998</v>
      </c>
      <c r="L264" s="1">
        <f t="shared" si="14"/>
        <v>8.7623230999999997</v>
      </c>
    </row>
    <row r="265" spans="1:12" ht="16" x14ac:dyDescent="0.2">
      <c r="A265" s="1">
        <v>264</v>
      </c>
      <c r="B265" s="1" t="s">
        <v>606</v>
      </c>
      <c r="C265" s="1" t="s">
        <v>807</v>
      </c>
      <c r="D265" s="1" t="str">
        <f t="shared" si="12"/>
        <v>Esbjerg KommuneOverdammen 12</v>
      </c>
      <c r="E265" s="1" t="s">
        <v>808</v>
      </c>
      <c r="F265" s="1" t="s">
        <v>809</v>
      </c>
      <c r="G265" s="1">
        <v>1954</v>
      </c>
      <c r="H265" s="1" t="s">
        <v>11</v>
      </c>
      <c r="I265" s="6" cm="1">
        <f t="array" ref="I265">GetLatitude(D265)</f>
        <v>553288764</v>
      </c>
      <c r="J265" s="1" cm="1">
        <f t="array" ref="J265">GetLongitude(D265)</f>
        <v>87635697</v>
      </c>
      <c r="K265" s="1">
        <f t="shared" si="13"/>
        <v>55.328876399999999</v>
      </c>
      <c r="L265" s="1">
        <f t="shared" si="14"/>
        <v>8.7635696999999997</v>
      </c>
    </row>
    <row r="266" spans="1:12" ht="16" x14ac:dyDescent="0.2">
      <c r="A266" s="1">
        <v>265</v>
      </c>
      <c r="B266" s="1" t="s">
        <v>606</v>
      </c>
      <c r="C266" s="1" t="s">
        <v>810</v>
      </c>
      <c r="D266" s="1" t="str">
        <f t="shared" si="12"/>
        <v>Esbjerg KommuneOverdammen 5 og Fiskergade 1 A, G</v>
      </c>
      <c r="E266" s="1" t="s">
        <v>811</v>
      </c>
      <c r="F266" s="1" t="s">
        <v>812</v>
      </c>
      <c r="G266" s="1">
        <v>1919</v>
      </c>
      <c r="H266" s="1" t="s">
        <v>813</v>
      </c>
      <c r="I266" s="6" cm="1">
        <f t="array" ref="I266">GetLatitude(D266)</f>
        <v>553285539</v>
      </c>
      <c r="J266" s="1" cm="1">
        <f t="array" ref="J266">GetLongitude(D266)</f>
        <v>87625386</v>
      </c>
      <c r="K266" s="1">
        <f t="shared" si="13"/>
        <v>55.328553900000003</v>
      </c>
      <c r="L266" s="1">
        <f t="shared" si="14"/>
        <v>8.7625385999999992</v>
      </c>
    </row>
    <row r="267" spans="1:12" ht="16" x14ac:dyDescent="0.2">
      <c r="A267" s="1">
        <v>266</v>
      </c>
      <c r="B267" s="1" t="s">
        <v>606</v>
      </c>
      <c r="C267" s="1" t="s">
        <v>814</v>
      </c>
      <c r="D267" s="1" t="str">
        <f t="shared" si="12"/>
        <v>Esbjerg KommuneOverdammen 8</v>
      </c>
      <c r="E267" s="1" t="s">
        <v>815</v>
      </c>
      <c r="F267" s="1" t="s">
        <v>816</v>
      </c>
      <c r="G267" s="1">
        <v>1918</v>
      </c>
      <c r="H267" s="1" t="s">
        <v>15</v>
      </c>
      <c r="I267" s="6" cm="1">
        <f t="array" ref="I267">GetLatitude(D267)</f>
        <v>553286587</v>
      </c>
      <c r="J267" s="1" cm="1">
        <f t="array" ref="J267">GetLongitude(D267)</f>
        <v>87631159</v>
      </c>
      <c r="K267" s="1">
        <f t="shared" si="13"/>
        <v>55.328658699999998</v>
      </c>
      <c r="L267" s="1">
        <f t="shared" si="14"/>
        <v>8.7631159000000007</v>
      </c>
    </row>
    <row r="268" spans="1:12" ht="16" x14ac:dyDescent="0.2">
      <c r="A268" s="1">
        <v>267</v>
      </c>
      <c r="B268" s="1" t="s">
        <v>606</v>
      </c>
      <c r="C268" s="1" t="s">
        <v>817</v>
      </c>
      <c r="D268" s="1" t="str">
        <f t="shared" si="12"/>
        <v>Esbjerg KommuneOverdammen 9</v>
      </c>
      <c r="E268" s="1" t="s">
        <v>818</v>
      </c>
      <c r="F268" s="1" t="s">
        <v>819</v>
      </c>
      <c r="G268" s="1">
        <v>1919</v>
      </c>
      <c r="H268" s="1" t="s">
        <v>11</v>
      </c>
      <c r="I268" s="6" cm="1">
        <f t="array" ref="I268">GetLatitude(D268)</f>
        <v>553289069</v>
      </c>
      <c r="J268" s="1" cm="1">
        <f t="array" ref="J268">GetLongitude(D268)</f>
        <v>87630293</v>
      </c>
      <c r="K268" s="1">
        <f t="shared" si="13"/>
        <v>55.3289069</v>
      </c>
      <c r="L268" s="1">
        <f t="shared" si="14"/>
        <v>8.7630292999999995</v>
      </c>
    </row>
    <row r="269" spans="1:12" ht="16" x14ac:dyDescent="0.2">
      <c r="A269" s="1">
        <v>268</v>
      </c>
      <c r="B269" s="1" t="s">
        <v>606</v>
      </c>
      <c r="C269" s="1" t="s">
        <v>820</v>
      </c>
      <c r="D269" s="1" t="str">
        <f t="shared" si="12"/>
        <v>Esbjerg KommunePræstegade 13</v>
      </c>
      <c r="E269" s="1" t="s">
        <v>821</v>
      </c>
      <c r="F269" s="1" t="s">
        <v>822</v>
      </c>
      <c r="G269" s="1">
        <v>1964</v>
      </c>
      <c r="H269" s="1" t="s">
        <v>15</v>
      </c>
      <c r="I269" s="6" cm="1">
        <f t="array" ref="I269">GetLatitude(D269)</f>
        <v>553290032</v>
      </c>
      <c r="J269" s="1" cm="1">
        <f t="array" ref="J269">GetLongitude(D269)</f>
        <v>87601157</v>
      </c>
      <c r="K269" s="1">
        <f t="shared" si="13"/>
        <v>55.329003200000002</v>
      </c>
      <c r="L269" s="1">
        <f t="shared" si="14"/>
        <v>8.7601157000000001</v>
      </c>
    </row>
    <row r="270" spans="1:12" ht="16" x14ac:dyDescent="0.2">
      <c r="A270" s="1">
        <v>269</v>
      </c>
      <c r="B270" s="1" t="s">
        <v>606</v>
      </c>
      <c r="C270" s="1" t="s">
        <v>823</v>
      </c>
      <c r="D270" s="1" t="str">
        <f t="shared" si="12"/>
        <v>Esbjerg KommunePræstegade 15</v>
      </c>
      <c r="E270" s="1" t="s">
        <v>824</v>
      </c>
      <c r="F270" s="1" t="s">
        <v>825</v>
      </c>
      <c r="G270" s="1">
        <v>1918</v>
      </c>
      <c r="H270" s="1" t="s">
        <v>11</v>
      </c>
      <c r="I270" s="6" cm="1">
        <f t="array" ref="I270">GetLatitude(D270)</f>
        <v>553290453</v>
      </c>
      <c r="J270" s="1" cm="1">
        <f t="array" ref="J270">GetLongitude(D270)</f>
        <v>87600187</v>
      </c>
      <c r="K270" s="1">
        <f t="shared" si="13"/>
        <v>55.329045299999997</v>
      </c>
      <c r="L270" s="1">
        <f t="shared" si="14"/>
        <v>8.7600186999999998</v>
      </c>
    </row>
    <row r="271" spans="1:12" ht="16" x14ac:dyDescent="0.2">
      <c r="A271" s="1">
        <v>270</v>
      </c>
      <c r="B271" s="1" t="s">
        <v>606</v>
      </c>
      <c r="C271" s="1" t="s">
        <v>826</v>
      </c>
      <c r="D271" s="1" t="str">
        <f t="shared" si="12"/>
        <v>Esbjerg KommunePræstegade 19</v>
      </c>
      <c r="E271" s="1" t="s">
        <v>827</v>
      </c>
      <c r="F271" s="1" t="s">
        <v>828</v>
      </c>
      <c r="G271" s="1">
        <v>1919</v>
      </c>
      <c r="H271" s="1" t="s">
        <v>701</v>
      </c>
      <c r="I271" s="6" cm="1">
        <f t="array" ref="I271">GetLatitude(D271)</f>
        <v>553292040</v>
      </c>
      <c r="J271" s="1" cm="1">
        <f t="array" ref="J271">GetLongitude(D271)</f>
        <v>87597806</v>
      </c>
      <c r="K271" s="1">
        <f t="shared" si="13"/>
        <v>55.329203999999997</v>
      </c>
      <c r="L271" s="1">
        <f t="shared" si="14"/>
        <v>8.7597805999999991</v>
      </c>
    </row>
    <row r="272" spans="1:12" ht="16" x14ac:dyDescent="0.2">
      <c r="A272" s="1">
        <v>271</v>
      </c>
      <c r="B272" s="1" t="s">
        <v>606</v>
      </c>
      <c r="C272" s="1" t="s">
        <v>829</v>
      </c>
      <c r="D272" s="1" t="str">
        <f t="shared" si="12"/>
        <v>Esbjerg KommunePræstegade 21</v>
      </c>
      <c r="E272" s="1" t="s">
        <v>830</v>
      </c>
      <c r="F272" s="1" t="s">
        <v>831</v>
      </c>
      <c r="G272" s="1">
        <v>1919</v>
      </c>
      <c r="H272" s="1" t="s">
        <v>11</v>
      </c>
      <c r="I272" s="6" cm="1">
        <f t="array" ref="I272">GetLatitude(D272)</f>
        <v>553292456</v>
      </c>
      <c r="J272" s="1" cm="1">
        <f t="array" ref="J272">GetLongitude(D272)</f>
        <v>87596567</v>
      </c>
      <c r="K272" s="1">
        <f t="shared" si="13"/>
        <v>55.3292456</v>
      </c>
      <c r="L272" s="1">
        <f t="shared" si="14"/>
        <v>8.7596567000000007</v>
      </c>
    </row>
    <row r="273" spans="1:12" ht="16" x14ac:dyDescent="0.2">
      <c r="A273" s="1">
        <v>272</v>
      </c>
      <c r="B273" s="1" t="s">
        <v>606</v>
      </c>
      <c r="C273" s="1" t="s">
        <v>832</v>
      </c>
      <c r="D273" s="1" t="str">
        <f t="shared" si="12"/>
        <v>Esbjerg KommunePræstegade 23</v>
      </c>
      <c r="E273" s="1" t="s">
        <v>833</v>
      </c>
      <c r="F273" s="1" t="s">
        <v>834</v>
      </c>
      <c r="G273" s="1">
        <v>1919</v>
      </c>
      <c r="H273" s="1" t="s">
        <v>11</v>
      </c>
      <c r="I273" s="6" cm="1">
        <f t="array" ref="I273">GetLatitude(D273)</f>
        <v>553292851</v>
      </c>
      <c r="J273" s="1" cm="1">
        <f t="array" ref="J273">GetLongitude(D273)</f>
        <v>87595627</v>
      </c>
      <c r="K273" s="1">
        <f t="shared" si="13"/>
        <v>55.3292851</v>
      </c>
      <c r="L273" s="1">
        <f t="shared" si="14"/>
        <v>8.7595627</v>
      </c>
    </row>
    <row r="274" spans="1:12" ht="16" x14ac:dyDescent="0.2">
      <c r="A274" s="1">
        <v>273</v>
      </c>
      <c r="B274" s="1" t="s">
        <v>606</v>
      </c>
      <c r="C274" s="1" t="s">
        <v>835</v>
      </c>
      <c r="D274" s="1" t="str">
        <f t="shared" si="12"/>
        <v>Esbjerg KommunePræstegade 25</v>
      </c>
      <c r="E274" s="1" t="s">
        <v>836</v>
      </c>
      <c r="F274" s="1" t="s">
        <v>831</v>
      </c>
      <c r="G274" s="1">
        <v>1919</v>
      </c>
      <c r="H274" s="1" t="s">
        <v>701</v>
      </c>
      <c r="I274" s="6" cm="1">
        <f t="array" ref="I274">GetLatitude(D274)</f>
        <v>553293149</v>
      </c>
      <c r="J274" s="1" cm="1">
        <f t="array" ref="J274">GetLongitude(D274)</f>
        <v>87594503</v>
      </c>
      <c r="K274" s="1">
        <f t="shared" si="13"/>
        <v>55.3293149</v>
      </c>
      <c r="L274" s="1">
        <f t="shared" si="14"/>
        <v>8.7594502999999992</v>
      </c>
    </row>
    <row r="275" spans="1:12" ht="16" x14ac:dyDescent="0.2">
      <c r="A275" s="1">
        <v>274</v>
      </c>
      <c r="B275" s="1" t="s">
        <v>606</v>
      </c>
      <c r="C275" s="1" t="s">
        <v>837</v>
      </c>
      <c r="D275" s="1" t="str">
        <f t="shared" si="12"/>
        <v>Esbjerg KommunePræstegade 27</v>
      </c>
      <c r="E275" s="1" t="s">
        <v>838</v>
      </c>
      <c r="F275" s="1" t="s">
        <v>839</v>
      </c>
      <c r="G275" s="1">
        <v>1919</v>
      </c>
      <c r="H275" s="1" t="s">
        <v>11</v>
      </c>
      <c r="I275" s="6" cm="1">
        <f t="array" ref="I275">GetLatitude(D275)</f>
        <v>553293530</v>
      </c>
      <c r="J275" s="1" cm="1">
        <f t="array" ref="J275">GetLongitude(D275)</f>
        <v>87593590</v>
      </c>
      <c r="K275" s="1">
        <f t="shared" si="13"/>
        <v>55.329352999999998</v>
      </c>
      <c r="L275" s="1">
        <f t="shared" si="14"/>
        <v>8.7593589999999999</v>
      </c>
    </row>
    <row r="276" spans="1:12" ht="16" x14ac:dyDescent="0.2">
      <c r="A276" s="1">
        <v>275</v>
      </c>
      <c r="B276" s="1" t="s">
        <v>606</v>
      </c>
      <c r="C276" s="1" t="s">
        <v>840</v>
      </c>
      <c r="D276" s="1" t="str">
        <f t="shared" si="12"/>
        <v>Esbjerg KommunePræstegade 28-30 og Korsbrødregade 28</v>
      </c>
      <c r="E276" s="1" t="s">
        <v>841</v>
      </c>
      <c r="F276" s="1" t="s">
        <v>842</v>
      </c>
      <c r="G276" s="1">
        <v>1919</v>
      </c>
      <c r="H276" s="1" t="s">
        <v>11</v>
      </c>
      <c r="I276" s="6" cm="1">
        <f t="array" ref="I276">GetLatitude(D276)</f>
        <v>553295692</v>
      </c>
      <c r="J276" s="1" cm="1">
        <f t="array" ref="J276">GetLongitude(D276)</f>
        <v>87593965</v>
      </c>
      <c r="K276" s="1">
        <f t="shared" si="13"/>
        <v>55.329569200000002</v>
      </c>
      <c r="L276" s="1">
        <f t="shared" si="14"/>
        <v>8.7593964999999994</v>
      </c>
    </row>
    <row r="277" spans="1:12" ht="16" x14ac:dyDescent="0.2">
      <c r="A277" s="1">
        <v>276</v>
      </c>
      <c r="B277" s="1" t="s">
        <v>606</v>
      </c>
      <c r="C277" s="1" t="s">
        <v>843</v>
      </c>
      <c r="D277" s="1" t="str">
        <f t="shared" si="12"/>
        <v>Esbjerg KommunePræstegade 4</v>
      </c>
      <c r="E277" s="1" t="s">
        <v>844</v>
      </c>
      <c r="F277" s="1" t="s">
        <v>845</v>
      </c>
      <c r="G277" s="1">
        <v>1964</v>
      </c>
      <c r="H277" s="1" t="s">
        <v>11</v>
      </c>
      <c r="I277" s="6" cm="1">
        <f t="array" ref="I277">GetLatitude(D277)</f>
        <v>553286362</v>
      </c>
      <c r="J277" s="1" cm="1">
        <f t="array" ref="J277">GetLongitude(D277)</f>
        <v>87608620</v>
      </c>
      <c r="K277" s="1">
        <f t="shared" si="13"/>
        <v>55.328636199999998</v>
      </c>
      <c r="L277" s="1">
        <f t="shared" si="14"/>
        <v>8.7608619999999995</v>
      </c>
    </row>
    <row r="278" spans="1:12" ht="16" x14ac:dyDescent="0.2">
      <c r="A278" s="1">
        <v>277</v>
      </c>
      <c r="B278" s="1" t="s">
        <v>606</v>
      </c>
      <c r="C278" s="1" t="s">
        <v>846</v>
      </c>
      <c r="D278" s="1" t="str">
        <f t="shared" si="12"/>
        <v>Esbjerg KommunePræstegade 7 og 7 A</v>
      </c>
      <c r="E278" s="1" t="s">
        <v>847</v>
      </c>
      <c r="F278" s="1" t="s">
        <v>848</v>
      </c>
      <c r="G278" s="1">
        <v>1964</v>
      </c>
      <c r="H278" s="1" t="s">
        <v>15</v>
      </c>
      <c r="I278" s="6" cm="1">
        <f t="array" ref="I278">GetLatitude(D278)</f>
        <v>553287080</v>
      </c>
      <c r="J278" s="1" cm="1">
        <f t="array" ref="J278">GetLongitude(D278)</f>
        <v>87605140</v>
      </c>
      <c r="K278" s="1">
        <f t="shared" si="13"/>
        <v>55.328707999999999</v>
      </c>
      <c r="L278" s="1">
        <f t="shared" si="14"/>
        <v>8.7605140000000006</v>
      </c>
    </row>
    <row r="279" spans="1:12" ht="16" x14ac:dyDescent="0.2">
      <c r="A279" s="1">
        <v>278</v>
      </c>
      <c r="B279" s="1" t="s">
        <v>606</v>
      </c>
      <c r="C279" s="1" t="s">
        <v>849</v>
      </c>
      <c r="D279" s="1" t="str">
        <f t="shared" si="12"/>
        <v>Esbjerg KommunePuggaardsgade 10</v>
      </c>
      <c r="E279" s="1" t="s">
        <v>850</v>
      </c>
      <c r="F279" s="1" t="s">
        <v>851</v>
      </c>
      <c r="G279" s="1">
        <v>1964</v>
      </c>
      <c r="H279" s="1" t="s">
        <v>15</v>
      </c>
      <c r="I279" s="6" cm="1">
        <f t="array" ref="I279">GetLatitude(D279)</f>
        <v>553268788</v>
      </c>
      <c r="J279" s="1" cm="1">
        <f t="array" ref="J279">GetLongitude(D279)</f>
        <v>87615671</v>
      </c>
      <c r="K279" s="1">
        <f t="shared" si="13"/>
        <v>55.326878800000003</v>
      </c>
      <c r="L279" s="1">
        <f t="shared" si="14"/>
        <v>8.7615671000000006</v>
      </c>
    </row>
    <row r="280" spans="1:12" ht="16" x14ac:dyDescent="0.2">
      <c r="A280" s="1">
        <v>279</v>
      </c>
      <c r="B280" s="1" t="s">
        <v>606</v>
      </c>
      <c r="C280" s="1" t="s">
        <v>852</v>
      </c>
      <c r="D280" s="1" t="str">
        <f t="shared" si="12"/>
        <v>Esbjerg KommunePuggaardsgade 22</v>
      </c>
      <c r="E280" s="1" t="s">
        <v>853</v>
      </c>
      <c r="F280" s="1" t="s">
        <v>854</v>
      </c>
      <c r="G280" s="1">
        <v>1918</v>
      </c>
      <c r="H280" s="1" t="s">
        <v>855</v>
      </c>
      <c r="I280" s="6" cm="1">
        <f t="array" ref="I280">GetLatitude(D280)</f>
        <v>553266643</v>
      </c>
      <c r="J280" s="1" cm="1">
        <f t="array" ref="J280">GetLongitude(D280)</f>
        <v>87607320</v>
      </c>
      <c r="K280" s="1">
        <f t="shared" si="13"/>
        <v>55.326664299999997</v>
      </c>
      <c r="L280" s="1">
        <f t="shared" si="14"/>
        <v>8.7607320000000009</v>
      </c>
    </row>
    <row r="281" spans="1:12" ht="16" x14ac:dyDescent="0.2">
      <c r="A281" s="1">
        <v>280</v>
      </c>
      <c r="B281" s="1" t="s">
        <v>606</v>
      </c>
      <c r="C281" s="1" t="s">
        <v>856</v>
      </c>
      <c r="D281" s="1" t="str">
        <f t="shared" si="12"/>
        <v>Esbjerg KommunePuggaardsgade 26, hj af Gravsgade</v>
      </c>
      <c r="E281" s="1" t="s">
        <v>857</v>
      </c>
      <c r="F281" s="1" t="s">
        <v>858</v>
      </c>
      <c r="G281" s="1">
        <v>1919</v>
      </c>
      <c r="H281" s="1" t="s">
        <v>11</v>
      </c>
      <c r="I281" s="6" cm="1">
        <f t="array" ref="I281">GetLatitude(D281)</f>
        <v>553259240</v>
      </c>
      <c r="J281" s="1" cm="1">
        <f t="array" ref="J281">GetLongitude(D281)</f>
        <v>87613820</v>
      </c>
      <c r="K281" s="1">
        <f t="shared" si="13"/>
        <v>55.325924000000001</v>
      </c>
      <c r="L281" s="1">
        <f t="shared" si="14"/>
        <v>8.7613819999999993</v>
      </c>
    </row>
    <row r="282" spans="1:12" ht="16" x14ac:dyDescent="0.2">
      <c r="A282" s="1">
        <v>281</v>
      </c>
      <c r="B282" s="1" t="s">
        <v>606</v>
      </c>
      <c r="C282" s="1" t="s">
        <v>859</v>
      </c>
      <c r="D282" s="1" t="str">
        <f t="shared" si="12"/>
        <v>Esbjerg KommunePuggaardsgade 3</v>
      </c>
      <c r="E282" s="1" t="s">
        <v>860</v>
      </c>
      <c r="F282" s="1" t="s">
        <v>861</v>
      </c>
      <c r="G282" s="1">
        <v>1918</v>
      </c>
      <c r="H282" s="1" t="s">
        <v>11</v>
      </c>
      <c r="I282" s="6" cm="1">
        <f t="array" ref="I282">GetLatitude(D282)</f>
        <v>553270059</v>
      </c>
      <c r="J282" s="1" cm="1">
        <f t="array" ref="J282">GetLongitude(D282)</f>
        <v>87617309</v>
      </c>
      <c r="K282" s="1">
        <f t="shared" si="13"/>
        <v>55.327005900000003</v>
      </c>
      <c r="L282" s="1">
        <f t="shared" si="14"/>
        <v>8.7617308999999999</v>
      </c>
    </row>
    <row r="283" spans="1:12" ht="16" x14ac:dyDescent="0.2">
      <c r="A283" s="1">
        <v>282</v>
      </c>
      <c r="B283" s="1" t="s">
        <v>606</v>
      </c>
      <c r="C283" s="1" t="s">
        <v>862</v>
      </c>
      <c r="D283" s="1" t="str">
        <f t="shared" si="12"/>
        <v>Esbjerg KommunePuggaardsgade 5</v>
      </c>
      <c r="E283" s="1" t="s">
        <v>863</v>
      </c>
      <c r="F283" s="1" t="s">
        <v>864</v>
      </c>
      <c r="G283" s="1">
        <v>1918</v>
      </c>
      <c r="H283" s="1" t="s">
        <v>11</v>
      </c>
      <c r="I283" s="6" cm="1">
        <f t="array" ref="I283">GetLatitude(D283)</f>
        <v>553269359</v>
      </c>
      <c r="J283" s="1" cm="1">
        <f t="array" ref="J283">GetLongitude(D283)</f>
        <v>87615265</v>
      </c>
      <c r="K283" s="1">
        <f t="shared" si="13"/>
        <v>55.326935900000002</v>
      </c>
      <c r="L283" s="1">
        <f t="shared" si="14"/>
        <v>8.7615265000000004</v>
      </c>
    </row>
    <row r="284" spans="1:12" ht="16" x14ac:dyDescent="0.2">
      <c r="A284" s="1">
        <v>283</v>
      </c>
      <c r="B284" s="1" t="s">
        <v>606</v>
      </c>
      <c r="C284" s="1" t="s">
        <v>865</v>
      </c>
      <c r="D284" s="1" t="str">
        <f t="shared" si="12"/>
        <v>Esbjerg KommunePuggaardsgade 7</v>
      </c>
      <c r="E284" s="1" t="s">
        <v>866</v>
      </c>
      <c r="F284" s="1" t="s">
        <v>867</v>
      </c>
      <c r="G284" s="1">
        <v>1919</v>
      </c>
      <c r="H284" s="1" t="s">
        <v>11</v>
      </c>
      <c r="I284" s="6" cm="1">
        <f t="array" ref="I284">GetLatitude(D284)</f>
        <v>553097657</v>
      </c>
      <c r="J284" s="1" cm="1">
        <f t="array" ref="J284">GetLongitude(D284)</f>
        <v>87716638</v>
      </c>
      <c r="K284" s="1">
        <f t="shared" si="13"/>
        <v>55.3097657</v>
      </c>
      <c r="L284" s="1">
        <f t="shared" si="14"/>
        <v>8.7716638000000007</v>
      </c>
    </row>
    <row r="285" spans="1:12" ht="16" x14ac:dyDescent="0.2">
      <c r="A285" s="1">
        <v>284</v>
      </c>
      <c r="B285" s="1" t="s">
        <v>606</v>
      </c>
      <c r="C285" s="1" t="s">
        <v>868</v>
      </c>
      <c r="D285" s="1" t="str">
        <f t="shared" si="12"/>
        <v>Esbjerg KommuneSankt Nicolajgade 10 A og B</v>
      </c>
      <c r="E285" s="1" t="s">
        <v>869</v>
      </c>
      <c r="F285" s="1" t="s">
        <v>870</v>
      </c>
      <c r="G285" s="1">
        <v>1977</v>
      </c>
      <c r="H285" s="1" t="s">
        <v>11</v>
      </c>
      <c r="I285" s="6" cm="1">
        <f t="array" ref="I285">GetLatitude(D285)</f>
        <v>553292180</v>
      </c>
      <c r="J285" s="1" cm="1">
        <f t="array" ref="J285">GetLongitude(D285)</f>
        <v>87676500</v>
      </c>
      <c r="K285" s="1">
        <f t="shared" si="13"/>
        <v>55.329217999999997</v>
      </c>
      <c r="L285" s="1">
        <f t="shared" si="14"/>
        <v>8.7676499999999997</v>
      </c>
    </row>
    <row r="286" spans="1:12" ht="16" x14ac:dyDescent="0.2">
      <c r="A286" s="1">
        <v>285</v>
      </c>
      <c r="B286" s="1" t="s">
        <v>606</v>
      </c>
      <c r="C286" s="1" t="s">
        <v>871</v>
      </c>
      <c r="D286" s="1" t="str">
        <f t="shared" si="12"/>
        <v>Esbjerg KommuneSkibbroen 11 og Smalleslippe 7</v>
      </c>
      <c r="E286" s="1" t="s">
        <v>872</v>
      </c>
      <c r="F286" s="1" t="s">
        <v>873</v>
      </c>
      <c r="G286" s="1">
        <v>1964</v>
      </c>
      <c r="H286" s="1" t="s">
        <v>11</v>
      </c>
      <c r="I286" s="6" cm="1">
        <f t="array" ref="I286">GetLatitude(D286)</f>
        <v>553292726</v>
      </c>
      <c r="J286" s="1" cm="1">
        <f t="array" ref="J286">GetLongitude(D286)</f>
        <v>87619622</v>
      </c>
      <c r="K286" s="1">
        <f t="shared" si="13"/>
        <v>55.329272600000003</v>
      </c>
      <c r="L286" s="1">
        <f t="shared" si="14"/>
        <v>8.7619621999999993</v>
      </c>
    </row>
    <row r="287" spans="1:12" ht="16" x14ac:dyDescent="0.2">
      <c r="A287" s="1">
        <v>286</v>
      </c>
      <c r="B287" s="1" t="s">
        <v>606</v>
      </c>
      <c r="C287" s="1" t="s">
        <v>874</v>
      </c>
      <c r="D287" s="1" t="str">
        <f t="shared" si="12"/>
        <v>Esbjerg KommuneSkibbroen 13</v>
      </c>
      <c r="E287" s="1" t="s">
        <v>875</v>
      </c>
      <c r="F287" s="1" t="s">
        <v>876</v>
      </c>
      <c r="G287" s="1">
        <v>1919</v>
      </c>
      <c r="H287" s="1" t="s">
        <v>11</v>
      </c>
      <c r="I287" s="6" cm="1">
        <f t="array" ref="I287">GetLatitude(D287)</f>
        <v>553296254</v>
      </c>
      <c r="J287" s="1" cm="1">
        <f t="array" ref="J287">GetLongitude(D287)</f>
        <v>87620895</v>
      </c>
      <c r="K287" s="1">
        <f t="shared" si="13"/>
        <v>55.329625399999998</v>
      </c>
      <c r="L287" s="1">
        <f t="shared" si="14"/>
        <v>8.7620895000000001</v>
      </c>
    </row>
    <row r="288" spans="1:12" ht="16" x14ac:dyDescent="0.2">
      <c r="A288" s="1">
        <v>287</v>
      </c>
      <c r="B288" s="1" t="s">
        <v>606</v>
      </c>
      <c r="C288" s="1" t="s">
        <v>877</v>
      </c>
      <c r="D288" s="1" t="str">
        <f t="shared" si="12"/>
        <v>Esbjerg KommuneSkibbroen 21</v>
      </c>
      <c r="E288" s="1" t="s">
        <v>878</v>
      </c>
      <c r="F288" s="1" t="s">
        <v>879</v>
      </c>
      <c r="G288" s="1">
        <v>1964</v>
      </c>
      <c r="H288" s="1" t="s">
        <v>15</v>
      </c>
      <c r="I288" s="6" cm="1">
        <f t="array" ref="I288">GetLatitude(D288)</f>
        <v>553299332</v>
      </c>
      <c r="J288" s="1" cm="1">
        <f t="array" ref="J288">GetLongitude(D288)</f>
        <v>87615949</v>
      </c>
      <c r="K288" s="1">
        <f t="shared" si="13"/>
        <v>55.329933199999999</v>
      </c>
      <c r="L288" s="1">
        <f t="shared" si="14"/>
        <v>8.7615949000000004</v>
      </c>
    </row>
    <row r="289" spans="1:12" ht="16" x14ac:dyDescent="0.2">
      <c r="A289" s="1">
        <v>288</v>
      </c>
      <c r="B289" s="1" t="s">
        <v>606</v>
      </c>
      <c r="C289" s="1" t="s">
        <v>880</v>
      </c>
      <c r="D289" s="1" t="str">
        <f t="shared" si="12"/>
        <v>Esbjerg KommuneSkibbroen 29</v>
      </c>
      <c r="E289" s="1" t="s">
        <v>881</v>
      </c>
      <c r="F289" s="1" t="s">
        <v>882</v>
      </c>
      <c r="G289" s="1">
        <v>1978</v>
      </c>
      <c r="H289" s="1" t="s">
        <v>11</v>
      </c>
      <c r="I289" s="6" cm="1">
        <f t="array" ref="I289">GetLatitude(D289)</f>
        <v>553302551</v>
      </c>
      <c r="J289" s="1" cm="1">
        <f t="array" ref="J289">GetLongitude(D289)</f>
        <v>87607368</v>
      </c>
      <c r="K289" s="1">
        <f t="shared" si="13"/>
        <v>55.330255100000002</v>
      </c>
      <c r="L289" s="1">
        <f t="shared" si="14"/>
        <v>8.7607368000000001</v>
      </c>
    </row>
    <row r="290" spans="1:12" ht="16" x14ac:dyDescent="0.2">
      <c r="A290" s="1">
        <v>289</v>
      </c>
      <c r="B290" s="1" t="s">
        <v>606</v>
      </c>
      <c r="C290" s="1" t="s">
        <v>883</v>
      </c>
      <c r="D290" s="1" t="str">
        <f t="shared" si="12"/>
        <v>Esbjerg KommuneSkibbroen 5</v>
      </c>
      <c r="E290" s="1" t="s">
        <v>884</v>
      </c>
      <c r="F290" s="1" t="s">
        <v>885</v>
      </c>
      <c r="G290" s="1">
        <v>1964</v>
      </c>
      <c r="H290" s="1" t="s">
        <v>11</v>
      </c>
      <c r="I290" s="6" cm="1">
        <f t="array" ref="I290">GetLatitude(D290)</f>
        <v>553293452</v>
      </c>
      <c r="J290" s="1" cm="1">
        <f t="array" ref="J290">GetLongitude(D290)</f>
        <v>87624902</v>
      </c>
      <c r="K290" s="1">
        <f t="shared" si="13"/>
        <v>55.329345199999999</v>
      </c>
      <c r="L290" s="1">
        <f t="shared" si="14"/>
        <v>8.7624902000000002</v>
      </c>
    </row>
    <row r="291" spans="1:12" ht="16" x14ac:dyDescent="0.2">
      <c r="A291" s="1">
        <v>290</v>
      </c>
      <c r="B291" s="1" t="s">
        <v>606</v>
      </c>
      <c r="C291" s="1" t="s">
        <v>886</v>
      </c>
      <c r="D291" s="1" t="str">
        <f t="shared" si="12"/>
        <v>Esbjerg KommuneSkolegade 1A, hj af Grydergade</v>
      </c>
      <c r="E291" s="1" t="s">
        <v>887</v>
      </c>
      <c r="F291" s="1" t="s">
        <v>888</v>
      </c>
      <c r="G291" s="1">
        <v>1918</v>
      </c>
      <c r="H291" s="1" t="s">
        <v>11</v>
      </c>
      <c r="I291" s="6" cm="1">
        <f t="array" ref="I291">GetLatitude(D291)</f>
        <v>554666099</v>
      </c>
      <c r="J291" s="1" cm="1">
        <f t="array" ref="J291">GetLongitude(D291)</f>
        <v>84568578</v>
      </c>
      <c r="K291" s="1">
        <f t="shared" si="13"/>
        <v>55.466609900000002</v>
      </c>
      <c r="L291" s="1">
        <f t="shared" si="14"/>
        <v>8.4568577999999999</v>
      </c>
    </row>
    <row r="292" spans="1:12" ht="16" x14ac:dyDescent="0.2">
      <c r="A292" s="1">
        <v>291</v>
      </c>
      <c r="B292" s="1" t="s">
        <v>606</v>
      </c>
      <c r="C292" s="1" t="s">
        <v>889</v>
      </c>
      <c r="D292" s="1" t="str">
        <f t="shared" si="12"/>
        <v>Esbjerg KommuneSkolegade 1 C</v>
      </c>
      <c r="E292" s="1" t="s">
        <v>890</v>
      </c>
      <c r="F292" s="1" t="s">
        <v>891</v>
      </c>
      <c r="G292" s="1">
        <v>1919</v>
      </c>
      <c r="H292" s="1" t="s">
        <v>11</v>
      </c>
      <c r="I292" s="6" cm="1">
        <f t="array" ref="I292">GetLatitude(D292)</f>
        <v>553097657</v>
      </c>
      <c r="J292" s="1" cm="1">
        <f t="array" ref="J292">GetLongitude(D292)</f>
        <v>87716638</v>
      </c>
      <c r="K292" s="1">
        <f t="shared" si="13"/>
        <v>55.3097657</v>
      </c>
      <c r="L292" s="1">
        <f t="shared" si="14"/>
        <v>8.7716638000000007</v>
      </c>
    </row>
    <row r="293" spans="1:12" ht="16" x14ac:dyDescent="0.2">
      <c r="A293" s="1">
        <v>292</v>
      </c>
      <c r="B293" s="1" t="s">
        <v>606</v>
      </c>
      <c r="C293" s="1" t="s">
        <v>892</v>
      </c>
      <c r="D293" s="1" t="str">
        <f t="shared" si="12"/>
        <v>Esbjerg KommuneSkolegade 2</v>
      </c>
      <c r="E293" s="1" t="s">
        <v>893</v>
      </c>
      <c r="F293" s="1" t="s">
        <v>894</v>
      </c>
      <c r="G293" s="1">
        <v>1919</v>
      </c>
      <c r="H293" s="1" t="s">
        <v>11</v>
      </c>
      <c r="I293" s="6" cm="1">
        <f t="array" ref="I293">GetLatitude(D293)</f>
        <v>553097657</v>
      </c>
      <c r="J293" s="1" cm="1">
        <f t="array" ref="J293">GetLongitude(D293)</f>
        <v>87716638</v>
      </c>
      <c r="K293" s="1">
        <f t="shared" si="13"/>
        <v>55.3097657</v>
      </c>
      <c r="L293" s="1">
        <f t="shared" si="14"/>
        <v>8.7716638000000007</v>
      </c>
    </row>
    <row r="294" spans="1:12" ht="16" x14ac:dyDescent="0.2">
      <c r="A294" s="1">
        <v>293</v>
      </c>
      <c r="B294" s="1" t="s">
        <v>606</v>
      </c>
      <c r="C294" s="1" t="s">
        <v>895</v>
      </c>
      <c r="D294" s="1" t="str">
        <f t="shared" si="12"/>
        <v>Esbjerg KommuneSkolegade 33</v>
      </c>
      <c r="E294" s="1" t="s">
        <v>896</v>
      </c>
      <c r="F294" s="1" t="s">
        <v>897</v>
      </c>
      <c r="G294" s="1">
        <v>1983</v>
      </c>
      <c r="H294" s="1" t="s">
        <v>701</v>
      </c>
      <c r="I294" s="6" cm="1">
        <f t="array" ref="I294">GetLatitude(D294)</f>
        <v>554668991</v>
      </c>
      <c r="J294" s="1" cm="1">
        <f t="array" ref="J294">GetLongitude(D294)</f>
        <v>84524782</v>
      </c>
      <c r="K294" s="1">
        <f t="shared" si="13"/>
        <v>55.466899099999999</v>
      </c>
      <c r="L294" s="1">
        <f t="shared" si="14"/>
        <v>8.4524781999999998</v>
      </c>
    </row>
    <row r="295" spans="1:12" ht="16" x14ac:dyDescent="0.2">
      <c r="A295" s="1">
        <v>294</v>
      </c>
      <c r="B295" s="1" t="s">
        <v>606</v>
      </c>
      <c r="C295" s="1" t="s">
        <v>898</v>
      </c>
      <c r="D295" s="1" t="str">
        <f t="shared" si="12"/>
        <v>Esbjerg KommuneSkolevej 43</v>
      </c>
      <c r="E295" s="1" t="s">
        <v>899</v>
      </c>
      <c r="F295" s="1" t="s">
        <v>900</v>
      </c>
      <c r="G295" s="1">
        <v>1980</v>
      </c>
      <c r="H295" s="1" t="s">
        <v>15</v>
      </c>
      <c r="I295" s="6" cm="1">
        <f t="array" ref="I295">GetLatitude(D295)</f>
        <v>554636302</v>
      </c>
      <c r="J295" s="1" cm="1">
        <f t="array" ref="J295">GetLongitude(D295)</f>
        <v>85812831</v>
      </c>
      <c r="K295" s="1">
        <f t="shared" si="13"/>
        <v>55.463630199999997</v>
      </c>
      <c r="L295" s="1">
        <f t="shared" si="14"/>
        <v>8.5812831000000003</v>
      </c>
    </row>
    <row r="296" spans="1:12" ht="16" x14ac:dyDescent="0.2">
      <c r="A296" s="1">
        <v>295</v>
      </c>
      <c r="B296" s="1" t="s">
        <v>606</v>
      </c>
      <c r="C296" s="1" t="s">
        <v>901</v>
      </c>
      <c r="D296" s="1" t="str">
        <f t="shared" si="12"/>
        <v>Esbjerg KommuneSneum Kirkevej 20</v>
      </c>
      <c r="E296" s="1" t="s">
        <v>902</v>
      </c>
      <c r="F296" s="1" t="s">
        <v>903</v>
      </c>
      <c r="G296" s="1">
        <v>1992</v>
      </c>
      <c r="H296" s="1" t="s">
        <v>15</v>
      </c>
      <c r="I296" s="6" cm="1">
        <f t="array" ref="I296">GetLatitude(D296)</f>
        <v>554588857</v>
      </c>
      <c r="J296" s="1" cm="1">
        <f t="array" ref="J296">GetLongitude(D296)</f>
        <v>86394340</v>
      </c>
      <c r="K296" s="1">
        <f t="shared" si="13"/>
        <v>55.458885700000003</v>
      </c>
      <c r="L296" s="1">
        <f t="shared" si="14"/>
        <v>8.6394339999999996</v>
      </c>
    </row>
    <row r="297" spans="1:12" ht="16" x14ac:dyDescent="0.2">
      <c r="A297" s="1">
        <v>296</v>
      </c>
      <c r="B297" s="1" t="s">
        <v>606</v>
      </c>
      <c r="C297" s="1" t="s">
        <v>904</v>
      </c>
      <c r="D297" s="1" t="str">
        <f t="shared" si="12"/>
        <v>Esbjerg KommuneSolbjergvej 25</v>
      </c>
      <c r="E297" s="1" t="s">
        <v>905</v>
      </c>
      <c r="F297" s="1" t="s">
        <v>906</v>
      </c>
      <c r="G297" s="1">
        <v>1992</v>
      </c>
      <c r="H297" s="1" t="s">
        <v>15</v>
      </c>
      <c r="I297" s="6" cm="1">
        <f t="array" ref="I297">GetLatitude(D297)</f>
        <v>555016246</v>
      </c>
      <c r="J297" s="1" cm="1">
        <f t="array" ref="J297">GetLongitude(D297)</f>
        <v>85616604</v>
      </c>
      <c r="K297" s="1">
        <f t="shared" si="13"/>
        <v>55.5016246</v>
      </c>
      <c r="L297" s="1">
        <f t="shared" si="14"/>
        <v>8.5616603999999992</v>
      </c>
    </row>
    <row r="298" spans="1:12" ht="16" x14ac:dyDescent="0.2">
      <c r="A298" s="1">
        <v>297</v>
      </c>
      <c r="B298" s="1" t="s">
        <v>606</v>
      </c>
      <c r="C298" s="1" t="s">
        <v>907</v>
      </c>
      <c r="D298" s="1" t="str">
        <f t="shared" si="12"/>
        <v>Esbjerg KommuneMoltkesvej 78</v>
      </c>
      <c r="E298" s="1" t="s">
        <v>908</v>
      </c>
      <c r="F298" s="1" t="s">
        <v>909</v>
      </c>
      <c r="G298" s="1">
        <v>1919</v>
      </c>
      <c r="H298" s="1" t="s">
        <v>11375</v>
      </c>
      <c r="I298" s="6" cm="1">
        <f t="array" ref="I298">GetLatitude(D298)</f>
        <v>553097657</v>
      </c>
      <c r="J298" s="1" cm="1">
        <f t="array" ref="J298">GetLongitude(D298)</f>
        <v>87716638</v>
      </c>
      <c r="K298" s="1">
        <f t="shared" si="13"/>
        <v>55.3097657</v>
      </c>
      <c r="L298" s="1">
        <f t="shared" si="14"/>
        <v>8.7716638000000007</v>
      </c>
    </row>
    <row r="299" spans="1:12" ht="16" x14ac:dyDescent="0.2">
      <c r="A299" s="1">
        <v>298</v>
      </c>
      <c r="B299" s="1" t="s">
        <v>606</v>
      </c>
      <c r="C299" s="1" t="s">
        <v>910</v>
      </c>
      <c r="D299" s="1" t="str">
        <f t="shared" si="12"/>
        <v>Esbjerg KommuneSortebrødregade 5</v>
      </c>
      <c r="E299" s="1" t="s">
        <v>911</v>
      </c>
      <c r="F299" s="1" t="s">
        <v>912</v>
      </c>
      <c r="G299" s="1">
        <v>1918</v>
      </c>
      <c r="H299" s="1" t="s">
        <v>11</v>
      </c>
      <c r="I299" s="6" cm="1">
        <f t="array" ref="I299">GetLatitude(D299)</f>
        <v>553285160</v>
      </c>
      <c r="J299" s="1" cm="1">
        <f t="array" ref="J299">GetLongitude(D299)</f>
        <v>87636360</v>
      </c>
      <c r="K299" s="1">
        <f t="shared" si="13"/>
        <v>55.328516</v>
      </c>
      <c r="L299" s="1">
        <f t="shared" si="14"/>
        <v>8.763636</v>
      </c>
    </row>
    <row r="300" spans="1:12" ht="16" x14ac:dyDescent="0.2">
      <c r="A300" s="1">
        <v>299</v>
      </c>
      <c r="B300" s="1" t="s">
        <v>606</v>
      </c>
      <c r="C300" s="1" t="s">
        <v>913</v>
      </c>
      <c r="D300" s="1" t="str">
        <f t="shared" si="12"/>
        <v>Esbjerg KommuneSortebrødregade 7</v>
      </c>
      <c r="E300" s="1" t="s">
        <v>914</v>
      </c>
      <c r="F300" s="1" t="s">
        <v>915</v>
      </c>
      <c r="G300" s="1">
        <v>1918</v>
      </c>
      <c r="H300" s="1" t="s">
        <v>701</v>
      </c>
      <c r="I300" s="6" cm="1">
        <f t="array" ref="I300">GetLatitude(D300)</f>
        <v>553283362</v>
      </c>
      <c r="J300" s="1" cm="1">
        <f t="array" ref="J300">GetLongitude(D300)</f>
        <v>87640616</v>
      </c>
      <c r="K300" s="1">
        <f t="shared" si="13"/>
        <v>55.328336200000003</v>
      </c>
      <c r="L300" s="1">
        <f t="shared" si="14"/>
        <v>8.7640615999999998</v>
      </c>
    </row>
    <row r="301" spans="1:12" ht="16" x14ac:dyDescent="0.2">
      <c r="A301" s="1">
        <v>300</v>
      </c>
      <c r="B301" s="1" t="s">
        <v>606</v>
      </c>
      <c r="C301" s="1" t="s">
        <v>916</v>
      </c>
      <c r="D301" s="1" t="str">
        <f t="shared" si="12"/>
        <v>Esbjerg KommuneStrandvej 2</v>
      </c>
      <c r="E301" s="1" t="s">
        <v>917</v>
      </c>
      <c r="F301" s="1" t="s">
        <v>918</v>
      </c>
      <c r="G301" s="1">
        <v>1995</v>
      </c>
      <c r="H301" s="1" t="s">
        <v>15</v>
      </c>
      <c r="I301" s="6" cm="1">
        <f t="array" ref="I301">GetLatitude(D301)</f>
        <v>553097657</v>
      </c>
      <c r="J301" s="1" cm="1">
        <f t="array" ref="J301">GetLongitude(D301)</f>
        <v>87716638</v>
      </c>
      <c r="K301" s="1">
        <f t="shared" si="13"/>
        <v>55.3097657</v>
      </c>
      <c r="L301" s="1">
        <f t="shared" si="14"/>
        <v>8.7716638000000007</v>
      </c>
    </row>
    <row r="302" spans="1:12" ht="16" x14ac:dyDescent="0.2">
      <c r="A302" s="1">
        <v>301</v>
      </c>
      <c r="B302" s="1" t="s">
        <v>606</v>
      </c>
      <c r="C302" s="1" t="s">
        <v>919</v>
      </c>
      <c r="D302" s="1" t="str">
        <f t="shared" si="12"/>
        <v>Esbjerg KommuneSønder Farupvej 46</v>
      </c>
      <c r="E302" s="1" t="s">
        <v>920</v>
      </c>
      <c r="F302" s="1" t="s">
        <v>921</v>
      </c>
      <c r="G302" s="1">
        <v>1992</v>
      </c>
      <c r="H302" s="1" t="s">
        <v>11</v>
      </c>
      <c r="I302" s="6" cm="1">
        <f t="array" ref="I302">GetLatitude(D302)</f>
        <v>553050067</v>
      </c>
      <c r="J302" s="1" cm="1">
        <f t="array" ref="J302">GetLongitude(D302)</f>
        <v>86910019</v>
      </c>
      <c r="K302" s="1">
        <f t="shared" si="13"/>
        <v>55.3050067</v>
      </c>
      <c r="L302" s="1">
        <f t="shared" si="14"/>
        <v>8.6910018999999998</v>
      </c>
    </row>
    <row r="303" spans="1:12" ht="16" x14ac:dyDescent="0.2">
      <c r="A303" s="1">
        <v>302</v>
      </c>
      <c r="B303" s="1" t="s">
        <v>606</v>
      </c>
      <c r="C303" s="1" t="s">
        <v>922</v>
      </c>
      <c r="D303" s="1" t="str">
        <f t="shared" si="12"/>
        <v>Esbjerg KommuneSønderportsgade 1</v>
      </c>
      <c r="E303" s="1" t="s">
        <v>923</v>
      </c>
      <c r="F303" s="1" t="s">
        <v>924</v>
      </c>
      <c r="G303" s="1">
        <v>1919</v>
      </c>
      <c r="H303" s="1" t="s">
        <v>11</v>
      </c>
      <c r="I303" s="6" cm="1">
        <f t="array" ref="I303">GetLatitude(D303)</f>
        <v>553275880</v>
      </c>
      <c r="J303" s="1" cm="1">
        <f t="array" ref="J303">GetLongitude(D303)</f>
        <v>87627173</v>
      </c>
      <c r="K303" s="1">
        <f t="shared" si="13"/>
        <v>55.327587999999999</v>
      </c>
      <c r="L303" s="1">
        <f t="shared" si="14"/>
        <v>8.7627173000000003</v>
      </c>
    </row>
    <row r="304" spans="1:12" ht="16" x14ac:dyDescent="0.2">
      <c r="A304" s="1">
        <v>303</v>
      </c>
      <c r="B304" s="1" t="s">
        <v>606</v>
      </c>
      <c r="C304" s="1" t="s">
        <v>925</v>
      </c>
      <c r="D304" s="1" t="str">
        <f t="shared" si="12"/>
        <v>Esbjerg KommuneSønderportsgade 15</v>
      </c>
      <c r="E304" s="1" t="s">
        <v>926</v>
      </c>
      <c r="F304" s="1" t="s">
        <v>927</v>
      </c>
      <c r="G304" s="1">
        <v>1964</v>
      </c>
      <c r="H304" s="1" t="s">
        <v>11</v>
      </c>
      <c r="I304" s="6" cm="1">
        <f t="array" ref="I304">GetLatitude(D304)</f>
        <v>553273428</v>
      </c>
      <c r="J304" s="1" cm="1">
        <f t="array" ref="J304">GetLongitude(D304)</f>
        <v>87614575</v>
      </c>
      <c r="K304" s="1">
        <f t="shared" si="13"/>
        <v>55.327342799999997</v>
      </c>
      <c r="L304" s="1">
        <f t="shared" si="14"/>
        <v>8.7614575000000006</v>
      </c>
    </row>
    <row r="305" spans="1:12" ht="16" x14ac:dyDescent="0.2">
      <c r="A305" s="1">
        <v>304</v>
      </c>
      <c r="B305" s="1" t="s">
        <v>606</v>
      </c>
      <c r="C305" s="1" t="s">
        <v>928</v>
      </c>
      <c r="D305" s="1" t="str">
        <f t="shared" si="12"/>
        <v>Esbjerg KommuneSønderportsgade 17</v>
      </c>
      <c r="E305" s="1" t="s">
        <v>929</v>
      </c>
      <c r="F305" s="1" t="s">
        <v>930</v>
      </c>
      <c r="G305" s="1">
        <v>1918</v>
      </c>
      <c r="H305" s="1" t="s">
        <v>11</v>
      </c>
      <c r="I305" s="6" cm="1">
        <f t="array" ref="I305">GetLatitude(D305)</f>
        <v>553272244</v>
      </c>
      <c r="J305" s="1" cm="1">
        <f t="array" ref="J305">GetLongitude(D305)</f>
        <v>87612680</v>
      </c>
      <c r="K305" s="1">
        <f t="shared" si="13"/>
        <v>55.327224399999999</v>
      </c>
      <c r="L305" s="1">
        <f t="shared" si="14"/>
        <v>8.7612679999999994</v>
      </c>
    </row>
    <row r="306" spans="1:12" ht="16" x14ac:dyDescent="0.2">
      <c r="A306" s="1">
        <v>305</v>
      </c>
      <c r="B306" s="1" t="s">
        <v>606</v>
      </c>
      <c r="C306" s="1" t="s">
        <v>931</v>
      </c>
      <c r="D306" s="1" t="str">
        <f t="shared" si="12"/>
        <v>Esbjerg KommuneSønderportsgade 19</v>
      </c>
      <c r="E306" s="1" t="s">
        <v>932</v>
      </c>
      <c r="F306" s="1" t="s">
        <v>933</v>
      </c>
      <c r="G306" s="1">
        <v>1918</v>
      </c>
      <c r="H306" s="1" t="s">
        <v>11</v>
      </c>
      <c r="I306" s="6" cm="1">
        <f t="array" ref="I306">GetLatitude(D306)</f>
        <v>553272234</v>
      </c>
      <c r="J306" s="1" cm="1">
        <f t="array" ref="J306">GetLongitude(D306)</f>
        <v>87611301</v>
      </c>
      <c r="K306" s="1">
        <f t="shared" si="13"/>
        <v>55.327223400000001</v>
      </c>
      <c r="L306" s="1">
        <f t="shared" si="14"/>
        <v>8.7611301000000008</v>
      </c>
    </row>
    <row r="307" spans="1:12" ht="16" x14ac:dyDescent="0.2">
      <c r="A307" s="1">
        <v>306</v>
      </c>
      <c r="B307" s="1" t="s">
        <v>606</v>
      </c>
      <c r="C307" s="1" t="s">
        <v>934</v>
      </c>
      <c r="D307" s="1" t="str">
        <f t="shared" si="12"/>
        <v>Esbjerg KommuneSønderportsgade 20</v>
      </c>
      <c r="E307" s="1" t="s">
        <v>935</v>
      </c>
      <c r="F307" s="1" t="s">
        <v>936</v>
      </c>
      <c r="G307" s="1">
        <v>1982</v>
      </c>
      <c r="H307" s="1" t="s">
        <v>11</v>
      </c>
      <c r="I307" s="6" cm="1">
        <f t="array" ref="I307">GetLatitude(D307)</f>
        <v>553273445</v>
      </c>
      <c r="J307" s="1" cm="1">
        <f t="array" ref="J307">GetLongitude(D307)</f>
        <v>87588472</v>
      </c>
      <c r="K307" s="1">
        <f t="shared" si="13"/>
        <v>55.327344500000002</v>
      </c>
      <c r="L307" s="1">
        <f t="shared" si="14"/>
        <v>8.7588471999999999</v>
      </c>
    </row>
    <row r="308" spans="1:12" ht="16" x14ac:dyDescent="0.2">
      <c r="A308" s="1">
        <v>307</v>
      </c>
      <c r="B308" s="1" t="s">
        <v>606</v>
      </c>
      <c r="C308" s="1" t="s">
        <v>937</v>
      </c>
      <c r="D308" s="1" t="str">
        <f t="shared" si="12"/>
        <v>Esbjerg KommuneSønderportsgade 21 B</v>
      </c>
      <c r="E308" s="1" t="s">
        <v>938</v>
      </c>
      <c r="F308" s="1" t="s">
        <v>939</v>
      </c>
      <c r="G308" s="1">
        <v>1918</v>
      </c>
      <c r="H308" s="1" t="s">
        <v>940</v>
      </c>
      <c r="I308" s="6" cm="1">
        <f t="array" ref="I308">GetLatitude(D308)</f>
        <v>553271693</v>
      </c>
      <c r="J308" s="1" cm="1">
        <f t="array" ref="J308">GetLongitude(D308)</f>
        <v>87608273</v>
      </c>
      <c r="K308" s="1">
        <f t="shared" si="13"/>
        <v>55.327169300000001</v>
      </c>
      <c r="L308" s="1">
        <f t="shared" si="14"/>
        <v>8.7608273000000008</v>
      </c>
    </row>
    <row r="309" spans="1:12" ht="16" x14ac:dyDescent="0.2">
      <c r="A309" s="1">
        <v>308</v>
      </c>
      <c r="B309" s="1" t="s">
        <v>606</v>
      </c>
      <c r="C309" s="1" t="s">
        <v>941</v>
      </c>
      <c r="D309" s="1" t="str">
        <f t="shared" si="12"/>
        <v>Esbjerg KommuneSønderportsgade 21C (tidl nr 21A)</v>
      </c>
      <c r="E309" s="1" t="s">
        <v>942</v>
      </c>
      <c r="F309" s="1" t="s">
        <v>943</v>
      </c>
      <c r="G309" s="1">
        <v>1918</v>
      </c>
      <c r="H309" s="1" t="s">
        <v>940</v>
      </c>
      <c r="I309" s="6" cm="1">
        <f t="array" ref="I309">GetLatitude(D309)</f>
        <v>553271686</v>
      </c>
      <c r="J309" s="1" cm="1">
        <f t="array" ref="J309">GetLongitude(D309)</f>
        <v>87607767</v>
      </c>
      <c r="K309" s="1">
        <f t="shared" si="13"/>
        <v>55.3271686</v>
      </c>
      <c r="L309" s="1">
        <f t="shared" si="14"/>
        <v>8.7607766999999992</v>
      </c>
    </row>
    <row r="310" spans="1:12" ht="16" x14ac:dyDescent="0.2">
      <c r="A310" s="1">
        <v>309</v>
      </c>
      <c r="B310" s="1" t="s">
        <v>606</v>
      </c>
      <c r="C310" s="1" t="s">
        <v>944</v>
      </c>
      <c r="D310" s="1" t="str">
        <f t="shared" si="12"/>
        <v>Esbjerg KommuneSønderportsgade 3</v>
      </c>
      <c r="E310" s="1" t="s">
        <v>945</v>
      </c>
      <c r="F310" s="1" t="s">
        <v>946</v>
      </c>
      <c r="G310" s="1">
        <v>1919</v>
      </c>
      <c r="H310" s="1" t="s">
        <v>11</v>
      </c>
      <c r="I310" s="6" cm="1">
        <f t="array" ref="I310">GetLatitude(D310)</f>
        <v>553275158</v>
      </c>
      <c r="J310" s="1" cm="1">
        <f t="array" ref="J310">GetLongitude(D310)</f>
        <v>87625102</v>
      </c>
      <c r="K310" s="1">
        <f t="shared" si="13"/>
        <v>55.3275158</v>
      </c>
      <c r="L310" s="1">
        <f t="shared" si="14"/>
        <v>8.7625101999999995</v>
      </c>
    </row>
    <row r="311" spans="1:12" ht="16" x14ac:dyDescent="0.2">
      <c r="A311" s="1">
        <v>310</v>
      </c>
      <c r="B311" s="1" t="s">
        <v>606</v>
      </c>
      <c r="C311" s="1" t="s">
        <v>947</v>
      </c>
      <c r="D311" s="1" t="str">
        <f t="shared" si="12"/>
        <v>Esbjerg KommuneSønderportsgade 37</v>
      </c>
      <c r="E311" s="1" t="s">
        <v>948</v>
      </c>
      <c r="F311" s="1" t="s">
        <v>949</v>
      </c>
      <c r="G311" s="1">
        <v>1918</v>
      </c>
      <c r="H311" s="1" t="s">
        <v>11</v>
      </c>
      <c r="I311" s="6" cm="1">
        <f t="array" ref="I311">GetLatitude(D311)</f>
        <v>553271889</v>
      </c>
      <c r="J311" s="1" cm="1">
        <f t="array" ref="J311">GetLongitude(D311)</f>
        <v>87594694</v>
      </c>
      <c r="K311" s="1">
        <f t="shared" si="13"/>
        <v>55.327188900000003</v>
      </c>
      <c r="L311" s="1">
        <f t="shared" si="14"/>
        <v>8.7594694000000004</v>
      </c>
    </row>
    <row r="312" spans="1:12" ht="16" x14ac:dyDescent="0.2">
      <c r="A312" s="1">
        <v>311</v>
      </c>
      <c r="B312" s="1" t="s">
        <v>606</v>
      </c>
      <c r="C312" s="1" t="s">
        <v>950</v>
      </c>
      <c r="D312" s="1" t="str">
        <f t="shared" si="12"/>
        <v>Esbjerg KommuneSønderportsgade 39</v>
      </c>
      <c r="E312" s="1" t="s">
        <v>951</v>
      </c>
      <c r="F312" s="1" t="s">
        <v>952</v>
      </c>
      <c r="G312" s="1">
        <v>1964</v>
      </c>
      <c r="H312" s="1" t="s">
        <v>11</v>
      </c>
      <c r="I312" s="6" cm="1">
        <f t="array" ref="I312">GetLatitude(D312)</f>
        <v>553272046</v>
      </c>
      <c r="J312" s="1" cm="1">
        <f t="array" ref="J312">GetLongitude(D312)</f>
        <v>87592914</v>
      </c>
      <c r="K312" s="1">
        <f t="shared" si="13"/>
        <v>55.327204600000002</v>
      </c>
      <c r="L312" s="1">
        <f t="shared" si="14"/>
        <v>8.7592914000000004</v>
      </c>
    </row>
    <row r="313" spans="1:12" ht="16" x14ac:dyDescent="0.2">
      <c r="A313" s="1">
        <v>312</v>
      </c>
      <c r="B313" s="1" t="s">
        <v>606</v>
      </c>
      <c r="C313" s="1" t="s">
        <v>953</v>
      </c>
      <c r="D313" s="1" t="str">
        <f t="shared" si="12"/>
        <v>Esbjerg KommuneSønderportsgade 8</v>
      </c>
      <c r="E313" s="1" t="s">
        <v>954</v>
      </c>
      <c r="F313" s="1" t="s">
        <v>955</v>
      </c>
      <c r="G313" s="1">
        <v>1919</v>
      </c>
      <c r="H313" s="1" t="s">
        <v>11</v>
      </c>
      <c r="I313" s="6" cm="1">
        <f t="array" ref="I313">GetLatitude(D313)</f>
        <v>553274053</v>
      </c>
      <c r="J313" s="1" cm="1">
        <f t="array" ref="J313">GetLongitude(D313)</f>
        <v>87611748</v>
      </c>
      <c r="K313" s="1">
        <f t="shared" si="13"/>
        <v>55.327405300000002</v>
      </c>
      <c r="L313" s="1">
        <f t="shared" si="14"/>
        <v>8.7611747999999992</v>
      </c>
    </row>
    <row r="314" spans="1:12" ht="16" x14ac:dyDescent="0.2">
      <c r="A314" s="1">
        <v>313</v>
      </c>
      <c r="B314" s="1" t="s">
        <v>606</v>
      </c>
      <c r="C314" s="1" t="s">
        <v>956</v>
      </c>
      <c r="D314" s="1" t="str">
        <f t="shared" si="12"/>
        <v>Esbjerg KommuneSønderportsgade 8A, hj af Skolegade (tidl Sønderportsgade 8B)</v>
      </c>
      <c r="E314" s="1" t="s">
        <v>957</v>
      </c>
      <c r="F314" s="1" t="s">
        <v>958</v>
      </c>
      <c r="G314" s="1">
        <v>1983</v>
      </c>
      <c r="H314" s="1" t="s">
        <v>15</v>
      </c>
      <c r="I314" s="6" cm="1">
        <f t="array" ref="I314">GetLatitude(D314)</f>
        <v>553273004</v>
      </c>
      <c r="J314" s="1" cm="1">
        <f t="array" ref="J314">GetLongitude(D314)</f>
        <v>87606665</v>
      </c>
      <c r="K314" s="1">
        <f t="shared" si="13"/>
        <v>55.327300399999999</v>
      </c>
      <c r="L314" s="1">
        <f t="shared" si="14"/>
        <v>8.7606664999999992</v>
      </c>
    </row>
    <row r="315" spans="1:12" ht="16" x14ac:dyDescent="0.2">
      <c r="A315" s="1">
        <v>314</v>
      </c>
      <c r="B315" s="1" t="s">
        <v>606</v>
      </c>
      <c r="C315" s="1" t="s">
        <v>959</v>
      </c>
      <c r="D315" s="1" t="str">
        <f t="shared" si="12"/>
        <v>Esbjerg KommuneSøndre Kirkevej 20</v>
      </c>
      <c r="E315" s="1" t="s">
        <v>960</v>
      </c>
      <c r="F315" s="1" t="s">
        <v>961</v>
      </c>
      <c r="G315" s="1">
        <v>1959</v>
      </c>
      <c r="H315" s="1" t="s">
        <v>11</v>
      </c>
      <c r="I315" s="6" cm="1">
        <f t="array" ref="I315">GetLatitude(D315)</f>
        <v>552907941</v>
      </c>
      <c r="J315" s="1" cm="1">
        <f t="array" ref="J315">GetLongitude(D315)</f>
        <v>86748983</v>
      </c>
      <c r="K315" s="1">
        <f t="shared" si="13"/>
        <v>55.290794099999999</v>
      </c>
      <c r="L315" s="1">
        <f t="shared" si="14"/>
        <v>8.6748983000000006</v>
      </c>
    </row>
    <row r="316" spans="1:12" ht="16" x14ac:dyDescent="0.2">
      <c r="A316" s="1">
        <v>315</v>
      </c>
      <c r="B316" s="1" t="s">
        <v>606</v>
      </c>
      <c r="C316" s="1" t="s">
        <v>962</v>
      </c>
      <c r="D316" s="1" t="str">
        <f t="shared" si="12"/>
        <v>Esbjerg KommuneToldbodvej 1</v>
      </c>
      <c r="E316" s="1" t="s">
        <v>963</v>
      </c>
      <c r="F316" s="1" t="s">
        <v>964</v>
      </c>
      <c r="G316" s="1">
        <v>1984</v>
      </c>
      <c r="H316" s="1" t="s">
        <v>11</v>
      </c>
      <c r="I316" s="6" cm="1">
        <f t="array" ref="I316">GetLatitude(D316)</f>
        <v>554641000</v>
      </c>
      <c r="J316" s="1" cm="1">
        <f t="array" ref="J316">GetLongitude(D316)</f>
        <v>84458780</v>
      </c>
      <c r="K316" s="1">
        <f t="shared" si="13"/>
        <v>55.464100000000002</v>
      </c>
      <c r="L316" s="1">
        <f t="shared" si="14"/>
        <v>8.4458780000000004</v>
      </c>
    </row>
    <row r="317" spans="1:12" ht="16" x14ac:dyDescent="0.2">
      <c r="A317" s="1">
        <v>316</v>
      </c>
      <c r="B317" s="1" t="s">
        <v>606</v>
      </c>
      <c r="C317" s="1" t="s">
        <v>965</v>
      </c>
      <c r="D317" s="1" t="str">
        <f t="shared" si="12"/>
        <v>Esbjerg KommuneTorvet 1</v>
      </c>
      <c r="E317" s="1" t="s">
        <v>966</v>
      </c>
      <c r="F317" s="1" t="s">
        <v>967</v>
      </c>
      <c r="G317" s="1">
        <v>1924</v>
      </c>
      <c r="H317" s="1" t="s">
        <v>15</v>
      </c>
      <c r="I317" s="6" cm="1">
        <f t="array" ref="I317">GetLatitude(D317)</f>
        <v>553097657</v>
      </c>
      <c r="J317" s="1" cm="1">
        <f t="array" ref="J317">GetLongitude(D317)</f>
        <v>87716638</v>
      </c>
      <c r="K317" s="1">
        <f t="shared" si="13"/>
        <v>55.3097657</v>
      </c>
      <c r="L317" s="1">
        <f t="shared" si="14"/>
        <v>8.7716638000000007</v>
      </c>
    </row>
    <row r="318" spans="1:12" ht="16" x14ac:dyDescent="0.2">
      <c r="A318" s="1">
        <v>317</v>
      </c>
      <c r="B318" s="1" t="s">
        <v>606</v>
      </c>
      <c r="C318" s="1" t="s">
        <v>968</v>
      </c>
      <c r="D318" s="1" t="str">
        <f t="shared" si="12"/>
        <v>Esbjerg KommuneTorvet 11</v>
      </c>
      <c r="E318" s="1" t="s">
        <v>969</v>
      </c>
      <c r="F318" s="1" t="s">
        <v>970</v>
      </c>
      <c r="G318" s="1">
        <v>1972</v>
      </c>
      <c r="H318" s="1" t="s">
        <v>701</v>
      </c>
      <c r="I318" s="6" cm="1">
        <f t="array" ref="I318">GetLatitude(D318)</f>
        <v>553097657</v>
      </c>
      <c r="J318" s="1" cm="1">
        <f t="array" ref="J318">GetLongitude(D318)</f>
        <v>87716638</v>
      </c>
      <c r="K318" s="1">
        <f t="shared" si="13"/>
        <v>55.3097657</v>
      </c>
      <c r="L318" s="1">
        <f t="shared" si="14"/>
        <v>8.7716638000000007</v>
      </c>
    </row>
    <row r="319" spans="1:12" ht="16" x14ac:dyDescent="0.2">
      <c r="A319" s="1">
        <v>318</v>
      </c>
      <c r="B319" s="1" t="s">
        <v>606</v>
      </c>
      <c r="C319" s="1" t="s">
        <v>971</v>
      </c>
      <c r="D319" s="1" t="str">
        <f t="shared" si="12"/>
        <v>Esbjerg KommuneTorvet 15 A</v>
      </c>
      <c r="E319" s="1" t="s">
        <v>972</v>
      </c>
      <c r="F319" s="1" t="s">
        <v>973</v>
      </c>
      <c r="G319" s="1">
        <v>1982</v>
      </c>
      <c r="H319" s="1" t="s">
        <v>974</v>
      </c>
      <c r="I319" s="6" cm="1">
        <f t="array" ref="I319">GetLatitude(D319)</f>
        <v>554661121</v>
      </c>
      <c r="J319" s="1" cm="1">
        <f t="array" ref="J319">GetLongitude(D319)</f>
        <v>84523786</v>
      </c>
      <c r="K319" s="1">
        <f t="shared" si="13"/>
        <v>55.466112099999997</v>
      </c>
      <c r="L319" s="1">
        <f t="shared" si="14"/>
        <v>8.4523785999999994</v>
      </c>
    </row>
    <row r="320" spans="1:12" ht="16" x14ac:dyDescent="0.2">
      <c r="A320" s="1">
        <v>319</v>
      </c>
      <c r="B320" s="1" t="s">
        <v>606</v>
      </c>
      <c r="C320" s="1" t="s">
        <v>975</v>
      </c>
      <c r="D320" s="1" t="str">
        <f t="shared" si="12"/>
        <v>Esbjerg KommuneTorvet 16</v>
      </c>
      <c r="E320" s="1" t="s">
        <v>976</v>
      </c>
      <c r="F320" s="1" t="s">
        <v>977</v>
      </c>
      <c r="G320" s="1">
        <v>1964</v>
      </c>
      <c r="H320" s="1" t="s">
        <v>15</v>
      </c>
      <c r="I320" s="6" cm="1">
        <f t="array" ref="I320">GetLatitude(D320)</f>
        <v>554664118</v>
      </c>
      <c r="J320" s="1" cm="1">
        <f t="array" ref="J320">GetLongitude(D320)</f>
        <v>84514979</v>
      </c>
      <c r="K320" s="1">
        <f t="shared" si="13"/>
        <v>55.466411800000003</v>
      </c>
      <c r="L320" s="1">
        <f t="shared" si="14"/>
        <v>8.4514978999999997</v>
      </c>
    </row>
    <row r="321" spans="1:12" ht="16" x14ac:dyDescent="0.2">
      <c r="A321" s="1">
        <v>320</v>
      </c>
      <c r="B321" s="1" t="s">
        <v>606</v>
      </c>
      <c r="C321" s="1" t="s">
        <v>978</v>
      </c>
      <c r="D321" s="1" t="str">
        <f t="shared" si="12"/>
        <v>Esbjerg KommuneTorvet 2</v>
      </c>
      <c r="E321" s="1" t="s">
        <v>979</v>
      </c>
      <c r="F321" s="1" t="s">
        <v>980</v>
      </c>
      <c r="G321" s="1">
        <v>1918</v>
      </c>
      <c r="H321" s="1" t="s">
        <v>11</v>
      </c>
      <c r="I321" s="6" cm="1">
        <f t="array" ref="I321">GetLatitude(D321)</f>
        <v>553097657</v>
      </c>
      <c r="J321" s="1" cm="1">
        <f t="array" ref="J321">GetLongitude(D321)</f>
        <v>87716638</v>
      </c>
      <c r="K321" s="1">
        <f t="shared" si="13"/>
        <v>55.3097657</v>
      </c>
      <c r="L321" s="1">
        <f t="shared" si="14"/>
        <v>8.7716638000000007</v>
      </c>
    </row>
    <row r="322" spans="1:12" ht="16" x14ac:dyDescent="0.2">
      <c r="A322" s="1">
        <v>321</v>
      </c>
      <c r="B322" s="1" t="s">
        <v>606</v>
      </c>
      <c r="C322" s="1" t="s">
        <v>981</v>
      </c>
      <c r="D322" s="1" t="str">
        <f t="shared" si="12"/>
        <v>Esbjerg KommuneTorvet 20</v>
      </c>
      <c r="E322" s="1" t="s">
        <v>982</v>
      </c>
      <c r="F322" s="1" t="s">
        <v>983</v>
      </c>
      <c r="G322" s="1">
        <v>1983</v>
      </c>
      <c r="H322" s="1" t="s">
        <v>15</v>
      </c>
      <c r="I322" s="6" cm="1">
        <f t="array" ref="I322">GetLatitude(D322)</f>
        <v>554667160</v>
      </c>
      <c r="J322" s="1" cm="1">
        <f t="array" ref="J322">GetLongitude(D322)</f>
        <v>84516290</v>
      </c>
      <c r="K322" s="1">
        <f t="shared" si="13"/>
        <v>55.466715999999998</v>
      </c>
      <c r="L322" s="1">
        <f t="shared" si="14"/>
        <v>8.4516290000000005</v>
      </c>
    </row>
    <row r="323" spans="1:12" ht="16" x14ac:dyDescent="0.2">
      <c r="A323" s="1">
        <v>322</v>
      </c>
      <c r="B323" s="1" t="s">
        <v>606</v>
      </c>
      <c r="C323" s="1" t="s">
        <v>984</v>
      </c>
      <c r="D323" s="1" t="str">
        <f t="shared" ref="D323:D386" si="15">B323&amp;C323</f>
        <v>Esbjerg KommuneTorvet 3-5, hj af Stenbogade</v>
      </c>
      <c r="E323" s="1" t="s">
        <v>985</v>
      </c>
      <c r="F323" s="1" t="s">
        <v>986</v>
      </c>
      <c r="G323" s="1">
        <v>1918</v>
      </c>
      <c r="H323" s="1" t="s">
        <v>701</v>
      </c>
      <c r="I323" s="6" cm="1">
        <f t="array" ref="I323">GetLatitude(D323)</f>
        <v>553279678</v>
      </c>
      <c r="J323" s="1" cm="1">
        <f t="array" ref="J323">GetLongitude(D323)</f>
        <v>87625693</v>
      </c>
      <c r="K323" s="1">
        <f t="shared" si="13"/>
        <v>55.327967800000003</v>
      </c>
      <c r="L323" s="1">
        <f t="shared" si="14"/>
        <v>8.7625692999999991</v>
      </c>
    </row>
    <row r="324" spans="1:12" ht="16" x14ac:dyDescent="0.2">
      <c r="A324" s="1">
        <v>323</v>
      </c>
      <c r="B324" s="1" t="s">
        <v>606</v>
      </c>
      <c r="C324" s="1" t="s">
        <v>987</v>
      </c>
      <c r="D324" s="1" t="str">
        <f t="shared" si="15"/>
        <v>Esbjerg KommuneVon Støckens Plads 1, hj af Stenbogade</v>
      </c>
      <c r="E324" s="1" t="s">
        <v>988</v>
      </c>
      <c r="F324" s="1" t="s">
        <v>989</v>
      </c>
      <c r="G324" s="1">
        <v>1918</v>
      </c>
      <c r="H324" s="1" t="s">
        <v>990</v>
      </c>
      <c r="I324" s="6" cm="1">
        <f t="array" ref="I324">GetLatitude(D324)</f>
        <v>553279678</v>
      </c>
      <c r="J324" s="1" cm="1">
        <f t="array" ref="J324">GetLongitude(D324)</f>
        <v>87625693</v>
      </c>
      <c r="K324" s="1">
        <f t="shared" ref="K324:K387" si="16">I324/10000000</f>
        <v>55.327967800000003</v>
      </c>
      <c r="L324" s="1">
        <f t="shared" ref="L324:L387" si="17">J324/10000000</f>
        <v>8.7625692999999991</v>
      </c>
    </row>
    <row r="325" spans="1:12" ht="16" x14ac:dyDescent="0.2">
      <c r="A325" s="1">
        <v>324</v>
      </c>
      <c r="B325" s="1" t="s">
        <v>606</v>
      </c>
      <c r="C325" s="1" t="s">
        <v>991</v>
      </c>
      <c r="D325" s="1" t="str">
        <f t="shared" si="15"/>
        <v>Esbjerg KommuneØlufvad Hovedvej 85</v>
      </c>
      <c r="E325" s="1" t="s">
        <v>992</v>
      </c>
      <c r="F325" s="1" t="s">
        <v>993</v>
      </c>
      <c r="G325" s="1">
        <v>1979</v>
      </c>
      <c r="H325" s="1" t="s">
        <v>11</v>
      </c>
      <c r="I325" s="6" cm="1">
        <f t="array" ref="I325">GetLatitude(D325)</f>
        <v>555622615</v>
      </c>
      <c r="J325" s="1" cm="1">
        <f t="array" ref="J325">GetLongitude(D325)</f>
        <v>85542820</v>
      </c>
      <c r="K325" s="1">
        <f t="shared" si="16"/>
        <v>55.562261499999998</v>
      </c>
      <c r="L325" s="1">
        <f t="shared" si="17"/>
        <v>8.5542820000000006</v>
      </c>
    </row>
    <row r="326" spans="1:12" ht="16" x14ac:dyDescent="0.2">
      <c r="A326" s="1">
        <v>325</v>
      </c>
      <c r="B326" s="1" t="s">
        <v>606</v>
      </c>
      <c r="C326" s="1" t="s">
        <v>994</v>
      </c>
      <c r="D326" s="1" t="str">
        <f t="shared" si="15"/>
        <v>Esbjerg KommuneØsterbyvej 13</v>
      </c>
      <c r="E326" s="1" t="s">
        <v>995</v>
      </c>
      <c r="F326" s="1" t="s">
        <v>996</v>
      </c>
      <c r="G326" s="1">
        <v>1987</v>
      </c>
      <c r="H326" s="1" t="s">
        <v>11</v>
      </c>
      <c r="I326" s="6" cm="1">
        <f t="array" ref="I326">GetLatitude(D326)</f>
        <v>554602961</v>
      </c>
      <c r="J326" s="1" cm="1">
        <f t="array" ref="J326">GetLongitude(D326)</f>
        <v>85869023</v>
      </c>
      <c r="K326" s="1">
        <f t="shared" si="16"/>
        <v>55.460296100000001</v>
      </c>
      <c r="L326" s="1">
        <f t="shared" si="17"/>
        <v>8.5869023000000002</v>
      </c>
    </row>
    <row r="327" spans="1:12" ht="16" x14ac:dyDescent="0.2">
      <c r="A327" s="1">
        <v>326</v>
      </c>
      <c r="B327" s="1" t="s">
        <v>606</v>
      </c>
      <c r="C327" s="1" t="s">
        <v>997</v>
      </c>
      <c r="D327" s="1" t="str">
        <f t="shared" si="15"/>
        <v>Esbjerg KommuneØstergade 4</v>
      </c>
      <c r="E327" s="1" t="s">
        <v>998</v>
      </c>
      <c r="F327" s="1" t="s">
        <v>999</v>
      </c>
      <c r="G327" s="1">
        <v>1983</v>
      </c>
      <c r="H327" s="1" t="s">
        <v>15</v>
      </c>
      <c r="I327" s="6" cm="1">
        <f t="array" ref="I327">GetLatitude(D327)</f>
        <v>554629789</v>
      </c>
      <c r="J327" s="1" cm="1">
        <f t="array" ref="J327">GetLongitude(D327)</f>
        <v>87062982</v>
      </c>
      <c r="K327" s="1">
        <f t="shared" si="16"/>
        <v>55.462978900000003</v>
      </c>
      <c r="L327" s="1">
        <f t="shared" si="17"/>
        <v>8.7062982000000009</v>
      </c>
    </row>
    <row r="328" spans="1:12" ht="16" x14ac:dyDescent="0.2">
      <c r="A328" s="1">
        <v>327</v>
      </c>
      <c r="B328" s="1" t="s">
        <v>1000</v>
      </c>
      <c r="C328" s="1" t="s">
        <v>1001</v>
      </c>
      <c r="D328" s="1" t="str">
        <f t="shared" si="15"/>
        <v>Fanø KommuneBarkvej 5</v>
      </c>
      <c r="E328" s="1" t="s">
        <v>1002</v>
      </c>
      <c r="F328" s="1" t="s">
        <v>1003</v>
      </c>
      <c r="G328" s="1">
        <v>1950</v>
      </c>
      <c r="H328" s="1" t="s">
        <v>15</v>
      </c>
      <c r="I328" s="6" cm="1">
        <f t="array" ref="I328">GetLatitude(D328)</f>
        <v>554476324</v>
      </c>
      <c r="J328" s="1" cm="1">
        <f t="array" ref="J328">GetLongitude(D328)</f>
        <v>84048154</v>
      </c>
      <c r="K328" s="1">
        <f t="shared" si="16"/>
        <v>55.447632400000003</v>
      </c>
      <c r="L328" s="1">
        <f t="shared" si="17"/>
        <v>8.4048154000000004</v>
      </c>
    </row>
    <row r="329" spans="1:12" ht="16" x14ac:dyDescent="0.2">
      <c r="A329" s="1">
        <v>328</v>
      </c>
      <c r="B329" s="1" t="s">
        <v>1000</v>
      </c>
      <c r="C329" s="1" t="s">
        <v>1004</v>
      </c>
      <c r="D329" s="1" t="str">
        <f t="shared" si="15"/>
        <v>Fanø KommuneBarkvej 7</v>
      </c>
      <c r="E329" s="1" t="s">
        <v>1005</v>
      </c>
      <c r="F329" s="1" t="s">
        <v>1006</v>
      </c>
      <c r="G329" s="1">
        <v>1950</v>
      </c>
      <c r="H329" s="1" t="s">
        <v>15</v>
      </c>
      <c r="I329" s="6" cm="1">
        <f t="array" ref="I329">GetLatitude(D329)</f>
        <v>554476448</v>
      </c>
      <c r="J329" s="1" cm="1">
        <f t="array" ref="J329">GetLongitude(D329)</f>
        <v>84046138</v>
      </c>
      <c r="K329" s="1">
        <f t="shared" si="16"/>
        <v>55.447644799999999</v>
      </c>
      <c r="L329" s="1">
        <f t="shared" si="17"/>
        <v>8.4046137999999999</v>
      </c>
    </row>
    <row r="330" spans="1:12" ht="16" x14ac:dyDescent="0.2">
      <c r="A330" s="1">
        <v>329</v>
      </c>
      <c r="B330" s="1" t="s">
        <v>1000</v>
      </c>
      <c r="C330" s="1" t="s">
        <v>1007</v>
      </c>
      <c r="D330" s="1" t="str">
        <f t="shared" si="15"/>
        <v>Fanø KommuneBjerrevej 10</v>
      </c>
      <c r="E330" s="1" t="s">
        <v>1008</v>
      </c>
      <c r="F330" s="1" t="s">
        <v>1009</v>
      </c>
      <c r="G330" s="1">
        <v>1950</v>
      </c>
      <c r="H330" s="1" t="s">
        <v>11</v>
      </c>
      <c r="I330" s="6" cm="1">
        <f t="array" ref="I330">GetLatitude(D330)</f>
        <v>553467799</v>
      </c>
      <c r="J330" s="1" cm="1">
        <f t="array" ref="J330">GetLongitude(D330)</f>
        <v>84696997</v>
      </c>
      <c r="K330" s="1">
        <f t="shared" si="16"/>
        <v>55.346779900000001</v>
      </c>
      <c r="L330" s="1">
        <f t="shared" si="17"/>
        <v>8.4696996999999996</v>
      </c>
    </row>
    <row r="331" spans="1:12" ht="16" x14ac:dyDescent="0.2">
      <c r="A331" s="1">
        <v>330</v>
      </c>
      <c r="B331" s="1" t="s">
        <v>1000</v>
      </c>
      <c r="C331" s="1" t="s">
        <v>1010</v>
      </c>
      <c r="D331" s="1" t="str">
        <f t="shared" si="15"/>
        <v>Fanø KommuneBjerrevej 11</v>
      </c>
      <c r="E331" s="1" t="s">
        <v>1011</v>
      </c>
      <c r="F331" s="1" t="s">
        <v>1012</v>
      </c>
      <c r="G331" s="1">
        <v>1949</v>
      </c>
      <c r="H331" s="1" t="s">
        <v>11</v>
      </c>
      <c r="I331" s="6" cm="1">
        <f t="array" ref="I331">GetLatitude(D331)</f>
        <v>553467610</v>
      </c>
      <c r="J331" s="1" cm="1">
        <f t="array" ref="J331">GetLongitude(D331)</f>
        <v>84692864</v>
      </c>
      <c r="K331" s="1">
        <f t="shared" si="16"/>
        <v>55.346761000000001</v>
      </c>
      <c r="L331" s="1">
        <f t="shared" si="17"/>
        <v>8.4692863999999997</v>
      </c>
    </row>
    <row r="332" spans="1:12" ht="16" x14ac:dyDescent="0.2">
      <c r="A332" s="1">
        <v>331</v>
      </c>
      <c r="B332" s="1" t="s">
        <v>1000</v>
      </c>
      <c r="C332" s="1" t="s">
        <v>1013</v>
      </c>
      <c r="D332" s="1" t="str">
        <f t="shared" si="15"/>
        <v>Fanø KommuneBjerrevej 9</v>
      </c>
      <c r="E332" s="1" t="s">
        <v>1014</v>
      </c>
      <c r="F332" s="1" t="s">
        <v>1015</v>
      </c>
      <c r="G332" s="1">
        <v>1950</v>
      </c>
      <c r="H332" s="1" t="s">
        <v>11</v>
      </c>
      <c r="I332" s="6" cm="1">
        <f t="array" ref="I332">GetLatitude(D332)</f>
        <v>553467933</v>
      </c>
      <c r="J332" s="1" cm="1">
        <f t="array" ref="J332">GetLongitude(D332)</f>
        <v>84689764</v>
      </c>
      <c r="K332" s="1">
        <f t="shared" si="16"/>
        <v>55.346793300000002</v>
      </c>
      <c r="L332" s="1">
        <f t="shared" si="17"/>
        <v>8.4689764000000007</v>
      </c>
    </row>
    <row r="333" spans="1:12" ht="16" x14ac:dyDescent="0.2">
      <c r="A333" s="1">
        <v>332</v>
      </c>
      <c r="B333" s="1" t="s">
        <v>1000</v>
      </c>
      <c r="C333" s="1" t="s">
        <v>1016</v>
      </c>
      <c r="D333" s="1" t="str">
        <f t="shared" si="15"/>
        <v>Fanø KommuneDigevej 19</v>
      </c>
      <c r="E333" s="1" t="s">
        <v>1017</v>
      </c>
      <c r="F333" s="1" t="s">
        <v>1018</v>
      </c>
      <c r="G333" s="1">
        <v>1978</v>
      </c>
      <c r="H333" s="1" t="s">
        <v>11</v>
      </c>
      <c r="I333" s="6" cm="1">
        <f t="array" ref="I333">GetLatitude(D333)</f>
        <v>553503567</v>
      </c>
      <c r="J333" s="1" cm="1">
        <f t="array" ref="J333">GetLongitude(D333)</f>
        <v>84722540</v>
      </c>
      <c r="K333" s="1">
        <f t="shared" si="16"/>
        <v>55.350356699999999</v>
      </c>
      <c r="L333" s="1">
        <f t="shared" si="17"/>
        <v>8.4722539999999995</v>
      </c>
    </row>
    <row r="334" spans="1:12" ht="16" x14ac:dyDescent="0.2">
      <c r="A334" s="1">
        <v>333</v>
      </c>
      <c r="B334" s="1" t="s">
        <v>1000</v>
      </c>
      <c r="C334" s="1" t="s">
        <v>1019</v>
      </c>
      <c r="D334" s="1" t="str">
        <f t="shared" si="15"/>
        <v>Fanø KommuneDigevej 23</v>
      </c>
      <c r="E334" s="1" t="s">
        <v>1020</v>
      </c>
      <c r="F334" s="1" t="s">
        <v>1021</v>
      </c>
      <c r="G334" s="1">
        <v>1950</v>
      </c>
      <c r="H334" s="1" t="s">
        <v>11</v>
      </c>
      <c r="I334" s="6" cm="1">
        <f t="array" ref="I334">GetLatitude(D334)</f>
        <v>553504263</v>
      </c>
      <c r="J334" s="1" cm="1">
        <f t="array" ref="J334">GetLongitude(D334)</f>
        <v>84731286</v>
      </c>
      <c r="K334" s="1">
        <f t="shared" si="16"/>
        <v>55.350426300000002</v>
      </c>
      <c r="L334" s="1">
        <f t="shared" si="17"/>
        <v>8.4731286000000008</v>
      </c>
    </row>
    <row r="335" spans="1:12" ht="16" x14ac:dyDescent="0.2">
      <c r="A335" s="1">
        <v>334</v>
      </c>
      <c r="B335" s="1" t="s">
        <v>1000</v>
      </c>
      <c r="C335" s="1" t="s">
        <v>1022</v>
      </c>
      <c r="D335" s="1" t="str">
        <f t="shared" si="15"/>
        <v>Fanø KommuneDigevej 25</v>
      </c>
      <c r="E335" s="1" t="s">
        <v>1023</v>
      </c>
      <c r="F335" s="1" t="s">
        <v>1024</v>
      </c>
      <c r="G335" s="1">
        <v>1950</v>
      </c>
      <c r="H335" s="1" t="s">
        <v>11</v>
      </c>
      <c r="I335" s="6" cm="1">
        <f t="array" ref="I335">GetLatitude(D335)</f>
        <v>553504027</v>
      </c>
      <c r="J335" s="1" cm="1">
        <f t="array" ref="J335">GetLongitude(D335)</f>
        <v>84736235</v>
      </c>
      <c r="K335" s="1">
        <f t="shared" si="16"/>
        <v>55.350402699999997</v>
      </c>
      <c r="L335" s="1">
        <f t="shared" si="17"/>
        <v>8.4736235000000004</v>
      </c>
    </row>
    <row r="336" spans="1:12" ht="16" x14ac:dyDescent="0.2">
      <c r="A336" s="1">
        <v>335</v>
      </c>
      <c r="B336" s="1" t="s">
        <v>1000</v>
      </c>
      <c r="C336" s="1" t="s">
        <v>1025</v>
      </c>
      <c r="D336" s="1" t="str">
        <f t="shared" si="15"/>
        <v>Fanø KommuneDigevej 4</v>
      </c>
      <c r="E336" s="1" t="s">
        <v>1026</v>
      </c>
      <c r="F336" s="1" t="s">
        <v>1027</v>
      </c>
      <c r="G336" s="1">
        <v>1950</v>
      </c>
      <c r="H336" s="1" t="s">
        <v>11</v>
      </c>
      <c r="I336" s="6" cm="1">
        <f t="array" ref="I336">GetLatitude(D336)</f>
        <v>553506008</v>
      </c>
      <c r="J336" s="1" cm="1">
        <f t="array" ref="J336">GetLongitude(D336)</f>
        <v>84731233</v>
      </c>
      <c r="K336" s="1">
        <f t="shared" si="16"/>
        <v>55.350600800000002</v>
      </c>
      <c r="L336" s="1">
        <f t="shared" si="17"/>
        <v>8.4731232999999992</v>
      </c>
    </row>
    <row r="337" spans="1:12" ht="16" x14ac:dyDescent="0.2">
      <c r="A337" s="1">
        <v>336</v>
      </c>
      <c r="B337" s="1" t="s">
        <v>1000</v>
      </c>
      <c r="C337" s="1" t="s">
        <v>1028</v>
      </c>
      <c r="D337" s="1" t="str">
        <f t="shared" si="15"/>
        <v>Fanø KommuneDigevej 6</v>
      </c>
      <c r="E337" s="1" t="s">
        <v>1029</v>
      </c>
      <c r="F337" s="1" t="s">
        <v>1027</v>
      </c>
      <c r="G337" s="1">
        <v>1950</v>
      </c>
      <c r="H337" s="1" t="s">
        <v>11</v>
      </c>
      <c r="I337" s="6" cm="1">
        <f t="array" ref="I337">GetLatitude(D337)</f>
        <v>553506070</v>
      </c>
      <c r="J337" s="1" cm="1">
        <f t="array" ref="J337">GetLongitude(D337)</f>
        <v>84733620</v>
      </c>
      <c r="K337" s="1">
        <f t="shared" si="16"/>
        <v>55.350606999999997</v>
      </c>
      <c r="L337" s="1">
        <f t="shared" si="17"/>
        <v>8.4733619999999998</v>
      </c>
    </row>
    <row r="338" spans="1:12" ht="16" x14ac:dyDescent="0.2">
      <c r="A338" s="1">
        <v>337</v>
      </c>
      <c r="B338" s="1" t="s">
        <v>1000</v>
      </c>
      <c r="C338" s="1" t="s">
        <v>1030</v>
      </c>
      <c r="D338" s="1" t="str">
        <f t="shared" si="15"/>
        <v>Fanø KommuneGammel Byvej 10</v>
      </c>
      <c r="E338" s="1" t="s">
        <v>1031</v>
      </c>
      <c r="F338" s="1" t="s">
        <v>1012</v>
      </c>
      <c r="G338" s="1">
        <v>1950</v>
      </c>
      <c r="H338" s="1" t="s">
        <v>11</v>
      </c>
      <c r="I338" s="6" cm="1">
        <f t="array" ref="I338">GetLatitude(D338)</f>
        <v>553492544</v>
      </c>
      <c r="J338" s="1" cm="1">
        <f t="array" ref="J338">GetLongitude(D338)</f>
        <v>84699548</v>
      </c>
      <c r="K338" s="1">
        <f t="shared" si="16"/>
        <v>55.3492544</v>
      </c>
      <c r="L338" s="1">
        <f t="shared" si="17"/>
        <v>8.4699548</v>
      </c>
    </row>
    <row r="339" spans="1:12" ht="16" x14ac:dyDescent="0.2">
      <c r="A339" s="1">
        <v>338</v>
      </c>
      <c r="B339" s="1" t="s">
        <v>1000</v>
      </c>
      <c r="C339" s="1" t="s">
        <v>1032</v>
      </c>
      <c r="D339" s="1" t="str">
        <f t="shared" si="15"/>
        <v>Fanø KommuneGammel Byvej 12</v>
      </c>
      <c r="E339" s="1" t="s">
        <v>1033</v>
      </c>
      <c r="F339" s="1" t="s">
        <v>1034</v>
      </c>
      <c r="G339" s="1">
        <v>1997</v>
      </c>
      <c r="H339" s="1" t="s">
        <v>15</v>
      </c>
      <c r="I339" s="6" cm="1">
        <f t="array" ref="I339">GetLatitude(D339)</f>
        <v>553494370</v>
      </c>
      <c r="J339" s="1" cm="1">
        <f t="array" ref="J339">GetLongitude(D339)</f>
        <v>84698095</v>
      </c>
      <c r="K339" s="1">
        <f t="shared" si="16"/>
        <v>55.349437000000002</v>
      </c>
      <c r="L339" s="1">
        <f t="shared" si="17"/>
        <v>8.4698095000000002</v>
      </c>
    </row>
    <row r="340" spans="1:12" ht="16" x14ac:dyDescent="0.2">
      <c r="A340" s="1">
        <v>339</v>
      </c>
      <c r="B340" s="1" t="s">
        <v>1000</v>
      </c>
      <c r="C340" s="1" t="s">
        <v>1035</v>
      </c>
      <c r="D340" s="1" t="str">
        <f t="shared" si="15"/>
        <v>Fanø Kommune Gammel Byvej 14</v>
      </c>
      <c r="E340" s="1" t="s">
        <v>1035</v>
      </c>
      <c r="F340" s="1" t="s">
        <v>1036</v>
      </c>
      <c r="G340" s="1">
        <v>1997</v>
      </c>
      <c r="H340" s="1" t="s">
        <v>11</v>
      </c>
      <c r="I340" s="6" cm="1">
        <f t="array" ref="I340">GetLatitude(D340)</f>
        <v>553494604</v>
      </c>
      <c r="J340" s="1" cm="1">
        <f t="array" ref="J340">GetLongitude(D340)</f>
        <v>84696652</v>
      </c>
      <c r="K340" s="1">
        <f t="shared" si="16"/>
        <v>55.349460399999998</v>
      </c>
      <c r="L340" s="1">
        <f t="shared" si="17"/>
        <v>8.4696651999999997</v>
      </c>
    </row>
    <row r="341" spans="1:12" ht="16" x14ac:dyDescent="0.2">
      <c r="A341" s="1">
        <v>340</v>
      </c>
      <c r="B341" s="1" t="s">
        <v>1000</v>
      </c>
      <c r="C341" s="1" t="s">
        <v>1037</v>
      </c>
      <c r="D341" s="1" t="str">
        <f t="shared" si="15"/>
        <v>Fanø KommuneGammel Byvej 4</v>
      </c>
      <c r="E341" s="1" t="s">
        <v>1038</v>
      </c>
      <c r="F341" s="1" t="s">
        <v>1039</v>
      </c>
      <c r="G341" s="1">
        <v>2010</v>
      </c>
      <c r="H341" s="1" t="s">
        <v>15</v>
      </c>
      <c r="I341" s="6" cm="1">
        <f t="array" ref="I341">GetLatitude(D341)</f>
        <v>553488036</v>
      </c>
      <c r="J341" s="1" cm="1">
        <f t="array" ref="J341">GetLongitude(D341)</f>
        <v>84701765</v>
      </c>
      <c r="K341" s="1">
        <f t="shared" si="16"/>
        <v>55.348803599999997</v>
      </c>
      <c r="L341" s="1">
        <f t="shared" si="17"/>
        <v>8.4701765000000009</v>
      </c>
    </row>
    <row r="342" spans="1:12" ht="16" x14ac:dyDescent="0.2">
      <c r="A342" s="1">
        <v>341</v>
      </c>
      <c r="B342" s="1" t="s">
        <v>1000</v>
      </c>
      <c r="C342" s="1" t="s">
        <v>1040</v>
      </c>
      <c r="D342" s="1" t="str">
        <f t="shared" si="15"/>
        <v>Fanø KommuneGammel Byvej 7</v>
      </c>
      <c r="E342" s="1" t="s">
        <v>1041</v>
      </c>
      <c r="F342" s="1" t="s">
        <v>1042</v>
      </c>
      <c r="G342" s="1">
        <v>1971</v>
      </c>
      <c r="H342" s="1" t="s">
        <v>11</v>
      </c>
      <c r="I342" s="6" cm="1">
        <f t="array" ref="I342">GetLatitude(D342)</f>
        <v>553489920</v>
      </c>
      <c r="J342" s="1" cm="1">
        <f t="array" ref="J342">GetLongitude(D342)</f>
        <v>84706343</v>
      </c>
      <c r="K342" s="1">
        <f t="shared" si="16"/>
        <v>55.348992000000003</v>
      </c>
      <c r="L342" s="1">
        <f t="shared" si="17"/>
        <v>8.4706343000000004</v>
      </c>
    </row>
    <row r="343" spans="1:12" ht="16" x14ac:dyDescent="0.2">
      <c r="A343" s="1">
        <v>342</v>
      </c>
      <c r="B343" s="1" t="s">
        <v>1000</v>
      </c>
      <c r="C343" s="1" t="s">
        <v>1043</v>
      </c>
      <c r="D343" s="1" t="str">
        <f t="shared" si="15"/>
        <v>Fanø KommuneHovedgaden 41-43</v>
      </c>
      <c r="E343" s="1" t="s">
        <v>1044</v>
      </c>
      <c r="F343" s="1" t="s">
        <v>1045</v>
      </c>
      <c r="G343" s="1">
        <v>1989</v>
      </c>
      <c r="H343" s="1" t="s">
        <v>11</v>
      </c>
      <c r="I343" s="6" cm="1">
        <f t="array" ref="I343">GetLatitude(D343)</f>
        <v>554464870</v>
      </c>
      <c r="J343" s="1" cm="1">
        <f t="array" ref="J343">GetLongitude(D343)</f>
        <v>84050670</v>
      </c>
      <c r="K343" s="1">
        <f t="shared" si="16"/>
        <v>55.446486999999998</v>
      </c>
      <c r="L343" s="1">
        <f t="shared" si="17"/>
        <v>8.4050670000000007</v>
      </c>
    </row>
    <row r="344" spans="1:12" ht="16" x14ac:dyDescent="0.2">
      <c r="A344" s="1">
        <v>343</v>
      </c>
      <c r="B344" s="1" t="s">
        <v>1000</v>
      </c>
      <c r="C344" s="1" t="s">
        <v>1046</v>
      </c>
      <c r="D344" s="1" t="str">
        <f t="shared" si="15"/>
        <v>Fanø KommuneHovedgaden 55</v>
      </c>
      <c r="E344" s="1" t="s">
        <v>1047</v>
      </c>
      <c r="F344" s="1" t="s">
        <v>1048</v>
      </c>
      <c r="G344" s="1">
        <v>1989</v>
      </c>
      <c r="H344" s="1" t="s">
        <v>99</v>
      </c>
      <c r="I344" s="6" cm="1">
        <f t="array" ref="I344">GetLatitude(D344)</f>
        <v>554458289</v>
      </c>
      <c r="J344" s="1" cm="1">
        <f t="array" ref="J344">GetLongitude(D344)</f>
        <v>84044280</v>
      </c>
      <c r="K344" s="1">
        <f t="shared" si="16"/>
        <v>55.445828900000002</v>
      </c>
      <c r="L344" s="1">
        <f t="shared" si="17"/>
        <v>8.4044279999999993</v>
      </c>
    </row>
    <row r="345" spans="1:12" ht="16" x14ac:dyDescent="0.2">
      <c r="A345" s="1">
        <v>344</v>
      </c>
      <c r="B345" s="1" t="s">
        <v>1000</v>
      </c>
      <c r="C345" s="1" t="s">
        <v>1049</v>
      </c>
      <c r="D345" s="1" t="str">
        <f t="shared" si="15"/>
        <v>Fanø KommuneKirkevejen 25</v>
      </c>
      <c r="E345" s="1" t="s">
        <v>1050</v>
      </c>
      <c r="F345" s="1" t="s">
        <v>1051</v>
      </c>
      <c r="G345" s="1">
        <v>1995</v>
      </c>
      <c r="H345" s="1" t="s">
        <v>15</v>
      </c>
      <c r="I345" s="6" cm="1">
        <f t="array" ref="I345">GetLatitude(D345)</f>
        <v>554242680</v>
      </c>
      <c r="J345" s="1" cm="1">
        <f t="array" ref="J345">GetLongitude(D345)</f>
        <v>83875000</v>
      </c>
      <c r="K345" s="1">
        <f t="shared" si="16"/>
        <v>55.424267999999998</v>
      </c>
      <c r="L345" s="1">
        <f t="shared" si="17"/>
        <v>8.3874999999999993</v>
      </c>
    </row>
    <row r="346" spans="1:12" ht="16" x14ac:dyDescent="0.2">
      <c r="A346" s="1">
        <v>345</v>
      </c>
      <c r="B346" s="1" t="s">
        <v>1000</v>
      </c>
      <c r="C346" s="1" t="s">
        <v>1052</v>
      </c>
      <c r="D346" s="1" t="str">
        <f t="shared" si="15"/>
        <v>Fanø KommuneKrogvej 11-13</v>
      </c>
      <c r="E346" s="1" t="s">
        <v>1053</v>
      </c>
      <c r="F346" s="1" t="s">
        <v>1054</v>
      </c>
      <c r="G346" s="1">
        <v>1950</v>
      </c>
      <c r="H346" s="1" t="s">
        <v>11</v>
      </c>
      <c r="I346" s="6" cm="1">
        <f t="array" ref="I346">GetLatitude(D346)</f>
        <v>554477754</v>
      </c>
      <c r="J346" s="1" cm="1">
        <f t="array" ref="J346">GetLongitude(D346)</f>
        <v>84040064</v>
      </c>
      <c r="K346" s="1">
        <f t="shared" si="16"/>
        <v>55.447775399999998</v>
      </c>
      <c r="L346" s="1">
        <f t="shared" si="17"/>
        <v>8.4040064000000001</v>
      </c>
    </row>
    <row r="347" spans="1:12" ht="16" x14ac:dyDescent="0.2">
      <c r="A347" s="1">
        <v>346</v>
      </c>
      <c r="B347" s="1" t="s">
        <v>1000</v>
      </c>
      <c r="C347" s="1" t="s">
        <v>1055</v>
      </c>
      <c r="D347" s="1" t="str">
        <f t="shared" si="15"/>
        <v>Fanø KommuneKropladsen 11</v>
      </c>
      <c r="E347" s="1" t="s">
        <v>1056</v>
      </c>
      <c r="F347" s="1" t="s">
        <v>1057</v>
      </c>
      <c r="G347" s="1">
        <v>1945</v>
      </c>
      <c r="H347" s="1" t="s">
        <v>11</v>
      </c>
      <c r="I347" s="6" cm="1">
        <f t="array" ref="I347">GetLatitude(D347)</f>
        <v>553477391</v>
      </c>
      <c r="J347" s="1" cm="1">
        <f t="array" ref="J347">GetLongitude(D347)</f>
        <v>84723337</v>
      </c>
      <c r="K347" s="1">
        <f t="shared" si="16"/>
        <v>55.347739099999998</v>
      </c>
      <c r="L347" s="1">
        <f t="shared" si="17"/>
        <v>8.4723337000000001</v>
      </c>
    </row>
    <row r="348" spans="1:12" ht="16" x14ac:dyDescent="0.2">
      <c r="A348" s="1">
        <v>347</v>
      </c>
      <c r="B348" s="1" t="s">
        <v>1000</v>
      </c>
      <c r="C348" s="1" t="s">
        <v>1058</v>
      </c>
      <c r="D348" s="1" t="str">
        <f t="shared" si="15"/>
        <v>Fanø KommuneKropladsen 17</v>
      </c>
      <c r="E348" s="1" t="s">
        <v>1059</v>
      </c>
      <c r="F348" s="1" t="s">
        <v>1060</v>
      </c>
      <c r="G348" s="1">
        <v>1950</v>
      </c>
      <c r="H348" s="1" t="s">
        <v>11</v>
      </c>
      <c r="I348" s="6" cm="1">
        <f t="array" ref="I348">GetLatitude(D348)</f>
        <v>553479882</v>
      </c>
      <c r="J348" s="1" cm="1">
        <f t="array" ref="J348">GetLongitude(D348)</f>
        <v>84729762</v>
      </c>
      <c r="K348" s="1">
        <f t="shared" si="16"/>
        <v>55.347988200000003</v>
      </c>
      <c r="L348" s="1">
        <f t="shared" si="17"/>
        <v>8.4729761999999997</v>
      </c>
    </row>
    <row r="349" spans="1:12" ht="16" x14ac:dyDescent="0.2">
      <c r="A349" s="1">
        <v>348</v>
      </c>
      <c r="B349" s="1" t="s">
        <v>1000</v>
      </c>
      <c r="C349" s="1" t="s">
        <v>1061</v>
      </c>
      <c r="D349" s="1" t="str">
        <f t="shared" si="15"/>
        <v>Fanø KommuneKropladsen 2</v>
      </c>
      <c r="E349" s="1" t="s">
        <v>1062</v>
      </c>
      <c r="F349" s="1" t="s">
        <v>1063</v>
      </c>
      <c r="G349" s="1">
        <v>1985</v>
      </c>
      <c r="H349" s="1" t="s">
        <v>11</v>
      </c>
      <c r="I349" s="6" cm="1">
        <f t="array" ref="I349">GetLatitude(D349)</f>
        <v>553477092</v>
      </c>
      <c r="J349" s="1" cm="1">
        <f t="array" ref="J349">GetLongitude(D349)</f>
        <v>84716697</v>
      </c>
      <c r="K349" s="1">
        <f t="shared" si="16"/>
        <v>55.347709199999997</v>
      </c>
      <c r="L349" s="1">
        <f t="shared" si="17"/>
        <v>8.4716696999999996</v>
      </c>
    </row>
    <row r="350" spans="1:12" ht="16" x14ac:dyDescent="0.2">
      <c r="A350" s="1">
        <v>349</v>
      </c>
      <c r="B350" s="1" t="s">
        <v>1000</v>
      </c>
      <c r="C350" s="1" t="s">
        <v>1064</v>
      </c>
      <c r="D350" s="1" t="str">
        <f t="shared" si="15"/>
        <v>Fanø KommuneKåvervej 14</v>
      </c>
      <c r="E350" s="1" t="s">
        <v>1065</v>
      </c>
      <c r="F350" s="1" t="s">
        <v>1066</v>
      </c>
      <c r="G350" s="1">
        <v>1978</v>
      </c>
      <c r="H350" s="1" t="s">
        <v>11</v>
      </c>
      <c r="I350" s="6" cm="1">
        <f t="array" ref="I350">GetLatitude(D350)</f>
        <v>553471341</v>
      </c>
      <c r="J350" s="1" cm="1">
        <f t="array" ref="J350">GetLongitude(D350)</f>
        <v>84672708</v>
      </c>
      <c r="K350" s="1">
        <f t="shared" si="16"/>
        <v>55.347134099999998</v>
      </c>
      <c r="L350" s="1">
        <f t="shared" si="17"/>
        <v>8.4672707999999997</v>
      </c>
    </row>
    <row r="351" spans="1:12" ht="16" x14ac:dyDescent="0.2">
      <c r="A351" s="1">
        <v>350</v>
      </c>
      <c r="B351" s="1" t="s">
        <v>1000</v>
      </c>
      <c r="C351" s="1" t="s">
        <v>1067</v>
      </c>
      <c r="D351" s="1" t="str">
        <f t="shared" si="15"/>
        <v>Fanø KommuneKåvervej 31</v>
      </c>
      <c r="E351" s="1" t="s">
        <v>1068</v>
      </c>
      <c r="F351" s="1" t="s">
        <v>1069</v>
      </c>
      <c r="G351" s="1">
        <v>1971</v>
      </c>
      <c r="H351" s="1" t="s">
        <v>99</v>
      </c>
      <c r="I351" s="6" cm="1">
        <f t="array" ref="I351">GetLatitude(D351)</f>
        <v>553465163</v>
      </c>
      <c r="J351" s="1" cm="1">
        <f t="array" ref="J351">GetLongitude(D351)</f>
        <v>84682549</v>
      </c>
      <c r="K351" s="1">
        <f t="shared" si="16"/>
        <v>55.346516299999998</v>
      </c>
      <c r="L351" s="1">
        <f t="shared" si="17"/>
        <v>8.4682548999999998</v>
      </c>
    </row>
    <row r="352" spans="1:12" ht="16" x14ac:dyDescent="0.2">
      <c r="A352" s="1">
        <v>351</v>
      </c>
      <c r="B352" s="1" t="s">
        <v>1000</v>
      </c>
      <c r="C352" s="1" t="s">
        <v>1070</v>
      </c>
      <c r="D352" s="1" t="str">
        <f t="shared" si="15"/>
        <v>Fanø KommuneLandevejen 22</v>
      </c>
      <c r="E352" s="1" t="s">
        <v>1070</v>
      </c>
      <c r="F352" s="1" t="s">
        <v>1071</v>
      </c>
      <c r="G352" s="1">
        <v>1950</v>
      </c>
      <c r="H352" s="1" t="s">
        <v>11</v>
      </c>
      <c r="I352" s="6" cm="1">
        <f t="array" ref="I352">GetLatitude(D352)</f>
        <v>553480713</v>
      </c>
      <c r="J352" s="1" cm="1">
        <f t="array" ref="J352">GetLongitude(D352)</f>
        <v>84700651</v>
      </c>
      <c r="K352" s="1">
        <f t="shared" si="16"/>
        <v>55.348071300000001</v>
      </c>
      <c r="L352" s="1">
        <f t="shared" si="17"/>
        <v>8.4700650999999993</v>
      </c>
    </row>
    <row r="353" spans="1:12" ht="16" x14ac:dyDescent="0.2">
      <c r="A353" s="1">
        <v>352</v>
      </c>
      <c r="B353" s="1" t="s">
        <v>1000</v>
      </c>
      <c r="C353" s="1" t="s">
        <v>1072</v>
      </c>
      <c r="D353" s="1" t="str">
        <f t="shared" si="15"/>
        <v>Fanø KommuneLandevejen 28, tidl Bjerrevej 28</v>
      </c>
      <c r="E353" s="1" t="s">
        <v>1073</v>
      </c>
      <c r="F353" s="1" t="s">
        <v>1074</v>
      </c>
      <c r="G353" s="1">
        <v>1985</v>
      </c>
      <c r="H353" s="1" t="s">
        <v>11</v>
      </c>
      <c r="I353" s="6" cm="1">
        <f t="array" ref="I353">GetLatitude(D353)</f>
        <v>553480743</v>
      </c>
      <c r="J353" s="1" cm="1">
        <f t="array" ref="J353">GetLongitude(D353)</f>
        <v>84693964</v>
      </c>
      <c r="K353" s="1">
        <f t="shared" si="16"/>
        <v>55.3480743</v>
      </c>
      <c r="L353" s="1">
        <f t="shared" si="17"/>
        <v>8.4693964000000008</v>
      </c>
    </row>
    <row r="354" spans="1:12" ht="16" x14ac:dyDescent="0.2">
      <c r="A354" s="1">
        <v>353</v>
      </c>
      <c r="B354" s="1" t="s">
        <v>1000</v>
      </c>
      <c r="C354" s="1" t="s">
        <v>1075</v>
      </c>
      <c r="D354" s="1" t="str">
        <f t="shared" si="15"/>
        <v>Fanø KommuneLandevejen 36</v>
      </c>
      <c r="E354" s="1" t="s">
        <v>1076</v>
      </c>
      <c r="F354" s="1" t="s">
        <v>1077</v>
      </c>
      <c r="G354" s="1">
        <v>1950</v>
      </c>
      <c r="H354" s="1" t="s">
        <v>15</v>
      </c>
      <c r="I354" s="6" cm="1">
        <f t="array" ref="I354">GetLatitude(D354)</f>
        <v>553482985</v>
      </c>
      <c r="J354" s="1" cm="1">
        <f t="array" ref="J354">GetLongitude(D354)</f>
        <v>84704822</v>
      </c>
      <c r="K354" s="1">
        <f t="shared" si="16"/>
        <v>55.348298499999999</v>
      </c>
      <c r="L354" s="1">
        <f t="shared" si="17"/>
        <v>8.4704821999999993</v>
      </c>
    </row>
    <row r="355" spans="1:12" ht="16" x14ac:dyDescent="0.2">
      <c r="A355" s="1">
        <v>354</v>
      </c>
      <c r="B355" s="1" t="s">
        <v>1000</v>
      </c>
      <c r="C355" s="1" t="s">
        <v>1078</v>
      </c>
      <c r="D355" s="1" t="str">
        <f t="shared" si="15"/>
        <v>Fanø KommuneLandevejen 38</v>
      </c>
      <c r="E355" s="1" t="s">
        <v>1079</v>
      </c>
      <c r="F355" s="1" t="s">
        <v>1080</v>
      </c>
      <c r="G355" s="1">
        <v>1950</v>
      </c>
      <c r="H355" s="1" t="s">
        <v>11</v>
      </c>
      <c r="I355" s="6" cm="1">
        <f t="array" ref="I355">GetLatitude(D355)</f>
        <v>553484173</v>
      </c>
      <c r="J355" s="1" cm="1">
        <f t="array" ref="J355">GetLongitude(D355)</f>
        <v>84707232</v>
      </c>
      <c r="K355" s="1">
        <f t="shared" si="16"/>
        <v>55.348417300000001</v>
      </c>
      <c r="L355" s="1">
        <f t="shared" si="17"/>
        <v>8.4707232000000001</v>
      </c>
    </row>
    <row r="356" spans="1:12" ht="16" x14ac:dyDescent="0.2">
      <c r="A356" s="1">
        <v>355</v>
      </c>
      <c r="B356" s="1" t="s">
        <v>1000</v>
      </c>
      <c r="C356" s="1" t="s">
        <v>1081</v>
      </c>
      <c r="D356" s="1" t="str">
        <f t="shared" si="15"/>
        <v>Fanø KommuneLandevejen 7</v>
      </c>
      <c r="E356" s="1" t="s">
        <v>1082</v>
      </c>
      <c r="F356" s="1" t="s">
        <v>1083</v>
      </c>
      <c r="G356" s="1">
        <v>1950</v>
      </c>
      <c r="H356" s="1" t="s">
        <v>15</v>
      </c>
      <c r="I356" s="6" cm="1">
        <f t="array" ref="I356">GetLatitude(D356)</f>
        <v>553486916</v>
      </c>
      <c r="J356" s="1" cm="1">
        <f t="array" ref="J356">GetLongitude(D356)</f>
        <v>84717847</v>
      </c>
      <c r="K356" s="1">
        <f t="shared" si="16"/>
        <v>55.348691600000002</v>
      </c>
      <c r="L356" s="1">
        <f t="shared" si="17"/>
        <v>8.4717847000000006</v>
      </c>
    </row>
    <row r="357" spans="1:12" ht="16" x14ac:dyDescent="0.2">
      <c r="A357" s="1">
        <v>356</v>
      </c>
      <c r="B357" s="1" t="s">
        <v>1000</v>
      </c>
      <c r="C357" s="1" t="s">
        <v>1084</v>
      </c>
      <c r="D357" s="1" t="str">
        <f t="shared" si="15"/>
        <v>Fanø KommuneMartin Christensens Vej 1</v>
      </c>
      <c r="E357" s="1" t="s">
        <v>1085</v>
      </c>
      <c r="F357" s="1" t="s">
        <v>1086</v>
      </c>
      <c r="G357" s="1">
        <v>1971</v>
      </c>
      <c r="H357" s="1" t="s">
        <v>11</v>
      </c>
      <c r="I357" s="6" cm="1">
        <f t="array" ref="I357">GetLatitude(D357)</f>
        <v>554440090</v>
      </c>
      <c r="J357" s="1" cm="1">
        <f t="array" ref="J357">GetLongitude(D357)</f>
        <v>84042794</v>
      </c>
      <c r="K357" s="1">
        <f t="shared" si="16"/>
        <v>55.444009000000001</v>
      </c>
      <c r="L357" s="1">
        <f t="shared" si="17"/>
        <v>8.4042794000000001</v>
      </c>
    </row>
    <row r="358" spans="1:12" ht="16" x14ac:dyDescent="0.2">
      <c r="A358" s="1">
        <v>357</v>
      </c>
      <c r="B358" s="1" t="s">
        <v>1000</v>
      </c>
      <c r="C358" s="1" t="s">
        <v>1087</v>
      </c>
      <c r="D358" s="1" t="str">
        <f t="shared" si="15"/>
        <v>Fanø KommuneNiels Engersvej 6</v>
      </c>
      <c r="E358" s="1" t="s">
        <v>1088</v>
      </c>
      <c r="F358" s="1" t="s">
        <v>1089</v>
      </c>
      <c r="G358" s="1">
        <v>1987</v>
      </c>
      <c r="H358" s="1" t="s">
        <v>15</v>
      </c>
      <c r="I358" s="6" cm="1">
        <f t="array" ref="I358">GetLatitude(D358)</f>
        <v>554443429</v>
      </c>
      <c r="J358" s="1" cm="1">
        <f t="array" ref="J358">GetLongitude(D358)</f>
        <v>84013347</v>
      </c>
      <c r="K358" s="1">
        <f t="shared" si="16"/>
        <v>55.444342900000002</v>
      </c>
      <c r="L358" s="1">
        <f t="shared" si="17"/>
        <v>8.4013346999999996</v>
      </c>
    </row>
    <row r="359" spans="1:12" ht="16" x14ac:dyDescent="0.2">
      <c r="A359" s="1">
        <v>358</v>
      </c>
      <c r="B359" s="1" t="s">
        <v>1000</v>
      </c>
      <c r="C359" s="1" t="s">
        <v>1090</v>
      </c>
      <c r="D359" s="1" t="str">
        <f t="shared" si="15"/>
        <v>Fanø KommuneNord Land 12</v>
      </c>
      <c r="E359" s="1" t="s">
        <v>1091</v>
      </c>
      <c r="F359" s="1" t="s">
        <v>1092</v>
      </c>
      <c r="G359" s="1">
        <v>1985</v>
      </c>
      <c r="H359" s="1" t="s">
        <v>15</v>
      </c>
      <c r="I359" s="6" cm="1">
        <f t="array" ref="I359">GetLatitude(D359)</f>
        <v>553495212</v>
      </c>
      <c r="J359" s="1" cm="1">
        <f t="array" ref="J359">GetLongitude(D359)</f>
        <v>84709682</v>
      </c>
      <c r="K359" s="1">
        <f t="shared" si="16"/>
        <v>55.349521199999998</v>
      </c>
      <c r="L359" s="1">
        <f t="shared" si="17"/>
        <v>8.4709681999999997</v>
      </c>
    </row>
    <row r="360" spans="1:12" ht="16" x14ac:dyDescent="0.2">
      <c r="A360" s="1">
        <v>359</v>
      </c>
      <c r="B360" s="1" t="s">
        <v>1000</v>
      </c>
      <c r="C360" s="1" t="s">
        <v>1093</v>
      </c>
      <c r="D360" s="1" t="str">
        <f t="shared" si="15"/>
        <v>Fanø KommuneNord Land 19</v>
      </c>
      <c r="E360" s="1" t="s">
        <v>1094</v>
      </c>
      <c r="F360" s="1" t="s">
        <v>1095</v>
      </c>
      <c r="G360" s="1">
        <v>1985</v>
      </c>
      <c r="H360" s="1" t="s">
        <v>11</v>
      </c>
      <c r="I360" s="6" cm="1">
        <f t="array" ref="I360">GetLatitude(D360)</f>
        <v>553497126</v>
      </c>
      <c r="J360" s="1" cm="1">
        <f t="array" ref="J360">GetLongitude(D360)</f>
        <v>84715010</v>
      </c>
      <c r="K360" s="1">
        <f t="shared" si="16"/>
        <v>55.349712599999997</v>
      </c>
      <c r="L360" s="1">
        <f t="shared" si="17"/>
        <v>8.4715009999999999</v>
      </c>
    </row>
    <row r="361" spans="1:12" ht="16" x14ac:dyDescent="0.2">
      <c r="A361" s="1">
        <v>360</v>
      </c>
      <c r="B361" s="1" t="s">
        <v>1000</v>
      </c>
      <c r="C361" s="1" t="s">
        <v>1096</v>
      </c>
      <c r="D361" s="1" t="str">
        <f t="shared" si="15"/>
        <v>Fanø KommuneNord Land 36</v>
      </c>
      <c r="E361" s="1" t="s">
        <v>1097</v>
      </c>
      <c r="F361" s="1" t="s">
        <v>1098</v>
      </c>
      <c r="G361" s="1">
        <v>1950</v>
      </c>
      <c r="H361" s="1" t="s">
        <v>11</v>
      </c>
      <c r="I361" s="6" cm="1">
        <f t="array" ref="I361">GetLatitude(D361)</f>
        <v>553504956</v>
      </c>
      <c r="J361" s="1" cm="1">
        <f t="array" ref="J361">GetLongitude(D361)</f>
        <v>84719786</v>
      </c>
      <c r="K361" s="1">
        <f t="shared" si="16"/>
        <v>55.350495600000002</v>
      </c>
      <c r="L361" s="1">
        <f t="shared" si="17"/>
        <v>8.4719785999999999</v>
      </c>
    </row>
    <row r="362" spans="1:12" ht="16" x14ac:dyDescent="0.2">
      <c r="A362" s="1">
        <v>361</v>
      </c>
      <c r="B362" s="1" t="s">
        <v>1000</v>
      </c>
      <c r="C362" s="1" t="s">
        <v>1099</v>
      </c>
      <c r="D362" s="1" t="str">
        <f t="shared" si="15"/>
        <v>Fanø KommuneNord Land 5</v>
      </c>
      <c r="E362" s="1" t="s">
        <v>1100</v>
      </c>
      <c r="F362" s="1" t="s">
        <v>1101</v>
      </c>
      <c r="G362" s="1">
        <v>1985</v>
      </c>
      <c r="H362" s="1" t="s">
        <v>11</v>
      </c>
      <c r="I362" s="6" cm="1">
        <f t="array" ref="I362">GetLatitude(D362)</f>
        <v>553490904</v>
      </c>
      <c r="J362" s="1" cm="1">
        <f t="array" ref="J362">GetLongitude(D362)</f>
        <v>84710593</v>
      </c>
      <c r="K362" s="1">
        <f t="shared" si="16"/>
        <v>55.349090400000001</v>
      </c>
      <c r="L362" s="1">
        <f t="shared" si="17"/>
        <v>8.4710593000000003</v>
      </c>
    </row>
    <row r="363" spans="1:12" ht="16" x14ac:dyDescent="0.2">
      <c r="A363" s="1">
        <v>362</v>
      </c>
      <c r="B363" s="1" t="s">
        <v>1000</v>
      </c>
      <c r="C363" s="1" t="s">
        <v>1102</v>
      </c>
      <c r="D363" s="1" t="str">
        <f t="shared" si="15"/>
        <v>Fanø KommuneO.C. Hammersvej 10</v>
      </c>
      <c r="E363" s="1" t="s">
        <v>1102</v>
      </c>
      <c r="F363" s="1" t="s">
        <v>1103</v>
      </c>
      <c r="G363" s="1">
        <v>1979</v>
      </c>
      <c r="H363" s="1" t="s">
        <v>11</v>
      </c>
      <c r="I363" s="6" cm="1">
        <f t="array" ref="I363">GetLatitude(D363)</f>
        <v>554436938</v>
      </c>
      <c r="J363" s="1" cm="1">
        <f t="array" ref="J363">GetLongitude(D363)</f>
        <v>84025326</v>
      </c>
      <c r="K363" s="1">
        <f t="shared" si="16"/>
        <v>55.443693799999998</v>
      </c>
      <c r="L363" s="1">
        <f t="shared" si="17"/>
        <v>8.4025326000000007</v>
      </c>
    </row>
    <row r="364" spans="1:12" ht="16" x14ac:dyDescent="0.2">
      <c r="A364" s="1">
        <v>363</v>
      </c>
      <c r="B364" s="1" t="s">
        <v>1000</v>
      </c>
      <c r="C364" s="1" t="s">
        <v>1104</v>
      </c>
      <c r="D364" s="1" t="str">
        <f t="shared" si="15"/>
        <v>Fanø KommuneO.C. Hammersvej 8</v>
      </c>
      <c r="E364" s="1" t="s">
        <v>1104</v>
      </c>
      <c r="F364" s="1" t="s">
        <v>1105</v>
      </c>
      <c r="G364" s="1">
        <v>1950</v>
      </c>
      <c r="H364" s="1" t="s">
        <v>11</v>
      </c>
      <c r="I364" s="6" cm="1">
        <f t="array" ref="I364">GetLatitude(D364)</f>
        <v>554436305</v>
      </c>
      <c r="J364" s="1" cm="1">
        <f t="array" ref="J364">GetLongitude(D364)</f>
        <v>84028176</v>
      </c>
      <c r="K364" s="1">
        <f t="shared" si="16"/>
        <v>55.443630499999998</v>
      </c>
      <c r="L364" s="1">
        <f t="shared" si="17"/>
        <v>8.4028176000000006</v>
      </c>
    </row>
    <row r="365" spans="1:12" ht="16" x14ac:dyDescent="0.2">
      <c r="A365" s="1">
        <v>364</v>
      </c>
      <c r="B365" s="1" t="s">
        <v>1000</v>
      </c>
      <c r="C365" s="1" t="s">
        <v>1106</v>
      </c>
      <c r="D365" s="1" t="str">
        <f t="shared" si="15"/>
        <v>Fanø KommuneSkolevej 10</v>
      </c>
      <c r="E365" s="1" t="s">
        <v>1107</v>
      </c>
      <c r="F365" s="1" t="s">
        <v>1108</v>
      </c>
      <c r="G365" s="1">
        <v>1950</v>
      </c>
      <c r="H365" s="1" t="s">
        <v>15</v>
      </c>
      <c r="I365" s="6" cm="1">
        <f t="array" ref="I365">GetLatitude(D365)</f>
        <v>554458290</v>
      </c>
      <c r="J365" s="1" cm="1">
        <f t="array" ref="J365">GetLongitude(D365)</f>
        <v>84027850</v>
      </c>
      <c r="K365" s="1">
        <f t="shared" si="16"/>
        <v>55.445829000000003</v>
      </c>
      <c r="L365" s="1">
        <f t="shared" si="17"/>
        <v>8.4027849999999997</v>
      </c>
    </row>
    <row r="366" spans="1:12" ht="16" x14ac:dyDescent="0.2">
      <c r="A366" s="1">
        <v>365</v>
      </c>
      <c r="B366" s="1" t="s">
        <v>1000</v>
      </c>
      <c r="C366" s="1" t="s">
        <v>1109</v>
      </c>
      <c r="D366" s="1" t="str">
        <f t="shared" si="15"/>
        <v>Fanø KommuneSkolevej 2</v>
      </c>
      <c r="E366" s="1" t="s">
        <v>1110</v>
      </c>
      <c r="F366" s="1" t="s">
        <v>1111</v>
      </c>
      <c r="G366" s="1">
        <v>1984</v>
      </c>
      <c r="H366" s="1" t="s">
        <v>15</v>
      </c>
      <c r="I366" s="6" cm="1">
        <f t="array" ref="I366">GetLatitude(D366)</f>
        <v>554454478</v>
      </c>
      <c r="J366" s="1" cm="1">
        <f t="array" ref="J366">GetLongitude(D366)</f>
        <v>84036363</v>
      </c>
      <c r="K366" s="1">
        <f t="shared" si="16"/>
        <v>55.445447799999997</v>
      </c>
      <c r="L366" s="1">
        <f t="shared" si="17"/>
        <v>8.4036363000000005</v>
      </c>
    </row>
    <row r="367" spans="1:12" ht="16" x14ac:dyDescent="0.2">
      <c r="A367" s="1">
        <v>366</v>
      </c>
      <c r="B367" s="1" t="s">
        <v>1000</v>
      </c>
      <c r="C367" s="1" t="s">
        <v>1112</v>
      </c>
      <c r="D367" s="1" t="str">
        <f t="shared" si="15"/>
        <v>Fanø KommuneSkolevej 8</v>
      </c>
      <c r="E367" s="1" t="s">
        <v>1113</v>
      </c>
      <c r="F367" s="1" t="s">
        <v>1108</v>
      </c>
      <c r="G367" s="1">
        <v>1950</v>
      </c>
      <c r="H367" s="1" t="s">
        <v>15</v>
      </c>
      <c r="I367" s="6" cm="1">
        <f t="array" ref="I367">GetLatitude(D367)</f>
        <v>554457064</v>
      </c>
      <c r="J367" s="1" cm="1">
        <f t="array" ref="J367">GetLongitude(D367)</f>
        <v>84030470</v>
      </c>
      <c r="K367" s="1">
        <f t="shared" si="16"/>
        <v>55.445706399999999</v>
      </c>
      <c r="L367" s="1">
        <f t="shared" si="17"/>
        <v>8.4030470000000008</v>
      </c>
    </row>
    <row r="368" spans="1:12" ht="16" x14ac:dyDescent="0.2">
      <c r="A368" s="1">
        <v>367</v>
      </c>
      <c r="B368" s="1" t="s">
        <v>1000</v>
      </c>
      <c r="C368" s="1" t="s">
        <v>1114</v>
      </c>
      <c r="D368" s="1" t="str">
        <f t="shared" si="15"/>
        <v>Fanø KommuneSønderho Strandvej 1</v>
      </c>
      <c r="E368" s="1" t="s">
        <v>1115</v>
      </c>
      <c r="F368" s="1" t="s">
        <v>1116</v>
      </c>
      <c r="G368" s="1">
        <v>1950</v>
      </c>
      <c r="H368" s="1" t="s">
        <v>11</v>
      </c>
      <c r="I368" s="6" cm="1">
        <f t="array" ref="I368">GetLatitude(D368)</f>
        <v>553495281</v>
      </c>
      <c r="J368" s="1" cm="1">
        <f t="array" ref="J368">GetLongitude(D368)</f>
        <v>84660238</v>
      </c>
      <c r="K368" s="1">
        <f t="shared" si="16"/>
        <v>55.349528100000001</v>
      </c>
      <c r="L368" s="1">
        <f t="shared" si="17"/>
        <v>8.4660238000000003</v>
      </c>
    </row>
    <row r="369" spans="1:12" ht="16" x14ac:dyDescent="0.2">
      <c r="A369" s="1">
        <v>368</v>
      </c>
      <c r="B369" s="1" t="s">
        <v>1000</v>
      </c>
      <c r="C369" s="1" t="s">
        <v>1117</v>
      </c>
      <c r="D369" s="1" t="str">
        <f t="shared" si="15"/>
        <v>Fanø KommuneSønderho Strandvej 15</v>
      </c>
      <c r="E369" s="1" t="s">
        <v>1118</v>
      </c>
      <c r="F369" s="1" t="s">
        <v>1119</v>
      </c>
      <c r="G369" s="1">
        <v>1990</v>
      </c>
      <c r="H369" s="1" t="s">
        <v>15</v>
      </c>
      <c r="I369" s="6" cm="1">
        <f t="array" ref="I369">GetLatitude(D369)</f>
        <v>553484832</v>
      </c>
      <c r="J369" s="1" cm="1">
        <f t="array" ref="J369">GetLongitude(D369)</f>
        <v>84603953</v>
      </c>
      <c r="K369" s="1">
        <f t="shared" si="16"/>
        <v>55.348483199999997</v>
      </c>
      <c r="L369" s="1">
        <f t="shared" si="17"/>
        <v>8.4603953000000001</v>
      </c>
    </row>
    <row r="370" spans="1:12" ht="16" x14ac:dyDescent="0.2">
      <c r="A370" s="1">
        <v>369</v>
      </c>
      <c r="B370" s="1" t="s">
        <v>1000</v>
      </c>
      <c r="C370" s="1" t="s">
        <v>1120</v>
      </c>
      <c r="D370" s="1" t="str">
        <f t="shared" si="15"/>
        <v>Fanø KommuneSønder Land 20</v>
      </c>
      <c r="E370" s="1" t="s">
        <v>1121</v>
      </c>
      <c r="F370" s="1" t="s">
        <v>1122</v>
      </c>
      <c r="G370" s="1">
        <v>1989</v>
      </c>
      <c r="H370" s="1" t="s">
        <v>11</v>
      </c>
      <c r="I370" s="6" cm="1">
        <f t="array" ref="I370">GetLatitude(D370)</f>
        <v>553471294</v>
      </c>
      <c r="J370" s="1" cm="1">
        <f t="array" ref="J370">GetLongitude(D370)</f>
        <v>84717134</v>
      </c>
      <c r="K370" s="1">
        <f t="shared" si="16"/>
        <v>55.3471294</v>
      </c>
      <c r="L370" s="1">
        <f t="shared" si="17"/>
        <v>8.4717134000000005</v>
      </c>
    </row>
    <row r="371" spans="1:12" ht="16" x14ac:dyDescent="0.2">
      <c r="A371" s="1">
        <v>370</v>
      </c>
      <c r="B371" s="1" t="s">
        <v>1000</v>
      </c>
      <c r="C371" s="1" t="s">
        <v>1123</v>
      </c>
      <c r="D371" s="1" t="str">
        <f t="shared" si="15"/>
        <v>Fanø KommuneSønder Land 3</v>
      </c>
      <c r="E371" s="1" t="s">
        <v>1124</v>
      </c>
      <c r="F371" s="1" t="s">
        <v>1125</v>
      </c>
      <c r="G371" s="1">
        <v>1950</v>
      </c>
      <c r="H371" s="1" t="s">
        <v>1126</v>
      </c>
      <c r="I371" s="6" cm="1">
        <f t="array" ref="I371">GetLatitude(D371)</f>
        <v>553477356</v>
      </c>
      <c r="J371" s="1" cm="1">
        <f t="array" ref="J371">GetLongitude(D371)</f>
        <v>84713011</v>
      </c>
      <c r="K371" s="1">
        <f t="shared" si="16"/>
        <v>55.3477356</v>
      </c>
      <c r="L371" s="1">
        <f t="shared" si="17"/>
        <v>8.4713010999999998</v>
      </c>
    </row>
    <row r="372" spans="1:12" ht="16" x14ac:dyDescent="0.2">
      <c r="A372" s="1">
        <v>371</v>
      </c>
      <c r="B372" s="1" t="s">
        <v>1000</v>
      </c>
      <c r="C372" s="1" t="s">
        <v>1127</v>
      </c>
      <c r="D372" s="1" t="str">
        <f t="shared" si="15"/>
        <v>Fanø KommuneSønder Land 32</v>
      </c>
      <c r="E372" s="1" t="s">
        <v>1128</v>
      </c>
      <c r="F372" s="1" t="s">
        <v>1129</v>
      </c>
      <c r="G372" s="1">
        <v>1950</v>
      </c>
      <c r="H372" s="1" t="s">
        <v>11</v>
      </c>
      <c r="I372" s="6" cm="1">
        <f t="array" ref="I372">GetLatitude(D372)</f>
        <v>553464831</v>
      </c>
      <c r="J372" s="1" cm="1">
        <f t="array" ref="J372">GetLongitude(D372)</f>
        <v>84697421</v>
      </c>
      <c r="K372" s="1">
        <f t="shared" si="16"/>
        <v>55.3464831</v>
      </c>
      <c r="L372" s="1">
        <f t="shared" si="17"/>
        <v>8.4697420999999995</v>
      </c>
    </row>
    <row r="373" spans="1:12" ht="16" x14ac:dyDescent="0.2">
      <c r="A373" s="1">
        <v>372</v>
      </c>
      <c r="B373" s="1" t="s">
        <v>1000</v>
      </c>
      <c r="C373" s="1" t="s">
        <v>1130</v>
      </c>
      <c r="D373" s="1" t="str">
        <f t="shared" si="15"/>
        <v>Fanø KommuneSønder Land 37</v>
      </c>
      <c r="E373" s="1" t="s">
        <v>1131</v>
      </c>
      <c r="F373" s="1" t="s">
        <v>1132</v>
      </c>
      <c r="G373" s="1">
        <v>1988</v>
      </c>
      <c r="H373" s="1" t="s">
        <v>15</v>
      </c>
      <c r="I373" s="6" cm="1">
        <f t="array" ref="I373">GetLatitude(D373)</f>
        <v>553468958</v>
      </c>
      <c r="J373" s="1" cm="1">
        <f t="array" ref="J373">GetLongitude(D373)</f>
        <v>84702236</v>
      </c>
      <c r="K373" s="1">
        <f t="shared" si="16"/>
        <v>55.346895799999999</v>
      </c>
      <c r="L373" s="1">
        <f t="shared" si="17"/>
        <v>8.4702236000000006</v>
      </c>
    </row>
    <row r="374" spans="1:12" ht="16" x14ac:dyDescent="0.2">
      <c r="A374" s="1">
        <v>373</v>
      </c>
      <c r="B374" s="1" t="s">
        <v>1000</v>
      </c>
      <c r="C374" s="1" t="s">
        <v>1133</v>
      </c>
      <c r="D374" s="1" t="str">
        <f t="shared" si="15"/>
        <v>Fanø KommuneSøndertoft 17</v>
      </c>
      <c r="E374" s="1" t="s">
        <v>1134</v>
      </c>
      <c r="F374" s="1" t="s">
        <v>1135</v>
      </c>
      <c r="G374" s="1">
        <v>1985</v>
      </c>
      <c r="H374" s="1" t="s">
        <v>11</v>
      </c>
      <c r="I374" s="6" cm="1">
        <f t="array" ref="I374">GetLatitude(D374)</f>
        <v>553479869</v>
      </c>
      <c r="J374" s="1" cm="1">
        <f t="array" ref="J374">GetLongitude(D374)</f>
        <v>84681510</v>
      </c>
      <c r="K374" s="1">
        <f t="shared" si="16"/>
        <v>55.347986900000002</v>
      </c>
      <c r="L374" s="1">
        <f t="shared" si="17"/>
        <v>8.4681510000000006</v>
      </c>
    </row>
    <row r="375" spans="1:12" ht="16" x14ac:dyDescent="0.2">
      <c r="A375" s="1">
        <v>374</v>
      </c>
      <c r="B375" s="1" t="s">
        <v>1000</v>
      </c>
      <c r="C375" s="1" t="s">
        <v>1136</v>
      </c>
      <c r="D375" s="1" t="str">
        <f t="shared" si="15"/>
        <v>Fanø KommuneSøndertoft 2</v>
      </c>
      <c r="E375" s="1" t="s">
        <v>1137</v>
      </c>
      <c r="F375" s="1" t="s">
        <v>1138</v>
      </c>
      <c r="G375" s="1">
        <v>1990</v>
      </c>
      <c r="H375" s="1" t="s">
        <v>11</v>
      </c>
      <c r="I375" s="6" cm="1">
        <f t="array" ref="I375">GetLatitude(D375)</f>
        <v>553476319</v>
      </c>
      <c r="J375" s="1" cm="1">
        <f t="array" ref="J375">GetLongitude(D375)</f>
        <v>84694991</v>
      </c>
      <c r="K375" s="1">
        <f t="shared" si="16"/>
        <v>55.347631900000003</v>
      </c>
      <c r="L375" s="1">
        <f t="shared" si="17"/>
        <v>8.4694991000000002</v>
      </c>
    </row>
    <row r="376" spans="1:12" ht="16" x14ac:dyDescent="0.2">
      <c r="A376" s="1">
        <v>375</v>
      </c>
      <c r="B376" s="1" t="s">
        <v>1000</v>
      </c>
      <c r="C376" s="1" t="s">
        <v>1139</v>
      </c>
      <c r="D376" s="1" t="str">
        <f t="shared" si="15"/>
        <v>Fanø KommuneSøndertoft 3</v>
      </c>
      <c r="E376" s="1" t="s">
        <v>1140</v>
      </c>
      <c r="F376" s="1" t="s">
        <v>1141</v>
      </c>
      <c r="G376" s="1">
        <v>1979</v>
      </c>
      <c r="H376" s="1" t="s">
        <v>11</v>
      </c>
      <c r="I376" s="6" cm="1">
        <f t="array" ref="I376">GetLatitude(D376)</f>
        <v>553478127</v>
      </c>
      <c r="J376" s="1" cm="1">
        <f t="array" ref="J376">GetLongitude(D376)</f>
        <v>84706525</v>
      </c>
      <c r="K376" s="1">
        <f t="shared" si="16"/>
        <v>55.347812699999999</v>
      </c>
      <c r="L376" s="1">
        <f t="shared" si="17"/>
        <v>8.4706524999999999</v>
      </c>
    </row>
    <row r="377" spans="1:12" ht="16" x14ac:dyDescent="0.2">
      <c r="A377" s="1">
        <v>376</v>
      </c>
      <c r="B377" s="1" t="s">
        <v>1000</v>
      </c>
      <c r="C377" s="1" t="s">
        <v>1142</v>
      </c>
      <c r="D377" s="1" t="str">
        <f t="shared" si="15"/>
        <v>Fanø KommuneSøndre Banksti 2</v>
      </c>
      <c r="E377" s="1" t="s">
        <v>1143</v>
      </c>
      <c r="F377" s="1" t="s">
        <v>1144</v>
      </c>
      <c r="G377" s="1">
        <v>1971</v>
      </c>
      <c r="H377" s="1" t="s">
        <v>11</v>
      </c>
      <c r="I377" s="6" cm="1">
        <f t="array" ref="I377">GetLatitude(D377)</f>
        <v>554478489</v>
      </c>
      <c r="J377" s="1" cm="1">
        <f t="array" ref="J377">GetLongitude(D377)</f>
        <v>84052457</v>
      </c>
      <c r="K377" s="1">
        <f t="shared" si="16"/>
        <v>55.447848899999997</v>
      </c>
      <c r="L377" s="1">
        <f t="shared" si="17"/>
        <v>8.4052457</v>
      </c>
    </row>
    <row r="378" spans="1:12" ht="16" x14ac:dyDescent="0.2">
      <c r="A378" s="1">
        <v>377</v>
      </c>
      <c r="B378" s="1" t="s">
        <v>1000</v>
      </c>
      <c r="C378" s="1" t="s">
        <v>1145</v>
      </c>
      <c r="D378" s="1" t="str">
        <f t="shared" si="15"/>
        <v>Fanø KommuneToftestien 11</v>
      </c>
      <c r="E378" s="1" t="s">
        <v>1146</v>
      </c>
      <c r="F378" s="1" t="s">
        <v>1147</v>
      </c>
      <c r="G378" s="1">
        <v>1985</v>
      </c>
      <c r="H378" s="1" t="s">
        <v>11</v>
      </c>
      <c r="I378" s="6" cm="1">
        <f t="array" ref="I378">GetLatitude(D378)</f>
        <v>553492372</v>
      </c>
      <c r="J378" s="1" cm="1">
        <f t="array" ref="J378">GetLongitude(D378)</f>
        <v>84728565</v>
      </c>
      <c r="K378" s="1">
        <f t="shared" si="16"/>
        <v>55.349237199999997</v>
      </c>
      <c r="L378" s="1">
        <f t="shared" si="17"/>
        <v>8.4728565000000007</v>
      </c>
    </row>
    <row r="379" spans="1:12" ht="16" x14ac:dyDescent="0.2">
      <c r="A379" s="1">
        <v>378</v>
      </c>
      <c r="B379" s="1" t="s">
        <v>1000</v>
      </c>
      <c r="C379" s="1" t="s">
        <v>1148</v>
      </c>
      <c r="D379" s="1" t="str">
        <f t="shared" si="15"/>
        <v>Fanø KommuneToftestien 12</v>
      </c>
      <c r="E379" s="1" t="s">
        <v>1149</v>
      </c>
      <c r="F379" s="1" t="s">
        <v>1150</v>
      </c>
      <c r="G379" s="1">
        <v>1990</v>
      </c>
      <c r="H379" s="1" t="s">
        <v>15</v>
      </c>
      <c r="I379" s="6" cm="1">
        <f t="array" ref="I379">GetLatitude(D379)</f>
        <v>553493662</v>
      </c>
      <c r="J379" s="1" cm="1">
        <f t="array" ref="J379">GetLongitude(D379)</f>
        <v>84736214</v>
      </c>
      <c r="K379" s="1">
        <f t="shared" si="16"/>
        <v>55.349366199999999</v>
      </c>
      <c r="L379" s="1">
        <f t="shared" si="17"/>
        <v>8.4736214000000007</v>
      </c>
    </row>
    <row r="380" spans="1:12" ht="16" x14ac:dyDescent="0.2">
      <c r="A380" s="1">
        <v>379</v>
      </c>
      <c r="B380" s="1" t="s">
        <v>1000</v>
      </c>
      <c r="C380" s="1" t="s">
        <v>1151</v>
      </c>
      <c r="D380" s="1" t="str">
        <f t="shared" si="15"/>
        <v>Fanø KommuneToftestien 13-15</v>
      </c>
      <c r="E380" s="1" t="s">
        <v>1152</v>
      </c>
      <c r="F380" s="1" t="s">
        <v>1153</v>
      </c>
      <c r="G380" s="1">
        <v>1950</v>
      </c>
      <c r="H380" s="1" t="s">
        <v>99</v>
      </c>
      <c r="I380" s="6" cm="1">
        <f t="array" ref="I380">GetLatitude(D380)</f>
        <v>553496014</v>
      </c>
      <c r="J380" s="1" cm="1">
        <f t="array" ref="J380">GetLongitude(D380)</f>
        <v>84734959</v>
      </c>
      <c r="K380" s="1">
        <f t="shared" si="16"/>
        <v>55.349601399999997</v>
      </c>
      <c r="L380" s="1">
        <f t="shared" si="17"/>
        <v>8.4734958999999996</v>
      </c>
    </row>
    <row r="381" spans="1:12" ht="16" x14ac:dyDescent="0.2">
      <c r="A381" s="1">
        <v>380</v>
      </c>
      <c r="B381" s="1" t="s">
        <v>1000</v>
      </c>
      <c r="C381" s="1" t="s">
        <v>1154</v>
      </c>
      <c r="D381" s="1" t="str">
        <f t="shared" si="15"/>
        <v>Fanø KommuneToftestien 14</v>
      </c>
      <c r="E381" s="1" t="s">
        <v>1155</v>
      </c>
      <c r="F381" s="1" t="s">
        <v>1156</v>
      </c>
      <c r="G381" s="1">
        <v>1985</v>
      </c>
      <c r="H381" s="1" t="s">
        <v>15</v>
      </c>
      <c r="I381" s="6" cm="1">
        <f t="array" ref="I381">GetLatitude(D381)</f>
        <v>553494426</v>
      </c>
      <c r="J381" s="1" cm="1">
        <f t="array" ref="J381">GetLongitude(D381)</f>
        <v>84728762</v>
      </c>
      <c r="K381" s="1">
        <f t="shared" si="16"/>
        <v>55.349442600000003</v>
      </c>
      <c r="L381" s="1">
        <f t="shared" si="17"/>
        <v>8.4728762</v>
      </c>
    </row>
    <row r="382" spans="1:12" ht="16" x14ac:dyDescent="0.2">
      <c r="A382" s="1">
        <v>381</v>
      </c>
      <c r="B382" s="1" t="s">
        <v>1000</v>
      </c>
      <c r="C382" s="1" t="s">
        <v>1157</v>
      </c>
      <c r="D382" s="1" t="str">
        <f t="shared" si="15"/>
        <v>Fanø KommuneToftestien 21</v>
      </c>
      <c r="E382" s="1" t="s">
        <v>1158</v>
      </c>
      <c r="F382" s="1" t="s">
        <v>1159</v>
      </c>
      <c r="G382" s="1">
        <v>1950</v>
      </c>
      <c r="H382" s="1" t="s">
        <v>11</v>
      </c>
      <c r="I382" s="6" cm="1">
        <f t="array" ref="I382">GetLatitude(D382)</f>
        <v>553494405</v>
      </c>
      <c r="J382" s="1" cm="1">
        <f t="array" ref="J382">GetLongitude(D382)</f>
        <v>84743517</v>
      </c>
      <c r="K382" s="1">
        <f t="shared" si="16"/>
        <v>55.3494405</v>
      </c>
      <c r="L382" s="1">
        <f t="shared" si="17"/>
        <v>8.4743516999999997</v>
      </c>
    </row>
    <row r="383" spans="1:12" ht="16" x14ac:dyDescent="0.2">
      <c r="A383" s="1">
        <v>382</v>
      </c>
      <c r="B383" s="1" t="s">
        <v>1000</v>
      </c>
      <c r="C383" s="1" t="s">
        <v>1160</v>
      </c>
      <c r="D383" s="1" t="str">
        <f t="shared" si="15"/>
        <v>Fanø KommuneToftestien 23</v>
      </c>
      <c r="E383" s="1" t="s">
        <v>1161</v>
      </c>
      <c r="F383" s="1" t="s">
        <v>1162</v>
      </c>
      <c r="G383" s="1">
        <v>1950</v>
      </c>
      <c r="H383" s="1" t="s">
        <v>11</v>
      </c>
      <c r="I383" s="6" cm="1">
        <f t="array" ref="I383">GetLatitude(D383)</f>
        <v>553501384</v>
      </c>
      <c r="J383" s="1" cm="1">
        <f t="array" ref="J383">GetLongitude(D383)</f>
        <v>84733566</v>
      </c>
      <c r="K383" s="1">
        <f t="shared" si="16"/>
        <v>55.350138399999999</v>
      </c>
      <c r="L383" s="1">
        <f t="shared" si="17"/>
        <v>8.4733566000000007</v>
      </c>
    </row>
    <row r="384" spans="1:12" ht="16" x14ac:dyDescent="0.2">
      <c r="A384" s="1">
        <v>383</v>
      </c>
      <c r="B384" s="1" t="s">
        <v>1000</v>
      </c>
      <c r="C384" s="1" t="s">
        <v>1163</v>
      </c>
      <c r="D384" s="1" t="str">
        <f t="shared" si="15"/>
        <v>Fanø KommuneToftestien 27</v>
      </c>
      <c r="E384" s="1" t="s">
        <v>1164</v>
      </c>
      <c r="F384" s="1" t="s">
        <v>1165</v>
      </c>
      <c r="G384" s="1">
        <v>1950</v>
      </c>
      <c r="H384" s="1" t="s">
        <v>11</v>
      </c>
      <c r="I384" s="6" cm="1">
        <f t="array" ref="I384">GetLatitude(D384)</f>
        <v>553501365</v>
      </c>
      <c r="J384" s="1" cm="1">
        <f t="array" ref="J384">GetLongitude(D384)</f>
        <v>84729146</v>
      </c>
      <c r="K384" s="1">
        <f t="shared" si="16"/>
        <v>55.350136499999998</v>
      </c>
      <c r="L384" s="1">
        <f t="shared" si="17"/>
        <v>8.4729145999999993</v>
      </c>
    </row>
    <row r="385" spans="1:12" ht="16" x14ac:dyDescent="0.2">
      <c r="A385" s="1">
        <v>384</v>
      </c>
      <c r="B385" s="1" t="s">
        <v>1000</v>
      </c>
      <c r="C385" s="1" t="s">
        <v>1166</v>
      </c>
      <c r="D385" s="1" t="str">
        <f t="shared" si="15"/>
        <v>Fanø KommuneToftestien 29</v>
      </c>
      <c r="E385" s="1" t="s">
        <v>1167</v>
      </c>
      <c r="F385" s="1" t="s">
        <v>1168</v>
      </c>
      <c r="G385" s="1">
        <v>1950</v>
      </c>
      <c r="H385" s="1" t="s">
        <v>15</v>
      </c>
      <c r="I385" s="6" cm="1">
        <f t="array" ref="I385">GetLatitude(D385)</f>
        <v>553501105</v>
      </c>
      <c r="J385" s="1" cm="1">
        <f t="array" ref="J385">GetLongitude(D385)</f>
        <v>84726627</v>
      </c>
      <c r="K385" s="1">
        <f t="shared" si="16"/>
        <v>55.3501105</v>
      </c>
      <c r="L385" s="1">
        <f t="shared" si="17"/>
        <v>8.4726627000000008</v>
      </c>
    </row>
    <row r="386" spans="1:12" ht="16" x14ac:dyDescent="0.2">
      <c r="A386" s="1">
        <v>385</v>
      </c>
      <c r="B386" s="1" t="s">
        <v>1000</v>
      </c>
      <c r="C386" s="1" t="s">
        <v>1169</v>
      </c>
      <c r="D386" s="1" t="str">
        <f t="shared" si="15"/>
        <v>Fanø KommuneToftestien 6</v>
      </c>
      <c r="E386" s="1" t="s">
        <v>1170</v>
      </c>
      <c r="F386" s="1" t="s">
        <v>1171</v>
      </c>
      <c r="G386" s="1">
        <v>1985</v>
      </c>
      <c r="H386" s="1" t="s">
        <v>11</v>
      </c>
      <c r="I386" s="6" cm="1">
        <f t="array" ref="I386">GetLatitude(D386)</f>
        <v>553489678</v>
      </c>
      <c r="J386" s="1" cm="1">
        <f t="array" ref="J386">GetLongitude(D386)</f>
        <v>84715682</v>
      </c>
      <c r="K386" s="1">
        <f t="shared" si="16"/>
        <v>55.348967799999997</v>
      </c>
      <c r="L386" s="1">
        <f t="shared" si="17"/>
        <v>8.4715682000000001</v>
      </c>
    </row>
    <row r="387" spans="1:12" ht="16" x14ac:dyDescent="0.2">
      <c r="A387" s="1">
        <v>386</v>
      </c>
      <c r="B387" s="1" t="s">
        <v>1000</v>
      </c>
      <c r="C387" s="1" t="s">
        <v>1172</v>
      </c>
      <c r="D387" s="1" t="str">
        <f t="shared" ref="D387:D450" si="18">B387&amp;C387</f>
        <v>Fanø KommuneVester Land 44</v>
      </c>
      <c r="E387" s="1" t="s">
        <v>1173</v>
      </c>
      <c r="F387" s="1" t="s">
        <v>1174</v>
      </c>
      <c r="G387" s="1">
        <v>1998</v>
      </c>
      <c r="H387" s="1" t="s">
        <v>11</v>
      </c>
      <c r="I387" s="6" cm="1">
        <f t="array" ref="I387">GetLatitude(D387)</f>
        <v>553545417</v>
      </c>
      <c r="J387" s="1" cm="1">
        <f t="array" ref="J387">GetLongitude(D387)</f>
        <v>84634182</v>
      </c>
      <c r="K387" s="1">
        <f t="shared" si="16"/>
        <v>55.354541699999999</v>
      </c>
      <c r="L387" s="1">
        <f t="shared" si="17"/>
        <v>8.4634181999999996</v>
      </c>
    </row>
    <row r="388" spans="1:12" ht="16" x14ac:dyDescent="0.2">
      <c r="A388" s="1">
        <v>387</v>
      </c>
      <c r="B388" s="1" t="s">
        <v>1000</v>
      </c>
      <c r="C388" s="1" t="s">
        <v>1175</v>
      </c>
      <c r="D388" s="1" t="str">
        <f t="shared" si="18"/>
        <v>Fanø KommuneVester Land 46</v>
      </c>
      <c r="E388" s="1" t="s">
        <v>1176</v>
      </c>
      <c r="F388" s="1" t="s">
        <v>1177</v>
      </c>
      <c r="G388" s="1">
        <v>1985</v>
      </c>
      <c r="H388" s="1" t="s">
        <v>11</v>
      </c>
      <c r="I388" s="6" cm="1">
        <f t="array" ref="I388">GetLatitude(D388)</f>
        <v>553542460</v>
      </c>
      <c r="J388" s="1" cm="1">
        <f t="array" ref="J388">GetLongitude(D388)</f>
        <v>84640700</v>
      </c>
      <c r="K388" s="1">
        <f t="shared" ref="K388:K451" si="19">I388/10000000</f>
        <v>55.354246000000003</v>
      </c>
      <c r="L388" s="1">
        <f t="shared" ref="L388:L451" si="20">J388/10000000</f>
        <v>8.4640699999999995</v>
      </c>
    </row>
    <row r="389" spans="1:12" ht="16" x14ac:dyDescent="0.2">
      <c r="A389" s="1">
        <v>388</v>
      </c>
      <c r="B389" s="1" t="s">
        <v>1000</v>
      </c>
      <c r="C389" s="1" t="s">
        <v>1178</v>
      </c>
      <c r="D389" s="1" t="str">
        <f t="shared" si="18"/>
        <v>Fanø KommuneVester Land 8</v>
      </c>
      <c r="E389" s="1" t="s">
        <v>1179</v>
      </c>
      <c r="F389" s="1" t="s">
        <v>1180</v>
      </c>
      <c r="G389" s="1">
        <v>1982</v>
      </c>
      <c r="H389" s="1" t="s">
        <v>11</v>
      </c>
      <c r="I389" s="6" cm="1">
        <f t="array" ref="I389">GetLatitude(D389)</f>
        <v>553479386</v>
      </c>
      <c r="J389" s="1" cm="1">
        <f t="array" ref="J389">GetLongitude(D389)</f>
        <v>84655636</v>
      </c>
      <c r="K389" s="1">
        <f t="shared" si="19"/>
        <v>55.347938599999999</v>
      </c>
      <c r="L389" s="1">
        <f t="shared" si="20"/>
        <v>8.4655635999999994</v>
      </c>
    </row>
    <row r="390" spans="1:12" ht="16" x14ac:dyDescent="0.2">
      <c r="A390" s="1">
        <v>389</v>
      </c>
      <c r="B390" s="1" t="s">
        <v>1000</v>
      </c>
      <c r="C390" s="1" t="s">
        <v>1181</v>
      </c>
      <c r="D390" s="1" t="str">
        <f t="shared" si="18"/>
        <v>Fanø KommuneVigensvej 10</v>
      </c>
      <c r="E390" s="1" t="s">
        <v>1182</v>
      </c>
      <c r="F390" s="1" t="s">
        <v>1183</v>
      </c>
      <c r="G390" s="1">
        <v>1950</v>
      </c>
      <c r="H390" s="1" t="s">
        <v>11</v>
      </c>
      <c r="I390" s="6" cm="1">
        <f t="array" ref="I390">GetLatitude(D390)</f>
        <v>554437366</v>
      </c>
      <c r="J390" s="1" cm="1">
        <f t="array" ref="J390">GetLongitude(D390)</f>
        <v>84039645</v>
      </c>
      <c r="K390" s="1">
        <f t="shared" si="19"/>
        <v>55.443736600000001</v>
      </c>
      <c r="L390" s="1">
        <f t="shared" si="20"/>
        <v>8.4039645000000007</v>
      </c>
    </row>
    <row r="391" spans="1:12" ht="16" x14ac:dyDescent="0.2">
      <c r="A391" s="1">
        <v>390</v>
      </c>
      <c r="B391" s="1" t="s">
        <v>1000</v>
      </c>
      <c r="C391" s="1" t="s">
        <v>1184</v>
      </c>
      <c r="D391" s="1" t="str">
        <f t="shared" si="18"/>
        <v>Fanø KommuneVigensvej 11</v>
      </c>
      <c r="E391" s="1" t="s">
        <v>1185</v>
      </c>
      <c r="F391" s="1" t="s">
        <v>1186</v>
      </c>
      <c r="G391" s="1">
        <v>1971</v>
      </c>
      <c r="H391" s="1" t="s">
        <v>11</v>
      </c>
      <c r="I391" s="6" cm="1">
        <f t="array" ref="I391">GetLatitude(D391)</f>
        <v>554438975</v>
      </c>
      <c r="J391" s="1" cm="1">
        <f t="array" ref="J391">GetLongitude(D391)</f>
        <v>84040002</v>
      </c>
      <c r="K391" s="1">
        <f t="shared" si="19"/>
        <v>55.443897499999999</v>
      </c>
      <c r="L391" s="1">
        <f t="shared" si="20"/>
        <v>8.4040002000000005</v>
      </c>
    </row>
    <row r="392" spans="1:12" ht="16" x14ac:dyDescent="0.2">
      <c r="A392" s="1">
        <v>391</v>
      </c>
      <c r="B392" s="1" t="s">
        <v>1000</v>
      </c>
      <c r="C392" s="1" t="s">
        <v>1187</v>
      </c>
      <c r="D392" s="1" t="str">
        <f t="shared" si="18"/>
        <v>Fanø KommuneVigensvej 12</v>
      </c>
      <c r="E392" s="1" t="s">
        <v>1188</v>
      </c>
      <c r="F392" s="1" t="s">
        <v>1054</v>
      </c>
      <c r="G392" s="1">
        <v>1950</v>
      </c>
      <c r="H392" s="1" t="s">
        <v>11</v>
      </c>
      <c r="I392" s="6" cm="1">
        <f t="array" ref="I392">GetLatitude(D392)</f>
        <v>554436967</v>
      </c>
      <c r="J392" s="1" cm="1">
        <f t="array" ref="J392">GetLongitude(D392)</f>
        <v>84037536</v>
      </c>
      <c r="K392" s="1">
        <f t="shared" si="19"/>
        <v>55.443696699999997</v>
      </c>
      <c r="L392" s="1">
        <f t="shared" si="20"/>
        <v>8.4037535999999999</v>
      </c>
    </row>
    <row r="393" spans="1:12" ht="16" x14ac:dyDescent="0.2">
      <c r="A393" s="1">
        <v>392</v>
      </c>
      <c r="B393" s="1" t="s">
        <v>1000</v>
      </c>
      <c r="C393" s="1" t="s">
        <v>1189</v>
      </c>
      <c r="D393" s="1" t="str">
        <f t="shared" si="18"/>
        <v>Fanø KommuneVigensvej 13</v>
      </c>
      <c r="E393" s="1" t="s">
        <v>1190</v>
      </c>
      <c r="F393" s="1" t="s">
        <v>1191</v>
      </c>
      <c r="G393" s="1">
        <v>1950</v>
      </c>
      <c r="H393" s="1" t="s">
        <v>99</v>
      </c>
      <c r="I393" s="6" cm="1">
        <f t="array" ref="I393">GetLatitude(D393)</f>
        <v>554439181</v>
      </c>
      <c r="J393" s="1" cm="1">
        <f t="array" ref="J393">GetLongitude(D393)</f>
        <v>84037016</v>
      </c>
      <c r="K393" s="1">
        <f t="shared" si="19"/>
        <v>55.443918099999998</v>
      </c>
      <c r="L393" s="1">
        <f t="shared" si="20"/>
        <v>8.4037015999999998</v>
      </c>
    </row>
    <row r="394" spans="1:12" ht="16" x14ac:dyDescent="0.2">
      <c r="A394" s="1">
        <v>393</v>
      </c>
      <c r="B394" s="1" t="s">
        <v>1000</v>
      </c>
      <c r="C394" s="1" t="s">
        <v>1192</v>
      </c>
      <c r="D394" s="1" t="str">
        <f t="shared" si="18"/>
        <v>Fanø KommuneVigensvej 17</v>
      </c>
      <c r="E394" s="1" t="s">
        <v>1192</v>
      </c>
      <c r="F394" s="1" t="s">
        <v>1193</v>
      </c>
      <c r="G394" s="1">
        <v>1950</v>
      </c>
      <c r="H394" s="1" t="s">
        <v>11</v>
      </c>
      <c r="I394" s="6" cm="1">
        <f t="array" ref="I394">GetLatitude(D394)</f>
        <v>554439690</v>
      </c>
      <c r="J394" s="1" cm="1">
        <f t="array" ref="J394">GetLongitude(D394)</f>
        <v>84031229</v>
      </c>
      <c r="K394" s="1">
        <f t="shared" si="19"/>
        <v>55.443969000000003</v>
      </c>
      <c r="L394" s="1">
        <f t="shared" si="20"/>
        <v>8.4031228999999996</v>
      </c>
    </row>
    <row r="395" spans="1:12" ht="16" x14ac:dyDescent="0.2">
      <c r="A395" s="1">
        <v>394</v>
      </c>
      <c r="B395" s="1" t="s">
        <v>1000</v>
      </c>
      <c r="C395" s="1" t="s">
        <v>1194</v>
      </c>
      <c r="D395" s="1" t="str">
        <f t="shared" si="18"/>
        <v>Fanø KommuneØster Land 10</v>
      </c>
      <c r="E395" s="1" t="s">
        <v>1195</v>
      </c>
      <c r="F395" s="1" t="s">
        <v>1196</v>
      </c>
      <c r="G395" s="1">
        <v>1950</v>
      </c>
      <c r="H395" s="1" t="s">
        <v>11</v>
      </c>
      <c r="I395" s="6" cm="1">
        <f t="array" ref="I395">GetLatitude(D395)</f>
        <v>553491664</v>
      </c>
      <c r="J395" s="1" cm="1">
        <f t="array" ref="J395">GetLongitude(D395)</f>
        <v>84730927</v>
      </c>
      <c r="K395" s="1">
        <f t="shared" si="19"/>
        <v>55.349166400000001</v>
      </c>
      <c r="L395" s="1">
        <f t="shared" si="20"/>
        <v>8.4730927000000005</v>
      </c>
    </row>
    <row r="396" spans="1:12" ht="16" x14ac:dyDescent="0.2">
      <c r="A396" s="1">
        <v>395</v>
      </c>
      <c r="B396" s="1" t="s">
        <v>1000</v>
      </c>
      <c r="C396" s="1" t="s">
        <v>1197</v>
      </c>
      <c r="D396" s="1" t="str">
        <f t="shared" si="18"/>
        <v>Fanø KommuneØster Land 11</v>
      </c>
      <c r="E396" s="1" t="s">
        <v>1198</v>
      </c>
      <c r="F396" s="1" t="s">
        <v>1199</v>
      </c>
      <c r="G396" s="1">
        <v>1950</v>
      </c>
      <c r="H396" s="1" t="s">
        <v>15</v>
      </c>
      <c r="I396" s="6" cm="1">
        <f t="array" ref="I396">GetLatitude(D396)</f>
        <v>553490864</v>
      </c>
      <c r="J396" s="1" cm="1">
        <f t="array" ref="J396">GetLongitude(D396)</f>
        <v>84736152</v>
      </c>
      <c r="K396" s="1">
        <f t="shared" si="19"/>
        <v>55.349086399999997</v>
      </c>
      <c r="L396" s="1">
        <f t="shared" si="20"/>
        <v>8.4736151999999993</v>
      </c>
    </row>
    <row r="397" spans="1:12" ht="16" x14ac:dyDescent="0.2">
      <c r="A397" s="1">
        <v>396</v>
      </c>
      <c r="B397" s="1" t="s">
        <v>1000</v>
      </c>
      <c r="C397" s="1" t="s">
        <v>1200</v>
      </c>
      <c r="D397" s="1" t="str">
        <f t="shared" si="18"/>
        <v>Fanø KommuneØster Land 12</v>
      </c>
      <c r="E397" s="1" t="s">
        <v>1201</v>
      </c>
      <c r="F397" s="1" t="s">
        <v>1202</v>
      </c>
      <c r="G397" s="1">
        <v>1950</v>
      </c>
      <c r="H397" s="1" t="s">
        <v>15</v>
      </c>
      <c r="I397" s="6" cm="1">
        <f t="array" ref="I397">GetLatitude(D397)</f>
        <v>553494110</v>
      </c>
      <c r="J397" s="1" cm="1">
        <f t="array" ref="J397">GetLongitude(D397)</f>
        <v>84734680</v>
      </c>
      <c r="K397" s="1">
        <f t="shared" si="19"/>
        <v>55.349411000000003</v>
      </c>
      <c r="L397" s="1">
        <f t="shared" si="20"/>
        <v>8.4734680000000004</v>
      </c>
    </row>
    <row r="398" spans="1:12" ht="16" x14ac:dyDescent="0.2">
      <c r="A398" s="1">
        <v>397</v>
      </c>
      <c r="B398" s="1" t="s">
        <v>1000</v>
      </c>
      <c r="C398" s="1" t="s">
        <v>1203</v>
      </c>
      <c r="D398" s="1" t="str">
        <f t="shared" si="18"/>
        <v>Fanø KommuneØster Land 13</v>
      </c>
      <c r="E398" s="1" t="s">
        <v>1204</v>
      </c>
      <c r="F398" s="1" t="s">
        <v>1205</v>
      </c>
      <c r="G398" s="1">
        <v>1950</v>
      </c>
      <c r="H398" s="1" t="s">
        <v>1206</v>
      </c>
      <c r="I398" s="6" cm="1">
        <f t="array" ref="I398">GetLatitude(D398)</f>
        <v>553492284</v>
      </c>
      <c r="J398" s="1" cm="1">
        <f t="array" ref="J398">GetLongitude(D398)</f>
        <v>84737689</v>
      </c>
      <c r="K398" s="1">
        <f t="shared" si="19"/>
        <v>55.349228400000001</v>
      </c>
      <c r="L398" s="1">
        <f t="shared" si="20"/>
        <v>8.4737688999999996</v>
      </c>
    </row>
    <row r="399" spans="1:12" ht="16" x14ac:dyDescent="0.2">
      <c r="A399" s="1">
        <v>398</v>
      </c>
      <c r="B399" s="1" t="s">
        <v>1000</v>
      </c>
      <c r="C399" s="1" t="s">
        <v>1207</v>
      </c>
      <c r="D399" s="1" t="str">
        <f t="shared" si="18"/>
        <v>Fanø KommuneØster Land 14</v>
      </c>
      <c r="E399" s="1" t="s">
        <v>1208</v>
      </c>
      <c r="F399" s="1" t="s">
        <v>1209</v>
      </c>
      <c r="G399" s="1">
        <v>1950</v>
      </c>
      <c r="H399" s="1" t="s">
        <v>11</v>
      </c>
      <c r="I399" s="6" cm="1">
        <f t="array" ref="I399">GetLatitude(D399)</f>
        <v>553493721</v>
      </c>
      <c r="J399" s="1" cm="1">
        <f t="array" ref="J399">GetLongitude(D399)</f>
        <v>84738888</v>
      </c>
      <c r="K399" s="1">
        <f t="shared" si="19"/>
        <v>55.349372099999997</v>
      </c>
      <c r="L399" s="1">
        <f t="shared" si="20"/>
        <v>8.4738887999999992</v>
      </c>
    </row>
    <row r="400" spans="1:12" ht="16" x14ac:dyDescent="0.2">
      <c r="A400" s="1">
        <v>399</v>
      </c>
      <c r="B400" s="1" t="s">
        <v>1000</v>
      </c>
      <c r="C400" s="1" t="s">
        <v>1210</v>
      </c>
      <c r="D400" s="1" t="str">
        <f t="shared" si="18"/>
        <v>Fanø KommuneØster Land 15</v>
      </c>
      <c r="E400" s="1" t="s">
        <v>1211</v>
      </c>
      <c r="F400" s="1" t="s">
        <v>1212</v>
      </c>
      <c r="G400" s="1">
        <v>1950</v>
      </c>
      <c r="H400" s="1" t="s">
        <v>11</v>
      </c>
      <c r="I400" s="6" cm="1">
        <f t="array" ref="I400">GetLatitude(D400)</f>
        <v>553492024</v>
      </c>
      <c r="J400" s="1" cm="1">
        <f t="array" ref="J400">GetLongitude(D400)</f>
        <v>84738639</v>
      </c>
      <c r="K400" s="1">
        <f t="shared" si="19"/>
        <v>55.349202400000003</v>
      </c>
      <c r="L400" s="1">
        <f t="shared" si="20"/>
        <v>8.4738638999999996</v>
      </c>
    </row>
    <row r="401" spans="1:12" ht="16" x14ac:dyDescent="0.2">
      <c r="A401" s="1">
        <v>400</v>
      </c>
      <c r="B401" s="1" t="s">
        <v>1000</v>
      </c>
      <c r="C401" s="1" t="s">
        <v>1213</v>
      </c>
      <c r="D401" s="1" t="str">
        <f t="shared" si="18"/>
        <v>Fanø KommuneØster Land 16</v>
      </c>
      <c r="E401" s="1" t="s">
        <v>1214</v>
      </c>
      <c r="F401" s="1" t="s">
        <v>1215</v>
      </c>
      <c r="G401" s="1">
        <v>1950</v>
      </c>
      <c r="H401" s="1" t="s">
        <v>11</v>
      </c>
      <c r="I401" s="6" cm="1">
        <f t="array" ref="I401">GetLatitude(D401)</f>
        <v>553495549</v>
      </c>
      <c r="J401" s="1" cm="1">
        <f t="array" ref="J401">GetLongitude(D401)</f>
        <v>84737644</v>
      </c>
      <c r="K401" s="1">
        <f t="shared" si="19"/>
        <v>55.349554900000001</v>
      </c>
      <c r="L401" s="1">
        <f t="shared" si="20"/>
        <v>8.4737644000000003</v>
      </c>
    </row>
    <row r="402" spans="1:12" ht="16" x14ac:dyDescent="0.2">
      <c r="A402" s="1">
        <v>401</v>
      </c>
      <c r="B402" s="1" t="s">
        <v>1000</v>
      </c>
      <c r="C402" s="1" t="s">
        <v>1216</v>
      </c>
      <c r="D402" s="1" t="str">
        <f t="shared" si="18"/>
        <v>Fanø KommuneØster Land 17</v>
      </c>
      <c r="E402" s="1" t="s">
        <v>1217</v>
      </c>
      <c r="F402" s="1" t="s">
        <v>1218</v>
      </c>
      <c r="G402" s="1">
        <v>1950</v>
      </c>
      <c r="H402" s="1" t="s">
        <v>11</v>
      </c>
      <c r="I402" s="6" cm="1">
        <f t="array" ref="I402">GetLatitude(D402)</f>
        <v>553491584</v>
      </c>
      <c r="J402" s="1" cm="1">
        <f t="array" ref="J402">GetLongitude(D402)</f>
        <v>84739882</v>
      </c>
      <c r="K402" s="1">
        <f t="shared" si="19"/>
        <v>55.3491584</v>
      </c>
      <c r="L402" s="1">
        <f t="shared" si="20"/>
        <v>8.4739882000000009</v>
      </c>
    </row>
    <row r="403" spans="1:12" ht="16" x14ac:dyDescent="0.2">
      <c r="A403" s="1">
        <v>402</v>
      </c>
      <c r="B403" s="1" t="s">
        <v>1000</v>
      </c>
      <c r="C403" s="1" t="s">
        <v>1219</v>
      </c>
      <c r="D403" s="1" t="str">
        <f t="shared" si="18"/>
        <v>Fanø KommuneØster Land 18</v>
      </c>
      <c r="E403" s="1" t="s">
        <v>1220</v>
      </c>
      <c r="F403" s="1" t="s">
        <v>1218</v>
      </c>
      <c r="G403" s="1">
        <v>1950</v>
      </c>
      <c r="H403" s="1" t="s">
        <v>11</v>
      </c>
      <c r="I403" s="6" cm="1">
        <f t="array" ref="I403">GetLatitude(D403)</f>
        <v>553496139</v>
      </c>
      <c r="J403" s="1" cm="1">
        <f t="array" ref="J403">GetLongitude(D403)</f>
        <v>84740115</v>
      </c>
      <c r="K403" s="1">
        <f t="shared" si="19"/>
        <v>55.349613900000001</v>
      </c>
      <c r="L403" s="1">
        <f t="shared" si="20"/>
        <v>8.4740114999999996</v>
      </c>
    </row>
    <row r="404" spans="1:12" ht="16" x14ac:dyDescent="0.2">
      <c r="A404" s="1">
        <v>403</v>
      </c>
      <c r="B404" s="1" t="s">
        <v>1000</v>
      </c>
      <c r="C404" s="1" t="s">
        <v>1221</v>
      </c>
      <c r="D404" s="1" t="str">
        <f t="shared" si="18"/>
        <v>Fanø KommuneØster Land 19</v>
      </c>
      <c r="E404" s="1" t="s">
        <v>1222</v>
      </c>
      <c r="F404" s="1" t="s">
        <v>1223</v>
      </c>
      <c r="G404" s="1">
        <v>1950</v>
      </c>
      <c r="H404" s="1" t="s">
        <v>11</v>
      </c>
      <c r="I404" s="6" cm="1">
        <f t="array" ref="I404">GetLatitude(D404)</f>
        <v>553473243</v>
      </c>
      <c r="J404" s="1" cm="1">
        <f t="array" ref="J404">GetLongitude(D404)</f>
        <v>84706339</v>
      </c>
      <c r="K404" s="1">
        <f t="shared" si="19"/>
        <v>55.347324299999997</v>
      </c>
      <c r="L404" s="1">
        <f t="shared" si="20"/>
        <v>8.4706338999999993</v>
      </c>
    </row>
    <row r="405" spans="1:12" ht="16" x14ac:dyDescent="0.2">
      <c r="A405" s="1">
        <v>404</v>
      </c>
      <c r="B405" s="1" t="s">
        <v>1000</v>
      </c>
      <c r="C405" s="1" t="s">
        <v>1224</v>
      </c>
      <c r="D405" s="1" t="str">
        <f t="shared" si="18"/>
        <v>Fanø KommuneØster Land 20</v>
      </c>
      <c r="E405" s="1" t="s">
        <v>1225</v>
      </c>
      <c r="F405" s="1" t="s">
        <v>1226</v>
      </c>
      <c r="G405" s="1">
        <v>1950</v>
      </c>
      <c r="H405" s="1" t="s">
        <v>11</v>
      </c>
      <c r="I405" s="6" cm="1">
        <f t="array" ref="I405">GetLatitude(D405)</f>
        <v>553497613</v>
      </c>
      <c r="J405" s="1" cm="1">
        <f t="array" ref="J405">GetLongitude(D405)</f>
        <v>84741431</v>
      </c>
      <c r="K405" s="1">
        <f t="shared" si="19"/>
        <v>55.349761299999997</v>
      </c>
      <c r="L405" s="1">
        <f t="shared" si="20"/>
        <v>8.4741430999999992</v>
      </c>
    </row>
    <row r="406" spans="1:12" ht="16" x14ac:dyDescent="0.2">
      <c r="A406" s="1">
        <v>405</v>
      </c>
      <c r="B406" s="1" t="s">
        <v>1000</v>
      </c>
      <c r="C406" s="1" t="s">
        <v>1227</v>
      </c>
      <c r="D406" s="1" t="str">
        <f t="shared" si="18"/>
        <v>Fanø KommuneØster Land 22</v>
      </c>
      <c r="E406" s="1" t="s">
        <v>1228</v>
      </c>
      <c r="F406" s="1" t="s">
        <v>1229</v>
      </c>
      <c r="G406" s="1">
        <v>1950</v>
      </c>
      <c r="H406" s="1" t="s">
        <v>11</v>
      </c>
      <c r="I406" s="6" cm="1">
        <f t="array" ref="I406">GetLatitude(D406)</f>
        <v>553497903</v>
      </c>
      <c r="J406" s="1" cm="1">
        <f t="array" ref="J406">GetLongitude(D406)</f>
        <v>84741805</v>
      </c>
      <c r="K406" s="1">
        <f t="shared" si="19"/>
        <v>55.349790300000002</v>
      </c>
      <c r="L406" s="1">
        <f t="shared" si="20"/>
        <v>8.4741804999999992</v>
      </c>
    </row>
    <row r="407" spans="1:12" ht="16" x14ac:dyDescent="0.2">
      <c r="A407" s="1">
        <v>406</v>
      </c>
      <c r="B407" s="1" t="s">
        <v>1000</v>
      </c>
      <c r="C407" s="1" t="s">
        <v>1230</v>
      </c>
      <c r="D407" s="1" t="str">
        <f t="shared" si="18"/>
        <v>Fanø KommuneØster Land 24</v>
      </c>
      <c r="E407" s="1" t="s">
        <v>1231</v>
      </c>
      <c r="F407" s="1" t="s">
        <v>1232</v>
      </c>
      <c r="G407" s="1">
        <v>1950</v>
      </c>
      <c r="H407" s="1" t="s">
        <v>11</v>
      </c>
      <c r="I407" s="6" cm="1">
        <f t="array" ref="I407">GetLatitude(D407)</f>
        <v>553499174</v>
      </c>
      <c r="J407" s="1" cm="1">
        <f t="array" ref="J407">GetLongitude(D407)</f>
        <v>84741843</v>
      </c>
      <c r="K407" s="1">
        <f t="shared" si="19"/>
        <v>55.349917400000002</v>
      </c>
      <c r="L407" s="1">
        <f t="shared" si="20"/>
        <v>8.4741842999999992</v>
      </c>
    </row>
    <row r="408" spans="1:12" ht="16" x14ac:dyDescent="0.2">
      <c r="A408" s="1">
        <v>407</v>
      </c>
      <c r="B408" s="1" t="s">
        <v>1000</v>
      </c>
      <c r="C408" s="1" t="s">
        <v>1233</v>
      </c>
      <c r="D408" s="1" t="str">
        <f t="shared" si="18"/>
        <v>Fanø KommuneØster Land 25</v>
      </c>
      <c r="E408" s="1" t="s">
        <v>1234</v>
      </c>
      <c r="F408" s="1" t="s">
        <v>1235</v>
      </c>
      <c r="G408" s="1">
        <v>1978</v>
      </c>
      <c r="H408" s="1" t="s">
        <v>11</v>
      </c>
      <c r="I408" s="6" cm="1">
        <f t="array" ref="I408">GetLatitude(D408)</f>
        <v>553497126</v>
      </c>
      <c r="J408" s="1" cm="1">
        <f t="array" ref="J408">GetLongitude(D408)</f>
        <v>84744691</v>
      </c>
      <c r="K408" s="1">
        <f t="shared" si="19"/>
        <v>55.349712599999997</v>
      </c>
      <c r="L408" s="1">
        <f t="shared" si="20"/>
        <v>8.4744691000000003</v>
      </c>
    </row>
    <row r="409" spans="1:12" ht="16" x14ac:dyDescent="0.2">
      <c r="A409" s="1">
        <v>408</v>
      </c>
      <c r="B409" s="1" t="s">
        <v>1000</v>
      </c>
      <c r="C409" s="1" t="s">
        <v>1236</v>
      </c>
      <c r="D409" s="1" t="str">
        <f t="shared" si="18"/>
        <v>Fanø KommuneØster Land 27</v>
      </c>
      <c r="E409" s="1" t="s">
        <v>1237</v>
      </c>
      <c r="F409" s="1" t="s">
        <v>1238</v>
      </c>
      <c r="G409" s="1">
        <v>1950</v>
      </c>
      <c r="H409" s="1" t="s">
        <v>11</v>
      </c>
      <c r="I409" s="6" cm="1">
        <f t="array" ref="I409">GetLatitude(D409)</f>
        <v>553498925</v>
      </c>
      <c r="J409" s="1" cm="1">
        <f t="array" ref="J409">GetLongitude(D409)</f>
        <v>84745417</v>
      </c>
      <c r="K409" s="1">
        <f t="shared" si="19"/>
        <v>55.349892500000003</v>
      </c>
      <c r="L409" s="1">
        <f t="shared" si="20"/>
        <v>8.4745416999999996</v>
      </c>
    </row>
    <row r="410" spans="1:12" ht="16" x14ac:dyDescent="0.2">
      <c r="A410" s="1">
        <v>409</v>
      </c>
      <c r="B410" s="1" t="s">
        <v>1000</v>
      </c>
      <c r="C410" s="1" t="s">
        <v>1239</v>
      </c>
      <c r="D410" s="1" t="str">
        <f t="shared" si="18"/>
        <v>Fanø KommuneØster Land 28</v>
      </c>
      <c r="E410" s="1" t="s">
        <v>1240</v>
      </c>
      <c r="F410" s="1" t="s">
        <v>1241</v>
      </c>
      <c r="G410" s="1">
        <v>1950</v>
      </c>
      <c r="H410" s="1" t="s">
        <v>11</v>
      </c>
      <c r="I410" s="6" cm="1">
        <f t="array" ref="I410">GetLatitude(D410)</f>
        <v>553501636</v>
      </c>
      <c r="J410" s="1" cm="1">
        <f t="array" ref="J410">GetLongitude(D410)</f>
        <v>84737756</v>
      </c>
      <c r="K410" s="1">
        <f t="shared" si="19"/>
        <v>55.350163600000002</v>
      </c>
      <c r="L410" s="1">
        <f t="shared" si="20"/>
        <v>8.4737755999999997</v>
      </c>
    </row>
    <row r="411" spans="1:12" ht="16" x14ac:dyDescent="0.2">
      <c r="A411" s="1">
        <v>410</v>
      </c>
      <c r="B411" s="1" t="s">
        <v>1000</v>
      </c>
      <c r="C411" s="1" t="s">
        <v>1242</v>
      </c>
      <c r="D411" s="1" t="str">
        <f t="shared" si="18"/>
        <v>Fanø KommuneØster Land 29</v>
      </c>
      <c r="E411" s="1" t="s">
        <v>1243</v>
      </c>
      <c r="F411" s="1" t="s">
        <v>1244</v>
      </c>
      <c r="G411" s="1">
        <v>1950</v>
      </c>
      <c r="H411" s="1" t="s">
        <v>11</v>
      </c>
      <c r="I411" s="6" cm="1">
        <f t="array" ref="I411">GetLatitude(D411)</f>
        <v>553500860</v>
      </c>
      <c r="J411" s="1" cm="1">
        <f t="array" ref="J411">GetLongitude(D411)</f>
        <v>84745385</v>
      </c>
      <c r="K411" s="1">
        <f t="shared" si="19"/>
        <v>55.350085999999997</v>
      </c>
      <c r="L411" s="1">
        <f t="shared" si="20"/>
        <v>8.4745384999999995</v>
      </c>
    </row>
    <row r="412" spans="1:12" ht="16" x14ac:dyDescent="0.2">
      <c r="A412" s="1">
        <v>411</v>
      </c>
      <c r="B412" s="1" t="s">
        <v>1000</v>
      </c>
      <c r="C412" s="1" t="s">
        <v>1245</v>
      </c>
      <c r="D412" s="1" t="str">
        <f t="shared" si="18"/>
        <v>Fanø KommuneØster Land 30</v>
      </c>
      <c r="E412" s="1" t="s">
        <v>1246</v>
      </c>
      <c r="F412" s="1" t="s">
        <v>1247</v>
      </c>
      <c r="G412" s="1">
        <v>1950</v>
      </c>
      <c r="H412" s="1" t="s">
        <v>11</v>
      </c>
      <c r="I412" s="6" cm="1">
        <f t="array" ref="I412">GetLatitude(D412)</f>
        <v>553500795</v>
      </c>
      <c r="J412" s="1" cm="1">
        <f t="array" ref="J412">GetLongitude(D412)</f>
        <v>84743577</v>
      </c>
      <c r="K412" s="1">
        <f t="shared" si="19"/>
        <v>55.3500795</v>
      </c>
      <c r="L412" s="1">
        <f t="shared" si="20"/>
        <v>8.4743577000000005</v>
      </c>
    </row>
    <row r="413" spans="1:12" ht="16" x14ac:dyDescent="0.2">
      <c r="A413" s="1">
        <v>412</v>
      </c>
      <c r="B413" s="1" t="s">
        <v>1000</v>
      </c>
      <c r="C413" s="1" t="s">
        <v>1248</v>
      </c>
      <c r="D413" s="1" t="str">
        <f t="shared" si="18"/>
        <v>Fanø KommuneØster Land 31</v>
      </c>
      <c r="E413" s="1" t="s">
        <v>1249</v>
      </c>
      <c r="F413" s="1" t="s">
        <v>1250</v>
      </c>
      <c r="G413" s="1">
        <v>1950</v>
      </c>
      <c r="H413" s="1" t="s">
        <v>11</v>
      </c>
      <c r="I413" s="6" cm="1">
        <f t="array" ref="I413">GetLatitude(D413)</f>
        <v>553500496</v>
      </c>
      <c r="J413" s="1" cm="1">
        <f t="array" ref="J413">GetLongitude(D413)</f>
        <v>84747054</v>
      </c>
      <c r="K413" s="1">
        <f t="shared" si="19"/>
        <v>55.350049599999998</v>
      </c>
      <c r="L413" s="1">
        <f t="shared" si="20"/>
        <v>8.4747053999999995</v>
      </c>
    </row>
    <row r="414" spans="1:12" ht="16" x14ac:dyDescent="0.2">
      <c r="A414" s="1">
        <v>413</v>
      </c>
      <c r="B414" s="1" t="s">
        <v>1000</v>
      </c>
      <c r="C414" s="1" t="s">
        <v>1251</v>
      </c>
      <c r="D414" s="1" t="str">
        <f t="shared" si="18"/>
        <v>Fanø KommuneØster Land 32</v>
      </c>
      <c r="E414" s="1" t="s">
        <v>1252</v>
      </c>
      <c r="F414" s="1" t="s">
        <v>1253</v>
      </c>
      <c r="G414" s="1">
        <v>1950</v>
      </c>
      <c r="H414" s="1" t="s">
        <v>11</v>
      </c>
      <c r="I414" s="6" cm="1">
        <f t="array" ref="I414">GetLatitude(D414)</f>
        <v>553464831</v>
      </c>
      <c r="J414" s="1" cm="1">
        <f t="array" ref="J414">GetLongitude(D414)</f>
        <v>84697421</v>
      </c>
      <c r="K414" s="1">
        <f t="shared" si="19"/>
        <v>55.3464831</v>
      </c>
      <c r="L414" s="1">
        <f t="shared" si="20"/>
        <v>8.4697420999999995</v>
      </c>
    </row>
    <row r="415" spans="1:12" ht="16" x14ac:dyDescent="0.2">
      <c r="A415" s="1">
        <v>414</v>
      </c>
      <c r="B415" s="1" t="s">
        <v>1000</v>
      </c>
      <c r="C415" s="1" t="s">
        <v>1254</v>
      </c>
      <c r="D415" s="1" t="str">
        <f t="shared" si="18"/>
        <v>Fanø KommuneØster Land 33</v>
      </c>
      <c r="E415" s="1" t="s">
        <v>1255</v>
      </c>
      <c r="F415" s="1" t="s">
        <v>1256</v>
      </c>
      <c r="G415" s="1">
        <v>1950</v>
      </c>
      <c r="H415" s="1" t="s">
        <v>11</v>
      </c>
      <c r="I415" s="6" cm="1">
        <f t="array" ref="I415">GetLatitude(D415)</f>
        <v>553501816</v>
      </c>
      <c r="J415" s="1" cm="1">
        <f t="array" ref="J415">GetLongitude(D415)</f>
        <v>84749230</v>
      </c>
      <c r="K415" s="1">
        <f t="shared" si="19"/>
        <v>55.350181599999999</v>
      </c>
      <c r="L415" s="1">
        <f t="shared" si="20"/>
        <v>8.4749230000000004</v>
      </c>
    </row>
    <row r="416" spans="1:12" ht="16" x14ac:dyDescent="0.2">
      <c r="A416" s="1">
        <v>415</v>
      </c>
      <c r="B416" s="1" t="s">
        <v>1000</v>
      </c>
      <c r="C416" s="1" t="s">
        <v>1257</v>
      </c>
      <c r="D416" s="1" t="str">
        <f t="shared" si="18"/>
        <v>Fanø KommuneØster Land 4</v>
      </c>
      <c r="E416" s="1" t="s">
        <v>1258</v>
      </c>
      <c r="F416" s="1" t="s">
        <v>1259</v>
      </c>
      <c r="G416" s="1">
        <v>1987</v>
      </c>
      <c r="H416" s="1" t="s">
        <v>11</v>
      </c>
      <c r="I416" s="6" cm="1">
        <f t="array" ref="I416">GetLatitude(D416)</f>
        <v>553489233</v>
      </c>
      <c r="J416" s="1" cm="1">
        <f t="array" ref="J416">GetLongitude(D416)</f>
        <v>84728326</v>
      </c>
      <c r="K416" s="1">
        <f t="shared" si="19"/>
        <v>55.348923300000003</v>
      </c>
      <c r="L416" s="1">
        <f t="shared" si="20"/>
        <v>8.4728326000000003</v>
      </c>
    </row>
    <row r="417" spans="1:12" ht="16" x14ac:dyDescent="0.2">
      <c r="A417" s="1">
        <v>416</v>
      </c>
      <c r="B417" s="1" t="s">
        <v>1000</v>
      </c>
      <c r="C417" s="1" t="s">
        <v>1260</v>
      </c>
      <c r="D417" s="1" t="str">
        <f t="shared" si="18"/>
        <v>Fanø KommuneØster Land 6</v>
      </c>
      <c r="E417" s="1" t="s">
        <v>1261</v>
      </c>
      <c r="F417" s="1" t="s">
        <v>1262</v>
      </c>
      <c r="G417" s="1">
        <v>1950</v>
      </c>
      <c r="H417" s="1" t="s">
        <v>11</v>
      </c>
      <c r="I417" s="6" cm="1">
        <f t="array" ref="I417">GetLatitude(D417)</f>
        <v>553482253</v>
      </c>
      <c r="J417" s="1" cm="1">
        <f t="array" ref="J417">GetLongitude(D417)</f>
        <v>84713583</v>
      </c>
      <c r="K417" s="1">
        <f t="shared" si="19"/>
        <v>55.348225300000003</v>
      </c>
      <c r="L417" s="1">
        <f t="shared" si="20"/>
        <v>8.4713583000000003</v>
      </c>
    </row>
    <row r="418" spans="1:12" ht="16" x14ac:dyDescent="0.2">
      <c r="A418" s="1">
        <v>417</v>
      </c>
      <c r="B418" s="1" t="s">
        <v>1000</v>
      </c>
      <c r="C418" s="1" t="s">
        <v>1263</v>
      </c>
      <c r="D418" s="1" t="str">
        <f t="shared" si="18"/>
        <v>Fanø KommuneØster Land 7</v>
      </c>
      <c r="E418" s="1" t="s">
        <v>1264</v>
      </c>
      <c r="F418" s="1" t="s">
        <v>1265</v>
      </c>
      <c r="G418" s="1">
        <v>1950</v>
      </c>
      <c r="H418" s="1" t="s">
        <v>15</v>
      </c>
      <c r="I418" s="6" cm="1">
        <f t="array" ref="I418">GetLatitude(D418)</f>
        <v>553487414</v>
      </c>
      <c r="J418" s="1" cm="1">
        <f t="array" ref="J418">GetLongitude(D418)</f>
        <v>84733531</v>
      </c>
      <c r="K418" s="1">
        <f t="shared" si="19"/>
        <v>55.348741400000002</v>
      </c>
      <c r="L418" s="1">
        <f t="shared" si="20"/>
        <v>8.4733531000000006</v>
      </c>
    </row>
    <row r="419" spans="1:12" ht="16" x14ac:dyDescent="0.2">
      <c r="A419" s="1">
        <v>418</v>
      </c>
      <c r="B419" s="1" t="s">
        <v>1000</v>
      </c>
      <c r="C419" s="1" t="s">
        <v>1266</v>
      </c>
      <c r="D419" s="1" t="str">
        <f t="shared" si="18"/>
        <v>Fanø KommuneØster Land 9</v>
      </c>
      <c r="E419" s="1" t="s">
        <v>1267</v>
      </c>
      <c r="F419" s="1" t="s">
        <v>1268</v>
      </c>
      <c r="G419" s="1">
        <v>1950</v>
      </c>
      <c r="H419" s="1" t="s">
        <v>11</v>
      </c>
      <c r="I419" s="6" cm="1">
        <f t="array" ref="I419">GetLatitude(D419)</f>
        <v>553488652</v>
      </c>
      <c r="J419" s="1" cm="1">
        <f t="array" ref="J419">GetLongitude(D419)</f>
        <v>84736665</v>
      </c>
      <c r="K419" s="1">
        <f t="shared" si="19"/>
        <v>55.348865199999999</v>
      </c>
      <c r="L419" s="1">
        <f t="shared" si="20"/>
        <v>8.4736665000000002</v>
      </c>
    </row>
    <row r="420" spans="1:12" ht="16" x14ac:dyDescent="0.2">
      <c r="A420" s="1">
        <v>419</v>
      </c>
      <c r="B420" s="1" t="s">
        <v>1000</v>
      </c>
      <c r="C420" s="1" t="s">
        <v>1269</v>
      </c>
      <c r="D420" s="1" t="str">
        <f t="shared" si="18"/>
        <v>Fanø KommuneØstervej 10</v>
      </c>
      <c r="E420" s="1" t="s">
        <v>1270</v>
      </c>
      <c r="F420" s="1" t="s">
        <v>1271</v>
      </c>
      <c r="G420" s="1">
        <v>1950</v>
      </c>
      <c r="H420" s="1" t="s">
        <v>15</v>
      </c>
      <c r="I420" s="6" cm="1">
        <f t="array" ref="I420">GetLatitude(D420)</f>
        <v>554454706</v>
      </c>
      <c r="J420" s="1" cm="1">
        <f t="array" ref="J420">GetLongitude(D420)</f>
        <v>84047265</v>
      </c>
      <c r="K420" s="1">
        <f t="shared" si="19"/>
        <v>55.4454706</v>
      </c>
      <c r="L420" s="1">
        <f t="shared" si="20"/>
        <v>8.4047265000000007</v>
      </c>
    </row>
    <row r="421" spans="1:12" ht="16" x14ac:dyDescent="0.2">
      <c r="A421" s="1">
        <v>420</v>
      </c>
      <c r="B421" s="1" t="s">
        <v>1000</v>
      </c>
      <c r="C421" s="1" t="s">
        <v>1272</v>
      </c>
      <c r="D421" s="1" t="str">
        <f t="shared" si="18"/>
        <v>Fanø KommuneØstervej 12</v>
      </c>
      <c r="E421" s="1" t="s">
        <v>1273</v>
      </c>
      <c r="F421" s="1" t="s">
        <v>1274</v>
      </c>
      <c r="G421" s="1">
        <v>1950</v>
      </c>
      <c r="H421" s="1" t="s">
        <v>11</v>
      </c>
      <c r="I421" s="6" cm="1">
        <f t="array" ref="I421">GetLatitude(D421)</f>
        <v>554455284</v>
      </c>
      <c r="J421" s="1" cm="1">
        <f t="array" ref="J421">GetLongitude(D421)</f>
        <v>84048363</v>
      </c>
      <c r="K421" s="1">
        <f t="shared" si="19"/>
        <v>55.445528400000001</v>
      </c>
      <c r="L421" s="1">
        <f t="shared" si="20"/>
        <v>8.4048362999999995</v>
      </c>
    </row>
    <row r="422" spans="1:12" ht="16" x14ac:dyDescent="0.2">
      <c r="A422" s="1">
        <v>421</v>
      </c>
      <c r="B422" s="1" t="s">
        <v>1000</v>
      </c>
      <c r="C422" s="1" t="s">
        <v>1275</v>
      </c>
      <c r="D422" s="1" t="str">
        <f t="shared" si="18"/>
        <v>Fanø KommuneØstervej 6</v>
      </c>
      <c r="E422" s="1" t="s">
        <v>1275</v>
      </c>
      <c r="F422" s="1" t="s">
        <v>1276</v>
      </c>
      <c r="G422" s="1">
        <v>1973</v>
      </c>
      <c r="H422" s="1" t="s">
        <v>11</v>
      </c>
      <c r="I422" s="6" cm="1">
        <f t="array" ref="I422">GetLatitude(D422)</f>
        <v>554454645</v>
      </c>
      <c r="J422" s="1" cm="1">
        <f t="array" ref="J422">GetLongitude(D422)</f>
        <v>84052889</v>
      </c>
      <c r="K422" s="1">
        <f t="shared" si="19"/>
        <v>55.4454645</v>
      </c>
      <c r="L422" s="1">
        <f t="shared" si="20"/>
        <v>8.4052889000000004</v>
      </c>
    </row>
    <row r="423" spans="1:12" ht="16" x14ac:dyDescent="0.2">
      <c r="A423" s="1">
        <v>422</v>
      </c>
      <c r="B423" s="1" t="s">
        <v>1000</v>
      </c>
      <c r="C423" s="1" t="s">
        <v>1277</v>
      </c>
      <c r="D423" s="1" t="str">
        <f t="shared" si="18"/>
        <v>Fanø KommuneØstervej 8</v>
      </c>
      <c r="E423" s="1" t="s">
        <v>1278</v>
      </c>
      <c r="F423" s="1" t="s">
        <v>1193</v>
      </c>
      <c r="G423" s="1">
        <v>1950</v>
      </c>
      <c r="H423" s="1" t="s">
        <v>15</v>
      </c>
      <c r="I423" s="6" cm="1">
        <f t="array" ref="I423">GetLatitude(D423)</f>
        <v>554454927</v>
      </c>
      <c r="J423" s="1" cm="1">
        <f t="array" ref="J423">GetLongitude(D423)</f>
        <v>84050385</v>
      </c>
      <c r="K423" s="1">
        <f t="shared" si="19"/>
        <v>55.445492700000003</v>
      </c>
      <c r="L423" s="1">
        <f t="shared" si="20"/>
        <v>8.4050384999999999</v>
      </c>
    </row>
    <row r="424" spans="1:12" ht="16" x14ac:dyDescent="0.2">
      <c r="A424" s="1">
        <v>423</v>
      </c>
      <c r="B424" s="1" t="s">
        <v>1279</v>
      </c>
      <c r="C424" s="1" t="s">
        <v>1280</v>
      </c>
      <c r="D424" s="1" t="str">
        <f t="shared" si="18"/>
        <v>Favrskov KommuneBidstrupvej 1</v>
      </c>
      <c r="E424" s="1" t="s">
        <v>1281</v>
      </c>
      <c r="F424" s="1" t="s">
        <v>1282</v>
      </c>
      <c r="G424" s="1">
        <v>1918</v>
      </c>
      <c r="H424" s="1" t="s">
        <v>1283</v>
      </c>
      <c r="I424" s="6" cm="1">
        <f t="array" ref="I424">GetLatitude(D424)</f>
        <v>563477072</v>
      </c>
      <c r="J424" s="1" cm="1">
        <f t="array" ref="J424">GetLongitude(D424)</f>
        <v>99345762</v>
      </c>
      <c r="K424" s="1">
        <f t="shared" si="19"/>
        <v>56.347707200000002</v>
      </c>
      <c r="L424" s="1">
        <f t="shared" si="20"/>
        <v>9.9345762000000004</v>
      </c>
    </row>
    <row r="425" spans="1:12" ht="16" x14ac:dyDescent="0.2">
      <c r="A425" s="1">
        <v>424</v>
      </c>
      <c r="B425" s="1" t="s">
        <v>1279</v>
      </c>
      <c r="C425" s="1" t="s">
        <v>1284</v>
      </c>
      <c r="D425" s="1" t="str">
        <f t="shared" si="18"/>
        <v>Favrskov KommuneClausholmvej 306, 308 og 310</v>
      </c>
      <c r="E425" s="1" t="s">
        <v>1285</v>
      </c>
      <c r="F425" s="1" t="s">
        <v>1286</v>
      </c>
      <c r="G425" s="1">
        <v>1918</v>
      </c>
      <c r="H425" s="1" t="s">
        <v>11</v>
      </c>
      <c r="I425" s="6" cm="1">
        <f t="array" ref="I425">GetLatitude(D425)</f>
        <v>563856415</v>
      </c>
      <c r="J425" s="1" cm="1">
        <f t="array" ref="J425">GetLongitude(D425)</f>
        <v>101690382</v>
      </c>
      <c r="K425" s="1">
        <f t="shared" si="19"/>
        <v>56.385641499999998</v>
      </c>
      <c r="L425" s="1">
        <f t="shared" si="20"/>
        <v>10.169038199999999</v>
      </c>
    </row>
    <row r="426" spans="1:12" ht="16" x14ac:dyDescent="0.2">
      <c r="A426" s="1">
        <v>425</v>
      </c>
      <c r="B426" s="1" t="s">
        <v>1279</v>
      </c>
      <c r="C426" s="1" t="s">
        <v>1287</v>
      </c>
      <c r="D426" s="1" t="str">
        <f t="shared" si="18"/>
        <v>Favrskov KommuneClausholmvej 316</v>
      </c>
      <c r="E426" s="1" t="s">
        <v>1288</v>
      </c>
      <c r="F426" s="1" t="s">
        <v>1289</v>
      </c>
      <c r="G426" s="1">
        <v>1918</v>
      </c>
      <c r="H426" s="1" t="s">
        <v>15</v>
      </c>
      <c r="I426" s="6" cm="1">
        <f t="array" ref="I426">GetLatitude(D426)</f>
        <v>563828930</v>
      </c>
      <c r="J426" s="1" cm="1">
        <f t="array" ref="J426">GetLongitude(D426)</f>
        <v>101691610</v>
      </c>
      <c r="K426" s="1">
        <f t="shared" si="19"/>
        <v>56.382893000000003</v>
      </c>
      <c r="L426" s="1">
        <f t="shared" si="20"/>
        <v>10.169161000000001</v>
      </c>
    </row>
    <row r="427" spans="1:12" ht="16" x14ac:dyDescent="0.2">
      <c r="A427" s="1">
        <v>426</v>
      </c>
      <c r="B427" s="1" t="s">
        <v>1279</v>
      </c>
      <c r="C427" s="1" t="s">
        <v>1290</v>
      </c>
      <c r="D427" s="1" t="str">
        <f t="shared" si="18"/>
        <v>Favrskov KommuneFaurskovvej 22</v>
      </c>
      <c r="E427" s="1" t="s">
        <v>1291</v>
      </c>
      <c r="F427" s="1" t="s">
        <v>1292</v>
      </c>
      <c r="G427" s="1">
        <v>1918</v>
      </c>
      <c r="H427" s="1" t="s">
        <v>11</v>
      </c>
      <c r="I427" s="6" cm="1">
        <f t="array" ref="I427">GetLatitude(D427)</f>
        <v>563364324</v>
      </c>
      <c r="J427" s="1" cm="1">
        <f t="array" ref="J427">GetLongitude(D427)</f>
        <v>99909144</v>
      </c>
      <c r="K427" s="1">
        <f t="shared" si="19"/>
        <v>56.3364324</v>
      </c>
      <c r="L427" s="1">
        <f t="shared" si="20"/>
        <v>9.9909143999999994</v>
      </c>
    </row>
    <row r="428" spans="1:12" ht="16" x14ac:dyDescent="0.2">
      <c r="A428" s="1">
        <v>427</v>
      </c>
      <c r="B428" s="1" t="s">
        <v>1279</v>
      </c>
      <c r="C428" s="1" t="s">
        <v>1293</v>
      </c>
      <c r="D428" s="1" t="str">
        <f t="shared" si="18"/>
        <v>Favrskov KommuneLyngåvej 85</v>
      </c>
      <c r="E428" s="1" t="s">
        <v>1294</v>
      </c>
      <c r="F428" s="1" t="s">
        <v>1295</v>
      </c>
      <c r="G428" s="1">
        <v>1980</v>
      </c>
      <c r="H428" s="1" t="s">
        <v>11</v>
      </c>
      <c r="I428" s="6" cm="1">
        <f t="array" ref="I428">GetLatitude(D428)</f>
        <v>563149939</v>
      </c>
      <c r="J428" s="1" cm="1">
        <f t="array" ref="J428">GetLongitude(D428)</f>
        <v>99809945</v>
      </c>
      <c r="K428" s="1">
        <f t="shared" si="19"/>
        <v>56.314993899999997</v>
      </c>
      <c r="L428" s="1">
        <f t="shared" si="20"/>
        <v>9.9809944999999995</v>
      </c>
    </row>
    <row r="429" spans="1:12" ht="16" x14ac:dyDescent="0.2">
      <c r="A429" s="1">
        <v>428</v>
      </c>
      <c r="B429" s="1" t="s">
        <v>1279</v>
      </c>
      <c r="C429" s="1" t="s">
        <v>1296</v>
      </c>
      <c r="D429" s="1" t="str">
        <f t="shared" si="18"/>
        <v>Favrskov KommunePøt Møllevej 15</v>
      </c>
      <c r="E429" s="1" t="s">
        <v>1297</v>
      </c>
      <c r="F429" s="1" t="s">
        <v>1298</v>
      </c>
      <c r="G429" s="1">
        <v>1978</v>
      </c>
      <c r="H429" s="1" t="s">
        <v>15</v>
      </c>
      <c r="I429" s="6" cm="1">
        <f t="array" ref="I429">GetLatitude(D429)</f>
        <v>562649050</v>
      </c>
      <c r="J429" s="1" cm="1">
        <f t="array" ref="J429">GetLongitude(D429)</f>
        <v>98935109</v>
      </c>
      <c r="K429" s="1">
        <f t="shared" si="19"/>
        <v>56.264904999999999</v>
      </c>
      <c r="L429" s="1">
        <f t="shared" si="20"/>
        <v>9.8935109000000008</v>
      </c>
    </row>
    <row r="430" spans="1:12" ht="16" x14ac:dyDescent="0.2">
      <c r="A430" s="1">
        <v>429</v>
      </c>
      <c r="B430" s="1" t="s">
        <v>1279</v>
      </c>
      <c r="C430" s="1" t="s">
        <v>1299</v>
      </c>
      <c r="D430" s="1" t="str">
        <f t="shared" si="18"/>
        <v>Favrskov KommuneSallvej 1</v>
      </c>
      <c r="E430" s="1" t="s">
        <v>1300</v>
      </c>
      <c r="F430" s="1" t="s">
        <v>1301</v>
      </c>
      <c r="G430" s="1">
        <v>1982</v>
      </c>
      <c r="H430" s="1" t="s">
        <v>11</v>
      </c>
      <c r="I430" s="6" cm="1">
        <f t="array" ref="I430">GetLatitude(D430)</f>
        <v>562555260</v>
      </c>
      <c r="J430" s="1" cm="1">
        <f t="array" ref="J430">GetLongitude(D430)</f>
        <v>98609054</v>
      </c>
      <c r="K430" s="1">
        <f t="shared" si="19"/>
        <v>56.255526000000003</v>
      </c>
      <c r="L430" s="1">
        <f t="shared" si="20"/>
        <v>9.8609054</v>
      </c>
    </row>
    <row r="431" spans="1:12" ht="16" x14ac:dyDescent="0.2">
      <c r="A431" s="1">
        <v>430</v>
      </c>
      <c r="B431" s="1" t="s">
        <v>1279</v>
      </c>
      <c r="C431" s="1" t="s">
        <v>1302</v>
      </c>
      <c r="D431" s="1" t="str">
        <f t="shared" si="18"/>
        <v>Favrskov KommuneSøbygårdsvej 102</v>
      </c>
      <c r="E431" s="1" t="s">
        <v>1303</v>
      </c>
      <c r="F431" s="1" t="s">
        <v>1304</v>
      </c>
      <c r="G431" s="1">
        <v>1944</v>
      </c>
      <c r="H431" s="1" t="s">
        <v>15</v>
      </c>
      <c r="I431" s="6" cm="1">
        <f t="array" ref="I431">GetLatitude(D431)</f>
        <v>562541968</v>
      </c>
      <c r="J431" s="1" cm="1">
        <f t="array" ref="J431">GetLongitude(D431)</f>
        <v>97959751</v>
      </c>
      <c r="K431" s="1">
        <f t="shared" si="19"/>
        <v>56.254196800000003</v>
      </c>
      <c r="L431" s="1">
        <f t="shared" si="20"/>
        <v>9.7959750999999997</v>
      </c>
    </row>
    <row r="432" spans="1:12" ht="16" x14ac:dyDescent="0.2">
      <c r="A432" s="1">
        <v>431</v>
      </c>
      <c r="B432" s="1" t="s">
        <v>1279</v>
      </c>
      <c r="C432" s="1" t="s">
        <v>1305</v>
      </c>
      <c r="D432" s="1" t="str">
        <f t="shared" si="18"/>
        <v>Favrskov KommuneUlstrup Skovvej 20-22</v>
      </c>
      <c r="E432" s="1" t="s">
        <v>1306</v>
      </c>
      <c r="F432" s="1" t="s">
        <v>1307</v>
      </c>
      <c r="G432" s="1">
        <v>1918</v>
      </c>
      <c r="H432" s="1" t="s">
        <v>1308</v>
      </c>
      <c r="I432" s="6" cm="1">
        <f t="array" ref="I432">GetLatitude(D432)</f>
        <v>563887129</v>
      </c>
      <c r="J432" s="1" cm="1">
        <f t="array" ref="J432">GetLongitude(D432)</f>
        <v>97958775</v>
      </c>
      <c r="K432" s="1">
        <f t="shared" si="19"/>
        <v>56.388712900000002</v>
      </c>
      <c r="L432" s="1">
        <f t="shared" si="20"/>
        <v>9.7958774999999996</v>
      </c>
    </row>
    <row r="433" spans="1:12" ht="16" x14ac:dyDescent="0.2">
      <c r="A433" s="1">
        <v>432</v>
      </c>
      <c r="B433" s="1" t="s">
        <v>1279</v>
      </c>
      <c r="C433" s="1" t="s">
        <v>1309</v>
      </c>
      <c r="D433" s="1" t="str">
        <f t="shared" si="18"/>
        <v>Favrskov KommuneØstergårdsvej 5</v>
      </c>
      <c r="E433" s="1" t="s">
        <v>1310</v>
      </c>
      <c r="F433" s="1" t="s">
        <v>1311</v>
      </c>
      <c r="G433" s="1">
        <v>1993</v>
      </c>
      <c r="H433" s="1" t="s">
        <v>11</v>
      </c>
      <c r="I433" s="6" cm="1">
        <f t="array" ref="I433">GetLatitude(D433)</f>
        <v>563783279</v>
      </c>
      <c r="J433" s="1" cm="1">
        <f t="array" ref="J433">GetLongitude(D433)</f>
        <v>98805282</v>
      </c>
      <c r="K433" s="1">
        <f t="shared" si="19"/>
        <v>56.378327900000002</v>
      </c>
      <c r="L433" s="1">
        <f t="shared" si="20"/>
        <v>9.8805282000000005</v>
      </c>
    </row>
    <row r="434" spans="1:12" ht="16" x14ac:dyDescent="0.2">
      <c r="A434" s="1">
        <v>433</v>
      </c>
      <c r="B434" s="1" t="s">
        <v>1312</v>
      </c>
      <c r="C434" s="1" t="s">
        <v>1313</v>
      </c>
      <c r="D434" s="1" t="str">
        <f t="shared" si="18"/>
        <v>Faxe KommuneBlåbækvej 3</v>
      </c>
      <c r="E434" s="1" t="s">
        <v>1314</v>
      </c>
      <c r="F434" s="1" t="s">
        <v>1315</v>
      </c>
      <c r="G434" s="1">
        <v>1959</v>
      </c>
      <c r="H434" s="1" t="s">
        <v>11</v>
      </c>
      <c r="I434" s="6" cm="1">
        <f t="array" ref="I434">GetLatitude(D434)</f>
        <v>552551380</v>
      </c>
      <c r="J434" s="1" cm="1">
        <f t="array" ref="J434">GetLongitude(D434)</f>
        <v>121138100</v>
      </c>
      <c r="K434" s="1">
        <f t="shared" si="19"/>
        <v>55.255138000000002</v>
      </c>
      <c r="L434" s="1">
        <f t="shared" si="20"/>
        <v>12.113810000000001</v>
      </c>
    </row>
    <row r="435" spans="1:12" ht="16" x14ac:dyDescent="0.2">
      <c r="A435" s="1">
        <v>434</v>
      </c>
      <c r="B435" s="1" t="s">
        <v>1312</v>
      </c>
      <c r="C435" s="1" t="s">
        <v>1316</v>
      </c>
      <c r="D435" s="1" t="str">
        <f t="shared" si="18"/>
        <v>Faxe KommuneBlåbækvej 5</v>
      </c>
      <c r="E435" s="1" t="s">
        <v>1317</v>
      </c>
      <c r="F435" s="1" t="s">
        <v>1318</v>
      </c>
      <c r="G435" s="1">
        <v>1950</v>
      </c>
      <c r="H435" s="1" t="s">
        <v>1319</v>
      </c>
      <c r="I435" s="6" cm="1">
        <f t="array" ref="I435">GetLatitude(D435)</f>
        <v>552551380</v>
      </c>
      <c r="J435" s="1" cm="1">
        <f t="array" ref="J435">GetLongitude(D435)</f>
        <v>121138100</v>
      </c>
      <c r="K435" s="1">
        <f t="shared" si="19"/>
        <v>55.255138000000002</v>
      </c>
      <c r="L435" s="1">
        <f t="shared" si="20"/>
        <v>12.113810000000001</v>
      </c>
    </row>
    <row r="436" spans="1:12" ht="16" x14ac:dyDescent="0.2">
      <c r="A436" s="1">
        <v>435</v>
      </c>
      <c r="B436" s="1" t="s">
        <v>1312</v>
      </c>
      <c r="C436" s="1" t="s">
        <v>1320</v>
      </c>
      <c r="D436" s="1" t="str">
        <f t="shared" si="18"/>
        <v>Faxe KommuneGisselfeldvej 3-5</v>
      </c>
      <c r="E436" s="1" t="s">
        <v>1321</v>
      </c>
      <c r="F436" s="1" t="s">
        <v>1322</v>
      </c>
      <c r="G436" s="1">
        <v>1918</v>
      </c>
      <c r="H436" s="1" t="s">
        <v>11398</v>
      </c>
      <c r="I436" s="6" cm="1">
        <f t="array" ref="I436">GetLatitude(D436)</f>
        <v>552917319</v>
      </c>
      <c r="J436" s="1" cm="1">
        <f t="array" ref="J436">GetLongitude(D436)</f>
        <v>119704250</v>
      </c>
      <c r="K436" s="1">
        <f t="shared" si="19"/>
        <v>55.291731900000002</v>
      </c>
      <c r="L436" s="1">
        <f t="shared" si="20"/>
        <v>11.970425000000001</v>
      </c>
    </row>
    <row r="437" spans="1:12" ht="16" x14ac:dyDescent="0.2">
      <c r="A437" s="1">
        <v>436</v>
      </c>
      <c r="B437" s="1" t="s">
        <v>1312</v>
      </c>
      <c r="C437" s="1" t="s">
        <v>1323</v>
      </c>
      <c r="D437" s="1" t="str">
        <f t="shared" si="18"/>
        <v>Faxe KommuneKildevej 1 A</v>
      </c>
      <c r="E437" s="1" t="s">
        <v>1324</v>
      </c>
      <c r="F437" s="1" t="s">
        <v>1325</v>
      </c>
      <c r="G437" s="1">
        <v>1980</v>
      </c>
      <c r="H437" s="1" t="s">
        <v>15</v>
      </c>
      <c r="I437" s="6" cm="1">
        <f t="array" ref="I437">GetLatitude(D437)</f>
        <v>552551380</v>
      </c>
      <c r="J437" s="1" cm="1">
        <f t="array" ref="J437">GetLongitude(D437)</f>
        <v>121138100</v>
      </c>
      <c r="K437" s="1">
        <f t="shared" si="19"/>
        <v>55.255138000000002</v>
      </c>
      <c r="L437" s="1">
        <f t="shared" si="20"/>
        <v>12.113810000000001</v>
      </c>
    </row>
    <row r="438" spans="1:12" ht="16" x14ac:dyDescent="0.2">
      <c r="A438" s="1">
        <v>437</v>
      </c>
      <c r="B438" s="1" t="s">
        <v>1312</v>
      </c>
      <c r="C438" s="1" t="s">
        <v>1326</v>
      </c>
      <c r="D438" s="1" t="str">
        <f t="shared" si="18"/>
        <v>Faxe KommuneKirkevej 7</v>
      </c>
      <c r="E438" s="1" t="s">
        <v>1327</v>
      </c>
      <c r="F438" s="1" t="s">
        <v>1328</v>
      </c>
      <c r="G438" s="1">
        <v>1918</v>
      </c>
      <c r="H438" s="1" t="s">
        <v>15</v>
      </c>
      <c r="I438" s="6" cm="1">
        <f t="array" ref="I438">GetLatitude(D438)</f>
        <v>552551380</v>
      </c>
      <c r="J438" s="1" cm="1">
        <f t="array" ref="J438">GetLongitude(D438)</f>
        <v>121138100</v>
      </c>
      <c r="K438" s="1">
        <f t="shared" si="19"/>
        <v>55.255138000000002</v>
      </c>
      <c r="L438" s="1">
        <f t="shared" si="20"/>
        <v>12.113810000000001</v>
      </c>
    </row>
    <row r="439" spans="1:12" ht="16" x14ac:dyDescent="0.2">
      <c r="A439" s="1">
        <v>438</v>
      </c>
      <c r="B439" s="1" t="s">
        <v>1312</v>
      </c>
      <c r="C439" s="1" t="s">
        <v>1329</v>
      </c>
      <c r="D439" s="1" t="str">
        <f t="shared" si="18"/>
        <v>Faxe KommuneLystrupvej 9</v>
      </c>
      <c r="E439" s="1" t="s">
        <v>1330</v>
      </c>
      <c r="F439" s="1" t="s">
        <v>1331</v>
      </c>
      <c r="G439" s="1">
        <v>1918</v>
      </c>
      <c r="H439" s="1" t="s">
        <v>11</v>
      </c>
      <c r="I439" s="6" cm="1">
        <f t="array" ref="I439">GetLatitude(D439)</f>
        <v>552551380</v>
      </c>
      <c r="J439" s="1" cm="1">
        <f t="array" ref="J439">GetLongitude(D439)</f>
        <v>121138100</v>
      </c>
      <c r="K439" s="1">
        <f t="shared" si="19"/>
        <v>55.255138000000002</v>
      </c>
      <c r="L439" s="1">
        <f t="shared" si="20"/>
        <v>12.113810000000001</v>
      </c>
    </row>
    <row r="440" spans="1:12" ht="16" x14ac:dyDescent="0.2">
      <c r="A440" s="1">
        <v>439</v>
      </c>
      <c r="B440" s="1" t="s">
        <v>1312</v>
      </c>
      <c r="C440" s="1" t="s">
        <v>907</v>
      </c>
      <c r="D440" s="1" t="str">
        <f t="shared" si="18"/>
        <v>Faxe KommuneMoltkesvej 78</v>
      </c>
      <c r="E440" s="1" t="s">
        <v>1332</v>
      </c>
      <c r="F440" s="1" t="s">
        <v>11376</v>
      </c>
      <c r="G440" s="1">
        <v>1918</v>
      </c>
      <c r="H440" s="1" t="s">
        <v>1333</v>
      </c>
      <c r="I440" s="6" cm="1">
        <f t="array" ref="I440">GetLatitude(D440)</f>
        <v>553074000</v>
      </c>
      <c r="J440" s="1" cm="1">
        <f t="array" ref="J440">GetLongitude(D440)</f>
        <v>120070000</v>
      </c>
      <c r="K440" s="1">
        <f t="shared" si="19"/>
        <v>55.307400000000001</v>
      </c>
      <c r="L440" s="1">
        <f t="shared" si="20"/>
        <v>12.007</v>
      </c>
    </row>
    <row r="441" spans="1:12" ht="16" x14ac:dyDescent="0.2">
      <c r="A441" s="1">
        <v>440</v>
      </c>
      <c r="B441" s="1" t="s">
        <v>1312</v>
      </c>
      <c r="C441" s="1" t="s">
        <v>1334</v>
      </c>
      <c r="D441" s="1" t="str">
        <f t="shared" si="18"/>
        <v>Faxe KommuneNordhøjvej 6</v>
      </c>
      <c r="E441" s="1" t="s">
        <v>1335</v>
      </c>
      <c r="F441" s="1" t="s">
        <v>1336</v>
      </c>
      <c r="G441" s="1">
        <v>1959</v>
      </c>
      <c r="H441" s="1" t="s">
        <v>701</v>
      </c>
      <c r="I441" s="6" cm="1">
        <f t="array" ref="I441">GetLatitude(D441)</f>
        <v>552731395</v>
      </c>
      <c r="J441" s="1" cm="1">
        <f t="array" ref="J441">GetLongitude(D441)</f>
        <v>122613157</v>
      </c>
      <c r="K441" s="1">
        <f t="shared" si="19"/>
        <v>55.273139499999999</v>
      </c>
      <c r="L441" s="1">
        <f t="shared" si="20"/>
        <v>12.261315700000001</v>
      </c>
    </row>
    <row r="442" spans="1:12" ht="16" x14ac:dyDescent="0.2">
      <c r="A442" s="1">
        <v>441</v>
      </c>
      <c r="B442" s="1" t="s">
        <v>1312</v>
      </c>
      <c r="C442" s="1" t="s">
        <v>1337</v>
      </c>
      <c r="D442" s="1" t="str">
        <f t="shared" si="18"/>
        <v>Faxe KommuneNørregade 9</v>
      </c>
      <c r="E442" s="1" t="s">
        <v>1338</v>
      </c>
      <c r="F442" s="1" t="s">
        <v>1339</v>
      </c>
      <c r="G442" s="1">
        <v>1977</v>
      </c>
      <c r="H442" s="1" t="s">
        <v>11</v>
      </c>
      <c r="I442" s="6" cm="1">
        <f t="array" ref="I442">GetLatitude(D442)</f>
        <v>552906397</v>
      </c>
      <c r="J442" s="1" cm="1">
        <f t="array" ref="J442">GetLongitude(D442)</f>
        <v>121054144</v>
      </c>
      <c r="K442" s="1">
        <f t="shared" si="19"/>
        <v>55.2906397</v>
      </c>
      <c r="L442" s="1">
        <f t="shared" si="20"/>
        <v>12.105414400000001</v>
      </c>
    </row>
    <row r="443" spans="1:12" ht="16" x14ac:dyDescent="0.2">
      <c r="A443" s="1">
        <v>442</v>
      </c>
      <c r="B443" s="1" t="s">
        <v>1312</v>
      </c>
      <c r="C443" s="1" t="s">
        <v>1340</v>
      </c>
      <c r="D443" s="1" t="str">
        <f t="shared" si="18"/>
        <v>Faxe KommuneRosendalvej 3</v>
      </c>
      <c r="E443" s="1" t="s">
        <v>1341</v>
      </c>
      <c r="F443" s="1" t="s">
        <v>1342</v>
      </c>
      <c r="G443" s="1">
        <v>1950</v>
      </c>
      <c r="H443" s="1" t="s">
        <v>15</v>
      </c>
      <c r="I443" s="6" cm="1">
        <f t="array" ref="I443">GetLatitude(D443)</f>
        <v>552248730</v>
      </c>
      <c r="J443" s="1" cm="1">
        <f t="array" ref="J443">GetLongitude(D443)</f>
        <v>121123053</v>
      </c>
      <c r="K443" s="1">
        <f t="shared" si="19"/>
        <v>55.224873000000002</v>
      </c>
      <c r="L443" s="1">
        <f t="shared" si="20"/>
        <v>12.112305299999999</v>
      </c>
    </row>
    <row r="444" spans="1:12" ht="16" x14ac:dyDescent="0.2">
      <c r="A444" s="1">
        <v>443</v>
      </c>
      <c r="B444" s="1" t="s">
        <v>1312</v>
      </c>
      <c r="C444" s="1" t="s">
        <v>1343</v>
      </c>
      <c r="D444" s="1" t="str">
        <f t="shared" si="18"/>
        <v>Faxe KommuneStrandvejen 98</v>
      </c>
      <c r="E444" s="1" t="s">
        <v>1344</v>
      </c>
      <c r="F444" s="1" t="s">
        <v>1345</v>
      </c>
      <c r="G444" s="1">
        <v>1970</v>
      </c>
      <c r="H444" s="1" t="s">
        <v>11</v>
      </c>
      <c r="I444" s="6" cm="1">
        <f t="array" ref="I444">GetLatitude(D444)</f>
        <v>557322736</v>
      </c>
      <c r="J444" s="1" cm="1">
        <f t="array" ref="J444">GetLongitude(D444)</f>
        <v>125758271</v>
      </c>
      <c r="K444" s="1">
        <f t="shared" si="19"/>
        <v>55.732273599999999</v>
      </c>
      <c r="L444" s="1">
        <f t="shared" si="20"/>
        <v>12.5758271</v>
      </c>
    </row>
    <row r="445" spans="1:12" ht="16" x14ac:dyDescent="0.2">
      <c r="A445" s="1">
        <v>444</v>
      </c>
      <c r="B445" s="1" t="s">
        <v>1312</v>
      </c>
      <c r="C445" s="1" t="s">
        <v>1346</v>
      </c>
      <c r="D445" s="1" t="str">
        <f t="shared" si="18"/>
        <v>Faxe KommuneTurebyholmvej 14 og 18</v>
      </c>
      <c r="E445" s="1" t="s">
        <v>1347</v>
      </c>
      <c r="F445" s="1" t="s">
        <v>1348</v>
      </c>
      <c r="G445" s="1">
        <v>1918</v>
      </c>
      <c r="H445" s="1" t="s">
        <v>813</v>
      </c>
      <c r="I445" s="6" cm="1">
        <f t="array" ref="I445">GetLatitude(D445)</f>
        <v>553506654</v>
      </c>
      <c r="J445" s="1" cm="1">
        <f t="array" ref="J445">GetLongitude(D445)</f>
        <v>120934715</v>
      </c>
      <c r="K445" s="1">
        <f t="shared" si="19"/>
        <v>55.350665399999997</v>
      </c>
      <c r="L445" s="1">
        <f t="shared" si="20"/>
        <v>12.0934715</v>
      </c>
    </row>
    <row r="446" spans="1:12" ht="16" x14ac:dyDescent="0.2">
      <c r="A446" s="1">
        <v>445</v>
      </c>
      <c r="B446" s="1" t="s">
        <v>1312</v>
      </c>
      <c r="C446" s="1" t="s">
        <v>1349</v>
      </c>
      <c r="D446" s="1" t="str">
        <f t="shared" si="18"/>
        <v>Faxe KommuneVindbyholtvej 36 A-36 B</v>
      </c>
      <c r="E446" s="1" t="s">
        <v>1350</v>
      </c>
      <c r="F446" s="1" t="s">
        <v>1351</v>
      </c>
      <c r="G446" s="1">
        <v>2013</v>
      </c>
      <c r="H446" s="1" t="s">
        <v>15</v>
      </c>
      <c r="I446" s="6" cm="1">
        <f t="array" ref="I446">GetLatitude(D446)</f>
        <v>551954110</v>
      </c>
      <c r="J446" s="1" cm="1">
        <f t="array" ref="J446">GetLongitude(D446)</f>
        <v>120916202</v>
      </c>
      <c r="K446" s="1">
        <f t="shared" si="19"/>
        <v>55.195411</v>
      </c>
      <c r="L446" s="1">
        <f t="shared" si="20"/>
        <v>12.091620199999999</v>
      </c>
    </row>
    <row r="447" spans="1:12" ht="16" x14ac:dyDescent="0.2">
      <c r="A447" s="1">
        <v>446</v>
      </c>
      <c r="B447" s="1" t="s">
        <v>1352</v>
      </c>
      <c r="C447" s="1" t="s">
        <v>1353</v>
      </c>
      <c r="D447" s="1" t="str">
        <f t="shared" si="18"/>
        <v>Fredensborg KommuneBakkedraget 1-79</v>
      </c>
      <c r="E447" s="1" t="s">
        <v>1354</v>
      </c>
      <c r="F447" s="1" t="s">
        <v>1355</v>
      </c>
      <c r="G447" s="1">
        <v>1987</v>
      </c>
      <c r="H447" s="1" t="s">
        <v>11</v>
      </c>
      <c r="I447" s="6" cm="1">
        <f t="array" ref="I447">GetLatitude(D447)</f>
        <v>559545579</v>
      </c>
      <c r="J447" s="1" cm="1">
        <f t="array" ref="J447">GetLongitude(D447)</f>
        <v>124488735</v>
      </c>
      <c r="K447" s="1">
        <f t="shared" si="19"/>
        <v>55.954557899999998</v>
      </c>
      <c r="L447" s="1">
        <f t="shared" si="20"/>
        <v>12.448873499999999</v>
      </c>
    </row>
    <row r="448" spans="1:12" ht="16" x14ac:dyDescent="0.2">
      <c r="A448" s="1">
        <v>447</v>
      </c>
      <c r="B448" s="1" t="s">
        <v>1352</v>
      </c>
      <c r="C448" s="1" t="s">
        <v>1356</v>
      </c>
      <c r="D448" s="1" t="str">
        <f t="shared" si="18"/>
        <v>Fredensborg KommuneHelsingørsvej 3</v>
      </c>
      <c r="E448" s="1" t="s">
        <v>1357</v>
      </c>
      <c r="F448" s="1" t="s">
        <v>1358</v>
      </c>
      <c r="G448" s="1">
        <v>1980</v>
      </c>
      <c r="H448" s="1" t="s">
        <v>11</v>
      </c>
      <c r="I448" s="6" cm="1">
        <f t="array" ref="I448">GetLatitude(D448)</f>
        <v>559786332</v>
      </c>
      <c r="J448" s="1" cm="1">
        <f t="array" ref="J448">GetLongitude(D448)</f>
        <v>124025637</v>
      </c>
      <c r="K448" s="1">
        <f t="shared" si="19"/>
        <v>55.978633199999997</v>
      </c>
      <c r="L448" s="1">
        <f t="shared" si="20"/>
        <v>12.4025637</v>
      </c>
    </row>
    <row r="449" spans="1:12" ht="16" x14ac:dyDescent="0.2">
      <c r="A449" s="1">
        <v>448</v>
      </c>
      <c r="B449" s="1" t="s">
        <v>1352</v>
      </c>
      <c r="C449" s="1" t="s">
        <v>1359</v>
      </c>
      <c r="D449" s="1" t="str">
        <f t="shared" si="18"/>
        <v>Fredensborg KommuneHøjsagervej 8</v>
      </c>
      <c r="E449" s="1" t="s">
        <v>1360</v>
      </c>
      <c r="F449" s="1" t="s">
        <v>1361</v>
      </c>
      <c r="G449" s="1">
        <v>1959</v>
      </c>
      <c r="H449" s="1" t="s">
        <v>15</v>
      </c>
      <c r="I449" s="6" cm="1">
        <f t="array" ref="I449">GetLatitude(D449)</f>
        <v>559717407</v>
      </c>
      <c r="J449" s="1" cm="1">
        <f t="array" ref="J449">GetLongitude(D449)</f>
        <v>124497861</v>
      </c>
      <c r="K449" s="1">
        <f t="shared" si="19"/>
        <v>55.971740699999998</v>
      </c>
      <c r="L449" s="1">
        <f t="shared" si="20"/>
        <v>12.449786100000001</v>
      </c>
    </row>
    <row r="450" spans="1:12" ht="16" x14ac:dyDescent="0.2">
      <c r="A450" s="1">
        <v>449</v>
      </c>
      <c r="B450" s="1" t="s">
        <v>1352</v>
      </c>
      <c r="C450" s="1" t="s">
        <v>1362</v>
      </c>
      <c r="D450" s="1" t="str">
        <f t="shared" si="18"/>
        <v>Fredensborg KommuneKirkeltevej 161 C</v>
      </c>
      <c r="E450" s="1" t="s">
        <v>1363</v>
      </c>
      <c r="F450" s="1" t="s">
        <v>1364</v>
      </c>
      <c r="G450" s="1">
        <v>1950</v>
      </c>
      <c r="H450" s="1" t="s">
        <v>15</v>
      </c>
      <c r="I450" s="6" cm="1">
        <f t="array" ref="I450">GetLatitude(D450)</f>
        <v>559147129</v>
      </c>
      <c r="J450" s="1" cm="1">
        <f t="array" ref="J450">GetLongitude(D450)</f>
        <v>124044796</v>
      </c>
      <c r="K450" s="1">
        <f t="shared" si="19"/>
        <v>55.914712899999998</v>
      </c>
      <c r="L450" s="1">
        <f t="shared" si="20"/>
        <v>12.4044796</v>
      </c>
    </row>
    <row r="451" spans="1:12" ht="16" x14ac:dyDescent="0.2">
      <c r="A451" s="1">
        <v>450</v>
      </c>
      <c r="B451" s="1" t="s">
        <v>1352</v>
      </c>
      <c r="C451" s="1" t="s">
        <v>1365</v>
      </c>
      <c r="D451" s="1" t="str">
        <f t="shared" ref="D451:D514" si="21">B451&amp;C451</f>
        <v>Fredensborg KommuneKrogerupvej 13</v>
      </c>
      <c r="E451" s="1" t="s">
        <v>1366</v>
      </c>
      <c r="F451" s="1" t="s">
        <v>1367</v>
      </c>
      <c r="G451" s="1">
        <v>1918</v>
      </c>
      <c r="H451" s="1" t="s">
        <v>15</v>
      </c>
      <c r="I451" s="6" cm="1">
        <f t="array" ref="I451">GetLatitude(D451)</f>
        <v>559735880</v>
      </c>
      <c r="J451" s="1" cm="1">
        <f t="array" ref="J451">GetLongitude(D451)</f>
        <v>125343485</v>
      </c>
      <c r="K451" s="1">
        <f t="shared" si="19"/>
        <v>55.973587999999999</v>
      </c>
      <c r="L451" s="1">
        <f t="shared" si="20"/>
        <v>12.5343485</v>
      </c>
    </row>
    <row r="452" spans="1:12" ht="16" x14ac:dyDescent="0.2">
      <c r="A452" s="1">
        <v>451</v>
      </c>
      <c r="B452" s="1" t="s">
        <v>1352</v>
      </c>
      <c r="C452" s="1" t="s">
        <v>1368</v>
      </c>
      <c r="D452" s="1" t="str">
        <f t="shared" si="21"/>
        <v>Fredensborg KommuneKronprinsensvej 3</v>
      </c>
      <c r="E452" s="1" t="s">
        <v>1369</v>
      </c>
      <c r="F452" s="1" t="s">
        <v>1370</v>
      </c>
      <c r="G452" s="1">
        <v>1970</v>
      </c>
      <c r="H452" s="1" t="s">
        <v>15</v>
      </c>
      <c r="I452" s="6" cm="1">
        <f t="array" ref="I452">GetLatitude(D452)</f>
        <v>559798909</v>
      </c>
      <c r="J452" s="1" cm="1">
        <f t="array" ref="J452">GetLongitude(D452)</f>
        <v>123976005</v>
      </c>
      <c r="K452" s="1">
        <f t="shared" ref="K452:K515" si="22">I452/10000000</f>
        <v>55.979890900000001</v>
      </c>
      <c r="L452" s="1">
        <f t="shared" ref="L452:L515" si="23">J452/10000000</f>
        <v>12.397600499999999</v>
      </c>
    </row>
    <row r="453" spans="1:12" ht="16" x14ac:dyDescent="0.2">
      <c r="A453" s="1">
        <v>452</v>
      </c>
      <c r="B453" s="1" t="s">
        <v>1352</v>
      </c>
      <c r="C453" s="1" t="s">
        <v>1371</v>
      </c>
      <c r="D453" s="1" t="str">
        <f t="shared" si="21"/>
        <v>Fredensborg KommunePassagen 2</v>
      </c>
      <c r="E453" s="1" t="s">
        <v>1372</v>
      </c>
      <c r="F453" s="1" t="s">
        <v>373</v>
      </c>
      <c r="G453" s="1">
        <v>1970</v>
      </c>
      <c r="H453" s="1" t="s">
        <v>11</v>
      </c>
      <c r="I453" s="6" cm="1">
        <f t="array" ref="I453">GetLatitude(D453)</f>
        <v>559783067</v>
      </c>
      <c r="J453" s="1" cm="1">
        <f t="array" ref="J453">GetLongitude(D453)</f>
        <v>123987191</v>
      </c>
      <c r="K453" s="1">
        <f t="shared" si="22"/>
        <v>55.978306699999997</v>
      </c>
      <c r="L453" s="1">
        <f t="shared" si="23"/>
        <v>12.398719099999999</v>
      </c>
    </row>
    <row r="454" spans="1:12" ht="16" x14ac:dyDescent="0.2">
      <c r="A454" s="1">
        <v>453</v>
      </c>
      <c r="B454" s="1" t="s">
        <v>1352</v>
      </c>
      <c r="C454" s="1" t="s">
        <v>1373</v>
      </c>
      <c r="D454" s="1" t="str">
        <f t="shared" si="21"/>
        <v>Fredensborg KommuneSlotsgade 1</v>
      </c>
      <c r="E454" s="1" t="s">
        <v>1374</v>
      </c>
      <c r="F454" s="1" t="s">
        <v>1375</v>
      </c>
      <c r="G454" s="1">
        <v>1970</v>
      </c>
      <c r="H454" s="1" t="s">
        <v>15</v>
      </c>
      <c r="I454" s="6" cm="1">
        <f t="array" ref="I454">GetLatitude(D454)</f>
        <v>559792461</v>
      </c>
      <c r="J454" s="1" cm="1">
        <f t="array" ref="J454">GetLongitude(D454)</f>
        <v>123963352</v>
      </c>
      <c r="K454" s="1">
        <f t="shared" si="22"/>
        <v>55.979246099999997</v>
      </c>
      <c r="L454" s="1">
        <f t="shared" si="23"/>
        <v>12.396335199999999</v>
      </c>
    </row>
    <row r="455" spans="1:12" ht="16" x14ac:dyDescent="0.2">
      <c r="A455" s="1">
        <v>454</v>
      </c>
      <c r="B455" s="1" t="s">
        <v>1352</v>
      </c>
      <c r="C455" s="1" t="s">
        <v>1376</v>
      </c>
      <c r="D455" s="1" t="str">
        <f t="shared" si="21"/>
        <v>Fredensborg KommuneSlotsgade 11</v>
      </c>
      <c r="E455" s="1" t="s">
        <v>1377</v>
      </c>
      <c r="F455" s="1" t="s">
        <v>1378</v>
      </c>
      <c r="G455" s="1">
        <v>1918</v>
      </c>
      <c r="H455" s="1" t="s">
        <v>15</v>
      </c>
      <c r="I455" s="6" cm="1">
        <f t="array" ref="I455">GetLatitude(D455)</f>
        <v>559775326</v>
      </c>
      <c r="J455" s="1" cm="1">
        <f t="array" ref="J455">GetLongitude(D455)</f>
        <v>123968797</v>
      </c>
      <c r="K455" s="1">
        <f t="shared" si="22"/>
        <v>55.977532600000004</v>
      </c>
      <c r="L455" s="1">
        <f t="shared" si="23"/>
        <v>12.3968797</v>
      </c>
    </row>
    <row r="456" spans="1:12" ht="16" x14ac:dyDescent="0.2">
      <c r="A456" s="1">
        <v>455</v>
      </c>
      <c r="B456" s="1" t="s">
        <v>1352</v>
      </c>
      <c r="C456" s="1" t="s">
        <v>1379</v>
      </c>
      <c r="D456" s="1" t="str">
        <f t="shared" si="21"/>
        <v>Fredensborg KommuneSlotsgade 19</v>
      </c>
      <c r="E456" s="1" t="s">
        <v>1380</v>
      </c>
      <c r="F456" s="1" t="s">
        <v>1381</v>
      </c>
      <c r="G456" s="1">
        <v>1918</v>
      </c>
      <c r="H456" s="1" t="s">
        <v>11</v>
      </c>
      <c r="I456" s="6" cm="1">
        <f t="array" ref="I456">GetLatitude(D456)</f>
        <v>559766530</v>
      </c>
      <c r="J456" s="1" cm="1">
        <f t="array" ref="J456">GetLongitude(D456)</f>
        <v>123969425</v>
      </c>
      <c r="K456" s="1">
        <f t="shared" si="22"/>
        <v>55.976652999999999</v>
      </c>
      <c r="L456" s="1">
        <f t="shared" si="23"/>
        <v>12.3969425</v>
      </c>
    </row>
    <row r="457" spans="1:12" ht="16" x14ac:dyDescent="0.2">
      <c r="A457" s="1">
        <v>456</v>
      </c>
      <c r="B457" s="1" t="s">
        <v>1352</v>
      </c>
      <c r="C457" s="1" t="s">
        <v>1382</v>
      </c>
      <c r="D457" s="1" t="str">
        <f t="shared" si="21"/>
        <v>Fredensborg KommuneSlotsgade 20</v>
      </c>
      <c r="E457" s="1" t="s">
        <v>1383</v>
      </c>
      <c r="F457" s="1" t="s">
        <v>1384</v>
      </c>
      <c r="G457" s="1">
        <v>1970</v>
      </c>
      <c r="H457" s="1" t="s">
        <v>15</v>
      </c>
      <c r="I457" s="6" cm="1">
        <f t="array" ref="I457">GetLatitude(D457)</f>
        <v>559780870</v>
      </c>
      <c r="J457" s="1" cm="1">
        <f t="array" ref="J457">GetLongitude(D457)</f>
        <v>123962870</v>
      </c>
      <c r="K457" s="1">
        <f t="shared" si="22"/>
        <v>55.978087000000002</v>
      </c>
      <c r="L457" s="1">
        <f t="shared" si="23"/>
        <v>12.396286999999999</v>
      </c>
    </row>
    <row r="458" spans="1:12" ht="16" x14ac:dyDescent="0.2">
      <c r="A458" s="1">
        <v>457</v>
      </c>
      <c r="B458" s="1" t="s">
        <v>1352</v>
      </c>
      <c r="C458" s="1" t="s">
        <v>1385</v>
      </c>
      <c r="D458" s="1" t="str">
        <f t="shared" si="21"/>
        <v>Fredensborg KommuneSlotsgade 21</v>
      </c>
      <c r="E458" s="1" t="s">
        <v>1386</v>
      </c>
      <c r="F458" s="1" t="s">
        <v>1387</v>
      </c>
      <c r="G458" s="1">
        <v>1970</v>
      </c>
      <c r="H458" s="1" t="s">
        <v>11</v>
      </c>
      <c r="I458" s="6" cm="1">
        <f t="array" ref="I458">GetLatitude(D458)</f>
        <v>559764496</v>
      </c>
      <c r="J458" s="1" cm="1">
        <f t="array" ref="J458">GetLongitude(D458)</f>
        <v>123970943</v>
      </c>
      <c r="K458" s="1">
        <f t="shared" si="22"/>
        <v>55.976449600000002</v>
      </c>
      <c r="L458" s="1">
        <f t="shared" si="23"/>
        <v>12.397094299999999</v>
      </c>
    </row>
    <row r="459" spans="1:12" ht="16" x14ac:dyDescent="0.2">
      <c r="A459" s="1">
        <v>458</v>
      </c>
      <c r="B459" s="1" t="s">
        <v>1352</v>
      </c>
      <c r="C459" s="1" t="s">
        <v>1388</v>
      </c>
      <c r="D459" s="1" t="str">
        <f t="shared" si="21"/>
        <v>Fredensborg KommuneSlotsgade 23</v>
      </c>
      <c r="E459" s="1" t="s">
        <v>1389</v>
      </c>
      <c r="F459" s="1" t="s">
        <v>1390</v>
      </c>
      <c r="G459" s="1">
        <v>1964</v>
      </c>
      <c r="H459" s="1" t="s">
        <v>11</v>
      </c>
      <c r="I459" s="6" cm="1">
        <f t="array" ref="I459">GetLatitude(D459)</f>
        <v>559762387</v>
      </c>
      <c r="J459" s="1" cm="1">
        <f t="array" ref="J459">GetLongitude(D459)</f>
        <v>123969943</v>
      </c>
      <c r="K459" s="1">
        <f t="shared" si="22"/>
        <v>55.976238700000003</v>
      </c>
      <c r="L459" s="1">
        <f t="shared" si="23"/>
        <v>12.396994299999999</v>
      </c>
    </row>
    <row r="460" spans="1:12" ht="16" x14ac:dyDescent="0.2">
      <c r="A460" s="1">
        <v>459</v>
      </c>
      <c r="B460" s="1" t="s">
        <v>1352</v>
      </c>
      <c r="C460" s="1" t="s">
        <v>1391</v>
      </c>
      <c r="D460" s="1" t="str">
        <f t="shared" si="21"/>
        <v>Fredensborg KommuneSlotsgade 2 A</v>
      </c>
      <c r="E460" s="1" t="s">
        <v>1392</v>
      </c>
      <c r="F460" s="1" t="s">
        <v>1393</v>
      </c>
      <c r="G460" s="1">
        <v>1918</v>
      </c>
      <c r="H460" s="1" t="s">
        <v>11</v>
      </c>
      <c r="I460" s="6" cm="1">
        <f t="array" ref="I460">GetLatitude(D460)</f>
        <v>559545579</v>
      </c>
      <c r="J460" s="1" cm="1">
        <f t="array" ref="J460">GetLongitude(D460)</f>
        <v>124488735</v>
      </c>
      <c r="K460" s="1">
        <f t="shared" si="22"/>
        <v>55.954557899999998</v>
      </c>
      <c r="L460" s="1">
        <f t="shared" si="23"/>
        <v>12.448873499999999</v>
      </c>
    </row>
    <row r="461" spans="1:12" ht="16" x14ac:dyDescent="0.2">
      <c r="A461" s="1">
        <v>460</v>
      </c>
      <c r="B461" s="1" t="s">
        <v>1352</v>
      </c>
      <c r="C461" s="1" t="s">
        <v>1394</v>
      </c>
      <c r="D461" s="1" t="str">
        <f t="shared" si="21"/>
        <v>Fredensborg KommuneSlotsgade 9</v>
      </c>
      <c r="E461" s="1" t="s">
        <v>1395</v>
      </c>
      <c r="F461" s="1" t="s">
        <v>1396</v>
      </c>
      <c r="G461" s="1">
        <v>1918</v>
      </c>
      <c r="H461" s="1" t="s">
        <v>11</v>
      </c>
      <c r="I461" s="6" cm="1">
        <f t="array" ref="I461">GetLatitude(D461)</f>
        <v>559777756</v>
      </c>
      <c r="J461" s="1" cm="1">
        <f t="array" ref="J461">GetLongitude(D461)</f>
        <v>123966640</v>
      </c>
      <c r="K461" s="1">
        <f t="shared" si="22"/>
        <v>55.977775600000001</v>
      </c>
      <c r="L461" s="1">
        <f t="shared" si="23"/>
        <v>12.396663999999999</v>
      </c>
    </row>
    <row r="462" spans="1:12" ht="16" x14ac:dyDescent="0.2">
      <c r="A462" s="1">
        <v>461</v>
      </c>
      <c r="B462" s="1" t="s">
        <v>1352</v>
      </c>
      <c r="C462" s="1" t="s">
        <v>1397</v>
      </c>
      <c r="D462" s="1" t="str">
        <f t="shared" si="21"/>
        <v>Fredensborg KommuneSlottet 1-15 og Skipperallé 6</v>
      </c>
      <c r="E462" s="1" t="s">
        <v>1398</v>
      </c>
      <c r="F462" s="1" t="s">
        <v>1399</v>
      </c>
      <c r="G462" s="1">
        <v>1918</v>
      </c>
      <c r="H462" s="1" t="s">
        <v>15</v>
      </c>
      <c r="I462" s="6" cm="1">
        <f t="array" ref="I462">GetLatitude(D462)</f>
        <v>559801983</v>
      </c>
      <c r="J462" s="1" cm="1">
        <f t="array" ref="J462">GetLongitude(D462)</f>
        <v>123948010</v>
      </c>
      <c r="K462" s="1">
        <f t="shared" si="22"/>
        <v>55.980198299999998</v>
      </c>
      <c r="L462" s="1">
        <f t="shared" si="23"/>
        <v>12.394800999999999</v>
      </c>
    </row>
    <row r="463" spans="1:12" ht="16" x14ac:dyDescent="0.2">
      <c r="A463" s="1">
        <v>462</v>
      </c>
      <c r="B463" s="1" t="s">
        <v>1352</v>
      </c>
      <c r="C463" s="1" t="s">
        <v>1400</v>
      </c>
      <c r="D463" s="1" t="str">
        <f t="shared" si="21"/>
        <v>Fredensborg KommuneTeglværksvej 23, tidl Gammel Strandvej 10</v>
      </c>
      <c r="E463" s="1" t="s">
        <v>1401</v>
      </c>
      <c r="F463" s="1" t="s">
        <v>1402</v>
      </c>
      <c r="G463" s="1">
        <v>1985</v>
      </c>
      <c r="H463" s="1" t="s">
        <v>11</v>
      </c>
      <c r="I463" s="6" cm="1">
        <f t="array" ref="I463">GetLatitude(D463)</f>
        <v>559746366</v>
      </c>
      <c r="J463" s="1" cm="1">
        <f t="array" ref="J463">GetLongitude(D463)</f>
        <v>125459437</v>
      </c>
      <c r="K463" s="1">
        <f t="shared" si="22"/>
        <v>55.974636599999997</v>
      </c>
      <c r="L463" s="1">
        <f t="shared" si="23"/>
        <v>12.5459437</v>
      </c>
    </row>
    <row r="464" spans="1:12" ht="16" x14ac:dyDescent="0.2">
      <c r="A464" s="1">
        <v>463</v>
      </c>
      <c r="B464" s="1" t="s">
        <v>1403</v>
      </c>
      <c r="C464" s="1" t="s">
        <v>1404</v>
      </c>
      <c r="D464" s="1" t="str">
        <f t="shared" si="21"/>
        <v>Fredericia KommuneDanmarksgade 61</v>
      </c>
      <c r="E464" s="1" t="s">
        <v>1405</v>
      </c>
      <c r="F464" s="1" t="s">
        <v>1406</v>
      </c>
      <c r="G464" s="1">
        <v>1919</v>
      </c>
      <c r="H464" s="1" t="s">
        <v>11</v>
      </c>
      <c r="I464" s="6" cm="1">
        <f t="array" ref="I464">GetLatitude(D464)</f>
        <v>555671694</v>
      </c>
      <c r="J464" s="1" cm="1">
        <f t="array" ref="J464">GetLongitude(D464)</f>
        <v>97629170</v>
      </c>
      <c r="K464" s="1">
        <f t="shared" si="22"/>
        <v>55.567169399999997</v>
      </c>
      <c r="L464" s="1">
        <f t="shared" si="23"/>
        <v>9.7629169999999998</v>
      </c>
    </row>
    <row r="465" spans="1:12" ht="16" x14ac:dyDescent="0.2">
      <c r="A465" s="1">
        <v>464</v>
      </c>
      <c r="B465" s="1" t="s">
        <v>1403</v>
      </c>
      <c r="C465" s="1" t="s">
        <v>1407</v>
      </c>
      <c r="D465" s="1" t="str">
        <f t="shared" si="21"/>
        <v>Fredericia KommuneDronningensgade 68</v>
      </c>
      <c r="E465" s="1" t="s">
        <v>1408</v>
      </c>
      <c r="F465" s="1" t="s">
        <v>1409</v>
      </c>
      <c r="G465" s="1">
        <v>1919</v>
      </c>
      <c r="H465" s="1" t="s">
        <v>1410</v>
      </c>
      <c r="I465" s="6" cm="1">
        <f t="array" ref="I465">GetLatitude(D465)</f>
        <v>555648152</v>
      </c>
      <c r="J465" s="1" cm="1">
        <f t="array" ref="J465">GetLongitude(D465)</f>
        <v>97655044</v>
      </c>
      <c r="K465" s="1">
        <f t="shared" si="22"/>
        <v>55.564815199999998</v>
      </c>
      <c r="L465" s="1">
        <f t="shared" si="23"/>
        <v>9.7655043999999993</v>
      </c>
    </row>
    <row r="466" spans="1:12" ht="16" x14ac:dyDescent="0.2">
      <c r="A466" s="1">
        <v>465</v>
      </c>
      <c r="B466" s="1" t="s">
        <v>1403</v>
      </c>
      <c r="C466" s="1" t="s">
        <v>1411</v>
      </c>
      <c r="D466" s="1" t="str">
        <f t="shared" si="21"/>
        <v>Fredericia KommuneDronningensgade 87</v>
      </c>
      <c r="E466" s="1" t="s">
        <v>1412</v>
      </c>
      <c r="F466" s="1" t="s">
        <v>1413</v>
      </c>
      <c r="G466" s="1">
        <v>1919</v>
      </c>
      <c r="H466" s="1" t="s">
        <v>11</v>
      </c>
      <c r="I466" s="6" cm="1">
        <f t="array" ref="I466">GetLatitude(D466)</f>
        <v>555647287</v>
      </c>
      <c r="J466" s="1" cm="1">
        <f t="array" ref="J466">GetLongitude(D466)</f>
        <v>97660361</v>
      </c>
      <c r="K466" s="1">
        <f t="shared" si="22"/>
        <v>55.564728700000003</v>
      </c>
      <c r="L466" s="1">
        <f t="shared" si="23"/>
        <v>9.7660361000000009</v>
      </c>
    </row>
    <row r="467" spans="1:12" ht="16" x14ac:dyDescent="0.2">
      <c r="A467" s="1">
        <v>466</v>
      </c>
      <c r="B467" s="1" t="s">
        <v>1403</v>
      </c>
      <c r="C467" s="1" t="s">
        <v>1414</v>
      </c>
      <c r="D467" s="1" t="str">
        <f t="shared" si="21"/>
        <v>Fredericia KommuneDronningensgade 87 B</v>
      </c>
      <c r="E467" s="1" t="s">
        <v>1415</v>
      </c>
      <c r="F467" s="1" t="s">
        <v>1416</v>
      </c>
      <c r="G467" s="1">
        <v>1973</v>
      </c>
      <c r="H467" s="1" t="s">
        <v>15</v>
      </c>
      <c r="I467" s="6" cm="1">
        <f t="array" ref="I467">GetLatitude(D467)</f>
        <v>555644306</v>
      </c>
      <c r="J467" s="1" cm="1">
        <f t="array" ref="J467">GetLongitude(D467)</f>
        <v>97662078</v>
      </c>
      <c r="K467" s="1">
        <f t="shared" si="22"/>
        <v>55.564430600000001</v>
      </c>
      <c r="L467" s="1">
        <f t="shared" si="23"/>
        <v>9.7662078000000001</v>
      </c>
    </row>
    <row r="468" spans="1:12" ht="16" x14ac:dyDescent="0.2">
      <c r="A468" s="1">
        <v>467</v>
      </c>
      <c r="B468" s="1" t="s">
        <v>1403</v>
      </c>
      <c r="C468" s="1" t="s">
        <v>1417</v>
      </c>
      <c r="D468" s="1" t="str">
        <f t="shared" si="21"/>
        <v>Fredericia KommuneFuglsangvej 28</v>
      </c>
      <c r="E468" s="1" t="s">
        <v>1418</v>
      </c>
      <c r="F468" s="1" t="s">
        <v>1419</v>
      </c>
      <c r="G468" s="1">
        <v>1950</v>
      </c>
      <c r="H468" s="1" t="s">
        <v>15</v>
      </c>
      <c r="I468" s="6" cm="1">
        <f t="array" ref="I468">GetLatitude(D468)</f>
        <v>555608384</v>
      </c>
      <c r="J468" s="1" cm="1">
        <f t="array" ref="J468">GetLongitude(D468)</f>
        <v>97020271</v>
      </c>
      <c r="K468" s="1">
        <f t="shared" si="22"/>
        <v>55.560838400000002</v>
      </c>
      <c r="L468" s="1">
        <f t="shared" si="23"/>
        <v>9.7020271000000005</v>
      </c>
    </row>
    <row r="469" spans="1:12" ht="16" x14ac:dyDescent="0.2">
      <c r="A469" s="1">
        <v>468</v>
      </c>
      <c r="B469" s="1" t="s">
        <v>1403</v>
      </c>
      <c r="C469" s="1" t="s">
        <v>1420</v>
      </c>
      <c r="D469" s="1" t="str">
        <f t="shared" si="21"/>
        <v>Fredericia KommuneGammelby Møllevej 62</v>
      </c>
      <c r="E469" s="1" t="s">
        <v>1421</v>
      </c>
      <c r="F469" s="1" t="s">
        <v>1422</v>
      </c>
      <c r="G469" s="1">
        <v>1964</v>
      </c>
      <c r="H469" s="1" t="s">
        <v>11</v>
      </c>
      <c r="I469" s="6" cm="1">
        <f t="array" ref="I469">GetLatitude(D469)</f>
        <v>555868049</v>
      </c>
      <c r="J469" s="1" cm="1">
        <f t="array" ref="J469">GetLongitude(D469)</f>
        <v>96229036</v>
      </c>
      <c r="K469" s="1">
        <f t="shared" si="22"/>
        <v>55.586804899999997</v>
      </c>
      <c r="L469" s="1">
        <f t="shared" si="23"/>
        <v>9.6229036000000008</v>
      </c>
    </row>
    <row r="470" spans="1:12" ht="16" x14ac:dyDescent="0.2">
      <c r="A470" s="1">
        <v>469</v>
      </c>
      <c r="B470" s="1" t="s">
        <v>1403</v>
      </c>
      <c r="C470" s="1" t="s">
        <v>1423</v>
      </c>
      <c r="D470" s="1" t="str">
        <f t="shared" si="21"/>
        <v>Fredericia KommuneGothersgade 34</v>
      </c>
      <c r="E470" s="1" t="s">
        <v>1424</v>
      </c>
      <c r="F470" s="1" t="s">
        <v>1425</v>
      </c>
      <c r="G470" s="1">
        <v>1983</v>
      </c>
      <c r="H470" s="1" t="s">
        <v>15</v>
      </c>
      <c r="I470" s="6" cm="1">
        <f t="array" ref="I470">GetLatitude(D470)</f>
        <v>555625282</v>
      </c>
      <c r="J470" s="1" cm="1">
        <f t="array" ref="J470">GetLongitude(D470)</f>
        <v>97561150</v>
      </c>
      <c r="K470" s="1">
        <f t="shared" si="22"/>
        <v>55.562528200000003</v>
      </c>
      <c r="L470" s="1">
        <f t="shared" si="23"/>
        <v>9.7561149999999994</v>
      </c>
    </row>
    <row r="471" spans="1:12" ht="16" x14ac:dyDescent="0.2">
      <c r="A471" s="1">
        <v>470</v>
      </c>
      <c r="B471" s="1" t="s">
        <v>1403</v>
      </c>
      <c r="C471" s="1" t="s">
        <v>1426</v>
      </c>
      <c r="D471" s="1" t="str">
        <f t="shared" si="21"/>
        <v>Fredericia KommuneHerslev Bygade 8 og 8 A</v>
      </c>
      <c r="E471" s="1" t="s">
        <v>1427</v>
      </c>
      <c r="F471" s="1" t="s">
        <v>1428</v>
      </c>
      <c r="G471" s="1">
        <v>1982</v>
      </c>
      <c r="H471" s="1" t="s">
        <v>15</v>
      </c>
      <c r="I471" s="6" cm="1">
        <f t="array" ref="I471">GetLatitude(D471)</f>
        <v>555847500</v>
      </c>
      <c r="J471" s="1" cm="1">
        <f t="array" ref="J471">GetLongitude(D471)</f>
        <v>95914810</v>
      </c>
      <c r="K471" s="1">
        <f t="shared" si="22"/>
        <v>55.58475</v>
      </c>
      <c r="L471" s="1">
        <f t="shared" si="23"/>
        <v>9.5914809999999999</v>
      </c>
    </row>
    <row r="472" spans="1:12" ht="16" x14ac:dyDescent="0.2">
      <c r="A472" s="1">
        <v>471</v>
      </c>
      <c r="B472" s="1" t="s">
        <v>1403</v>
      </c>
      <c r="C472" s="1" t="s">
        <v>1429</v>
      </c>
      <c r="D472" s="1" t="str">
        <f t="shared" si="21"/>
        <v>Fredericia KommuneKirkestræde 3</v>
      </c>
      <c r="E472" s="1" t="s">
        <v>1430</v>
      </c>
      <c r="F472" s="1" t="s">
        <v>1431</v>
      </c>
      <c r="G472" s="1">
        <v>1980</v>
      </c>
      <c r="H472" s="1" t="s">
        <v>11</v>
      </c>
      <c r="I472" s="6" cm="1">
        <f t="array" ref="I472">GetLatitude(D472)</f>
        <v>555667709</v>
      </c>
      <c r="J472" s="1" cm="1">
        <f t="array" ref="J472">GetLongitude(D472)</f>
        <v>97539029</v>
      </c>
      <c r="K472" s="1">
        <f t="shared" si="22"/>
        <v>55.566770900000002</v>
      </c>
      <c r="L472" s="1">
        <f t="shared" si="23"/>
        <v>9.7539028999999999</v>
      </c>
    </row>
    <row r="473" spans="1:12" ht="16" x14ac:dyDescent="0.2">
      <c r="A473" s="1">
        <v>472</v>
      </c>
      <c r="B473" s="1" t="s">
        <v>1403</v>
      </c>
      <c r="C473" s="1" t="s">
        <v>1432</v>
      </c>
      <c r="D473" s="1" t="str">
        <f t="shared" si="21"/>
        <v>Fredericia KommuneKongensgade 15</v>
      </c>
      <c r="E473" s="1" t="s">
        <v>1433</v>
      </c>
      <c r="F473" s="1" t="s">
        <v>1434</v>
      </c>
      <c r="G473" s="1">
        <v>1988</v>
      </c>
      <c r="H473" s="1" t="s">
        <v>11</v>
      </c>
      <c r="I473" s="6" cm="1">
        <f t="array" ref="I473">GetLatitude(D473)</f>
        <v>555692183</v>
      </c>
      <c r="J473" s="1" cm="1">
        <f t="array" ref="J473">GetLongitude(D473)</f>
        <v>97640610</v>
      </c>
      <c r="K473" s="1">
        <f t="shared" si="22"/>
        <v>55.569218300000003</v>
      </c>
      <c r="L473" s="1">
        <f t="shared" si="23"/>
        <v>9.7640609999999999</v>
      </c>
    </row>
    <row r="474" spans="1:12" ht="16" x14ac:dyDescent="0.2">
      <c r="A474" s="1">
        <v>473</v>
      </c>
      <c r="B474" s="1" t="s">
        <v>1403</v>
      </c>
      <c r="C474" s="1" t="s">
        <v>1435</v>
      </c>
      <c r="D474" s="1" t="str">
        <f t="shared" si="21"/>
        <v>Fredericia KommuneKongensgade 25</v>
      </c>
      <c r="E474" s="1" t="s">
        <v>1436</v>
      </c>
      <c r="F474" s="1" t="s">
        <v>1437</v>
      </c>
      <c r="G474" s="1">
        <v>1919</v>
      </c>
      <c r="H474" s="1" t="s">
        <v>11</v>
      </c>
      <c r="I474" s="6" cm="1">
        <f t="array" ref="I474">GetLatitude(D474)</f>
        <v>555683663</v>
      </c>
      <c r="J474" s="1" cm="1">
        <f t="array" ref="J474">GetLongitude(D474)</f>
        <v>97640234</v>
      </c>
      <c r="K474" s="1">
        <f t="shared" si="22"/>
        <v>55.568366300000001</v>
      </c>
      <c r="L474" s="1">
        <f t="shared" si="23"/>
        <v>9.7640233999999992</v>
      </c>
    </row>
    <row r="475" spans="1:12" ht="16" x14ac:dyDescent="0.2">
      <c r="A475" s="1">
        <v>474</v>
      </c>
      <c r="B475" s="1" t="s">
        <v>1403</v>
      </c>
      <c r="C475" s="1" t="s">
        <v>1438</v>
      </c>
      <c r="D475" s="1" t="str">
        <f t="shared" si="21"/>
        <v>Fredericia KommuneKongensgade 9</v>
      </c>
      <c r="E475" s="1" t="s">
        <v>1439</v>
      </c>
      <c r="F475" s="1" t="s">
        <v>1440</v>
      </c>
      <c r="G475" s="1">
        <v>1995</v>
      </c>
      <c r="H475" s="1" t="s">
        <v>15</v>
      </c>
      <c r="I475" s="6" cm="1">
        <f t="array" ref="I475">GetLatitude(D475)</f>
        <v>555694765</v>
      </c>
      <c r="J475" s="1" cm="1">
        <f t="array" ref="J475">GetLongitude(D475)</f>
        <v>97642012</v>
      </c>
      <c r="K475" s="1">
        <f t="shared" si="22"/>
        <v>55.5694765</v>
      </c>
      <c r="L475" s="1">
        <f t="shared" si="23"/>
        <v>9.7642012000000005</v>
      </c>
    </row>
    <row r="476" spans="1:12" ht="16" x14ac:dyDescent="0.2">
      <c r="A476" s="1">
        <v>475</v>
      </c>
      <c r="B476" s="1" t="s">
        <v>1403</v>
      </c>
      <c r="C476" s="1" t="s">
        <v>1441</v>
      </c>
      <c r="D476" s="1" t="str">
        <f t="shared" si="21"/>
        <v>Fredericia KommuneKringsmindevej 9</v>
      </c>
      <c r="E476" s="1" t="s">
        <v>1442</v>
      </c>
      <c r="F476" s="1" t="s">
        <v>1443</v>
      </c>
      <c r="G476" s="1">
        <v>1983</v>
      </c>
      <c r="H476" s="1" t="s">
        <v>15</v>
      </c>
      <c r="I476" s="6" cm="1">
        <f t="array" ref="I476">GetLatitude(D476)</f>
        <v>556096596</v>
      </c>
      <c r="J476" s="1" cm="1">
        <f t="array" ref="J476">GetLongitude(D476)</f>
        <v>97431968</v>
      </c>
      <c r="K476" s="1">
        <f t="shared" si="22"/>
        <v>55.609659600000001</v>
      </c>
      <c r="L476" s="1">
        <f t="shared" si="23"/>
        <v>9.7431967999999998</v>
      </c>
    </row>
    <row r="477" spans="1:12" ht="16" x14ac:dyDescent="0.2">
      <c r="A477" s="1">
        <v>476</v>
      </c>
      <c r="B477" s="1" t="s">
        <v>1403</v>
      </c>
      <c r="C477" s="1" t="s">
        <v>1444</v>
      </c>
      <c r="D477" s="1" t="str">
        <f t="shared" si="21"/>
        <v>Fredericia KommunePrinsensgade 39 A-B</v>
      </c>
      <c r="E477" s="1" t="s">
        <v>1445</v>
      </c>
      <c r="F477" s="1" t="s">
        <v>1446</v>
      </c>
      <c r="G477" s="1">
        <v>1987</v>
      </c>
      <c r="H477" s="1" t="s">
        <v>11</v>
      </c>
      <c r="I477" s="6" cm="1">
        <f t="array" ref="I477">GetLatitude(D477)</f>
        <v>555686932</v>
      </c>
      <c r="J477" s="1" cm="1">
        <f t="array" ref="J477">GetLongitude(D477)</f>
        <v>97624269</v>
      </c>
      <c r="K477" s="1">
        <f t="shared" si="22"/>
        <v>55.568693199999998</v>
      </c>
      <c r="L477" s="1">
        <f t="shared" si="23"/>
        <v>9.7624268999999995</v>
      </c>
    </row>
    <row r="478" spans="1:12" ht="16" x14ac:dyDescent="0.2">
      <c r="A478" s="1">
        <v>477</v>
      </c>
      <c r="B478" s="1" t="s">
        <v>1403</v>
      </c>
      <c r="C478" s="1" t="s">
        <v>1447</v>
      </c>
      <c r="D478" s="1" t="str">
        <f t="shared" si="21"/>
        <v>Fredericia KommunePrinsessegade 10</v>
      </c>
      <c r="E478" s="1" t="s">
        <v>1448</v>
      </c>
      <c r="F478" s="1" t="s">
        <v>1449</v>
      </c>
      <c r="G478" s="1">
        <v>1924</v>
      </c>
      <c r="H478" s="1" t="s">
        <v>15</v>
      </c>
      <c r="I478" s="6" cm="1">
        <f t="array" ref="I478">GetLatitude(D478)</f>
        <v>555681619</v>
      </c>
      <c r="J478" s="1" cm="1">
        <f t="array" ref="J478">GetLongitude(D478)</f>
        <v>97575974</v>
      </c>
      <c r="K478" s="1">
        <f t="shared" si="22"/>
        <v>55.5681619</v>
      </c>
      <c r="L478" s="1">
        <f t="shared" si="23"/>
        <v>9.7575973999999999</v>
      </c>
    </row>
    <row r="479" spans="1:12" ht="16" x14ac:dyDescent="0.2">
      <c r="A479" s="1">
        <v>478</v>
      </c>
      <c r="B479" s="1" t="s">
        <v>1403</v>
      </c>
      <c r="C479" s="1" t="s">
        <v>1450</v>
      </c>
      <c r="D479" s="1" t="str">
        <f t="shared" si="21"/>
        <v>Fredericia KommunePrinsessegade 12</v>
      </c>
      <c r="E479" s="1" t="s">
        <v>1451</v>
      </c>
      <c r="F479" s="1" t="s">
        <v>416</v>
      </c>
      <c r="G479" s="1">
        <v>1918</v>
      </c>
      <c r="H479" s="1" t="s">
        <v>701</v>
      </c>
      <c r="I479" s="6" cm="1">
        <f t="array" ref="I479">GetLatitude(D479)</f>
        <v>555680344</v>
      </c>
      <c r="J479" s="1" cm="1">
        <f t="array" ref="J479">GetLongitude(D479)</f>
        <v>97575504</v>
      </c>
      <c r="K479" s="1">
        <f t="shared" si="22"/>
        <v>55.568034400000002</v>
      </c>
      <c r="L479" s="1">
        <f t="shared" si="23"/>
        <v>9.7575503999999995</v>
      </c>
    </row>
    <row r="480" spans="1:12" ht="16" x14ac:dyDescent="0.2">
      <c r="A480" s="1">
        <v>479</v>
      </c>
      <c r="B480" s="1" t="s">
        <v>1403</v>
      </c>
      <c r="C480" s="1" t="s">
        <v>1452</v>
      </c>
      <c r="D480" s="1" t="str">
        <f t="shared" si="21"/>
        <v>Fredericia KommuneSjællandsgade 48</v>
      </c>
      <c r="E480" s="1" t="s">
        <v>1453</v>
      </c>
      <c r="F480" s="1" t="s">
        <v>1454</v>
      </c>
      <c r="G480" s="1">
        <v>1973</v>
      </c>
      <c r="H480" s="1" t="s">
        <v>11</v>
      </c>
      <c r="I480" s="6" cm="1">
        <f t="array" ref="I480">GetLatitude(D480)</f>
        <v>555639944</v>
      </c>
      <c r="J480" s="1" cm="1">
        <f t="array" ref="J480">GetLongitude(D480)</f>
        <v>97557864</v>
      </c>
      <c r="K480" s="1">
        <f t="shared" si="22"/>
        <v>55.563994399999999</v>
      </c>
      <c r="L480" s="1">
        <f t="shared" si="23"/>
        <v>9.7557863999999999</v>
      </c>
    </row>
    <row r="481" spans="1:12" ht="16" x14ac:dyDescent="0.2">
      <c r="A481" s="1">
        <v>480</v>
      </c>
      <c r="B481" s="1" t="s">
        <v>1403</v>
      </c>
      <c r="C481" s="1" t="s">
        <v>1455</v>
      </c>
      <c r="D481" s="1" t="str">
        <f t="shared" si="21"/>
        <v>Fredericia KommuneSlesvigsgade 2, Vester Voldgade</v>
      </c>
      <c r="E481" s="1" t="s">
        <v>1456</v>
      </c>
      <c r="F481" s="1" t="s">
        <v>1457</v>
      </c>
      <c r="G481" s="1">
        <v>1983</v>
      </c>
      <c r="H481" s="1" t="s">
        <v>15</v>
      </c>
      <c r="I481" s="6" cm="1">
        <f t="array" ref="I481">GetLatitude(D481)</f>
        <v>555666936</v>
      </c>
      <c r="J481" s="1" cm="1">
        <f t="array" ref="J481">GetLongitude(D481)</f>
        <v>97514991</v>
      </c>
      <c r="K481" s="1">
        <f t="shared" si="22"/>
        <v>55.566693600000001</v>
      </c>
      <c r="L481" s="1">
        <f t="shared" si="23"/>
        <v>9.7514991000000002</v>
      </c>
    </row>
    <row r="482" spans="1:12" ht="16" x14ac:dyDescent="0.2">
      <c r="A482" s="1">
        <v>481</v>
      </c>
      <c r="B482" s="1" t="s">
        <v>1403</v>
      </c>
      <c r="C482" s="1" t="s">
        <v>1458</v>
      </c>
      <c r="D482" s="1" t="str">
        <f t="shared" si="21"/>
        <v>Fredericia KommuneStallerupvej 43 A</v>
      </c>
      <c r="E482" s="1" t="s">
        <v>1459</v>
      </c>
      <c r="F482" s="1" t="s">
        <v>1460</v>
      </c>
      <c r="G482" s="1">
        <v>1939</v>
      </c>
      <c r="H482" s="1" t="s">
        <v>15</v>
      </c>
      <c r="I482" s="6" cm="1">
        <f t="array" ref="I482">GetLatitude(D482)</f>
        <v>556025708</v>
      </c>
      <c r="J482" s="1" cm="1">
        <f t="array" ref="J482">GetLongitude(D482)</f>
        <v>96861525</v>
      </c>
      <c r="K482" s="1">
        <f t="shared" si="22"/>
        <v>55.602570800000002</v>
      </c>
      <c r="L482" s="1">
        <f t="shared" si="23"/>
        <v>9.6861525000000004</v>
      </c>
    </row>
    <row r="483" spans="1:12" ht="16" x14ac:dyDescent="0.2">
      <c r="A483" s="1">
        <v>482</v>
      </c>
      <c r="B483" s="1" t="s">
        <v>1403</v>
      </c>
      <c r="C483" s="1" t="s">
        <v>1461</v>
      </c>
      <c r="D483" s="1" t="str">
        <f t="shared" si="21"/>
        <v>Fredericia KommuneVed Prinsens Port, inden for voldene</v>
      </c>
      <c r="E483" s="1" t="s">
        <v>1462</v>
      </c>
      <c r="F483" s="1" t="s">
        <v>1463</v>
      </c>
      <c r="G483" s="1">
        <v>1949</v>
      </c>
      <c r="H483" s="1" t="s">
        <v>15</v>
      </c>
      <c r="I483" s="6" cm="1">
        <f t="array" ref="I483">GetLatitude(D483)</f>
        <v>555676810</v>
      </c>
      <c r="J483" s="1" cm="1">
        <f t="array" ref="J483">GetLongitude(D483)</f>
        <v>97525965</v>
      </c>
      <c r="K483" s="1">
        <f t="shared" si="22"/>
        <v>55.567681</v>
      </c>
      <c r="L483" s="1">
        <f t="shared" si="23"/>
        <v>9.7525964999999992</v>
      </c>
    </row>
    <row r="484" spans="1:12" ht="16" x14ac:dyDescent="0.2">
      <c r="A484" s="1">
        <v>483</v>
      </c>
      <c r="B484" s="1" t="s">
        <v>1403</v>
      </c>
      <c r="C484" s="1" t="s">
        <v>1464</v>
      </c>
      <c r="D484" s="1" t="str">
        <f t="shared" si="21"/>
        <v>Fredericia KommuneVejlby Kirkevej 55</v>
      </c>
      <c r="E484" s="1" t="s">
        <v>1465</v>
      </c>
      <c r="F484" s="1" t="s">
        <v>1466</v>
      </c>
      <c r="G484" s="1">
        <v>1990</v>
      </c>
      <c r="H484" s="1" t="s">
        <v>15</v>
      </c>
      <c r="I484" s="6" cm="1">
        <f t="array" ref="I484">GetLatitude(D484)</f>
        <v>556134235</v>
      </c>
      <c r="J484" s="1" cm="1">
        <f t="array" ref="J484">GetLongitude(D484)</f>
        <v>97410101</v>
      </c>
      <c r="K484" s="1">
        <f t="shared" si="22"/>
        <v>55.613423500000003</v>
      </c>
      <c r="L484" s="1">
        <f t="shared" si="23"/>
        <v>9.7410101000000004</v>
      </c>
    </row>
    <row r="485" spans="1:12" ht="16" x14ac:dyDescent="0.2">
      <c r="A485" s="1">
        <v>484</v>
      </c>
      <c r="B485" s="1" t="s">
        <v>1403</v>
      </c>
      <c r="C485" s="1" t="s">
        <v>1467</v>
      </c>
      <c r="D485" s="1" t="str">
        <f t="shared" si="21"/>
        <v>Fredericia KommuneVendersgade 30D, tidl Sjællandsgade 19</v>
      </c>
      <c r="E485" s="1" t="s">
        <v>1468</v>
      </c>
      <c r="F485" s="1" t="s">
        <v>1469</v>
      </c>
      <c r="G485" s="1">
        <v>1980</v>
      </c>
      <c r="H485" s="1" t="s">
        <v>11</v>
      </c>
      <c r="I485" s="6" cm="1">
        <f t="array" ref="I485">GetLatitude(D485)</f>
        <v>555641907</v>
      </c>
      <c r="J485" s="1" cm="1">
        <f t="array" ref="J485">GetLongitude(D485)</f>
        <v>97539654</v>
      </c>
      <c r="K485" s="1">
        <f t="shared" si="22"/>
        <v>55.564190699999997</v>
      </c>
      <c r="L485" s="1">
        <f t="shared" si="23"/>
        <v>9.7539654000000002</v>
      </c>
    </row>
    <row r="486" spans="1:12" ht="16" x14ac:dyDescent="0.2">
      <c r="A486" s="1">
        <v>485</v>
      </c>
      <c r="B486" s="1" t="s">
        <v>1403</v>
      </c>
      <c r="C486" s="1" t="s">
        <v>1470</v>
      </c>
      <c r="D486" s="1" t="str">
        <f t="shared" si="21"/>
        <v>Fredericia KommuneVendersgade 32, hj af Sjællandsgade</v>
      </c>
      <c r="E486" s="1" t="s">
        <v>1471</v>
      </c>
      <c r="F486" s="1" t="s">
        <v>1472</v>
      </c>
      <c r="G486" s="1">
        <v>1950</v>
      </c>
      <c r="H486" s="1" t="s">
        <v>15</v>
      </c>
      <c r="I486" s="6" cm="1">
        <f t="array" ref="I486">GetLatitude(D486)</f>
        <v>555639724</v>
      </c>
      <c r="J486" s="1" cm="1">
        <f t="array" ref="J486">GetLongitude(D486)</f>
        <v>97544743</v>
      </c>
      <c r="K486" s="1">
        <f t="shared" si="22"/>
        <v>55.563972399999997</v>
      </c>
      <c r="L486" s="1">
        <f t="shared" si="23"/>
        <v>9.7544743</v>
      </c>
    </row>
    <row r="487" spans="1:12" ht="16" x14ac:dyDescent="0.2">
      <c r="A487" s="1">
        <v>486</v>
      </c>
      <c r="B487" s="1" t="s">
        <v>1403</v>
      </c>
      <c r="C487" s="1" t="s">
        <v>1473</v>
      </c>
      <c r="D487" s="1" t="str">
        <f t="shared" si="21"/>
        <v>Fredericia Kommune Vendersgade 63</v>
      </c>
      <c r="E487" s="1" t="s">
        <v>1474</v>
      </c>
      <c r="F487" s="1" t="s">
        <v>621</v>
      </c>
      <c r="G487" s="1">
        <v>1950</v>
      </c>
      <c r="H487" s="1" t="s">
        <v>15</v>
      </c>
      <c r="I487" s="6" cm="1">
        <f t="array" ref="I487">GetLatitude(D487)</f>
        <v>555627204</v>
      </c>
      <c r="J487" s="1" cm="1">
        <f t="array" ref="J487">GetLongitude(D487)</f>
        <v>97548087</v>
      </c>
      <c r="K487" s="1">
        <f t="shared" si="22"/>
        <v>55.562720400000003</v>
      </c>
      <c r="L487" s="1">
        <f t="shared" si="23"/>
        <v>9.7548086999999999</v>
      </c>
    </row>
    <row r="488" spans="1:12" ht="16" x14ac:dyDescent="0.2">
      <c r="A488" s="1">
        <v>487</v>
      </c>
      <c r="B488" s="1" t="s">
        <v>1403</v>
      </c>
      <c r="C488" s="1" t="s">
        <v>1475</v>
      </c>
      <c r="D488" s="1" t="str">
        <f t="shared" si="21"/>
        <v>Fredericia KommuneVoldterrænet omkring Fredericia</v>
      </c>
      <c r="E488" s="1" t="s">
        <v>1476</v>
      </c>
      <c r="F488" s="1" t="s">
        <v>1477</v>
      </c>
      <c r="G488" s="1">
        <v>1919</v>
      </c>
      <c r="H488" s="1" t="s">
        <v>1478</v>
      </c>
      <c r="I488" s="6" cm="1">
        <f t="array" ref="I488">GetLatitude(D488)</f>
        <v>555779099</v>
      </c>
      <c r="J488" s="1" cm="1">
        <f t="array" ref="J488">GetLongitude(D488)</f>
        <v>96559582</v>
      </c>
      <c r="K488" s="1">
        <f t="shared" si="22"/>
        <v>55.577909900000002</v>
      </c>
      <c r="L488" s="1">
        <f t="shared" si="23"/>
        <v>9.6559582000000006</v>
      </c>
    </row>
    <row r="489" spans="1:12" ht="16" x14ac:dyDescent="0.2">
      <c r="A489" s="1">
        <v>488</v>
      </c>
      <c r="B489" s="1" t="s">
        <v>1479</v>
      </c>
      <c r="C489" s="1" t="s">
        <v>1480</v>
      </c>
      <c r="D489" s="1" t="str">
        <f t="shared" si="21"/>
        <v>Frederiksberg Kommune Allégade 22 A, C, D, E</v>
      </c>
      <c r="E489" s="1" t="s">
        <v>1481</v>
      </c>
      <c r="F489" s="1" t="s">
        <v>1482</v>
      </c>
      <c r="G489" s="1">
        <v>1918</v>
      </c>
      <c r="H489" s="1" t="s">
        <v>1483</v>
      </c>
      <c r="I489" s="6" cm="1">
        <f t="array" ref="I489">GetLatitude(D489)</f>
        <v>556770440</v>
      </c>
      <c r="J489" s="1" cm="1">
        <f t="array" ref="J489">GetLongitude(D489)</f>
        <v>125336940</v>
      </c>
      <c r="K489" s="1">
        <f t="shared" si="22"/>
        <v>55.677044000000002</v>
      </c>
      <c r="L489" s="1">
        <f t="shared" si="23"/>
        <v>12.533694000000001</v>
      </c>
    </row>
    <row r="490" spans="1:12" ht="16" x14ac:dyDescent="0.2">
      <c r="A490" s="1">
        <v>489</v>
      </c>
      <c r="B490" s="1" t="s">
        <v>1479</v>
      </c>
      <c r="C490" s="1" t="s">
        <v>1484</v>
      </c>
      <c r="D490" s="1" t="str">
        <f t="shared" si="21"/>
        <v>Frederiksberg Kommune Allégade 4</v>
      </c>
      <c r="E490" s="1" t="s">
        <v>1485</v>
      </c>
      <c r="F490" s="1" t="s">
        <v>1486</v>
      </c>
      <c r="G490" s="1">
        <v>1978</v>
      </c>
      <c r="H490" s="1" t="s">
        <v>11</v>
      </c>
      <c r="I490" s="6" cm="1">
        <f t="array" ref="I490">GetLatitude(D490)</f>
        <v>556752572</v>
      </c>
      <c r="J490" s="1" cm="1">
        <f t="array" ref="J490">GetLongitude(D490)</f>
        <v>125328751</v>
      </c>
      <c r="K490" s="1">
        <f t="shared" si="22"/>
        <v>55.675257199999997</v>
      </c>
      <c r="L490" s="1">
        <f t="shared" si="23"/>
        <v>12.5328751</v>
      </c>
    </row>
    <row r="491" spans="1:12" ht="16" x14ac:dyDescent="0.2">
      <c r="A491" s="1">
        <v>490</v>
      </c>
      <c r="B491" s="1" t="s">
        <v>1479</v>
      </c>
      <c r="C491" s="1" t="s">
        <v>1487</v>
      </c>
      <c r="D491" s="1" t="str">
        <f t="shared" si="21"/>
        <v>Frederiksberg Kommune Allégade 5</v>
      </c>
      <c r="E491" s="1" t="s">
        <v>1488</v>
      </c>
      <c r="F491" s="1" t="s">
        <v>1489</v>
      </c>
      <c r="G491" s="1">
        <v>1978</v>
      </c>
      <c r="H491" s="1" t="s">
        <v>11</v>
      </c>
      <c r="I491" s="6" cm="1">
        <f t="array" ref="I491">GetLatitude(D491)</f>
        <v>556754323</v>
      </c>
      <c r="J491" s="1" cm="1">
        <f t="array" ref="J491">GetLongitude(D491)</f>
        <v>125316376</v>
      </c>
      <c r="K491" s="1">
        <f t="shared" si="22"/>
        <v>55.675432299999997</v>
      </c>
      <c r="L491" s="1">
        <f t="shared" si="23"/>
        <v>12.5316376</v>
      </c>
    </row>
    <row r="492" spans="1:12" ht="16" x14ac:dyDescent="0.2">
      <c r="A492" s="1">
        <v>491</v>
      </c>
      <c r="B492" s="1" t="s">
        <v>1479</v>
      </c>
      <c r="C492" s="1" t="s">
        <v>1490</v>
      </c>
      <c r="D492" s="1" t="str">
        <f t="shared" si="21"/>
        <v>Frederiksberg Kommune Allégade 6 A-D</v>
      </c>
      <c r="E492" s="1" t="s">
        <v>1491</v>
      </c>
      <c r="F492" s="1" t="s">
        <v>1492</v>
      </c>
      <c r="G492" s="1">
        <v>1918</v>
      </c>
      <c r="H492" s="1" t="s">
        <v>1493</v>
      </c>
      <c r="I492" s="6" cm="1">
        <f t="array" ref="I492">GetLatitude(D492)</f>
        <v>556755880</v>
      </c>
      <c r="J492" s="1" cm="1">
        <f t="array" ref="J492">GetLongitude(D492)</f>
        <v>125332108</v>
      </c>
      <c r="K492" s="1">
        <f t="shared" si="22"/>
        <v>55.675587999999998</v>
      </c>
      <c r="L492" s="1">
        <f t="shared" si="23"/>
        <v>12.533210800000001</v>
      </c>
    </row>
    <row r="493" spans="1:12" ht="16" x14ac:dyDescent="0.2">
      <c r="A493" s="1">
        <v>492</v>
      </c>
      <c r="B493" s="1" t="s">
        <v>1479</v>
      </c>
      <c r="C493" s="1" t="s">
        <v>1494</v>
      </c>
      <c r="D493" s="1" t="str">
        <f t="shared" si="21"/>
        <v>Frederiksberg Kommune Allégade 8 A</v>
      </c>
      <c r="E493" s="1" t="s">
        <v>1495</v>
      </c>
      <c r="F493" s="1" t="s">
        <v>1496</v>
      </c>
      <c r="G493" s="1">
        <v>1978</v>
      </c>
      <c r="H493" s="1" t="s">
        <v>11</v>
      </c>
      <c r="I493" s="6" cm="1">
        <f t="array" ref="I493">GetLatitude(D493)</f>
        <v>556757194</v>
      </c>
      <c r="J493" s="1" cm="1">
        <f t="array" ref="J493">GetLongitude(D493)</f>
        <v>125330755</v>
      </c>
      <c r="K493" s="1">
        <f t="shared" si="22"/>
        <v>55.675719399999998</v>
      </c>
      <c r="L493" s="1">
        <f t="shared" si="23"/>
        <v>12.533075500000001</v>
      </c>
    </row>
    <row r="494" spans="1:12" ht="16" x14ac:dyDescent="0.2">
      <c r="A494" s="1">
        <v>493</v>
      </c>
      <c r="B494" s="1" t="s">
        <v>1479</v>
      </c>
      <c r="C494" s="1" t="s">
        <v>1497</v>
      </c>
      <c r="D494" s="1" t="str">
        <f t="shared" si="21"/>
        <v>Frederiksberg Kommune Allégade 8 D og E (tidl 8 B)</v>
      </c>
      <c r="E494" s="1" t="s">
        <v>1498</v>
      </c>
      <c r="F494" s="1" t="s">
        <v>1496</v>
      </c>
      <c r="G494" s="1">
        <v>1978</v>
      </c>
      <c r="H494" s="1" t="s">
        <v>11</v>
      </c>
      <c r="I494" s="6" cm="1">
        <f t="array" ref="I494">GetLatitude(D494)</f>
        <v>556758785</v>
      </c>
      <c r="J494" s="1" cm="1">
        <f t="array" ref="J494">GetLongitude(D494)</f>
        <v>125331443</v>
      </c>
      <c r="K494" s="1">
        <f t="shared" si="22"/>
        <v>55.675878500000003</v>
      </c>
      <c r="L494" s="1">
        <f t="shared" si="23"/>
        <v>12.5331443</v>
      </c>
    </row>
    <row r="495" spans="1:12" ht="16" x14ac:dyDescent="0.2">
      <c r="A495" s="1">
        <v>494</v>
      </c>
      <c r="B495" s="1" t="s">
        <v>1479</v>
      </c>
      <c r="C495" s="1" t="s">
        <v>1499</v>
      </c>
      <c r="D495" s="1" t="str">
        <f t="shared" si="21"/>
        <v>Frederiksberg Kommune Andebakkesti 5</v>
      </c>
      <c r="E495" s="1" t="s">
        <v>1500</v>
      </c>
      <c r="F495" s="1" t="s">
        <v>1501</v>
      </c>
      <c r="G495" s="1">
        <v>1977</v>
      </c>
      <c r="H495" s="1" t="s">
        <v>11</v>
      </c>
      <c r="I495" s="6" cm="1">
        <f t="array" ref="I495">GetLatitude(D495)</f>
        <v>556783690</v>
      </c>
      <c r="J495" s="1" cm="1">
        <f t="array" ref="J495">GetLongitude(D495)</f>
        <v>125277701</v>
      </c>
      <c r="K495" s="1">
        <f t="shared" si="22"/>
        <v>55.678369000000004</v>
      </c>
      <c r="L495" s="1">
        <f t="shared" si="23"/>
        <v>12.5277701</v>
      </c>
    </row>
    <row r="496" spans="1:12" ht="16" x14ac:dyDescent="0.2">
      <c r="A496" s="1">
        <v>495</v>
      </c>
      <c r="B496" s="1" t="s">
        <v>1479</v>
      </c>
      <c r="C496" s="1" t="s">
        <v>1502</v>
      </c>
      <c r="D496" s="1" t="str">
        <f t="shared" si="21"/>
        <v>Frederiksberg Kommune Bülowsvej 17, Grønnegårdsvej 8 og 10 (tidl Bülowsvej 13)</v>
      </c>
      <c r="E496" s="1" t="s">
        <v>1503</v>
      </c>
      <c r="F496" s="1" t="s">
        <v>1504</v>
      </c>
      <c r="G496" s="1">
        <v>1950</v>
      </c>
      <c r="H496" s="1" t="s">
        <v>1505</v>
      </c>
      <c r="I496" s="6" cm="1">
        <f t="array" ref="I496">GetLatitude(D496)</f>
        <v>556793660</v>
      </c>
      <c r="J496" s="1" cm="1">
        <f t="array" ref="J496">GetLongitude(D496)</f>
        <v>125404297</v>
      </c>
      <c r="K496" s="1">
        <f t="shared" si="22"/>
        <v>55.679366000000002</v>
      </c>
      <c r="L496" s="1">
        <f t="shared" si="23"/>
        <v>12.540429700000001</v>
      </c>
    </row>
    <row r="497" spans="1:12" ht="16" x14ac:dyDescent="0.2">
      <c r="A497" s="1">
        <v>496</v>
      </c>
      <c r="B497" s="1" t="s">
        <v>1479</v>
      </c>
      <c r="C497" s="1" t="s">
        <v>1506</v>
      </c>
      <c r="D497" s="1" t="str">
        <f t="shared" si="21"/>
        <v>Frederiksberg Kommune Dronning Olgas Vej 17</v>
      </c>
      <c r="E497" s="1" t="s">
        <v>1507</v>
      </c>
      <c r="F497" s="1" t="s">
        <v>1508</v>
      </c>
      <c r="G497" s="1">
        <v>1996</v>
      </c>
      <c r="H497" s="1" t="s">
        <v>11</v>
      </c>
      <c r="I497" s="6" cm="1">
        <f t="array" ref="I497">GetLatitude(D497)</f>
        <v>556879662</v>
      </c>
      <c r="J497" s="1" cm="1">
        <f t="array" ref="J497">GetLongitude(D497)</f>
        <v>125376635</v>
      </c>
      <c r="K497" s="1">
        <f t="shared" si="22"/>
        <v>55.687966199999998</v>
      </c>
      <c r="L497" s="1">
        <f t="shared" si="23"/>
        <v>12.537663500000001</v>
      </c>
    </row>
    <row r="498" spans="1:12" ht="16" x14ac:dyDescent="0.2">
      <c r="A498" s="1">
        <v>497</v>
      </c>
      <c r="B498" s="1" t="s">
        <v>1479</v>
      </c>
      <c r="C498" s="1" t="s">
        <v>1509</v>
      </c>
      <c r="D498" s="1" t="str">
        <f t="shared" si="21"/>
        <v>Frederiksberg Kommune Dronning Olgas Vej 19</v>
      </c>
      <c r="E498" s="1" t="s">
        <v>1510</v>
      </c>
      <c r="F498" s="1" t="s">
        <v>1511</v>
      </c>
      <c r="G498" s="1">
        <v>1996</v>
      </c>
      <c r="H498" s="1" t="s">
        <v>11</v>
      </c>
      <c r="I498" s="6" cm="1">
        <f t="array" ref="I498">GetLatitude(D498)</f>
        <v>556880342</v>
      </c>
      <c r="J498" s="1" cm="1">
        <f t="array" ref="J498">GetLongitude(D498)</f>
        <v>125374331</v>
      </c>
      <c r="K498" s="1">
        <f t="shared" si="22"/>
        <v>55.688034199999997</v>
      </c>
      <c r="L498" s="1">
        <f t="shared" si="23"/>
        <v>12.537433099999999</v>
      </c>
    </row>
    <row r="499" spans="1:12" ht="16" x14ac:dyDescent="0.2">
      <c r="A499" s="1">
        <v>498</v>
      </c>
      <c r="B499" s="1" t="s">
        <v>1479</v>
      </c>
      <c r="C499" s="1" t="s">
        <v>1512</v>
      </c>
      <c r="D499" s="1" t="str">
        <f t="shared" si="21"/>
        <v>Frederiksberg Kommune Duevej 63</v>
      </c>
      <c r="E499" s="1" t="s">
        <v>1513</v>
      </c>
      <c r="F499" s="1" t="s">
        <v>1514</v>
      </c>
      <c r="G499" s="1">
        <v>1996</v>
      </c>
      <c r="H499" s="1" t="s">
        <v>15</v>
      </c>
      <c r="I499" s="6" cm="1">
        <f t="array" ref="I499">GetLatitude(D499)</f>
        <v>556911540</v>
      </c>
      <c r="J499" s="1" cm="1">
        <f t="array" ref="J499">GetLongitude(D499)</f>
        <v>125283751</v>
      </c>
      <c r="K499" s="1">
        <f t="shared" si="22"/>
        <v>55.691153999999997</v>
      </c>
      <c r="L499" s="1">
        <f t="shared" si="23"/>
        <v>12.5283751</v>
      </c>
    </row>
    <row r="500" spans="1:12" ht="16" x14ac:dyDescent="0.2">
      <c r="A500" s="1">
        <v>499</v>
      </c>
      <c r="B500" s="1" t="s">
        <v>1479</v>
      </c>
      <c r="C500" s="1" t="s">
        <v>1515</v>
      </c>
      <c r="D500" s="1" t="str">
        <f t="shared" si="21"/>
        <v>Frederiksberg Kommune Finsensvej 76 B</v>
      </c>
      <c r="E500" s="1" t="s">
        <v>1516</v>
      </c>
      <c r="F500" s="1" t="s">
        <v>1517</v>
      </c>
      <c r="G500" s="1">
        <v>2003</v>
      </c>
      <c r="H500" s="1" t="s">
        <v>701</v>
      </c>
      <c r="I500" s="6" cm="1">
        <f t="array" ref="I500">GetLatitude(D500)</f>
        <v>556825068</v>
      </c>
      <c r="J500" s="1" cm="1">
        <f t="array" ref="J500">GetLongitude(D500)</f>
        <v>125057010</v>
      </c>
      <c r="K500" s="1">
        <f t="shared" si="22"/>
        <v>55.682506799999999</v>
      </c>
      <c r="L500" s="1">
        <f t="shared" si="23"/>
        <v>12.505701</v>
      </c>
    </row>
    <row r="501" spans="1:12" ht="16" x14ac:dyDescent="0.2">
      <c r="A501" s="1">
        <v>500</v>
      </c>
      <c r="B501" s="1" t="s">
        <v>1479</v>
      </c>
      <c r="C501" s="1" t="s">
        <v>1518</v>
      </c>
      <c r="D501" s="1" t="str">
        <f t="shared" si="21"/>
        <v xml:space="preserve">Frederiksberg Kommune Frederiksberg Allé </v>
      </c>
      <c r="E501" s="1" t="s">
        <v>1519</v>
      </c>
      <c r="F501" s="1" t="s">
        <v>1520</v>
      </c>
      <c r="G501" s="1">
        <v>2018</v>
      </c>
      <c r="H501" s="1" t="s">
        <v>15</v>
      </c>
      <c r="I501" s="6" cm="1">
        <f t="array" ref="I501">GetLatitude(D501)</f>
        <v>556736998</v>
      </c>
      <c r="J501" s="1" cm="1">
        <f t="array" ref="J501">GetLongitude(D501)</f>
        <v>125414639</v>
      </c>
      <c r="K501" s="1">
        <f t="shared" si="22"/>
        <v>55.673699800000001</v>
      </c>
      <c r="L501" s="1">
        <f t="shared" si="23"/>
        <v>12.5414639</v>
      </c>
    </row>
    <row r="502" spans="1:12" ht="16" x14ac:dyDescent="0.2">
      <c r="A502" s="1">
        <v>501</v>
      </c>
      <c r="B502" s="1" t="s">
        <v>1479</v>
      </c>
      <c r="C502" s="1" t="s">
        <v>1521</v>
      </c>
      <c r="D502" s="1" t="str">
        <f t="shared" si="21"/>
        <v>Frederiksberg Kommune Frederiksberg Allé 104, hj af Allégade</v>
      </c>
      <c r="E502" s="1" t="s">
        <v>1522</v>
      </c>
      <c r="F502" s="1" t="s">
        <v>1523</v>
      </c>
      <c r="G502" s="1">
        <v>1978</v>
      </c>
      <c r="H502" s="1" t="s">
        <v>15</v>
      </c>
      <c r="I502" s="6" cm="1">
        <f t="array" ref="I502">GetLatitude(D502)</f>
        <v>556749460</v>
      </c>
      <c r="J502" s="1" cm="1">
        <f t="array" ref="J502">GetLongitude(D502)</f>
        <v>125328520</v>
      </c>
      <c r="K502" s="1">
        <f t="shared" si="22"/>
        <v>55.674945999999998</v>
      </c>
      <c r="L502" s="1">
        <f t="shared" si="23"/>
        <v>12.532852</v>
      </c>
    </row>
    <row r="503" spans="1:12" ht="16" x14ac:dyDescent="0.2">
      <c r="A503" s="1">
        <v>502</v>
      </c>
      <c r="B503" s="1" t="s">
        <v>1479</v>
      </c>
      <c r="C503" s="1" t="s">
        <v>1524</v>
      </c>
      <c r="D503" s="1" t="str">
        <f t="shared" si="21"/>
        <v>Frederiksberg Kommune Frederiksberg Bredegade 13 A</v>
      </c>
      <c r="E503" s="1" t="s">
        <v>1525</v>
      </c>
      <c r="F503" s="1" t="s">
        <v>1526</v>
      </c>
      <c r="G503" s="1">
        <v>1973</v>
      </c>
      <c r="H503" s="1" t="s">
        <v>15</v>
      </c>
      <c r="I503" s="6" cm="1">
        <f t="array" ref="I503">GetLatitude(D503)</f>
        <v>556780547</v>
      </c>
      <c r="J503" s="1" cm="1">
        <f t="array" ref="J503">GetLongitude(D503)</f>
        <v>125295172</v>
      </c>
      <c r="K503" s="1">
        <f t="shared" si="22"/>
        <v>55.678054699999997</v>
      </c>
      <c r="L503" s="1">
        <f t="shared" si="23"/>
        <v>12.529517200000001</v>
      </c>
    </row>
    <row r="504" spans="1:12" ht="16" x14ac:dyDescent="0.2">
      <c r="A504" s="1">
        <v>503</v>
      </c>
      <c r="B504" s="1" t="s">
        <v>1479</v>
      </c>
      <c r="C504" s="1" t="s">
        <v>1527</v>
      </c>
      <c r="D504" s="1" t="str">
        <f t="shared" si="21"/>
        <v>Frederiksberg Kommune Frederiksberg Bredegade 13 B</v>
      </c>
      <c r="E504" s="1" t="s">
        <v>1528</v>
      </c>
      <c r="F504" s="1" t="s">
        <v>1529</v>
      </c>
      <c r="G504" s="1">
        <v>2006</v>
      </c>
      <c r="H504" s="1" t="s">
        <v>15</v>
      </c>
      <c r="I504" s="6" cm="1">
        <f t="array" ref="I504">GetLatitude(D504)</f>
        <v>556781231</v>
      </c>
      <c r="J504" s="1" cm="1">
        <f t="array" ref="J504">GetLongitude(D504)</f>
        <v>125286157</v>
      </c>
      <c r="K504" s="1">
        <f t="shared" si="22"/>
        <v>55.678123100000001</v>
      </c>
      <c r="L504" s="1">
        <f t="shared" si="23"/>
        <v>12.5286157</v>
      </c>
    </row>
    <row r="505" spans="1:12" ht="16" x14ac:dyDescent="0.2">
      <c r="A505" s="1">
        <v>504</v>
      </c>
      <c r="B505" s="1" t="s">
        <v>1479</v>
      </c>
      <c r="C505" s="1" t="s">
        <v>1530</v>
      </c>
      <c r="D505" s="1" t="str">
        <f t="shared" si="21"/>
        <v>Frederiksberg Kommune Frederiksberg Runddel 1 A, 3 A, Søndre Fasanvej 73-75</v>
      </c>
      <c r="E505" s="1" t="s">
        <v>1531</v>
      </c>
      <c r="F505" s="1" t="s">
        <v>1532</v>
      </c>
      <c r="G505" s="1">
        <v>1973</v>
      </c>
      <c r="H505" s="1" t="s">
        <v>15</v>
      </c>
      <c r="I505" s="6" cm="1">
        <f t="array" ref="I505">GetLatitude(D505)</f>
        <v>556787243</v>
      </c>
      <c r="J505" s="1" cm="1">
        <f t="array" ref="J505">GetLongitude(D505)</f>
        <v>125213273</v>
      </c>
      <c r="K505" s="1">
        <f t="shared" si="22"/>
        <v>55.678724299999999</v>
      </c>
      <c r="L505" s="1">
        <f t="shared" si="23"/>
        <v>12.521327299999999</v>
      </c>
    </row>
    <row r="506" spans="1:12" ht="16" x14ac:dyDescent="0.2">
      <c r="A506" s="1">
        <v>505</v>
      </c>
      <c r="B506" s="1" t="s">
        <v>1479</v>
      </c>
      <c r="C506" s="1" t="s">
        <v>1533</v>
      </c>
      <c r="D506" s="1" t="str">
        <f t="shared" si="21"/>
        <v xml:space="preserve">Frederiksberg Kommune Frederiksberg Runddel 3 D-F. </v>
      </c>
      <c r="E506" s="1" t="s">
        <v>1534</v>
      </c>
      <c r="F506" s="1" t="s">
        <v>1535</v>
      </c>
      <c r="G506" s="1">
        <v>1979</v>
      </c>
      <c r="H506" s="1" t="s">
        <v>15</v>
      </c>
      <c r="I506" s="6" cm="1">
        <f t="array" ref="I506">GetLatitude(D506)</f>
        <v>556748334</v>
      </c>
      <c r="J506" s="1" cm="1">
        <f t="array" ref="J506">GetLongitude(D506)</f>
        <v>125316192</v>
      </c>
      <c r="K506" s="1">
        <f t="shared" si="22"/>
        <v>55.674833399999997</v>
      </c>
      <c r="L506" s="1">
        <f t="shared" si="23"/>
        <v>12.5316192</v>
      </c>
    </row>
    <row r="507" spans="1:12" ht="16" x14ac:dyDescent="0.2">
      <c r="A507" s="1">
        <v>506</v>
      </c>
      <c r="B507" s="1" t="s">
        <v>1479</v>
      </c>
      <c r="C507" s="1" t="s">
        <v>1536</v>
      </c>
      <c r="D507" s="1" t="str">
        <f t="shared" si="21"/>
        <v>Frederiksberg Kommune Godthåbsvej 79 A-B</v>
      </c>
      <c r="E507" s="1" t="s">
        <v>1537</v>
      </c>
      <c r="F507" s="1" t="s">
        <v>1538</v>
      </c>
      <c r="G507" s="1">
        <v>1954</v>
      </c>
      <c r="H507" s="1" t="s">
        <v>11</v>
      </c>
      <c r="I507" s="6" cm="1">
        <f t="array" ref="I507">GetLatitude(D507)</f>
        <v>556881399</v>
      </c>
      <c r="J507" s="1" cm="1">
        <f t="array" ref="J507">GetLongitude(D507)</f>
        <v>125257338</v>
      </c>
      <c r="K507" s="1">
        <f t="shared" si="22"/>
        <v>55.688139900000003</v>
      </c>
      <c r="L507" s="1">
        <f t="shared" si="23"/>
        <v>12.525733799999999</v>
      </c>
    </row>
    <row r="508" spans="1:12" ht="16" x14ac:dyDescent="0.2">
      <c r="A508" s="1">
        <v>507</v>
      </c>
      <c r="B508" s="1" t="s">
        <v>1479</v>
      </c>
      <c r="C508" s="1"/>
      <c r="D508" s="1" t="str">
        <f t="shared" si="21"/>
        <v xml:space="preserve">Frederiksberg Kommune </v>
      </c>
      <c r="E508" s="1" t="s">
        <v>1539</v>
      </c>
      <c r="F508" s="1" t="s">
        <v>1540</v>
      </c>
      <c r="G508" s="1">
        <v>1996</v>
      </c>
      <c r="H508" s="1" t="s">
        <v>15</v>
      </c>
      <c r="I508" s="6" cm="1">
        <f t="array" ref="I508">GetLatitude(D508)</f>
        <v>556770690</v>
      </c>
      <c r="J508" s="1" cm="1">
        <f t="array" ref="J508">GetLongitude(D508)</f>
        <v>125133210</v>
      </c>
      <c r="K508" s="1">
        <f t="shared" si="22"/>
        <v>55.677069000000003</v>
      </c>
      <c r="L508" s="1">
        <f t="shared" si="23"/>
        <v>12.513320999999999</v>
      </c>
    </row>
    <row r="509" spans="1:12" ht="16" x14ac:dyDescent="0.2">
      <c r="A509" s="1">
        <v>508</v>
      </c>
      <c r="B509" s="1" t="s">
        <v>1479</v>
      </c>
      <c r="C509" s="1" t="s">
        <v>1541</v>
      </c>
      <c r="D509" s="1" t="str">
        <f t="shared" si="21"/>
        <v>Frederiksberg Kommune Howitzvej 30-32</v>
      </c>
      <c r="E509" s="1" t="s">
        <v>1542</v>
      </c>
      <c r="F509" s="1" t="s">
        <v>1543</v>
      </c>
      <c r="G509" s="1">
        <v>1997</v>
      </c>
      <c r="H509" s="1" t="s">
        <v>15</v>
      </c>
      <c r="I509" s="6" cm="1">
        <f t="array" ref="I509">GetLatitude(D509)</f>
        <v>556798608</v>
      </c>
      <c r="J509" s="1" cm="1">
        <f t="array" ref="J509">GetLongitude(D509)</f>
        <v>125293680</v>
      </c>
      <c r="K509" s="1">
        <f t="shared" si="22"/>
        <v>55.6798608</v>
      </c>
      <c r="L509" s="1">
        <f t="shared" si="23"/>
        <v>12.529368</v>
      </c>
    </row>
    <row r="510" spans="1:12" ht="16" x14ac:dyDescent="0.2">
      <c r="A510" s="1">
        <v>509</v>
      </c>
      <c r="B510" s="1" t="s">
        <v>1479</v>
      </c>
      <c r="C510" s="1" t="s">
        <v>1544</v>
      </c>
      <c r="D510" s="1" t="str">
        <f t="shared" si="21"/>
        <v>Frederiksberg Kommune Nordre Fasanvej 78-82 og Guldborgvej 25-27</v>
      </c>
      <c r="E510" s="1" t="s">
        <v>1545</v>
      </c>
      <c r="F510" s="1" t="s">
        <v>1546</v>
      </c>
      <c r="G510" s="1">
        <v>2009</v>
      </c>
      <c r="H510" s="1" t="s">
        <v>701</v>
      </c>
      <c r="I510" s="6" cm="1">
        <f t="array" ref="I510">GetLatitude(D510)</f>
        <v>556864679</v>
      </c>
      <c r="J510" s="1" cm="1">
        <f t="array" ref="J510">GetLongitude(D510)</f>
        <v>125271962</v>
      </c>
      <c r="K510" s="1">
        <f t="shared" si="22"/>
        <v>55.686467899999997</v>
      </c>
      <c r="L510" s="1">
        <f t="shared" si="23"/>
        <v>12.527196200000001</v>
      </c>
    </row>
    <row r="511" spans="1:12" ht="16" x14ac:dyDescent="0.2">
      <c r="A511" s="1">
        <v>510</v>
      </c>
      <c r="B511" s="1" t="s">
        <v>1479</v>
      </c>
      <c r="C511" s="1" t="s">
        <v>1547</v>
      </c>
      <c r="D511" s="1" t="str">
        <f t="shared" si="21"/>
        <v>Frederiksberg Kommune P. Andersensvej 3</v>
      </c>
      <c r="E511" s="1" t="s">
        <v>1547</v>
      </c>
      <c r="F511" s="1" t="s">
        <v>1548</v>
      </c>
      <c r="G511" s="1">
        <v>1991</v>
      </c>
      <c r="H511" s="1" t="s">
        <v>15</v>
      </c>
      <c r="I511" s="6" cm="1">
        <f t="array" ref="I511">GetLatitude(D511)</f>
        <v>556817345</v>
      </c>
      <c r="J511" s="1" cm="1">
        <f t="array" ref="J511">GetLongitude(D511)</f>
        <v>125248102</v>
      </c>
      <c r="K511" s="1">
        <f t="shared" si="22"/>
        <v>55.681734499999997</v>
      </c>
      <c r="L511" s="1">
        <f t="shared" si="23"/>
        <v>12.524810199999999</v>
      </c>
    </row>
    <row r="512" spans="1:12" ht="16" x14ac:dyDescent="0.2">
      <c r="A512" s="1">
        <v>511</v>
      </c>
      <c r="B512" s="1" t="s">
        <v>1479</v>
      </c>
      <c r="C512" s="1" t="s">
        <v>1549</v>
      </c>
      <c r="D512" s="1" t="str">
        <f t="shared" si="21"/>
        <v>Frederiksberg Kommune Pile Allé 1</v>
      </c>
      <c r="E512" s="1" t="s">
        <v>1550</v>
      </c>
      <c r="F512" s="1" t="s">
        <v>1551</v>
      </c>
      <c r="G512" s="1">
        <v>1977</v>
      </c>
      <c r="H512" s="1" t="s">
        <v>11</v>
      </c>
      <c r="I512" s="6" cm="1">
        <f t="array" ref="I512">GetLatitude(D512)</f>
        <v>556740100</v>
      </c>
      <c r="J512" s="1" cm="1">
        <f t="array" ref="J512">GetLongitude(D512)</f>
        <v>125323795</v>
      </c>
      <c r="K512" s="1">
        <f t="shared" si="22"/>
        <v>55.674010000000003</v>
      </c>
      <c r="L512" s="1">
        <f t="shared" si="23"/>
        <v>12.532379499999999</v>
      </c>
    </row>
    <row r="513" spans="1:12" ht="16" x14ac:dyDescent="0.2">
      <c r="A513" s="1">
        <v>512</v>
      </c>
      <c r="B513" s="1" t="s">
        <v>1479</v>
      </c>
      <c r="C513" s="1" t="s">
        <v>1552</v>
      </c>
      <c r="D513" s="1" t="str">
        <f t="shared" si="21"/>
        <v>Frederiksberg Kommune Pile Allé 10-12</v>
      </c>
      <c r="E513" s="1" t="s">
        <v>1553</v>
      </c>
      <c r="F513" s="1" t="s">
        <v>1554</v>
      </c>
      <c r="G513" s="1">
        <v>1973</v>
      </c>
      <c r="H513" s="1" t="s">
        <v>15</v>
      </c>
      <c r="I513" s="6" cm="1">
        <f t="array" ref="I513">GetLatitude(D513)</f>
        <v>556725160</v>
      </c>
      <c r="J513" s="1" cm="1">
        <f t="array" ref="J513">GetLongitude(D513)</f>
        <v>125313930</v>
      </c>
      <c r="K513" s="1">
        <f t="shared" si="22"/>
        <v>55.672516000000002</v>
      </c>
      <c r="L513" s="1">
        <f t="shared" si="23"/>
        <v>12.531393</v>
      </c>
    </row>
    <row r="514" spans="1:12" ht="16" x14ac:dyDescent="0.2">
      <c r="A514" s="1">
        <v>513</v>
      </c>
      <c r="B514" s="1" t="s">
        <v>1479</v>
      </c>
      <c r="C514" s="1" t="s">
        <v>1555</v>
      </c>
      <c r="D514" s="1" t="str">
        <f t="shared" si="21"/>
        <v>Frederiksberg Kommune Pile Allé 16-18</v>
      </c>
      <c r="E514" s="1" t="s">
        <v>1556</v>
      </c>
      <c r="F514" s="1" t="s">
        <v>1554</v>
      </c>
      <c r="G514" s="1">
        <v>1973</v>
      </c>
      <c r="H514" s="1" t="s">
        <v>15</v>
      </c>
      <c r="I514" s="6" cm="1">
        <f t="array" ref="I514">GetLatitude(D514)</f>
        <v>556714664</v>
      </c>
      <c r="J514" s="1" cm="1">
        <f t="array" ref="J514">GetLongitude(D514)</f>
        <v>125310833</v>
      </c>
      <c r="K514" s="1">
        <f t="shared" si="22"/>
        <v>55.6714664</v>
      </c>
      <c r="L514" s="1">
        <f t="shared" si="23"/>
        <v>12.531083300000001</v>
      </c>
    </row>
    <row r="515" spans="1:12" ht="16" x14ac:dyDescent="0.2">
      <c r="A515" s="1">
        <v>514</v>
      </c>
      <c r="B515" s="1" t="s">
        <v>1479</v>
      </c>
      <c r="C515" s="1" t="s">
        <v>1557</v>
      </c>
      <c r="D515" s="1" t="str">
        <f t="shared" ref="D515:D578" si="24">B515&amp;C515</f>
        <v>Frederiksberg Kommune Pile Allé 2</v>
      </c>
      <c r="E515" s="1" t="s">
        <v>1558</v>
      </c>
      <c r="F515" s="1" t="s">
        <v>1559</v>
      </c>
      <c r="G515" s="1">
        <v>1977</v>
      </c>
      <c r="H515" s="1" t="s">
        <v>11</v>
      </c>
      <c r="I515" s="6" cm="1">
        <f t="array" ref="I515">GetLatitude(D515)</f>
        <v>556744706</v>
      </c>
      <c r="J515" s="1" cm="1">
        <f t="array" ref="J515">GetLongitude(D515)</f>
        <v>125319753</v>
      </c>
      <c r="K515" s="1">
        <f t="shared" si="22"/>
        <v>55.674470599999999</v>
      </c>
      <c r="L515" s="1">
        <f t="shared" si="23"/>
        <v>12.531975299999999</v>
      </c>
    </row>
    <row r="516" spans="1:12" ht="16" x14ac:dyDescent="0.2">
      <c r="A516" s="1">
        <v>515</v>
      </c>
      <c r="B516" s="1" t="s">
        <v>1479</v>
      </c>
      <c r="C516" s="1" t="s">
        <v>1560</v>
      </c>
      <c r="D516" s="1" t="str">
        <f t="shared" si="24"/>
        <v>Frederiksberg Kommune Pile Allé 4</v>
      </c>
      <c r="E516" s="1" t="s">
        <v>1561</v>
      </c>
      <c r="F516" s="1" t="s">
        <v>1562</v>
      </c>
      <c r="G516" s="1">
        <v>1978</v>
      </c>
      <c r="H516" s="1" t="s">
        <v>15</v>
      </c>
      <c r="I516" s="6" cm="1">
        <f t="array" ref="I516">GetLatitude(D516)</f>
        <v>556741888</v>
      </c>
      <c r="J516" s="1" cm="1">
        <f t="array" ref="J516">GetLongitude(D516)</f>
        <v>125313975</v>
      </c>
      <c r="K516" s="1">
        <f t="shared" ref="K516:K579" si="25">I516/10000000</f>
        <v>55.674188800000003</v>
      </c>
      <c r="L516" s="1">
        <f t="shared" ref="L516:L579" si="26">J516/10000000</f>
        <v>12.531397500000001</v>
      </c>
    </row>
    <row r="517" spans="1:12" ht="16" x14ac:dyDescent="0.2">
      <c r="A517" s="1">
        <v>516</v>
      </c>
      <c r="B517" s="1" t="s">
        <v>1479</v>
      </c>
      <c r="C517" s="1" t="s">
        <v>1563</v>
      </c>
      <c r="D517" s="1" t="str">
        <f t="shared" si="24"/>
        <v>Frederiksberg Kommune Pile Allé 6-8</v>
      </c>
      <c r="E517" s="1" t="s">
        <v>1564</v>
      </c>
      <c r="F517" s="1" t="s">
        <v>1554</v>
      </c>
      <c r="G517" s="1">
        <v>1973</v>
      </c>
      <c r="H517" s="1" t="s">
        <v>15</v>
      </c>
      <c r="I517" s="6" cm="1">
        <f t="array" ref="I517">GetLatitude(D517)</f>
        <v>556729959</v>
      </c>
      <c r="J517" s="1" cm="1">
        <f t="array" ref="J517">GetLongitude(D517)</f>
        <v>125313861</v>
      </c>
      <c r="K517" s="1">
        <f t="shared" si="25"/>
        <v>55.672995899999997</v>
      </c>
      <c r="L517" s="1">
        <f t="shared" si="26"/>
        <v>12.531386100000001</v>
      </c>
    </row>
    <row r="518" spans="1:12" ht="16" x14ac:dyDescent="0.2">
      <c r="A518" s="1">
        <v>517</v>
      </c>
      <c r="B518" s="1" t="s">
        <v>1479</v>
      </c>
      <c r="C518" s="1" t="s">
        <v>1565</v>
      </c>
      <c r="D518" s="1" t="str">
        <f t="shared" si="24"/>
        <v>Frederiksberg Kommune Rahbeks Allé 21</v>
      </c>
      <c r="E518" s="1" t="s">
        <v>1566</v>
      </c>
      <c r="F518" s="1" t="s">
        <v>1567</v>
      </c>
      <c r="G518" s="1">
        <v>1978</v>
      </c>
      <c r="H518" s="1" t="s">
        <v>15</v>
      </c>
      <c r="I518" s="6" cm="1">
        <f t="array" ref="I518">GetLatitude(D518)</f>
        <v>556686215</v>
      </c>
      <c r="J518" s="1" cm="1">
        <f t="array" ref="J518">GetLongitude(D518)</f>
        <v>125331241</v>
      </c>
      <c r="K518" s="1">
        <f t="shared" si="25"/>
        <v>55.6686215</v>
      </c>
      <c r="L518" s="1">
        <f t="shared" si="26"/>
        <v>12.5331241</v>
      </c>
    </row>
    <row r="519" spans="1:12" ht="16" x14ac:dyDescent="0.2">
      <c r="A519" s="1">
        <v>518</v>
      </c>
      <c r="B519" s="1" t="s">
        <v>1479</v>
      </c>
      <c r="C519" s="1" t="s">
        <v>1568</v>
      </c>
      <c r="D519" s="1" t="str">
        <f t="shared" si="24"/>
        <v>Frederiksberg Kommune Rahbeks Allé 23</v>
      </c>
      <c r="E519" s="1" t="s">
        <v>1569</v>
      </c>
      <c r="F519" s="1" t="s">
        <v>1570</v>
      </c>
      <c r="G519" s="1">
        <v>1918</v>
      </c>
      <c r="H519" s="1" t="s">
        <v>1571</v>
      </c>
      <c r="I519" s="6" cm="1">
        <f t="array" ref="I519">GetLatitude(D519)</f>
        <v>556682259</v>
      </c>
      <c r="J519" s="1" cm="1">
        <f t="array" ref="J519">GetLongitude(D519)</f>
        <v>125320488</v>
      </c>
      <c r="K519" s="1">
        <f t="shared" si="25"/>
        <v>55.668225900000003</v>
      </c>
      <c r="L519" s="1">
        <f t="shared" si="26"/>
        <v>12.5320488</v>
      </c>
    </row>
    <row r="520" spans="1:12" ht="16" x14ac:dyDescent="0.2">
      <c r="A520" s="1">
        <v>519</v>
      </c>
      <c r="B520" s="1" t="s">
        <v>1479</v>
      </c>
      <c r="C520" s="1" t="s">
        <v>1572</v>
      </c>
      <c r="D520" s="1" t="str">
        <f t="shared" si="24"/>
        <v>Frederiksberg Kommune Rolighedsvej 21</v>
      </c>
      <c r="E520" s="1" t="s">
        <v>1573</v>
      </c>
      <c r="F520" s="1" t="s">
        <v>1574</v>
      </c>
      <c r="G520" s="1">
        <v>1918</v>
      </c>
      <c r="H520" s="1" t="s">
        <v>990</v>
      </c>
      <c r="I520" s="6" cm="1">
        <f t="array" ref="I520">GetLatitude(D520)</f>
        <v>556853436</v>
      </c>
      <c r="J520" s="1" cm="1">
        <f t="array" ref="J520">GetLongitude(D520)</f>
        <v>125421282</v>
      </c>
      <c r="K520" s="1">
        <f t="shared" si="25"/>
        <v>55.685343600000003</v>
      </c>
      <c r="L520" s="1">
        <f t="shared" si="26"/>
        <v>12.542128200000001</v>
      </c>
    </row>
    <row r="521" spans="1:12" ht="16" x14ac:dyDescent="0.2">
      <c r="A521" s="1">
        <v>520</v>
      </c>
      <c r="B521" s="1" t="s">
        <v>1479</v>
      </c>
      <c r="C521" s="1" t="s">
        <v>1575</v>
      </c>
      <c r="D521" s="1" t="str">
        <f t="shared" si="24"/>
        <v>Frederiksberg Kommune Rolighedsvej 23</v>
      </c>
      <c r="E521" s="1" t="s">
        <v>1576</v>
      </c>
      <c r="F521" s="1" t="s">
        <v>1577</v>
      </c>
      <c r="G521" s="1">
        <v>1959</v>
      </c>
      <c r="H521" s="1" t="s">
        <v>15</v>
      </c>
      <c r="I521" s="6" cm="1">
        <f t="array" ref="I521">GetLatitude(D521)</f>
        <v>556850926</v>
      </c>
      <c r="J521" s="1" cm="1">
        <f t="array" ref="J521">GetLongitude(D521)</f>
        <v>125434869</v>
      </c>
      <c r="K521" s="1">
        <f t="shared" si="25"/>
        <v>55.685092599999997</v>
      </c>
      <c r="L521" s="1">
        <f t="shared" si="26"/>
        <v>12.5434869</v>
      </c>
    </row>
    <row r="522" spans="1:12" ht="16" x14ac:dyDescent="0.2">
      <c r="A522" s="1">
        <v>521</v>
      </c>
      <c r="B522" s="1" t="s">
        <v>1479</v>
      </c>
      <c r="C522" s="1" t="s">
        <v>1578</v>
      </c>
      <c r="D522" s="1" t="str">
        <f t="shared" si="24"/>
        <v>Frederiksberg Kommune Rosenørns Allé 22</v>
      </c>
      <c r="E522" s="1" t="s">
        <v>1579</v>
      </c>
      <c r="F522" s="1" t="s">
        <v>1580</v>
      </c>
      <c r="G522" s="1">
        <v>1994</v>
      </c>
      <c r="H522" s="1" t="s">
        <v>11</v>
      </c>
      <c r="I522" s="6" cm="1">
        <f t="array" ref="I522">GetLatitude(D522)</f>
        <v>556823158</v>
      </c>
      <c r="J522" s="1" cm="1">
        <f t="array" ref="J522">GetLongitude(D522)</f>
        <v>125524118</v>
      </c>
      <c r="K522" s="1">
        <f t="shared" si="25"/>
        <v>55.682315799999998</v>
      </c>
      <c r="L522" s="1">
        <f t="shared" si="26"/>
        <v>12.5524118</v>
      </c>
    </row>
    <row r="523" spans="1:12" ht="16" x14ac:dyDescent="0.2">
      <c r="A523" s="1">
        <v>522</v>
      </c>
      <c r="B523" s="1" t="s">
        <v>1479</v>
      </c>
      <c r="C523" s="1" t="s">
        <v>1581</v>
      </c>
      <c r="D523" s="1" t="str">
        <f t="shared" si="24"/>
        <v>Frederiksberg Kommune Roskildevej 26, 26 A og 28</v>
      </c>
      <c r="E523" s="1" t="s">
        <v>1582</v>
      </c>
      <c r="F523" s="1" t="s">
        <v>1583</v>
      </c>
      <c r="G523" s="1">
        <v>1918</v>
      </c>
      <c r="H523" s="1" t="s">
        <v>1584</v>
      </c>
      <c r="I523" s="6" cm="1">
        <f t="array" ref="I523">GetLatitude(D523)</f>
        <v>556713830</v>
      </c>
      <c r="J523" s="1" cm="1">
        <f t="array" ref="J523">GetLongitude(D523)</f>
        <v>125263890</v>
      </c>
      <c r="K523" s="1">
        <f t="shared" si="25"/>
        <v>55.671382999999999</v>
      </c>
      <c r="L523" s="1">
        <f t="shared" si="26"/>
        <v>12.526389</v>
      </c>
    </row>
    <row r="524" spans="1:12" ht="16" x14ac:dyDescent="0.2">
      <c r="A524" s="1">
        <v>523</v>
      </c>
      <c r="B524" s="1" t="s">
        <v>1479</v>
      </c>
      <c r="C524" s="1" t="s">
        <v>1585</v>
      </c>
      <c r="D524" s="1" t="str">
        <f t="shared" si="24"/>
        <v>Frederiksberg Kommune Schønbergsgade 15</v>
      </c>
      <c r="E524" s="1" t="s">
        <v>1586</v>
      </c>
      <c r="F524" s="1" t="s">
        <v>1587</v>
      </c>
      <c r="G524" s="1">
        <v>1977</v>
      </c>
      <c r="H524" s="1" t="s">
        <v>11</v>
      </c>
      <c r="I524" s="6" cm="1">
        <f t="array" ref="I524">GetLatitude(D524)</f>
        <v>556757093</v>
      </c>
      <c r="J524" s="1" cm="1">
        <f t="array" ref="J524">GetLongitude(D524)</f>
        <v>125517174</v>
      </c>
      <c r="K524" s="1">
        <f t="shared" si="25"/>
        <v>55.675709300000001</v>
      </c>
      <c r="L524" s="1">
        <f t="shared" si="26"/>
        <v>12.551717399999999</v>
      </c>
    </row>
    <row r="525" spans="1:12" ht="16" x14ac:dyDescent="0.2">
      <c r="A525" s="1">
        <v>524</v>
      </c>
      <c r="B525" s="1" t="s">
        <v>1479</v>
      </c>
      <c r="C525" s="1" t="s">
        <v>1588</v>
      </c>
      <c r="D525" s="1" t="str">
        <f t="shared" si="24"/>
        <v>Frederiksberg Kommune Solbjergvej 6, 8 og 10</v>
      </c>
      <c r="E525" s="1" t="s">
        <v>1589</v>
      </c>
      <c r="F525" s="1" t="s">
        <v>1590</v>
      </c>
      <c r="G525" s="1">
        <v>1992</v>
      </c>
      <c r="H525" s="1" t="s">
        <v>15</v>
      </c>
      <c r="I525" s="6" cm="1">
        <f t="array" ref="I525">GetLatitude(D525)</f>
        <v>556810751</v>
      </c>
      <c r="J525" s="1" cm="1">
        <f t="array" ref="J525">GetLongitude(D525)</f>
        <v>125320507</v>
      </c>
      <c r="K525" s="1">
        <f t="shared" si="25"/>
        <v>55.681075100000001</v>
      </c>
      <c r="L525" s="1">
        <f t="shared" si="26"/>
        <v>12.532050699999999</v>
      </c>
    </row>
    <row r="526" spans="1:12" ht="16" x14ac:dyDescent="0.2">
      <c r="A526" s="1">
        <v>525</v>
      </c>
      <c r="B526" s="1" t="s">
        <v>1479</v>
      </c>
      <c r="C526" s="1" t="s">
        <v>1591</v>
      </c>
      <c r="D526" s="1" t="str">
        <f t="shared" si="24"/>
        <v>Frederiksberg Kommune Steen Blichers Vej 25</v>
      </c>
      <c r="E526" s="1" t="s">
        <v>1592</v>
      </c>
      <c r="F526" s="1" t="s">
        <v>1593</v>
      </c>
      <c r="G526" s="1">
        <v>2004</v>
      </c>
      <c r="H526" s="1" t="s">
        <v>15</v>
      </c>
      <c r="I526" s="6" cm="1">
        <f t="array" ref="I526">GetLatitude(D526)</f>
        <v>556775527</v>
      </c>
      <c r="J526" s="1" cm="1">
        <f t="array" ref="J526">GetLongitude(D526)</f>
        <v>125246809</v>
      </c>
      <c r="K526" s="1">
        <f t="shared" si="25"/>
        <v>55.6775527</v>
      </c>
      <c r="L526" s="1">
        <f t="shared" si="26"/>
        <v>12.5246809</v>
      </c>
    </row>
    <row r="527" spans="1:12" ht="16" x14ac:dyDescent="0.2">
      <c r="A527" s="1">
        <v>526</v>
      </c>
      <c r="B527" s="1" t="s">
        <v>1479</v>
      </c>
      <c r="C527" s="1" t="s">
        <v>1594</v>
      </c>
      <c r="D527" s="1" t="str">
        <f t="shared" si="24"/>
        <v>Frederiksberg Kommune Valby Langgade 2, Søndermarken</v>
      </c>
      <c r="E527" s="1" t="s">
        <v>1595</v>
      </c>
      <c r="F527" s="1" t="s">
        <v>1596</v>
      </c>
      <c r="G527" s="1">
        <v>1973</v>
      </c>
      <c r="H527" s="1" t="s">
        <v>15</v>
      </c>
      <c r="I527" s="6" cm="1">
        <f t="array" ref="I527">GetLatitude(D527)</f>
        <v>556669542</v>
      </c>
      <c r="J527" s="1" cm="1">
        <f t="array" ref="J527">GetLongitude(D527)</f>
        <v>125256627</v>
      </c>
      <c r="K527" s="1">
        <f t="shared" si="25"/>
        <v>55.666954199999999</v>
      </c>
      <c r="L527" s="1">
        <f t="shared" si="26"/>
        <v>12.5256627</v>
      </c>
    </row>
    <row r="528" spans="1:12" ht="16" x14ac:dyDescent="0.2">
      <c r="A528" s="1">
        <v>527</v>
      </c>
      <c r="B528" s="1" t="s">
        <v>1479</v>
      </c>
      <c r="C528" s="1" t="s">
        <v>1597</v>
      </c>
      <c r="D528" s="1" t="str">
        <f t="shared" si="24"/>
        <v>Frederiksberg Kommune Vodroffsvej 10</v>
      </c>
      <c r="E528" s="1" t="s">
        <v>1598</v>
      </c>
      <c r="F528" s="1" t="s">
        <v>1599</v>
      </c>
      <c r="G528" s="1">
        <v>1980</v>
      </c>
      <c r="H528" s="1" t="s">
        <v>11</v>
      </c>
      <c r="I528" s="6" cm="1">
        <f t="array" ref="I528">GetLatitude(D528)</f>
        <v>556759212</v>
      </c>
      <c r="J528" s="1" cm="1">
        <f t="array" ref="J528">GetLongitude(D528)</f>
        <v>125547757</v>
      </c>
      <c r="K528" s="1">
        <f t="shared" si="25"/>
        <v>55.675921199999998</v>
      </c>
      <c r="L528" s="1">
        <f t="shared" si="26"/>
        <v>12.5547757</v>
      </c>
    </row>
    <row r="529" spans="1:12" ht="16" x14ac:dyDescent="0.2">
      <c r="A529" s="1">
        <v>528</v>
      </c>
      <c r="B529" s="1" t="s">
        <v>1479</v>
      </c>
      <c r="C529" s="1" t="s">
        <v>1600</v>
      </c>
      <c r="D529" s="1" t="str">
        <f t="shared" si="24"/>
        <v>Frederiksberg Kommune Vodroffsvej 2 A-B</v>
      </c>
      <c r="E529" s="1" t="s">
        <v>1601</v>
      </c>
      <c r="F529" s="1" t="s">
        <v>1602</v>
      </c>
      <c r="G529" s="1">
        <v>1994</v>
      </c>
      <c r="H529" s="1" t="s">
        <v>11</v>
      </c>
      <c r="I529" s="6" cm="1">
        <f t="array" ref="I529">GetLatitude(D529)</f>
        <v>556746073</v>
      </c>
      <c r="J529" s="1" cm="1">
        <f t="array" ref="J529">GetLongitude(D529)</f>
        <v>125550700</v>
      </c>
      <c r="K529" s="1">
        <f t="shared" si="25"/>
        <v>55.674607299999998</v>
      </c>
      <c r="L529" s="1">
        <f t="shared" si="26"/>
        <v>12.555070000000001</v>
      </c>
    </row>
    <row r="530" spans="1:12" ht="16" x14ac:dyDescent="0.2">
      <c r="A530" s="1">
        <v>529</v>
      </c>
      <c r="B530" s="1" t="s">
        <v>1479</v>
      </c>
      <c r="C530" s="1" t="s">
        <v>1603</v>
      </c>
      <c r="D530" s="1" t="str">
        <f t="shared" si="24"/>
        <v>Frederiksberg Kommune Vodroffsvej 51</v>
      </c>
      <c r="E530" s="1" t="s">
        <v>1604</v>
      </c>
      <c r="F530" s="1" t="s">
        <v>1605</v>
      </c>
      <c r="G530" s="1">
        <v>1989</v>
      </c>
      <c r="H530" s="1" t="s">
        <v>11</v>
      </c>
      <c r="I530" s="6" cm="1">
        <f t="array" ref="I530">GetLatitude(D530)</f>
        <v>556799736</v>
      </c>
      <c r="J530" s="1" cm="1">
        <f t="array" ref="J530">GetLongitude(D530)</f>
        <v>125548079</v>
      </c>
      <c r="K530" s="1">
        <f t="shared" si="25"/>
        <v>55.679973599999997</v>
      </c>
      <c r="L530" s="1">
        <f t="shared" si="26"/>
        <v>12.5548079</v>
      </c>
    </row>
    <row r="531" spans="1:12" ht="16" x14ac:dyDescent="0.2">
      <c r="A531" s="1">
        <v>530</v>
      </c>
      <c r="B531" s="1" t="s">
        <v>1479</v>
      </c>
      <c r="C531" s="1" t="s">
        <v>1606</v>
      </c>
      <c r="D531" s="1" t="str">
        <f t="shared" si="24"/>
        <v>Frederiksberg Kommune Vodroffsvej 8</v>
      </c>
      <c r="E531" s="1" t="s">
        <v>1607</v>
      </c>
      <c r="F531" s="1" t="s">
        <v>1608</v>
      </c>
      <c r="G531" s="1">
        <v>1981</v>
      </c>
      <c r="H531" s="1" t="s">
        <v>701</v>
      </c>
      <c r="I531" s="6" cm="1">
        <f t="array" ref="I531">GetLatitude(D531)</f>
        <v>556756562</v>
      </c>
      <c r="J531" s="1" cm="1">
        <f t="array" ref="J531">GetLongitude(D531)</f>
        <v>125547804</v>
      </c>
      <c r="K531" s="1">
        <f t="shared" si="25"/>
        <v>55.675656199999999</v>
      </c>
      <c r="L531" s="1">
        <f t="shared" si="26"/>
        <v>12.5547804</v>
      </c>
    </row>
    <row r="532" spans="1:12" ht="16" x14ac:dyDescent="0.2">
      <c r="A532" s="1">
        <v>531</v>
      </c>
      <c r="B532" s="1" t="s">
        <v>1609</v>
      </c>
      <c r="C532" s="1" t="s">
        <v>1610</v>
      </c>
      <c r="D532" s="1" t="str">
        <f t="shared" si="24"/>
        <v>Frederikshavn KommuneAlgade 12</v>
      </c>
      <c r="E532" s="1" t="s">
        <v>1611</v>
      </c>
      <c r="F532" s="1" t="s">
        <v>1612</v>
      </c>
      <c r="G532" s="1">
        <v>1954</v>
      </c>
      <c r="H532" s="1" t="s">
        <v>11</v>
      </c>
      <c r="I532" s="6" cm="1">
        <f t="array" ref="I532">GetLatitude(D532)</f>
        <v>573345317</v>
      </c>
      <c r="J532" s="1" cm="1">
        <f t="array" ref="J532">GetLongitude(D532)</f>
        <v>105225169</v>
      </c>
      <c r="K532" s="1">
        <f t="shared" si="25"/>
        <v>57.334531699999999</v>
      </c>
      <c r="L532" s="1">
        <f t="shared" si="26"/>
        <v>10.522516899999999</v>
      </c>
    </row>
    <row r="533" spans="1:12" ht="16" x14ac:dyDescent="0.2">
      <c r="A533" s="1">
        <v>532</v>
      </c>
      <c r="B533" s="1" t="s">
        <v>1609</v>
      </c>
      <c r="C533" s="1" t="s">
        <v>1613</v>
      </c>
      <c r="D533" s="1" t="str">
        <f t="shared" si="24"/>
        <v>Frederikshavn KommuneAlgade 14</v>
      </c>
      <c r="E533" s="1" t="s">
        <v>1614</v>
      </c>
      <c r="F533" s="1" t="s">
        <v>1615</v>
      </c>
      <c r="G533" s="1">
        <v>1959</v>
      </c>
      <c r="H533" s="1" t="s">
        <v>15</v>
      </c>
      <c r="I533" s="6" cm="1">
        <f t="array" ref="I533">GetLatitude(D533)</f>
        <v>573341976</v>
      </c>
      <c r="J533" s="1" cm="1">
        <f t="array" ref="J533">GetLongitude(D533)</f>
        <v>105239968</v>
      </c>
      <c r="K533" s="1">
        <f t="shared" si="25"/>
        <v>57.334197600000003</v>
      </c>
      <c r="L533" s="1">
        <f t="shared" si="26"/>
        <v>10.523996800000001</v>
      </c>
    </row>
    <row r="534" spans="1:12" ht="16" x14ac:dyDescent="0.2">
      <c r="A534" s="1">
        <v>533</v>
      </c>
      <c r="B534" s="1" t="s">
        <v>1609</v>
      </c>
      <c r="C534" s="1" t="s">
        <v>1616</v>
      </c>
      <c r="D534" s="1" t="str">
        <f t="shared" si="24"/>
        <v>Frederikshavn KommuneAlgade 1 B, hj af Søndergade</v>
      </c>
      <c r="E534" s="1" t="s">
        <v>1617</v>
      </c>
      <c r="F534" s="1" t="s">
        <v>1618</v>
      </c>
      <c r="G534" s="1">
        <v>1919</v>
      </c>
      <c r="H534" s="1" t="s">
        <v>11</v>
      </c>
      <c r="I534" s="6" cm="1">
        <f t="array" ref="I534">GetLatitude(D534)</f>
        <v>574164882</v>
      </c>
      <c r="J534" s="1" cm="1">
        <f t="array" ref="J534">GetLongitude(D534)</f>
        <v>104296188</v>
      </c>
      <c r="K534" s="1">
        <f t="shared" si="25"/>
        <v>57.416488200000003</v>
      </c>
      <c r="L534" s="1">
        <f t="shared" si="26"/>
        <v>10.4296188</v>
      </c>
    </row>
    <row r="535" spans="1:12" ht="16" x14ac:dyDescent="0.2">
      <c r="A535" s="1">
        <v>534</v>
      </c>
      <c r="B535" s="1" t="s">
        <v>1609</v>
      </c>
      <c r="C535" s="1" t="s">
        <v>1619</v>
      </c>
      <c r="D535" s="1" t="str">
        <f t="shared" si="24"/>
        <v>Frederikshavn KommuneAlgade 3</v>
      </c>
      <c r="E535" s="1" t="s">
        <v>1620</v>
      </c>
      <c r="F535" s="1" t="s">
        <v>1621</v>
      </c>
      <c r="G535" s="1">
        <v>1919</v>
      </c>
      <c r="H535" s="1" t="s">
        <v>15</v>
      </c>
      <c r="I535" s="6" cm="1">
        <f t="array" ref="I535">GetLatitude(D535)</f>
        <v>574164882</v>
      </c>
      <c r="J535" s="1" cm="1">
        <f t="array" ref="J535">GetLongitude(D535)</f>
        <v>104296188</v>
      </c>
      <c r="K535" s="1">
        <f t="shared" si="25"/>
        <v>57.416488200000003</v>
      </c>
      <c r="L535" s="1">
        <f t="shared" si="26"/>
        <v>10.4296188</v>
      </c>
    </row>
    <row r="536" spans="1:12" ht="16" x14ac:dyDescent="0.2">
      <c r="A536" s="1">
        <v>535</v>
      </c>
      <c r="B536" s="1" t="s">
        <v>1609</v>
      </c>
      <c r="C536" s="1" t="s">
        <v>1622</v>
      </c>
      <c r="D536" s="1" t="str">
        <f t="shared" si="24"/>
        <v>Frederikshavn KommuneAlgade 32</v>
      </c>
      <c r="E536" s="1" t="s">
        <v>1623</v>
      </c>
      <c r="F536" s="1" t="s">
        <v>1624</v>
      </c>
      <c r="G536" s="1">
        <v>1959</v>
      </c>
      <c r="H536" s="1" t="s">
        <v>15</v>
      </c>
      <c r="I536" s="6" cm="1">
        <f t="array" ref="I536">GetLatitude(D536)</f>
        <v>573334416</v>
      </c>
      <c r="J536" s="1" cm="1">
        <f t="array" ref="J536">GetLongitude(D536)</f>
        <v>105255140</v>
      </c>
      <c r="K536" s="1">
        <f t="shared" si="25"/>
        <v>57.3334416</v>
      </c>
      <c r="L536" s="1">
        <f t="shared" si="26"/>
        <v>10.525513999999999</v>
      </c>
    </row>
    <row r="537" spans="1:12" ht="16" x14ac:dyDescent="0.2">
      <c r="A537" s="1">
        <v>536</v>
      </c>
      <c r="B537" s="1" t="s">
        <v>1609</v>
      </c>
      <c r="C537" s="1" t="s">
        <v>1625</v>
      </c>
      <c r="D537" s="1" t="str">
        <f t="shared" si="24"/>
        <v>Frederikshavn KommuneAnchersvej 3 og Østre Strandvej 51</v>
      </c>
      <c r="E537" s="1" t="s">
        <v>1626</v>
      </c>
      <c r="F537" s="1" t="s">
        <v>1627</v>
      </c>
      <c r="G537" s="1">
        <v>1986</v>
      </c>
      <c r="H537" s="1" t="s">
        <v>15</v>
      </c>
      <c r="I537" s="6" cm="1">
        <f t="array" ref="I537">GetLatitude(D537)</f>
        <v>577209328</v>
      </c>
      <c r="J537" s="1" cm="1">
        <f t="array" ref="J537">GetLongitude(D537)</f>
        <v>105903744</v>
      </c>
      <c r="K537" s="1">
        <f t="shared" si="25"/>
        <v>57.7209328</v>
      </c>
      <c r="L537" s="1">
        <f t="shared" si="26"/>
        <v>10.5903744</v>
      </c>
    </row>
    <row r="538" spans="1:12" ht="16" x14ac:dyDescent="0.2">
      <c r="A538" s="1">
        <v>537</v>
      </c>
      <c r="B538" s="1" t="s">
        <v>1609</v>
      </c>
      <c r="C538" s="1" t="s">
        <v>1628</v>
      </c>
      <c r="D538" s="1" t="str">
        <f t="shared" si="24"/>
        <v>Frederikshavn KommuneBrøndumsvej 4-6</v>
      </c>
      <c r="E538" s="1" t="s">
        <v>1629</v>
      </c>
      <c r="F538" s="1" t="s">
        <v>1630</v>
      </c>
      <c r="G538" s="1">
        <v>1971</v>
      </c>
      <c r="H538" s="1" t="s">
        <v>11</v>
      </c>
      <c r="I538" s="6" cm="1">
        <f t="array" ref="I538">GetLatitude(D538)</f>
        <v>577244990</v>
      </c>
      <c r="J538" s="1" cm="1">
        <f t="array" ref="J538">GetLongitude(D538)</f>
        <v>105972128</v>
      </c>
      <c r="K538" s="1">
        <f t="shared" si="25"/>
        <v>57.724499000000002</v>
      </c>
      <c r="L538" s="1">
        <f t="shared" si="26"/>
        <v>10.597212799999999</v>
      </c>
    </row>
    <row r="539" spans="1:12" ht="16" x14ac:dyDescent="0.2">
      <c r="A539" s="1">
        <v>538</v>
      </c>
      <c r="B539" s="1" t="s">
        <v>1609</v>
      </c>
      <c r="C539" s="1" t="s">
        <v>1631</v>
      </c>
      <c r="D539" s="1" t="str">
        <f t="shared" si="24"/>
        <v>Frederikshavn KommuneChristian X's vej 82</v>
      </c>
      <c r="E539" s="1" t="s">
        <v>1632</v>
      </c>
      <c r="F539" s="1" t="s">
        <v>1633</v>
      </c>
      <c r="G539" s="1">
        <v>1986</v>
      </c>
      <c r="H539" s="1" t="s">
        <v>11</v>
      </c>
      <c r="I539" s="6" cm="1">
        <f t="array" ref="I539">GetLatitude(D539)</f>
        <v>561267876</v>
      </c>
      <c r="J539" s="1" cm="1">
        <f t="array" ref="J539">GetLongitude(D539)</f>
        <v>101723132</v>
      </c>
      <c r="K539" s="1">
        <f t="shared" si="25"/>
        <v>56.1267876</v>
      </c>
      <c r="L539" s="1">
        <f t="shared" si="26"/>
        <v>10.1723132</v>
      </c>
    </row>
    <row r="540" spans="1:12" ht="16" x14ac:dyDescent="0.2">
      <c r="A540" s="1">
        <v>539</v>
      </c>
      <c r="B540" s="1" t="s">
        <v>1609</v>
      </c>
      <c r="C540" s="1" t="s">
        <v>1634</v>
      </c>
      <c r="D540" s="1" t="str">
        <f t="shared" si="24"/>
        <v>Frederikshavn KommuneDamstedvej 39</v>
      </c>
      <c r="E540" s="1" t="s">
        <v>1635</v>
      </c>
      <c r="F540" s="1" t="s">
        <v>1636</v>
      </c>
      <c r="G540" s="1">
        <v>1992</v>
      </c>
      <c r="H540" s="1" t="s">
        <v>11</v>
      </c>
      <c r="I540" s="6" cm="1">
        <f t="array" ref="I540">GetLatitude(D540)</f>
        <v>577121290</v>
      </c>
      <c r="J540" s="1" cm="1">
        <f t="array" ref="J540">GetLongitude(D540)</f>
        <v>105688220</v>
      </c>
      <c r="K540" s="1">
        <f t="shared" si="25"/>
        <v>57.712128999999997</v>
      </c>
      <c r="L540" s="1">
        <f t="shared" si="26"/>
        <v>10.568822000000001</v>
      </c>
    </row>
    <row r="541" spans="1:12" ht="16" x14ac:dyDescent="0.2">
      <c r="A541" s="1">
        <v>540</v>
      </c>
      <c r="B541" s="1" t="s">
        <v>1609</v>
      </c>
      <c r="C541" s="1" t="s">
        <v>1637</v>
      </c>
      <c r="D541" s="1" t="str">
        <f t="shared" si="24"/>
        <v>Frederikshavn KommuneDronning Margrethesvej 1-2</v>
      </c>
      <c r="E541" s="1" t="s">
        <v>1638</v>
      </c>
      <c r="F541" s="1" t="s">
        <v>1639</v>
      </c>
      <c r="G541" s="1">
        <v>1918</v>
      </c>
      <c r="H541" s="1" t="s">
        <v>11</v>
      </c>
      <c r="I541" s="6" cm="1">
        <f t="array" ref="I541">GetLatitude(D541)</f>
        <v>574202106</v>
      </c>
      <c r="J541" s="1" cm="1">
        <f t="array" ref="J541">GetLongitude(D541)</f>
        <v>105043307</v>
      </c>
      <c r="K541" s="1">
        <f t="shared" si="25"/>
        <v>57.420210599999997</v>
      </c>
      <c r="L541" s="1">
        <f t="shared" si="26"/>
        <v>10.504330700000001</v>
      </c>
    </row>
    <row r="542" spans="1:12" ht="16" x14ac:dyDescent="0.2">
      <c r="A542" s="1">
        <v>541</v>
      </c>
      <c r="B542" s="1" t="s">
        <v>1609</v>
      </c>
      <c r="C542" s="1" t="s">
        <v>1640</v>
      </c>
      <c r="D542" s="1" t="str">
        <f t="shared" si="24"/>
        <v>Frederikshavn KommuneFabriciusvej 7</v>
      </c>
      <c r="E542" s="1" t="s">
        <v>1641</v>
      </c>
      <c r="F542" s="1" t="s">
        <v>1642</v>
      </c>
      <c r="G542" s="1">
        <v>1986</v>
      </c>
      <c r="H542" s="1" t="s">
        <v>11</v>
      </c>
      <c r="I542" s="6" cm="1">
        <f t="array" ref="I542">GetLatitude(D542)</f>
        <v>577166151</v>
      </c>
      <c r="J542" s="1" cm="1">
        <f t="array" ref="J542">GetLongitude(D542)</f>
        <v>105776727</v>
      </c>
      <c r="K542" s="1">
        <f t="shared" si="25"/>
        <v>57.716615099999999</v>
      </c>
      <c r="L542" s="1">
        <f t="shared" si="26"/>
        <v>10.577672700000001</v>
      </c>
    </row>
    <row r="543" spans="1:12" ht="16" x14ac:dyDescent="0.2">
      <c r="A543" s="1">
        <v>542</v>
      </c>
      <c r="B543" s="1" t="s">
        <v>1609</v>
      </c>
      <c r="C543" s="1" t="s">
        <v>1643</v>
      </c>
      <c r="D543" s="1" t="str">
        <f t="shared" si="24"/>
        <v>Frederikshavn KommuneFiskehuskajen 1-31 og Rødspættevej 2-6</v>
      </c>
      <c r="E543" s="1" t="s">
        <v>1644</v>
      </c>
      <c r="F543" s="1" t="s">
        <v>1645</v>
      </c>
      <c r="G543" s="1">
        <v>1985</v>
      </c>
      <c r="H543" s="1" t="s">
        <v>15</v>
      </c>
      <c r="I543" s="6" cm="1">
        <f t="array" ref="I543">GetLatitude(D543)</f>
        <v>574922095</v>
      </c>
      <c r="J543" s="1" cm="1">
        <f t="array" ref="J543">GetLongitude(D543)</f>
        <v>105038970</v>
      </c>
      <c r="K543" s="1">
        <f t="shared" si="25"/>
        <v>57.492209500000001</v>
      </c>
      <c r="L543" s="1">
        <f t="shared" si="26"/>
        <v>10.503897</v>
      </c>
    </row>
    <row r="544" spans="1:12" ht="16" x14ac:dyDescent="0.2">
      <c r="A544" s="1">
        <v>543</v>
      </c>
      <c r="B544" s="1" t="s">
        <v>1609</v>
      </c>
      <c r="C544" s="1" t="s">
        <v>1646</v>
      </c>
      <c r="D544" s="1" t="str">
        <f t="shared" si="24"/>
        <v>Frederikshavn KommuneFladstrandsgade 4-6</v>
      </c>
      <c r="E544" s="1" t="s">
        <v>1647</v>
      </c>
      <c r="F544" s="1" t="s">
        <v>1648</v>
      </c>
      <c r="G544" s="1">
        <v>1950</v>
      </c>
      <c r="H544" s="1" t="s">
        <v>15</v>
      </c>
      <c r="I544" s="6" cm="1">
        <f t="array" ref="I544">GetLatitude(D544)</f>
        <v>574399630</v>
      </c>
      <c r="J544" s="1" cm="1">
        <f t="array" ref="J544">GetLongitude(D544)</f>
        <v>105394360</v>
      </c>
      <c r="K544" s="1">
        <f t="shared" si="25"/>
        <v>57.439962999999999</v>
      </c>
      <c r="L544" s="1">
        <f t="shared" si="26"/>
        <v>10.539436</v>
      </c>
    </row>
    <row r="545" spans="1:12" ht="16" x14ac:dyDescent="0.2">
      <c r="A545" s="1">
        <v>544</v>
      </c>
      <c r="B545" s="1" t="s">
        <v>1609</v>
      </c>
      <c r="C545" s="1" t="s">
        <v>1649</v>
      </c>
      <c r="D545" s="1" t="str">
        <f t="shared" si="24"/>
        <v>Frederikshavn KommuneFrederikshavnsvej 1 og 1 A-B</v>
      </c>
      <c r="E545" s="1" t="s">
        <v>1650</v>
      </c>
      <c r="F545" s="1" t="s">
        <v>1651</v>
      </c>
      <c r="G545" s="1">
        <v>1979</v>
      </c>
      <c r="H545" s="1" t="s">
        <v>15</v>
      </c>
      <c r="I545" s="6" cm="1">
        <f t="array" ref="I545">GetLatitude(D545)</f>
        <v>574427110</v>
      </c>
      <c r="J545" s="1" cm="1">
        <f t="array" ref="J545">GetLongitude(D545)</f>
        <v>105210060</v>
      </c>
      <c r="K545" s="1">
        <f t="shared" si="25"/>
        <v>57.442711000000003</v>
      </c>
      <c r="L545" s="1">
        <f t="shared" si="26"/>
        <v>10.521006</v>
      </c>
    </row>
    <row r="546" spans="1:12" ht="16" x14ac:dyDescent="0.2">
      <c r="A546" s="1">
        <v>545</v>
      </c>
      <c r="B546" s="1" t="s">
        <v>1609</v>
      </c>
      <c r="C546" s="1" t="s">
        <v>1652</v>
      </c>
      <c r="D546" s="1" t="str">
        <f t="shared" si="24"/>
        <v>Frederikshavn KommuneFyrvej 2</v>
      </c>
      <c r="E546" s="1" t="s">
        <v>1653</v>
      </c>
      <c r="F546" s="1" t="s">
        <v>1654</v>
      </c>
      <c r="G546" s="1">
        <v>1939</v>
      </c>
      <c r="H546" s="1" t="s">
        <v>15</v>
      </c>
      <c r="I546" s="6" cm="1">
        <f t="array" ref="I546">GetLatitude(D546)</f>
        <v>574164882</v>
      </c>
      <c r="J546" s="1" cm="1">
        <f t="array" ref="J546">GetLongitude(D546)</f>
        <v>104296188</v>
      </c>
      <c r="K546" s="1">
        <f t="shared" si="25"/>
        <v>57.416488200000003</v>
      </c>
      <c r="L546" s="1">
        <f t="shared" si="26"/>
        <v>10.4296188</v>
      </c>
    </row>
    <row r="547" spans="1:12" ht="16" x14ac:dyDescent="0.2">
      <c r="A547" s="1">
        <v>546</v>
      </c>
      <c r="B547" s="1" t="s">
        <v>1609</v>
      </c>
      <c r="C547" s="1" t="s">
        <v>1655</v>
      </c>
      <c r="D547" s="1" t="str">
        <f t="shared" si="24"/>
        <v>Frederikshavn KommuneFyrvej 36</v>
      </c>
      <c r="E547" s="1" t="s">
        <v>1656</v>
      </c>
      <c r="F547" s="1" t="s">
        <v>1657</v>
      </c>
      <c r="G547" s="1">
        <v>1977</v>
      </c>
      <c r="H547" s="1" t="s">
        <v>11</v>
      </c>
      <c r="I547" s="6" cm="1">
        <f t="array" ref="I547">GetLatitude(D547)</f>
        <v>577355623</v>
      </c>
      <c r="J547" s="1" cm="1">
        <f t="array" ref="J547">GetLongitude(D547)</f>
        <v>106304574</v>
      </c>
      <c r="K547" s="1">
        <f t="shared" si="25"/>
        <v>57.735562299999998</v>
      </c>
      <c r="L547" s="1">
        <f t="shared" si="26"/>
        <v>10.630457399999999</v>
      </c>
    </row>
    <row r="548" spans="1:12" ht="16" x14ac:dyDescent="0.2">
      <c r="A548" s="1">
        <v>547</v>
      </c>
      <c r="B548" s="1" t="s">
        <v>1609</v>
      </c>
      <c r="C548" s="1" t="s">
        <v>1658</v>
      </c>
      <c r="D548" s="1" t="str">
        <f t="shared" si="24"/>
        <v>Frederikshavn KommuneGammel Kirkesti 8</v>
      </c>
      <c r="E548" s="1" t="s">
        <v>1659</v>
      </c>
      <c r="F548" s="1" t="s">
        <v>1660</v>
      </c>
      <c r="G548" s="1">
        <v>1986</v>
      </c>
      <c r="H548" s="1" t="s">
        <v>15</v>
      </c>
      <c r="I548" s="6" cm="1">
        <f t="array" ref="I548">GetLatitude(D548)</f>
        <v>577164718</v>
      </c>
      <c r="J548" s="1" cm="1">
        <f t="array" ref="J548">GetLongitude(D548)</f>
        <v>105699356</v>
      </c>
      <c r="K548" s="1">
        <f t="shared" si="25"/>
        <v>57.716471800000001</v>
      </c>
      <c r="L548" s="1">
        <f t="shared" si="26"/>
        <v>10.569935600000001</v>
      </c>
    </row>
    <row r="549" spans="1:12" ht="16" x14ac:dyDescent="0.2">
      <c r="A549" s="1">
        <v>548</v>
      </c>
      <c r="B549" s="1" t="s">
        <v>1609</v>
      </c>
      <c r="C549" s="1" t="s">
        <v>1661</v>
      </c>
      <c r="D549" s="1" t="str">
        <f t="shared" si="24"/>
        <v>Frederikshavn KommuneGammel Torv 18</v>
      </c>
      <c r="E549" s="1" t="s">
        <v>1662</v>
      </c>
      <c r="F549" s="1" t="s">
        <v>1663</v>
      </c>
      <c r="G549" s="1">
        <v>1988</v>
      </c>
      <c r="H549" s="1" t="s">
        <v>11</v>
      </c>
      <c r="I549" s="6" cm="1">
        <f t="array" ref="I549">GetLatitude(D549)</f>
        <v>574427110</v>
      </c>
      <c r="J549" s="1" cm="1">
        <f t="array" ref="J549">GetLongitude(D549)</f>
        <v>105210060</v>
      </c>
      <c r="K549" s="1">
        <f t="shared" si="25"/>
        <v>57.442711000000003</v>
      </c>
      <c r="L549" s="1">
        <f t="shared" si="26"/>
        <v>10.521006</v>
      </c>
    </row>
    <row r="550" spans="1:12" ht="16" x14ac:dyDescent="0.2">
      <c r="A550" s="1">
        <v>549</v>
      </c>
      <c r="B550" s="1" t="s">
        <v>1609</v>
      </c>
      <c r="C550" s="1" t="s">
        <v>1664</v>
      </c>
      <c r="D550" s="1" t="str">
        <f t="shared" si="24"/>
        <v>Frederikshavn KommuneGårdbovej 300</v>
      </c>
      <c r="E550" s="1" t="s">
        <v>1665</v>
      </c>
      <c r="F550" s="1" t="s">
        <v>1666</v>
      </c>
      <c r="G550" s="1">
        <v>1990</v>
      </c>
      <c r="H550" s="1" t="s">
        <v>15</v>
      </c>
      <c r="I550" s="6" cm="1">
        <f t="array" ref="I550">GetLatitude(D550)</f>
        <v>575862834</v>
      </c>
      <c r="J550" s="1" cm="1">
        <f t="array" ref="J550">GetLongitude(D550)</f>
        <v>103494014</v>
      </c>
      <c r="K550" s="1">
        <f t="shared" si="25"/>
        <v>57.586283399999999</v>
      </c>
      <c r="L550" s="1">
        <f t="shared" si="26"/>
        <v>10.3494014</v>
      </c>
    </row>
    <row r="551" spans="1:12" ht="16" x14ac:dyDescent="0.2">
      <c r="A551" s="1">
        <v>550</v>
      </c>
      <c r="B551" s="1" t="s">
        <v>1609</v>
      </c>
      <c r="C551" s="1" t="s">
        <v>1667</v>
      </c>
      <c r="D551" s="1" t="str">
        <f t="shared" si="24"/>
        <v>Frederikshavn KommuneHans Baghsvej 21</v>
      </c>
      <c r="E551" s="1" t="s">
        <v>1668</v>
      </c>
      <c r="F551" s="1" t="s">
        <v>1669</v>
      </c>
      <c r="G551" s="1">
        <v>1970</v>
      </c>
      <c r="H551" s="1" t="s">
        <v>99</v>
      </c>
      <c r="I551" s="6" cm="1">
        <f t="array" ref="I551">GetLatitude(D551)</f>
        <v>577188132</v>
      </c>
      <c r="J551" s="1" cm="1">
        <f t="array" ref="J551">GetLongitude(D551)</f>
        <v>105777815</v>
      </c>
      <c r="K551" s="1">
        <f t="shared" si="25"/>
        <v>57.7188132</v>
      </c>
      <c r="L551" s="1">
        <f t="shared" si="26"/>
        <v>10.5777815</v>
      </c>
    </row>
    <row r="552" spans="1:12" ht="16" x14ac:dyDescent="0.2">
      <c r="A552" s="1">
        <v>551</v>
      </c>
      <c r="B552" s="1" t="s">
        <v>1609</v>
      </c>
      <c r="C552" s="1" t="s">
        <v>1670</v>
      </c>
      <c r="D552" s="1" t="str">
        <f t="shared" si="24"/>
        <v>Frederikshavn KommuneHans Ruthsvej 15</v>
      </c>
      <c r="E552" s="1" t="s">
        <v>1671</v>
      </c>
      <c r="F552" s="1" t="s">
        <v>1672</v>
      </c>
      <c r="G552" s="1">
        <v>1996</v>
      </c>
      <c r="H552" s="1" t="s">
        <v>15</v>
      </c>
      <c r="I552" s="6" cm="1">
        <f t="array" ref="I552">GetLatitude(D552)</f>
        <v>573090108</v>
      </c>
      <c r="J552" s="1" cm="1">
        <f t="array" ref="J552">GetLongitude(D552)</f>
        <v>96485518</v>
      </c>
      <c r="K552" s="1">
        <f t="shared" si="25"/>
        <v>57.309010800000003</v>
      </c>
      <c r="L552" s="1">
        <f t="shared" si="26"/>
        <v>9.6485517999999999</v>
      </c>
    </row>
    <row r="553" spans="1:12" ht="16" x14ac:dyDescent="0.2">
      <c r="A553" s="1">
        <v>552</v>
      </c>
      <c r="B553" s="1" t="s">
        <v>1609</v>
      </c>
      <c r="C553" s="1" t="s">
        <v>1673</v>
      </c>
      <c r="D553" s="1" t="str">
        <f t="shared" si="24"/>
        <v>Frederikshavn KommuneHavnepladsen 9</v>
      </c>
      <c r="E553" s="1" t="s">
        <v>1674</v>
      </c>
      <c r="F553" s="1" t="s">
        <v>1675</v>
      </c>
      <c r="G553" s="1">
        <v>1988</v>
      </c>
      <c r="H553" s="1" t="s">
        <v>15</v>
      </c>
      <c r="I553" s="6" cm="1">
        <f t="array" ref="I553">GetLatitude(D553)</f>
        <v>574384717</v>
      </c>
      <c r="J553" s="1" cm="1">
        <f t="array" ref="J553">GetLongitude(D553)</f>
        <v>105387282</v>
      </c>
      <c r="K553" s="1">
        <f t="shared" si="25"/>
        <v>57.438471700000001</v>
      </c>
      <c r="L553" s="1">
        <f t="shared" si="26"/>
        <v>10.5387282</v>
      </c>
    </row>
    <row r="554" spans="1:12" ht="16" x14ac:dyDescent="0.2">
      <c r="A554" s="1">
        <v>553</v>
      </c>
      <c r="B554" s="1" t="s">
        <v>1609</v>
      </c>
      <c r="C554" s="1" t="s">
        <v>1676</v>
      </c>
      <c r="D554" s="1" t="str">
        <f t="shared" si="24"/>
        <v>Frederikshavn KommuneHolstsvej 8</v>
      </c>
      <c r="E554" s="1" t="s">
        <v>1677</v>
      </c>
      <c r="F554" s="1" t="s">
        <v>1678</v>
      </c>
      <c r="G554" s="1">
        <v>1988</v>
      </c>
      <c r="H554" s="1" t="s">
        <v>15</v>
      </c>
      <c r="I554" s="6" cm="1">
        <f t="array" ref="I554">GetLatitude(D554)</f>
        <v>577222818</v>
      </c>
      <c r="J554" s="1" cm="1">
        <f t="array" ref="J554">GetLongitude(D554)</f>
        <v>105929769</v>
      </c>
      <c r="K554" s="1">
        <f t="shared" si="25"/>
        <v>57.722281799999998</v>
      </c>
      <c r="L554" s="1">
        <f t="shared" si="26"/>
        <v>10.5929769</v>
      </c>
    </row>
    <row r="555" spans="1:12" ht="16" x14ac:dyDescent="0.2">
      <c r="A555" s="1">
        <v>554</v>
      </c>
      <c r="B555" s="1" t="s">
        <v>1609</v>
      </c>
      <c r="C555" s="1" t="s">
        <v>1679</v>
      </c>
      <c r="D555" s="1" t="str">
        <f t="shared" si="24"/>
        <v>Frederikshavn KommuneHøjensvej 2</v>
      </c>
      <c r="E555" s="1" t="s">
        <v>1680</v>
      </c>
      <c r="F555" s="1" t="s">
        <v>1681</v>
      </c>
      <c r="G555" s="1">
        <v>1986</v>
      </c>
      <c r="H555" s="1" t="s">
        <v>15</v>
      </c>
      <c r="I555" s="6" cm="1">
        <f t="array" ref="I555">GetLatitude(D555)</f>
        <v>577287226</v>
      </c>
      <c r="J555" s="1" cm="1">
        <f t="array" ref="J555">GetLongitude(D555)</f>
        <v>105213564</v>
      </c>
      <c r="K555" s="1">
        <f t="shared" si="25"/>
        <v>57.728722599999998</v>
      </c>
      <c r="L555" s="1">
        <f t="shared" si="26"/>
        <v>10.5213564</v>
      </c>
    </row>
    <row r="556" spans="1:12" ht="16" x14ac:dyDescent="0.2">
      <c r="A556" s="1">
        <v>555</v>
      </c>
      <c r="B556" s="1" t="s">
        <v>1609</v>
      </c>
      <c r="C556" s="1" t="s">
        <v>1682</v>
      </c>
      <c r="D556" s="1" t="str">
        <f t="shared" si="24"/>
        <v>Frederikshavn KommuneHøjensvej 6</v>
      </c>
      <c r="E556" s="1" t="s">
        <v>1683</v>
      </c>
      <c r="F556" s="1" t="s">
        <v>1684</v>
      </c>
      <c r="G556" s="1">
        <v>1986</v>
      </c>
      <c r="H556" s="1" t="s">
        <v>15</v>
      </c>
      <c r="I556" s="6" cm="1">
        <f t="array" ref="I556">GetLatitude(D556)</f>
        <v>577282634</v>
      </c>
      <c r="J556" s="1" cm="1">
        <f t="array" ref="J556">GetLongitude(D556)</f>
        <v>105222906</v>
      </c>
      <c r="K556" s="1">
        <f t="shared" si="25"/>
        <v>57.728263400000003</v>
      </c>
      <c r="L556" s="1">
        <f t="shared" si="26"/>
        <v>10.5222906</v>
      </c>
    </row>
    <row r="557" spans="1:12" ht="16" x14ac:dyDescent="0.2">
      <c r="A557" s="1">
        <v>556</v>
      </c>
      <c r="B557" s="1" t="s">
        <v>1609</v>
      </c>
      <c r="C557" s="1" t="s">
        <v>1685</v>
      </c>
      <c r="D557" s="1" t="str">
        <f t="shared" si="24"/>
        <v>Frederikshavn KommuneKandestedvej 307</v>
      </c>
      <c r="E557" s="1" t="s">
        <v>1686</v>
      </c>
      <c r="F557" s="1" t="s">
        <v>1687</v>
      </c>
      <c r="G557" s="1">
        <v>1987</v>
      </c>
      <c r="H557" s="1" t="s">
        <v>15</v>
      </c>
      <c r="I557" s="6" cm="1">
        <f t="array" ref="I557">GetLatitude(D557)</f>
        <v>576538045</v>
      </c>
      <c r="J557" s="1" cm="1">
        <f t="array" ref="J557">GetLongitude(D557)</f>
        <v>104232957</v>
      </c>
      <c r="K557" s="1">
        <f t="shared" si="25"/>
        <v>57.6538045</v>
      </c>
      <c r="L557" s="1">
        <f t="shared" si="26"/>
        <v>10.423295700000001</v>
      </c>
    </row>
    <row r="558" spans="1:12" ht="16" x14ac:dyDescent="0.2">
      <c r="A558" s="1">
        <v>557</v>
      </c>
      <c r="B558" s="1" t="s">
        <v>1609</v>
      </c>
      <c r="C558" s="1" t="s">
        <v>1688</v>
      </c>
      <c r="D558" s="1" t="str">
        <f t="shared" si="24"/>
        <v>Frederikshavn KommuneKlitrosevej 4</v>
      </c>
      <c r="E558" s="1" t="s">
        <v>1689</v>
      </c>
      <c r="F558" s="1" t="s">
        <v>1690</v>
      </c>
      <c r="G558" s="1">
        <v>1986</v>
      </c>
      <c r="H558" s="1" t="s">
        <v>11</v>
      </c>
      <c r="I558" s="6" cm="1">
        <f t="array" ref="I558">GetLatitude(D558)</f>
        <v>574164882</v>
      </c>
      <c r="J558" s="1" cm="1">
        <f t="array" ref="J558">GetLongitude(D558)</f>
        <v>104296188</v>
      </c>
      <c r="K558" s="1">
        <f t="shared" si="25"/>
        <v>57.416488200000003</v>
      </c>
      <c r="L558" s="1">
        <f t="shared" si="26"/>
        <v>10.4296188</v>
      </c>
    </row>
    <row r="559" spans="1:12" ht="16" x14ac:dyDescent="0.2">
      <c r="A559" s="1">
        <v>558</v>
      </c>
      <c r="B559" s="1" t="s">
        <v>1609</v>
      </c>
      <c r="C559" s="1" t="s">
        <v>1691</v>
      </c>
      <c r="D559" s="1" t="str">
        <f t="shared" si="24"/>
        <v>Frederikshavn KommuneKnudsejevej 4 og 4 A</v>
      </c>
      <c r="E559" s="1" t="s">
        <v>1692</v>
      </c>
      <c r="F559" s="1" t="s">
        <v>1693</v>
      </c>
      <c r="G559" s="1">
        <v>1939</v>
      </c>
      <c r="H559" s="1" t="s">
        <v>1694</v>
      </c>
      <c r="I559" s="6" cm="1">
        <f t="array" ref="I559">GetLatitude(D559)</f>
        <v>572789997</v>
      </c>
      <c r="J559" s="1" cm="1">
        <f t="array" ref="J559">GetLongitude(D559)</f>
        <v>102967398</v>
      </c>
      <c r="K559" s="1">
        <f t="shared" si="25"/>
        <v>57.2789997</v>
      </c>
      <c r="L559" s="1">
        <f t="shared" si="26"/>
        <v>10.296739799999999</v>
      </c>
    </row>
    <row r="560" spans="1:12" ht="16" x14ac:dyDescent="0.2">
      <c r="A560" s="1">
        <v>559</v>
      </c>
      <c r="B560" s="1" t="s">
        <v>1609</v>
      </c>
      <c r="C560" s="1" t="s">
        <v>1695</v>
      </c>
      <c r="D560" s="1" t="str">
        <f t="shared" si="24"/>
        <v>Frederikshavn KommuneKragholmen 2</v>
      </c>
      <c r="E560" s="1" t="s">
        <v>1696</v>
      </c>
      <c r="F560" s="1" t="s">
        <v>1697</v>
      </c>
      <c r="G560" s="1">
        <v>1920</v>
      </c>
      <c r="H560" s="1" t="s">
        <v>15</v>
      </c>
      <c r="I560" s="6" cm="1">
        <f t="array" ref="I560">GetLatitude(D560)</f>
        <v>574398084</v>
      </c>
      <c r="J560" s="1" cm="1">
        <f t="array" ref="J560">GetLongitude(D560)</f>
        <v>105408948</v>
      </c>
      <c r="K560" s="1">
        <f t="shared" si="25"/>
        <v>57.439808399999997</v>
      </c>
      <c r="L560" s="1">
        <f t="shared" si="26"/>
        <v>10.5408948</v>
      </c>
    </row>
    <row r="561" spans="1:12" ht="16" x14ac:dyDescent="0.2">
      <c r="A561" s="1">
        <v>560</v>
      </c>
      <c r="B561" s="1" t="s">
        <v>1609</v>
      </c>
      <c r="C561" s="1" t="s">
        <v>1698</v>
      </c>
      <c r="D561" s="1" t="str">
        <f t="shared" si="24"/>
        <v>Frederikshavn KommuneKunstnerstien 5</v>
      </c>
      <c r="E561" s="1" t="s">
        <v>1699</v>
      </c>
      <c r="F561" s="1" t="s">
        <v>1700</v>
      </c>
      <c r="G561" s="1">
        <v>1986</v>
      </c>
      <c r="H561" s="1" t="s">
        <v>11</v>
      </c>
      <c r="I561" s="6" cm="1">
        <f t="array" ref="I561">GetLatitude(D561)</f>
        <v>577260901</v>
      </c>
      <c r="J561" s="1" cm="1">
        <f t="array" ref="J561">GetLongitude(D561)</f>
        <v>105222390</v>
      </c>
      <c r="K561" s="1">
        <f t="shared" si="25"/>
        <v>57.7260901</v>
      </c>
      <c r="L561" s="1">
        <f t="shared" si="26"/>
        <v>10.522239000000001</v>
      </c>
    </row>
    <row r="562" spans="1:12" ht="16" x14ac:dyDescent="0.2">
      <c r="A562" s="1">
        <v>561</v>
      </c>
      <c r="B562" s="1" t="s">
        <v>1609</v>
      </c>
      <c r="C562" s="1" t="s">
        <v>1701</v>
      </c>
      <c r="D562" s="1" t="str">
        <f t="shared" si="24"/>
        <v>Frederikshavn KommuneMarkvej 2</v>
      </c>
      <c r="E562" s="1" t="s">
        <v>1702</v>
      </c>
      <c r="F562" s="1" t="s">
        <v>1703</v>
      </c>
      <c r="G562" s="1">
        <v>1970</v>
      </c>
      <c r="H562" s="1" t="s">
        <v>15</v>
      </c>
      <c r="I562" s="6" cm="1">
        <f t="array" ref="I562">GetLatitude(D562)</f>
        <v>577261370</v>
      </c>
      <c r="J562" s="1" cm="1">
        <f t="array" ref="J562">GetLongitude(D562)</f>
        <v>105968940</v>
      </c>
      <c r="K562" s="1">
        <f t="shared" si="25"/>
        <v>57.726137000000001</v>
      </c>
      <c r="L562" s="1">
        <f t="shared" si="26"/>
        <v>10.596894000000001</v>
      </c>
    </row>
    <row r="563" spans="1:12" ht="16" x14ac:dyDescent="0.2">
      <c r="A563" s="1">
        <v>562</v>
      </c>
      <c r="B563" s="1" t="s">
        <v>1609</v>
      </c>
      <c r="C563" s="1" t="s">
        <v>1704</v>
      </c>
      <c r="D563" s="1" t="str">
        <f t="shared" si="24"/>
        <v>Frederikshavn KommuneMarkvej 4</v>
      </c>
      <c r="E563" s="1" t="s">
        <v>1705</v>
      </c>
      <c r="F563" s="1" t="s">
        <v>1706</v>
      </c>
      <c r="G563" s="1">
        <v>1986</v>
      </c>
      <c r="H563" s="1" t="s">
        <v>11</v>
      </c>
      <c r="I563" s="6" cm="1">
        <f t="array" ref="I563">GetLatitude(D563)</f>
        <v>577260836</v>
      </c>
      <c r="J563" s="1" cm="1">
        <f t="array" ref="J563">GetLongitude(D563)</f>
        <v>105962554</v>
      </c>
      <c r="K563" s="1">
        <f t="shared" si="25"/>
        <v>57.726083600000003</v>
      </c>
      <c r="L563" s="1">
        <f t="shared" si="26"/>
        <v>10.5962554</v>
      </c>
    </row>
    <row r="564" spans="1:12" ht="16" x14ac:dyDescent="0.2">
      <c r="A564" s="1">
        <v>563</v>
      </c>
      <c r="B564" s="1" t="s">
        <v>1609</v>
      </c>
      <c r="C564" s="1" t="s">
        <v>1707</v>
      </c>
      <c r="D564" s="1" t="str">
        <f t="shared" si="24"/>
        <v>Frederikshavn KommuneNejsumvej 12</v>
      </c>
      <c r="E564" s="1" t="s">
        <v>1708</v>
      </c>
      <c r="F564" s="1" t="s">
        <v>1709</v>
      </c>
      <c r="G564" s="1">
        <v>1990</v>
      </c>
      <c r="H564" s="1" t="s">
        <v>15</v>
      </c>
      <c r="I564" s="6" cm="1">
        <f t="array" ref="I564">GetLatitude(D564)</f>
        <v>573230224</v>
      </c>
      <c r="J564" s="1" cm="1">
        <f t="array" ref="J564">GetLongitude(D564)</f>
        <v>102713899</v>
      </c>
      <c r="K564" s="1">
        <f t="shared" si="25"/>
        <v>57.323022399999999</v>
      </c>
      <c r="L564" s="1">
        <f t="shared" si="26"/>
        <v>10.271389900000001</v>
      </c>
    </row>
    <row r="565" spans="1:12" ht="16" x14ac:dyDescent="0.2">
      <c r="A565" s="1">
        <v>564</v>
      </c>
      <c r="B565" s="1" t="s">
        <v>1609</v>
      </c>
      <c r="C565" s="1" t="s">
        <v>1710</v>
      </c>
      <c r="D565" s="1" t="str">
        <f t="shared" si="24"/>
        <v>Frederikshavn KommuneNordre Skanse ved Frydenstrand</v>
      </c>
      <c r="E565" s="1" t="s">
        <v>1711</v>
      </c>
      <c r="F565" s="1" t="s">
        <v>1712</v>
      </c>
      <c r="G565" s="1">
        <v>1924</v>
      </c>
      <c r="H565" s="1" t="s">
        <v>11</v>
      </c>
      <c r="I565" s="6" cm="1">
        <f t="array" ref="I565">GetLatitude(D565)</f>
        <v>574516478</v>
      </c>
      <c r="J565" s="1" cm="1">
        <f t="array" ref="J565">GetLongitude(D565)</f>
        <v>105434508</v>
      </c>
      <c r="K565" s="1">
        <f t="shared" si="25"/>
        <v>57.451647800000003</v>
      </c>
      <c r="L565" s="1">
        <f t="shared" si="26"/>
        <v>10.5434508</v>
      </c>
    </row>
    <row r="566" spans="1:12" ht="16" x14ac:dyDescent="0.2">
      <c r="A566" s="1">
        <v>565</v>
      </c>
      <c r="B566" s="1" t="s">
        <v>1609</v>
      </c>
      <c r="C566" s="1" t="s">
        <v>1713</v>
      </c>
      <c r="D566" s="1" t="str">
        <f t="shared" si="24"/>
        <v>Frederikshavn KommuneOddevej 38 A</v>
      </c>
      <c r="E566" s="1" t="s">
        <v>1714</v>
      </c>
      <c r="F566" s="1" t="s">
        <v>1715</v>
      </c>
      <c r="G566" s="1">
        <v>1986</v>
      </c>
      <c r="H566" s="1" t="s">
        <v>11</v>
      </c>
      <c r="I566" s="6" cm="1">
        <f t="array" ref="I566">GetLatitude(D566)</f>
        <v>577277540</v>
      </c>
      <c r="J566" s="1" cm="1">
        <f t="array" ref="J566">GetLongitude(D566)</f>
        <v>106027557</v>
      </c>
      <c r="K566" s="1">
        <f t="shared" si="25"/>
        <v>57.727753999999997</v>
      </c>
      <c r="L566" s="1">
        <f t="shared" si="26"/>
        <v>10.602755699999999</v>
      </c>
    </row>
    <row r="567" spans="1:12" ht="16" x14ac:dyDescent="0.2">
      <c r="A567" s="1">
        <v>566</v>
      </c>
      <c r="B567" s="1" t="s">
        <v>1609</v>
      </c>
      <c r="C567" s="1" t="s">
        <v>1716</v>
      </c>
      <c r="D567" s="1" t="str">
        <f t="shared" si="24"/>
        <v>Frederikshavn KommuneP. Mønstedsvej 19</v>
      </c>
      <c r="E567" s="1" t="s">
        <v>1717</v>
      </c>
      <c r="F567" s="1" t="s">
        <v>1718</v>
      </c>
      <c r="G567" s="1">
        <v>1992</v>
      </c>
      <c r="H567" s="1" t="s">
        <v>15</v>
      </c>
      <c r="I567" s="6" cm="1">
        <f t="array" ref="I567">GetLatitude(D567)</f>
        <v>573402200</v>
      </c>
      <c r="J567" s="1" cm="1">
        <f t="array" ref="J567">GetLongitude(D567)</f>
        <v>105113000</v>
      </c>
      <c r="K567" s="1">
        <f t="shared" si="25"/>
        <v>57.340220000000002</v>
      </c>
      <c r="L567" s="1">
        <f t="shared" si="26"/>
        <v>10.5113</v>
      </c>
    </row>
    <row r="568" spans="1:12" ht="16" x14ac:dyDescent="0.2">
      <c r="A568" s="1">
        <v>567</v>
      </c>
      <c r="B568" s="1" t="s">
        <v>1609</v>
      </c>
      <c r="C568" s="1" t="s">
        <v>1719</v>
      </c>
      <c r="D568" s="1" t="str">
        <f t="shared" si="24"/>
        <v>Frederikshavn KommuneRolighedsvej 8</v>
      </c>
      <c r="E568" s="1" t="s">
        <v>1720</v>
      </c>
      <c r="F568" s="1" t="s">
        <v>1721</v>
      </c>
      <c r="G568" s="1">
        <v>2005</v>
      </c>
      <c r="H568" s="1" t="s">
        <v>11</v>
      </c>
      <c r="I568" s="6" cm="1">
        <f t="array" ref="I568">GetLatitude(D568)</f>
        <v>577209795</v>
      </c>
      <c r="J568" s="1" cm="1">
        <f t="array" ref="J568">GetLongitude(D568)</f>
        <v>105688138</v>
      </c>
      <c r="K568" s="1">
        <f t="shared" si="25"/>
        <v>57.720979499999999</v>
      </c>
      <c r="L568" s="1">
        <f t="shared" si="26"/>
        <v>10.568813799999999</v>
      </c>
    </row>
    <row r="569" spans="1:12" ht="16" x14ac:dyDescent="0.2">
      <c r="A569" s="1">
        <v>568</v>
      </c>
      <c r="B569" s="1" t="s">
        <v>1609</v>
      </c>
      <c r="C569" s="1" t="s">
        <v>1722</v>
      </c>
      <c r="D569" s="1" t="str">
        <f t="shared" si="24"/>
        <v>Frederikshavn KommuneSankt Laurentiivej 113</v>
      </c>
      <c r="E569" s="1" t="s">
        <v>1723</v>
      </c>
      <c r="F569" s="1" t="s">
        <v>1724</v>
      </c>
      <c r="G569" s="1">
        <v>1986</v>
      </c>
      <c r="H569" s="1" t="s">
        <v>15</v>
      </c>
      <c r="I569" s="6" cm="1">
        <f t="array" ref="I569">GetLatitude(D569)</f>
        <v>577187377</v>
      </c>
      <c r="J569" s="1" cm="1">
        <f t="array" ref="J569">GetLongitude(D569)</f>
        <v>105802703</v>
      </c>
      <c r="K569" s="1">
        <f t="shared" si="25"/>
        <v>57.718737699999998</v>
      </c>
      <c r="L569" s="1">
        <f t="shared" si="26"/>
        <v>10.5802703</v>
      </c>
    </row>
    <row r="570" spans="1:12" ht="16" x14ac:dyDescent="0.2">
      <c r="A570" s="1">
        <v>569</v>
      </c>
      <c r="B570" s="1" t="s">
        <v>1609</v>
      </c>
      <c r="C570" s="1" t="s">
        <v>1725</v>
      </c>
      <c r="D570" s="1" t="str">
        <f t="shared" si="24"/>
        <v>Frederikshavn KommuneSankt Laurentiivej 148</v>
      </c>
      <c r="E570" s="1" t="s">
        <v>1726</v>
      </c>
      <c r="F570" s="1" t="s">
        <v>1727</v>
      </c>
      <c r="G570" s="1">
        <v>1970</v>
      </c>
      <c r="H570" s="1" t="s">
        <v>15</v>
      </c>
      <c r="I570" s="6" cm="1">
        <f t="array" ref="I570">GetLatitude(D570)</f>
        <v>577178268</v>
      </c>
      <c r="J570" s="1" cm="1">
        <f t="array" ref="J570">GetLongitude(D570)</f>
        <v>105724704</v>
      </c>
      <c r="K570" s="1">
        <f t="shared" si="25"/>
        <v>57.717826799999997</v>
      </c>
      <c r="L570" s="1">
        <f t="shared" si="26"/>
        <v>10.5724704</v>
      </c>
    </row>
    <row r="571" spans="1:12" ht="16" x14ac:dyDescent="0.2">
      <c r="A571" s="1">
        <v>570</v>
      </c>
      <c r="B571" s="1" t="s">
        <v>1609</v>
      </c>
      <c r="C571" s="1" t="s">
        <v>1728</v>
      </c>
      <c r="D571" s="1" t="str">
        <f t="shared" si="24"/>
        <v>Frederikshavn KommuneSankt Laurentiivej 87</v>
      </c>
      <c r="E571" s="1" t="s">
        <v>1729</v>
      </c>
      <c r="F571" s="1" t="s">
        <v>1730</v>
      </c>
      <c r="G571" s="1">
        <v>1995</v>
      </c>
      <c r="H571" s="1" t="s">
        <v>15</v>
      </c>
      <c r="I571" s="6" cm="1">
        <f t="array" ref="I571">GetLatitude(D571)</f>
        <v>577193329</v>
      </c>
      <c r="J571" s="1" cm="1">
        <f t="array" ref="J571">GetLongitude(D571)</f>
        <v>105846373</v>
      </c>
      <c r="K571" s="1">
        <f t="shared" si="25"/>
        <v>57.719332899999998</v>
      </c>
      <c r="L571" s="1">
        <f t="shared" si="26"/>
        <v>10.584637300000001</v>
      </c>
    </row>
    <row r="572" spans="1:12" ht="16" x14ac:dyDescent="0.2">
      <c r="A572" s="1">
        <v>571</v>
      </c>
      <c r="B572" s="1" t="s">
        <v>1609</v>
      </c>
      <c r="C572" s="1" t="s">
        <v>1731</v>
      </c>
      <c r="D572" s="1" t="str">
        <f t="shared" si="24"/>
        <v>Frederikshavn KommuneSkagensvej 195 A</v>
      </c>
      <c r="E572" s="1" t="s">
        <v>1732</v>
      </c>
      <c r="F572" s="1" t="s">
        <v>1733</v>
      </c>
      <c r="G572" s="1">
        <v>1918</v>
      </c>
      <c r="H572" s="1" t="s">
        <v>11</v>
      </c>
      <c r="I572" s="6" cm="1">
        <f t="array" ref="I572">GetLatitude(D572)</f>
        <v>574691475</v>
      </c>
      <c r="J572" s="1" cm="1">
        <f t="array" ref="J572">GetLongitude(D572)</f>
        <v>105002195</v>
      </c>
      <c r="K572" s="1">
        <f t="shared" si="25"/>
        <v>57.469147499999998</v>
      </c>
      <c r="L572" s="1">
        <f t="shared" si="26"/>
        <v>10.5002195</v>
      </c>
    </row>
    <row r="573" spans="1:12" ht="16" x14ac:dyDescent="0.2">
      <c r="A573" s="1">
        <v>572</v>
      </c>
      <c r="B573" s="1" t="s">
        <v>1609</v>
      </c>
      <c r="C573" s="1" t="s">
        <v>1734</v>
      </c>
      <c r="D573" s="1" t="str">
        <f t="shared" si="24"/>
        <v>Frederikshavn KommuneStrandgade 1</v>
      </c>
      <c r="E573" s="1" t="s">
        <v>1735</v>
      </c>
      <c r="F573" s="1" t="s">
        <v>1736</v>
      </c>
      <c r="G573" s="1">
        <v>1959</v>
      </c>
      <c r="H573" s="1" t="s">
        <v>15</v>
      </c>
      <c r="I573" s="6" cm="1">
        <f t="array" ref="I573">GetLatitude(D573)</f>
        <v>573334298</v>
      </c>
      <c r="J573" s="1" cm="1">
        <f t="array" ref="J573">GetLongitude(D573)</f>
        <v>105273654</v>
      </c>
      <c r="K573" s="1">
        <f t="shared" si="25"/>
        <v>57.333429799999998</v>
      </c>
      <c r="L573" s="1">
        <f t="shared" si="26"/>
        <v>10.527365400000001</v>
      </c>
    </row>
    <row r="574" spans="1:12" ht="16" x14ac:dyDescent="0.2">
      <c r="A574" s="1">
        <v>573</v>
      </c>
      <c r="B574" s="1" t="s">
        <v>1609</v>
      </c>
      <c r="C574" s="1" t="s">
        <v>1737</v>
      </c>
      <c r="D574" s="1" t="str">
        <f t="shared" si="24"/>
        <v>Frederikshavn KommuneStrandgade 2, hj af Vinkelvej</v>
      </c>
      <c r="E574" s="1" t="s">
        <v>1738</v>
      </c>
      <c r="F574" s="1" t="s">
        <v>1739</v>
      </c>
      <c r="G574" s="1">
        <v>1959</v>
      </c>
      <c r="H574" s="1" t="s">
        <v>15</v>
      </c>
      <c r="I574" s="6" cm="1">
        <f t="array" ref="I574">GetLatitude(D574)</f>
        <v>574480182</v>
      </c>
      <c r="J574" s="1" cm="1">
        <f t="array" ref="J574">GetLongitude(D574)</f>
        <v>105400401</v>
      </c>
      <c r="K574" s="1">
        <f t="shared" si="25"/>
        <v>57.4480182</v>
      </c>
      <c r="L574" s="1">
        <f t="shared" si="26"/>
        <v>10.540040100000001</v>
      </c>
    </row>
    <row r="575" spans="1:12" ht="16" x14ac:dyDescent="0.2">
      <c r="A575" s="1">
        <v>574</v>
      </c>
      <c r="B575" s="1" t="s">
        <v>1609</v>
      </c>
      <c r="C575" s="1" t="s">
        <v>1740</v>
      </c>
      <c r="D575" s="1" t="str">
        <f t="shared" si="24"/>
        <v>Frederikshavn KommuneSæbygårdvej 49 (tidl nr 51)</v>
      </c>
      <c r="E575" s="1" t="s">
        <v>1741</v>
      </c>
      <c r="F575" s="1" t="s">
        <v>1742</v>
      </c>
      <c r="G575" s="1">
        <v>1918</v>
      </c>
      <c r="H575" s="1" t="s">
        <v>15</v>
      </c>
      <c r="I575" s="6" cm="1">
        <f t="array" ref="I575">GetLatitude(D575)</f>
        <v>573341290</v>
      </c>
      <c r="J575" s="1" cm="1">
        <f t="array" ref="J575">GetLongitude(D575)</f>
        <v>104787870</v>
      </c>
      <c r="K575" s="1">
        <f t="shared" si="25"/>
        <v>57.334128999999997</v>
      </c>
      <c r="L575" s="1">
        <f t="shared" si="26"/>
        <v>10.478787000000001</v>
      </c>
    </row>
    <row r="576" spans="1:12" ht="16" x14ac:dyDescent="0.2">
      <c r="A576" s="1">
        <v>575</v>
      </c>
      <c r="B576" s="1" t="s">
        <v>1609</v>
      </c>
      <c r="C576" s="1" t="s">
        <v>1743</v>
      </c>
      <c r="D576" s="1" t="str">
        <f t="shared" si="24"/>
        <v>Frederikshavn KommuneSøndervej 1 A-C</v>
      </c>
      <c r="E576" s="1" t="s">
        <v>1744</v>
      </c>
      <c r="F576" s="1" t="s">
        <v>1745</v>
      </c>
      <c r="G576" s="1">
        <v>1970</v>
      </c>
      <c r="H576" s="1" t="s">
        <v>1746</v>
      </c>
      <c r="I576" s="6" cm="1">
        <f t="array" ref="I576">GetLatitude(D576)</f>
        <v>577227624</v>
      </c>
      <c r="J576" s="1" cm="1">
        <f t="array" ref="J576">GetLongitude(D576)</f>
        <v>105938642</v>
      </c>
      <c r="K576" s="1">
        <f t="shared" si="25"/>
        <v>57.722762400000001</v>
      </c>
      <c r="L576" s="1">
        <f t="shared" si="26"/>
        <v>10.593864200000001</v>
      </c>
    </row>
    <row r="577" spans="1:12" ht="16" x14ac:dyDescent="0.2">
      <c r="A577" s="1">
        <v>576</v>
      </c>
      <c r="B577" s="1" t="s">
        <v>1609</v>
      </c>
      <c r="C577" s="1" t="s">
        <v>1747</v>
      </c>
      <c r="D577" s="1" t="str">
        <f t="shared" si="24"/>
        <v>Frederikshavn KommuneTuxens Allé 18 A-C</v>
      </c>
      <c r="E577" s="1" t="s">
        <v>1748</v>
      </c>
      <c r="F577" s="1" t="s">
        <v>1749</v>
      </c>
      <c r="G577" s="1">
        <v>1986</v>
      </c>
      <c r="H577" s="1" t="s">
        <v>11</v>
      </c>
      <c r="I577" s="6" cm="1">
        <f t="array" ref="I577">GetLatitude(D577)</f>
        <v>577166020</v>
      </c>
      <c r="J577" s="1" cm="1">
        <f t="array" ref="J577">GetLongitude(D577)</f>
        <v>105687837</v>
      </c>
      <c r="K577" s="1">
        <f t="shared" si="25"/>
        <v>57.716602000000002</v>
      </c>
      <c r="L577" s="1">
        <f t="shared" si="26"/>
        <v>10.568783699999999</v>
      </c>
    </row>
    <row r="578" spans="1:12" ht="16" x14ac:dyDescent="0.2">
      <c r="A578" s="1">
        <v>577</v>
      </c>
      <c r="B578" s="1" t="s">
        <v>1609</v>
      </c>
      <c r="C578" s="1" t="s">
        <v>1750</v>
      </c>
      <c r="D578" s="1" t="str">
        <f t="shared" si="24"/>
        <v>Frederikshavn KommuneVestre Strandvej 10</v>
      </c>
      <c r="E578" s="1" t="s">
        <v>1751</v>
      </c>
      <c r="F578" s="1" t="s">
        <v>1752</v>
      </c>
      <c r="G578" s="1">
        <v>1986</v>
      </c>
      <c r="H578" s="1" t="s">
        <v>15</v>
      </c>
      <c r="I578" s="6" cm="1">
        <f t="array" ref="I578">GetLatitude(D578)</f>
        <v>577195094</v>
      </c>
      <c r="J578" s="1" cm="1">
        <f t="array" ref="J578">GetLongitude(D578)</f>
        <v>105870603</v>
      </c>
      <c r="K578" s="1">
        <f t="shared" si="25"/>
        <v>57.7195094</v>
      </c>
      <c r="L578" s="1">
        <f t="shared" si="26"/>
        <v>10.587060299999999</v>
      </c>
    </row>
    <row r="579" spans="1:12" ht="16" x14ac:dyDescent="0.2">
      <c r="A579" s="1">
        <v>578</v>
      </c>
      <c r="B579" s="1" t="s">
        <v>1609</v>
      </c>
      <c r="C579" s="1" t="s">
        <v>1753</v>
      </c>
      <c r="D579" s="1" t="str">
        <f t="shared" ref="D579:D642" si="27">B579&amp;C579</f>
        <v>Frederikshavn KommuneVestre Strandvej 2</v>
      </c>
      <c r="E579" s="1" t="s">
        <v>1754</v>
      </c>
      <c r="F579" s="1" t="s">
        <v>1755</v>
      </c>
      <c r="G579" s="1">
        <v>1986</v>
      </c>
      <c r="H579" s="1" t="s">
        <v>11</v>
      </c>
      <c r="I579" s="6" cm="1">
        <f t="array" ref="I579">GetLatitude(D579)</f>
        <v>577203499</v>
      </c>
      <c r="J579" s="1" cm="1">
        <f t="array" ref="J579">GetLongitude(D579)</f>
        <v>105893156</v>
      </c>
      <c r="K579" s="1">
        <f t="shared" si="25"/>
        <v>57.720349900000002</v>
      </c>
      <c r="L579" s="1">
        <f t="shared" si="26"/>
        <v>10.589315600000001</v>
      </c>
    </row>
    <row r="580" spans="1:12" ht="16" x14ac:dyDescent="0.2">
      <c r="A580" s="1">
        <v>579</v>
      </c>
      <c r="B580" s="1" t="s">
        <v>1609</v>
      </c>
      <c r="C580" s="1" t="s">
        <v>1756</v>
      </c>
      <c r="D580" s="1" t="str">
        <f t="shared" si="27"/>
        <v>Frederikshavn KommuneØstre Strandvej 51</v>
      </c>
      <c r="E580" s="1" t="s">
        <v>1757</v>
      </c>
      <c r="F580" s="1" t="s">
        <v>1758</v>
      </c>
      <c r="G580" s="1">
        <v>1986</v>
      </c>
      <c r="H580" s="1" t="s">
        <v>15</v>
      </c>
      <c r="I580" s="6" cm="1">
        <f t="array" ref="I580">GetLatitude(D580)</f>
        <v>577233371</v>
      </c>
      <c r="J580" s="1" cm="1">
        <f t="array" ref="J580">GetLongitude(D580)</f>
        <v>105985242</v>
      </c>
      <c r="K580" s="1">
        <f t="shared" ref="K580:K643" si="28">I580/10000000</f>
        <v>57.723337100000002</v>
      </c>
      <c r="L580" s="1">
        <f t="shared" ref="L580:L643" si="29">J580/10000000</f>
        <v>10.5985242</v>
      </c>
    </row>
    <row r="581" spans="1:12" ht="16" x14ac:dyDescent="0.2">
      <c r="A581" s="1">
        <v>580</v>
      </c>
      <c r="B581" s="1" t="s">
        <v>1759</v>
      </c>
      <c r="C581" s="1" t="s">
        <v>1760</v>
      </c>
      <c r="D581" s="1" t="str">
        <f t="shared" si="27"/>
        <v>Frederikssund KommuneFasangårdsvej 1</v>
      </c>
      <c r="E581" s="1" t="s">
        <v>1761</v>
      </c>
      <c r="F581" s="1" t="s">
        <v>1762</v>
      </c>
      <c r="G581" s="1">
        <v>1918</v>
      </c>
      <c r="H581" s="1" t="s">
        <v>15</v>
      </c>
      <c r="I581" s="6" cm="1">
        <f t="array" ref="I581">GetLatitude(D581)</f>
        <v>558629397</v>
      </c>
      <c r="J581" s="1" cm="1">
        <f t="array" ref="J581">GetLongitude(D581)</f>
        <v>119898800</v>
      </c>
      <c r="K581" s="1">
        <f t="shared" si="28"/>
        <v>55.862939699999998</v>
      </c>
      <c r="L581" s="1">
        <f t="shared" si="29"/>
        <v>11.989879999999999</v>
      </c>
    </row>
    <row r="582" spans="1:12" ht="16" x14ac:dyDescent="0.2">
      <c r="A582" s="1">
        <v>581</v>
      </c>
      <c r="B582" s="1" t="s">
        <v>1759</v>
      </c>
      <c r="C582" s="1" t="s">
        <v>1763</v>
      </c>
      <c r="D582" s="1" t="str">
        <f t="shared" si="27"/>
        <v>Frederikssund KommuneFærgelundsvej 1</v>
      </c>
      <c r="E582" s="1" t="s">
        <v>1764</v>
      </c>
      <c r="F582" s="1" t="s">
        <v>1765</v>
      </c>
      <c r="G582" s="1">
        <v>1939</v>
      </c>
      <c r="H582" s="1" t="s">
        <v>15</v>
      </c>
      <c r="I582" s="6" cm="1">
        <f t="array" ref="I582">GetLatitude(D582)</f>
        <v>558412434</v>
      </c>
      <c r="J582" s="1" cm="1">
        <f t="array" ref="J582">GetLongitude(D582)</f>
        <v>120322209</v>
      </c>
      <c r="K582" s="1">
        <f t="shared" si="28"/>
        <v>55.841243400000003</v>
      </c>
      <c r="L582" s="1">
        <f t="shared" si="29"/>
        <v>12.0322209</v>
      </c>
    </row>
    <row r="583" spans="1:12" ht="16" x14ac:dyDescent="0.2">
      <c r="A583" s="1">
        <v>582</v>
      </c>
      <c r="B583" s="1" t="s">
        <v>1759</v>
      </c>
      <c r="C583" s="1" t="s">
        <v>1766</v>
      </c>
      <c r="D583" s="1" t="str">
        <f t="shared" si="27"/>
        <v>Frederikssund KommuneFærgelundsvej 3</v>
      </c>
      <c r="E583" s="1" t="s">
        <v>1767</v>
      </c>
      <c r="F583" s="1" t="s">
        <v>1768</v>
      </c>
      <c r="G583" s="1">
        <v>1950</v>
      </c>
      <c r="H583" s="1" t="s">
        <v>11</v>
      </c>
      <c r="I583" s="6" cm="1">
        <f t="array" ref="I583">GetLatitude(D583)</f>
        <v>558408740</v>
      </c>
      <c r="J583" s="1" cm="1">
        <f t="array" ref="J583">GetLongitude(D583)</f>
        <v>120253890</v>
      </c>
      <c r="K583" s="1">
        <f t="shared" si="28"/>
        <v>55.840873999999999</v>
      </c>
      <c r="L583" s="1">
        <f t="shared" si="29"/>
        <v>12.025389000000001</v>
      </c>
    </row>
    <row r="584" spans="1:12" ht="16" x14ac:dyDescent="0.2">
      <c r="A584" s="1">
        <v>583</v>
      </c>
      <c r="B584" s="1" t="s">
        <v>1759</v>
      </c>
      <c r="C584" s="1" t="s">
        <v>1769</v>
      </c>
      <c r="D584" s="1" t="str">
        <f t="shared" si="27"/>
        <v>Frederikssund KommuneJægerspris Slotspark og Slotshegn</v>
      </c>
      <c r="E584" s="1" t="s">
        <v>1770</v>
      </c>
      <c r="F584" s="1" t="s">
        <v>1771</v>
      </c>
      <c r="G584" s="1">
        <v>1964</v>
      </c>
      <c r="H584" s="1" t="s">
        <v>15</v>
      </c>
      <c r="I584" s="6" cm="1">
        <f t="array" ref="I584">GetLatitude(D584)</f>
        <v>558565031</v>
      </c>
      <c r="J584" s="1" cm="1">
        <f t="array" ref="J584">GetLongitude(D584)</f>
        <v>119755701</v>
      </c>
      <c r="K584" s="1">
        <f t="shared" si="28"/>
        <v>55.856503099999998</v>
      </c>
      <c r="L584" s="1">
        <f t="shared" si="29"/>
        <v>11.975570100000001</v>
      </c>
    </row>
    <row r="585" spans="1:12" ht="16" x14ac:dyDescent="0.2">
      <c r="A585" s="1">
        <v>584</v>
      </c>
      <c r="B585" s="1" t="s">
        <v>1759</v>
      </c>
      <c r="C585" s="1" t="s">
        <v>1772</v>
      </c>
      <c r="D585" s="1" t="str">
        <f t="shared" si="27"/>
        <v>Frederikssund KommuneRoskildevej 181</v>
      </c>
      <c r="E585" s="1" t="s">
        <v>1773</v>
      </c>
      <c r="F585" s="1" t="s">
        <v>1774</v>
      </c>
      <c r="G585" s="1">
        <v>1980</v>
      </c>
      <c r="H585" s="1" t="s">
        <v>15</v>
      </c>
      <c r="I585" s="6" cm="1">
        <f t="array" ref="I585">GetLatitude(D585)</f>
        <v>558206970</v>
      </c>
      <c r="J585" s="1" cm="1">
        <f t="array" ref="J585">GetLongitude(D585)</f>
        <v>121000875</v>
      </c>
      <c r="K585" s="1">
        <f t="shared" si="28"/>
        <v>55.820697000000003</v>
      </c>
      <c r="L585" s="1">
        <f t="shared" si="29"/>
        <v>12.100087500000001</v>
      </c>
    </row>
    <row r="586" spans="1:12" ht="16" x14ac:dyDescent="0.2">
      <c r="A586" s="1">
        <v>585</v>
      </c>
      <c r="B586" s="1" t="s">
        <v>1759</v>
      </c>
      <c r="C586" s="1" t="s">
        <v>1775</v>
      </c>
      <c r="D586" s="1" t="str">
        <f t="shared" si="27"/>
        <v>Frederikssund KommuneSelsøvej 30 A-B</v>
      </c>
      <c r="E586" s="1" t="s">
        <v>1776</v>
      </c>
      <c r="F586" s="1" t="s">
        <v>1777</v>
      </c>
      <c r="G586" s="1">
        <v>1918</v>
      </c>
      <c r="H586" s="1" t="s">
        <v>11</v>
      </c>
      <c r="I586" s="6" cm="1">
        <f t="array" ref="I586">GetLatitude(D586)</f>
        <v>557410930</v>
      </c>
      <c r="J586" s="1" cm="1">
        <f t="array" ref="J586">GetLongitude(D586)</f>
        <v>120108850</v>
      </c>
      <c r="K586" s="1">
        <f t="shared" si="28"/>
        <v>55.741092999999999</v>
      </c>
      <c r="L586" s="1">
        <f t="shared" si="29"/>
        <v>12.010885</v>
      </c>
    </row>
    <row r="587" spans="1:12" ht="16" x14ac:dyDescent="0.2">
      <c r="A587" s="1">
        <v>586</v>
      </c>
      <c r="B587" s="1" t="s">
        <v>1759</v>
      </c>
      <c r="C587" s="1" t="s">
        <v>1778</v>
      </c>
      <c r="D587" s="1" t="str">
        <f t="shared" si="27"/>
        <v>Frederikssund KommuneSlotsgården 18-22 (tidl Hovedgaden 1)</v>
      </c>
      <c r="E587" s="1" t="s">
        <v>1779</v>
      </c>
      <c r="F587" s="1" t="s">
        <v>1780</v>
      </c>
      <c r="G587" s="1">
        <v>1918</v>
      </c>
      <c r="H587" s="1" t="s">
        <v>11</v>
      </c>
      <c r="I587" s="6" cm="1">
        <f t="array" ref="I587">GetLatitude(D587)</f>
        <v>558563517</v>
      </c>
      <c r="J587" s="1" cm="1">
        <f t="array" ref="J587">GetLongitude(D587)</f>
        <v>119742645</v>
      </c>
      <c r="K587" s="1">
        <f t="shared" si="28"/>
        <v>55.856351699999998</v>
      </c>
      <c r="L587" s="1">
        <f t="shared" si="29"/>
        <v>11.9742645</v>
      </c>
    </row>
    <row r="588" spans="1:12" ht="16" x14ac:dyDescent="0.2">
      <c r="A588" s="1">
        <v>587</v>
      </c>
      <c r="B588" s="1" t="s">
        <v>1759</v>
      </c>
      <c r="C588" s="1" t="s">
        <v>1781</v>
      </c>
      <c r="D588" s="1" t="str">
        <f t="shared" si="27"/>
        <v>Frederikssund KommuneSvanholm Allé 2</v>
      </c>
      <c r="E588" s="1" t="s">
        <v>1782</v>
      </c>
      <c r="F588" s="1" t="s">
        <v>1783</v>
      </c>
      <c r="G588" s="1">
        <v>1918</v>
      </c>
      <c r="H588" s="1" t="s">
        <v>99</v>
      </c>
      <c r="I588" s="6" cm="1">
        <f t="array" ref="I588">GetLatitude(D588)</f>
        <v>557836610</v>
      </c>
      <c r="J588" s="1" cm="1">
        <f t="array" ref="J588">GetLongitude(D588)</f>
        <v>119392080</v>
      </c>
      <c r="K588" s="1">
        <f t="shared" si="28"/>
        <v>55.783661000000002</v>
      </c>
      <c r="L588" s="1">
        <f t="shared" si="29"/>
        <v>11.939208000000001</v>
      </c>
    </row>
    <row r="589" spans="1:12" ht="16" x14ac:dyDescent="0.2">
      <c r="A589" s="1">
        <v>588</v>
      </c>
      <c r="B589" s="1" t="s">
        <v>1759</v>
      </c>
      <c r="C589" s="1" t="s">
        <v>1784</v>
      </c>
      <c r="D589" s="1" t="str">
        <f t="shared" si="27"/>
        <v>Frederikssund KommuneØstergade 3</v>
      </c>
      <c r="E589" s="1" t="s">
        <v>1785</v>
      </c>
      <c r="F589" s="1" t="s">
        <v>1786</v>
      </c>
      <c r="G589" s="1">
        <v>1959</v>
      </c>
      <c r="H589" s="1" t="s">
        <v>11</v>
      </c>
      <c r="I589" s="6" cm="1">
        <f t="array" ref="I589">GetLatitude(D589)</f>
        <v>558206350</v>
      </c>
      <c r="J589" s="1" cm="1">
        <f t="array" ref="J589">GetLongitude(D589)</f>
        <v>119821691</v>
      </c>
      <c r="K589" s="1">
        <f t="shared" si="28"/>
        <v>55.820635000000003</v>
      </c>
      <c r="L589" s="1">
        <f t="shared" si="29"/>
        <v>11.9821691</v>
      </c>
    </row>
    <row r="590" spans="1:12" ht="16" x14ac:dyDescent="0.2">
      <c r="A590" s="1">
        <v>589</v>
      </c>
      <c r="B590" s="1" t="s">
        <v>1787</v>
      </c>
      <c r="C590" s="1" t="s">
        <v>1788</v>
      </c>
      <c r="D590" s="1" t="str">
        <f t="shared" si="27"/>
        <v>Furesø KommuneKaalundsvej 33 A-B</v>
      </c>
      <c r="E590" s="1" t="s">
        <v>1789</v>
      </c>
      <c r="F590" s="1" t="s">
        <v>1790</v>
      </c>
      <c r="G590" s="1">
        <v>1959</v>
      </c>
      <c r="H590" s="1" t="s">
        <v>15</v>
      </c>
      <c r="I590" s="6" cm="1">
        <f t="array" ref="I590">GetLatitude(D590)</f>
        <v>558052120</v>
      </c>
      <c r="J590" s="1" cm="1">
        <f t="array" ref="J590">GetLongitude(D590)</f>
        <v>123550130</v>
      </c>
      <c r="K590" s="1">
        <f t="shared" si="28"/>
        <v>55.805211999999997</v>
      </c>
      <c r="L590" s="1">
        <f t="shared" si="29"/>
        <v>12.355013</v>
      </c>
    </row>
    <row r="591" spans="1:12" ht="16" x14ac:dyDescent="0.2">
      <c r="A591" s="1">
        <v>590</v>
      </c>
      <c r="B591" s="1" t="s">
        <v>1787</v>
      </c>
      <c r="C591" s="1" t="s">
        <v>1791</v>
      </c>
      <c r="D591" s="1" t="str">
        <f t="shared" si="27"/>
        <v>Furesø KommuneSøvej 8</v>
      </c>
      <c r="E591" s="1" t="s">
        <v>1792</v>
      </c>
      <c r="F591" s="1" t="s">
        <v>1793</v>
      </c>
      <c r="G591" s="1">
        <v>1918</v>
      </c>
      <c r="H591" s="1" t="s">
        <v>11</v>
      </c>
      <c r="I591" s="6" cm="1">
        <f t="array" ref="I591">GetLatitude(D591)</f>
        <v>557944365</v>
      </c>
      <c r="J591" s="1" cm="1">
        <f t="array" ref="J591">GetLongitude(D591)</f>
        <v>123561641</v>
      </c>
      <c r="K591" s="1">
        <f t="shared" si="28"/>
        <v>55.794436500000003</v>
      </c>
      <c r="L591" s="1">
        <f t="shared" si="29"/>
        <v>12.356164100000001</v>
      </c>
    </row>
    <row r="592" spans="1:12" ht="16" x14ac:dyDescent="0.2">
      <c r="A592" s="1">
        <v>591</v>
      </c>
      <c r="B592" s="1" t="s">
        <v>1787</v>
      </c>
      <c r="C592" s="1" t="s">
        <v>1794</v>
      </c>
      <c r="D592" s="1" t="str">
        <f t="shared" si="27"/>
        <v>Furesø KommuneVed Kulhus 3</v>
      </c>
      <c r="E592" s="1" t="s">
        <v>1795</v>
      </c>
      <c r="F592" s="1" t="s">
        <v>1796</v>
      </c>
      <c r="G592" s="1">
        <v>1945</v>
      </c>
      <c r="H592" s="1" t="s">
        <v>15</v>
      </c>
      <c r="I592" s="6" cm="1">
        <f t="array" ref="I592">GetLatitude(D592)</f>
        <v>557759559</v>
      </c>
      <c r="J592" s="1" cm="1">
        <f t="array" ref="J592">GetLongitude(D592)</f>
        <v>124125072</v>
      </c>
      <c r="K592" s="1">
        <f t="shared" si="28"/>
        <v>55.7759559</v>
      </c>
      <c r="L592" s="1">
        <f t="shared" si="29"/>
        <v>12.4125072</v>
      </c>
    </row>
    <row r="593" spans="1:12" ht="16" x14ac:dyDescent="0.2">
      <c r="A593" s="1">
        <v>592</v>
      </c>
      <c r="B593" s="1" t="s">
        <v>1797</v>
      </c>
      <c r="C593" s="1" t="s">
        <v>1798</v>
      </c>
      <c r="D593" s="1" t="str">
        <f t="shared" si="27"/>
        <v>Faarborg-Midtfyn KommuneAdelgade 7</v>
      </c>
      <c r="E593" s="1" t="s">
        <v>1799</v>
      </c>
      <c r="F593" s="1" t="s">
        <v>1800</v>
      </c>
      <c r="G593" s="1">
        <v>1945</v>
      </c>
      <c r="H593" s="1" t="s">
        <v>11</v>
      </c>
      <c r="I593" s="6" cm="1">
        <f t="array" ref="I593">GetLatitude(D593)</f>
        <v>551834600</v>
      </c>
      <c r="J593" s="1" cm="1">
        <f t="array" ref="J593">GetLongitude(D593)</f>
        <v>103708703</v>
      </c>
      <c r="K593" s="1">
        <f t="shared" si="28"/>
        <v>55.183459999999997</v>
      </c>
      <c r="L593" s="1">
        <f t="shared" si="29"/>
        <v>10.3708703</v>
      </c>
    </row>
    <row r="594" spans="1:12" ht="16" x14ac:dyDescent="0.2">
      <c r="A594" s="1">
        <v>593</v>
      </c>
      <c r="B594" s="1" t="s">
        <v>1797</v>
      </c>
      <c r="C594" s="1" t="s">
        <v>1801</v>
      </c>
      <c r="D594" s="1" t="str">
        <f t="shared" si="27"/>
        <v>Faarborg-Midtfyn KommuneArreskovvej 12</v>
      </c>
      <c r="E594" s="1" t="s">
        <v>1802</v>
      </c>
      <c r="F594" s="1" t="s">
        <v>1803</v>
      </c>
      <c r="G594" s="1">
        <v>1918</v>
      </c>
      <c r="H594" s="1" t="s">
        <v>15</v>
      </c>
      <c r="I594" s="6" cm="1">
        <f t="array" ref="I594">GetLatitude(D594)</f>
        <v>551643439</v>
      </c>
      <c r="J594" s="1" cm="1">
        <f t="array" ref="J594">GetLongitude(D594)</f>
        <v>103147822</v>
      </c>
      <c r="K594" s="1">
        <f t="shared" si="28"/>
        <v>55.164343899999999</v>
      </c>
      <c r="L594" s="1">
        <f t="shared" si="29"/>
        <v>10.3147822</v>
      </c>
    </row>
    <row r="595" spans="1:12" ht="16" x14ac:dyDescent="0.2">
      <c r="A595" s="1">
        <v>594</v>
      </c>
      <c r="B595" s="1" t="s">
        <v>1797</v>
      </c>
      <c r="C595" s="1" t="s">
        <v>1804</v>
      </c>
      <c r="D595" s="1" t="str">
        <f t="shared" si="27"/>
        <v>Faarborg-Midtfyn KommuneArreskovvej 27</v>
      </c>
      <c r="E595" s="1" t="s">
        <v>1805</v>
      </c>
      <c r="F595" s="1" t="s">
        <v>1806</v>
      </c>
      <c r="G595" s="1">
        <v>1990</v>
      </c>
      <c r="H595" s="1" t="s">
        <v>15</v>
      </c>
      <c r="I595" s="6" cm="1">
        <f t="array" ref="I595">GetLatitude(D595)</f>
        <v>551634610</v>
      </c>
      <c r="J595" s="1" cm="1">
        <f t="array" ref="J595">GetLongitude(D595)</f>
        <v>103219650</v>
      </c>
      <c r="K595" s="1">
        <f t="shared" si="28"/>
        <v>55.163460999999998</v>
      </c>
      <c r="L595" s="1">
        <f t="shared" si="29"/>
        <v>10.321965000000001</v>
      </c>
    </row>
    <row r="596" spans="1:12" ht="16" x14ac:dyDescent="0.2">
      <c r="A596" s="1">
        <v>595</v>
      </c>
      <c r="B596" s="1" t="s">
        <v>1797</v>
      </c>
      <c r="C596" s="1" t="s">
        <v>1807</v>
      </c>
      <c r="D596" s="1" t="str">
        <f t="shared" si="27"/>
        <v>Faarborg-Midtfyn KommuneAssensvej 298</v>
      </c>
      <c r="E596" s="1" t="s">
        <v>1808</v>
      </c>
      <c r="F596" s="1" t="s">
        <v>1809</v>
      </c>
      <c r="G596" s="1">
        <v>1990</v>
      </c>
      <c r="H596" s="1" t="s">
        <v>11</v>
      </c>
      <c r="I596" s="6" cm="1">
        <f t="array" ref="I596">GetLatitude(D596)</f>
        <v>551344677</v>
      </c>
      <c r="J596" s="1" cm="1">
        <f t="array" ref="J596">GetLongitude(D596)</f>
        <v>102010643</v>
      </c>
      <c r="K596" s="1">
        <f t="shared" si="28"/>
        <v>55.134467700000002</v>
      </c>
      <c r="L596" s="1">
        <f t="shared" si="29"/>
        <v>10.201064300000001</v>
      </c>
    </row>
    <row r="597" spans="1:12" ht="16" x14ac:dyDescent="0.2">
      <c r="A597" s="1">
        <v>596</v>
      </c>
      <c r="B597" s="1" t="s">
        <v>1797</v>
      </c>
      <c r="C597" s="1" t="s">
        <v>1810</v>
      </c>
      <c r="D597" s="1" t="str">
        <f t="shared" si="27"/>
        <v>Faarborg-Midtfyn KommuneAssensvej 513</v>
      </c>
      <c r="E597" s="1" t="s">
        <v>1811</v>
      </c>
      <c r="F597" s="1" t="s">
        <v>1812</v>
      </c>
      <c r="G597" s="1">
        <v>1959</v>
      </c>
      <c r="H597" s="1" t="s">
        <v>11</v>
      </c>
      <c r="I597" s="6" cm="1">
        <f t="array" ref="I597">GetLatitude(D597)</f>
        <v>551529619</v>
      </c>
      <c r="J597" s="1" cm="1">
        <f t="array" ref="J597">GetLongitude(D597)</f>
        <v>101480171</v>
      </c>
      <c r="K597" s="1">
        <f t="shared" si="28"/>
        <v>55.152961900000001</v>
      </c>
      <c r="L597" s="1">
        <f t="shared" si="29"/>
        <v>10.148017100000001</v>
      </c>
    </row>
    <row r="598" spans="1:12" ht="16" x14ac:dyDescent="0.2">
      <c r="A598" s="1">
        <v>597</v>
      </c>
      <c r="B598" s="1" t="s">
        <v>1797</v>
      </c>
      <c r="C598" s="1" t="s">
        <v>1813</v>
      </c>
      <c r="D598" s="1" t="str">
        <f t="shared" si="27"/>
        <v>Faarborg-Midtfyn KommuneBirkevej 17</v>
      </c>
      <c r="E598" s="1" t="s">
        <v>1814</v>
      </c>
      <c r="F598" s="1" t="s">
        <v>1815</v>
      </c>
      <c r="G598" s="1">
        <v>1989</v>
      </c>
      <c r="H598" s="1" t="s">
        <v>15</v>
      </c>
      <c r="I598" s="6" cm="1">
        <f t="array" ref="I598">GetLatitude(D598)</f>
        <v>551977883</v>
      </c>
      <c r="J598" s="1" cm="1">
        <f t="array" ref="J598">GetLongitude(D598)</f>
        <v>102497533</v>
      </c>
      <c r="K598" s="1">
        <f t="shared" si="28"/>
        <v>55.197788299999999</v>
      </c>
      <c r="L598" s="1">
        <f t="shared" si="29"/>
        <v>10.2497533</v>
      </c>
    </row>
    <row r="599" spans="1:12" ht="16" x14ac:dyDescent="0.2">
      <c r="A599" s="1">
        <v>598</v>
      </c>
      <c r="B599" s="1" t="s">
        <v>1797</v>
      </c>
      <c r="C599" s="1" t="s">
        <v>1816</v>
      </c>
      <c r="D599" s="1" t="str">
        <f t="shared" si="27"/>
        <v>Faarborg-Midtfyn KommuneBrahesvej 13</v>
      </c>
      <c r="E599" s="1" t="s">
        <v>1817</v>
      </c>
      <c r="F599" s="1" t="s">
        <v>1818</v>
      </c>
      <c r="G599" s="1">
        <v>1959</v>
      </c>
      <c r="H599" s="1" t="s">
        <v>11</v>
      </c>
      <c r="I599" s="6" cm="1">
        <f t="array" ref="I599">GetLatitude(D599)</f>
        <v>551264495</v>
      </c>
      <c r="J599" s="1" cm="1">
        <f t="array" ref="J599">GetLongitude(D599)</f>
        <v>102299501</v>
      </c>
      <c r="K599" s="1">
        <f t="shared" si="28"/>
        <v>55.1264495</v>
      </c>
      <c r="L599" s="1">
        <f t="shared" si="29"/>
        <v>10.2299501</v>
      </c>
    </row>
    <row r="600" spans="1:12" ht="16" x14ac:dyDescent="0.2">
      <c r="A600" s="1">
        <v>599</v>
      </c>
      <c r="B600" s="1" t="s">
        <v>1797</v>
      </c>
      <c r="C600" s="1" t="s">
        <v>1819</v>
      </c>
      <c r="D600" s="1" t="str">
        <f t="shared" si="27"/>
        <v>Faarborg-Midtfyn KommuneBrahesvej 29</v>
      </c>
      <c r="E600" s="1" t="s">
        <v>1820</v>
      </c>
      <c r="F600" s="1" t="s">
        <v>1821</v>
      </c>
      <c r="G600" s="1">
        <v>1990</v>
      </c>
      <c r="H600" s="1" t="s">
        <v>11</v>
      </c>
      <c r="I600" s="6" cm="1">
        <f t="array" ref="I600">GetLatitude(D600)</f>
        <v>551292230</v>
      </c>
      <c r="J600" s="1" cm="1">
        <f t="array" ref="J600">GetLongitude(D600)</f>
        <v>102270362</v>
      </c>
      <c r="K600" s="1">
        <f t="shared" si="28"/>
        <v>55.129223000000003</v>
      </c>
      <c r="L600" s="1">
        <f t="shared" si="29"/>
        <v>10.227036200000001</v>
      </c>
    </row>
    <row r="601" spans="1:12" ht="16" x14ac:dyDescent="0.2">
      <c r="A601" s="1">
        <v>600</v>
      </c>
      <c r="B601" s="1" t="s">
        <v>1797</v>
      </c>
      <c r="C601" s="1" t="s">
        <v>1822</v>
      </c>
      <c r="D601" s="1" t="str">
        <f t="shared" si="27"/>
        <v>Faarborg-Midtfyn KommuneBrahesvej 36</v>
      </c>
      <c r="E601" s="1" t="s">
        <v>1823</v>
      </c>
      <c r="F601" s="1" t="s">
        <v>1824</v>
      </c>
      <c r="G601" s="1">
        <v>1990</v>
      </c>
      <c r="H601" s="1" t="s">
        <v>11</v>
      </c>
      <c r="I601" s="6" cm="1">
        <f t="array" ref="I601">GetLatitude(D601)</f>
        <v>551287121</v>
      </c>
      <c r="J601" s="1" cm="1">
        <f t="array" ref="J601">GetLongitude(D601)</f>
        <v>102289545</v>
      </c>
      <c r="K601" s="1">
        <f t="shared" si="28"/>
        <v>55.128712100000001</v>
      </c>
      <c r="L601" s="1">
        <f t="shared" si="29"/>
        <v>10.2289545</v>
      </c>
    </row>
    <row r="602" spans="1:12" ht="16" x14ac:dyDescent="0.2">
      <c r="A602" s="1">
        <v>601</v>
      </c>
      <c r="B602" s="1" t="s">
        <v>1797</v>
      </c>
      <c r="C602" s="1" t="s">
        <v>1825</v>
      </c>
      <c r="D602" s="1" t="str">
        <f t="shared" si="27"/>
        <v>Faarborg-Midtfyn KommuneBramstrup 1</v>
      </c>
      <c r="E602" s="1" t="s">
        <v>1826</v>
      </c>
      <c r="F602" s="1" t="s">
        <v>1827</v>
      </c>
      <c r="G602" s="1">
        <v>1918</v>
      </c>
      <c r="H602" s="1" t="s">
        <v>794</v>
      </c>
      <c r="I602" s="6" cm="1">
        <f t="array" ref="I602">GetLatitude(D602)</f>
        <v>553230794</v>
      </c>
      <c r="J602" s="1" cm="1">
        <f t="array" ref="J602">GetLongitude(D602)</f>
        <v>103932488</v>
      </c>
      <c r="K602" s="1">
        <f t="shared" si="28"/>
        <v>55.323079399999997</v>
      </c>
      <c r="L602" s="1">
        <f t="shared" si="29"/>
        <v>10.3932488</v>
      </c>
    </row>
    <row r="603" spans="1:12" ht="16" x14ac:dyDescent="0.2">
      <c r="A603" s="1">
        <v>602</v>
      </c>
      <c r="B603" s="1" t="s">
        <v>1797</v>
      </c>
      <c r="C603" s="1" t="s">
        <v>1828</v>
      </c>
      <c r="D603" s="1" t="str">
        <f t="shared" si="27"/>
        <v>Faarborg-Midtfyn KommuneBrændegårdsvej 3 A</v>
      </c>
      <c r="E603" s="1" t="s">
        <v>1829</v>
      </c>
      <c r="F603" s="1" t="s">
        <v>1830</v>
      </c>
      <c r="G603" s="1">
        <v>1987</v>
      </c>
      <c r="H603" s="1" t="s">
        <v>15</v>
      </c>
      <c r="I603" s="6" cm="1">
        <f t="array" ref="I603">GetLatitude(D603)</f>
        <v>561472280</v>
      </c>
      <c r="J603" s="1" cm="1">
        <f t="array" ref="J603">GetLongitude(D603)</f>
        <v>89666330</v>
      </c>
      <c r="K603" s="1">
        <f t="shared" si="28"/>
        <v>56.147227999999998</v>
      </c>
      <c r="L603" s="1">
        <f t="shared" si="29"/>
        <v>8.9666329999999999</v>
      </c>
    </row>
    <row r="604" spans="1:12" ht="16" x14ac:dyDescent="0.2">
      <c r="A604" s="1">
        <v>603</v>
      </c>
      <c r="B604" s="1" t="s">
        <v>1797</v>
      </c>
      <c r="C604" s="1" t="s">
        <v>1831</v>
      </c>
      <c r="D604" s="1" t="str">
        <f t="shared" si="27"/>
        <v>Faarborg-Midtfyn KommuneBrændegårdsvej 3 C</v>
      </c>
      <c r="E604" s="1" t="s">
        <v>1832</v>
      </c>
      <c r="F604" s="1" t="s">
        <v>1833</v>
      </c>
      <c r="G604" s="1">
        <v>1987</v>
      </c>
      <c r="H604" s="1" t="s">
        <v>15</v>
      </c>
      <c r="I604" s="6" cm="1">
        <f t="array" ref="I604">GetLatitude(D604)</f>
        <v>561472280</v>
      </c>
      <c r="J604" s="1" cm="1">
        <f t="array" ref="J604">GetLongitude(D604)</f>
        <v>89666330</v>
      </c>
      <c r="K604" s="1">
        <f t="shared" si="28"/>
        <v>56.147227999999998</v>
      </c>
      <c r="L604" s="1">
        <f t="shared" si="29"/>
        <v>8.9666329999999999</v>
      </c>
    </row>
    <row r="605" spans="1:12" ht="16" x14ac:dyDescent="0.2">
      <c r="A605" s="1">
        <v>604</v>
      </c>
      <c r="B605" s="1" t="s">
        <v>1797</v>
      </c>
      <c r="C605" s="1" t="s">
        <v>1834</v>
      </c>
      <c r="D605" s="1" t="str">
        <f t="shared" si="27"/>
        <v>Faarborg-Midtfyn Kommune Bygaden 23</v>
      </c>
      <c r="E605" s="1" t="s">
        <v>1835</v>
      </c>
      <c r="F605" s="1" t="s">
        <v>1836</v>
      </c>
      <c r="G605" s="1">
        <v>1983</v>
      </c>
      <c r="H605" s="1" t="s">
        <v>11</v>
      </c>
      <c r="I605" s="6" cm="1">
        <f t="array" ref="I605">GetLatitude(D605)</f>
        <v>551723626</v>
      </c>
      <c r="J605" s="1" cm="1">
        <f t="array" ref="J605">GetLongitude(D605)</f>
        <v>101935131</v>
      </c>
      <c r="K605" s="1">
        <f t="shared" si="28"/>
        <v>55.1723626</v>
      </c>
      <c r="L605" s="1">
        <f t="shared" si="29"/>
        <v>10.193513100000001</v>
      </c>
    </row>
    <row r="606" spans="1:12" ht="16" x14ac:dyDescent="0.2">
      <c r="A606" s="1">
        <v>605</v>
      </c>
      <c r="B606" s="1" t="s">
        <v>1797</v>
      </c>
      <c r="C606" s="1" t="s">
        <v>1837</v>
      </c>
      <c r="D606" s="1" t="str">
        <f t="shared" si="27"/>
        <v>Faarborg-Midtfyn KommuneBystævnevej 4</v>
      </c>
      <c r="E606" s="1" t="s">
        <v>1838</v>
      </c>
      <c r="F606" s="1" t="s">
        <v>1839</v>
      </c>
      <c r="G606" s="1">
        <v>1983</v>
      </c>
      <c r="H606" s="1" t="s">
        <v>15</v>
      </c>
      <c r="I606" s="6" cm="1">
        <f t="array" ref="I606">GetLatitude(D606)</f>
        <v>551048421</v>
      </c>
      <c r="J606" s="1" cm="1">
        <f t="array" ref="J606">GetLongitude(D606)</f>
        <v>101111055</v>
      </c>
      <c r="K606" s="1">
        <f t="shared" si="28"/>
        <v>55.104842099999999</v>
      </c>
      <c r="L606" s="1">
        <f t="shared" si="29"/>
        <v>10.111105500000001</v>
      </c>
    </row>
    <row r="607" spans="1:12" ht="16" x14ac:dyDescent="0.2">
      <c r="A607" s="1">
        <v>606</v>
      </c>
      <c r="B607" s="1" t="s">
        <v>1797</v>
      </c>
      <c r="C607" s="1" t="s">
        <v>1840</v>
      </c>
      <c r="D607" s="1" t="str">
        <f t="shared" si="27"/>
        <v>Faarborg-Midtfyn KommuneEgeskovgade 26</v>
      </c>
      <c r="E607" s="1" t="s">
        <v>1841</v>
      </c>
      <c r="F607" s="1" t="s">
        <v>1842</v>
      </c>
      <c r="G607" s="1">
        <v>1918</v>
      </c>
      <c r="H607" s="1" t="s">
        <v>11</v>
      </c>
      <c r="I607" s="6" cm="1">
        <f t="array" ref="I607">GetLatitude(D607)</f>
        <v>551762036</v>
      </c>
      <c r="J607" s="1" cm="1">
        <f t="array" ref="J607">GetLongitude(D607)</f>
        <v>104901320</v>
      </c>
      <c r="K607" s="1">
        <f t="shared" si="28"/>
        <v>55.176203600000001</v>
      </c>
      <c r="L607" s="1">
        <f t="shared" si="29"/>
        <v>10.490131999999999</v>
      </c>
    </row>
    <row r="608" spans="1:12" ht="16" x14ac:dyDescent="0.2">
      <c r="A608" s="1">
        <v>607</v>
      </c>
      <c r="B608" s="1" t="s">
        <v>1797</v>
      </c>
      <c r="C608" s="1" t="s">
        <v>1843</v>
      </c>
      <c r="D608" s="1" t="str">
        <f t="shared" si="27"/>
        <v>Faarborg-Midtfyn KommuneFaurshøjvej 43</v>
      </c>
      <c r="E608" s="1" t="s">
        <v>1844</v>
      </c>
      <c r="F608" s="1" t="s">
        <v>1845</v>
      </c>
      <c r="G608" s="1">
        <v>1987</v>
      </c>
      <c r="H608" s="1" t="s">
        <v>15</v>
      </c>
      <c r="I608" s="6" cm="1">
        <f t="array" ref="I608">GetLatitude(D608)</f>
        <v>551085693</v>
      </c>
      <c r="J608" s="1" cm="1">
        <f t="array" ref="J608">GetLongitude(D608)</f>
        <v>103818366</v>
      </c>
      <c r="K608" s="1">
        <f t="shared" si="28"/>
        <v>55.108569299999999</v>
      </c>
      <c r="L608" s="1">
        <f t="shared" si="29"/>
        <v>10.3818366</v>
      </c>
    </row>
    <row r="609" spans="1:12" ht="16" x14ac:dyDescent="0.2">
      <c r="A609" s="1">
        <v>608</v>
      </c>
      <c r="B609" s="1" t="s">
        <v>1797</v>
      </c>
      <c r="C609" s="1" t="s">
        <v>1846</v>
      </c>
      <c r="D609" s="1" t="str">
        <f t="shared" si="27"/>
        <v>Faarborg-Midtfyn KommuneFaurshøjvej 55</v>
      </c>
      <c r="E609" s="1" t="s">
        <v>1847</v>
      </c>
      <c r="F609" s="1" t="s">
        <v>1848</v>
      </c>
      <c r="G609" s="1">
        <v>1987</v>
      </c>
      <c r="H609" s="1" t="s">
        <v>11</v>
      </c>
      <c r="I609" s="6" cm="1">
        <f t="array" ref="I609">GetLatitude(D609)</f>
        <v>551129882</v>
      </c>
      <c r="J609" s="1" cm="1">
        <f t="array" ref="J609">GetLongitude(D609)</f>
        <v>103745256</v>
      </c>
      <c r="K609" s="1">
        <f t="shared" si="28"/>
        <v>55.112988199999997</v>
      </c>
      <c r="L609" s="1">
        <f t="shared" si="29"/>
        <v>10.3745256</v>
      </c>
    </row>
    <row r="610" spans="1:12" ht="16" x14ac:dyDescent="0.2">
      <c r="A610" s="1">
        <v>609</v>
      </c>
      <c r="B610" s="1" t="s">
        <v>1797</v>
      </c>
      <c r="C610" s="1" t="s">
        <v>1849</v>
      </c>
      <c r="D610" s="1" t="str">
        <f t="shared" si="27"/>
        <v>Faarborg-Midtfyn KommuneFlægmosevej 22</v>
      </c>
      <c r="E610" s="1" t="s">
        <v>1850</v>
      </c>
      <c r="F610" s="1" t="s">
        <v>1851</v>
      </c>
      <c r="G610" s="1">
        <v>1990</v>
      </c>
      <c r="H610" s="1" t="s">
        <v>15</v>
      </c>
      <c r="I610" s="6" cm="1">
        <f t="array" ref="I610">GetLatitude(D610)</f>
        <v>551307125</v>
      </c>
      <c r="J610" s="1" cm="1">
        <f t="array" ref="J610">GetLongitude(D610)</f>
        <v>102228196</v>
      </c>
      <c r="K610" s="1">
        <f t="shared" si="28"/>
        <v>55.130712500000001</v>
      </c>
      <c r="L610" s="1">
        <f t="shared" si="29"/>
        <v>10.222819599999999</v>
      </c>
    </row>
    <row r="611" spans="1:12" ht="16" x14ac:dyDescent="0.2">
      <c r="A611" s="1">
        <v>610</v>
      </c>
      <c r="B611" s="1" t="s">
        <v>1797</v>
      </c>
      <c r="C611" s="1" t="s">
        <v>1852</v>
      </c>
      <c r="D611" s="1" t="str">
        <f t="shared" si="27"/>
        <v>Faarborg-Midtfyn KommuneGammelskovvej 31</v>
      </c>
      <c r="E611" s="1" t="s">
        <v>1853</v>
      </c>
      <c r="F611" s="1" t="s">
        <v>1854</v>
      </c>
      <c r="G611" s="1">
        <v>2002</v>
      </c>
      <c r="H611" s="1" t="s">
        <v>15</v>
      </c>
      <c r="I611" s="6" cm="1">
        <f t="array" ref="I611">GetLatitude(D611)</f>
        <v>551462584</v>
      </c>
      <c r="J611" s="1" cm="1">
        <f t="array" ref="J611">GetLongitude(D611)</f>
        <v>102486555</v>
      </c>
      <c r="K611" s="1">
        <f t="shared" si="28"/>
        <v>55.146258400000001</v>
      </c>
      <c r="L611" s="1">
        <f t="shared" si="29"/>
        <v>10.2486555</v>
      </c>
    </row>
    <row r="612" spans="1:12" ht="16" x14ac:dyDescent="0.2">
      <c r="A612" s="1">
        <v>611</v>
      </c>
      <c r="B612" s="1" t="s">
        <v>1797</v>
      </c>
      <c r="C612" s="1" t="s">
        <v>1855</v>
      </c>
      <c r="D612" s="1" t="str">
        <f t="shared" si="27"/>
        <v>Faarborg-Midtfyn KommuneGrubbemøllegyden 2</v>
      </c>
      <c r="E612" s="1" t="s">
        <v>1856</v>
      </c>
      <c r="F612" s="1" t="s">
        <v>1857</v>
      </c>
      <c r="G612" s="1">
        <v>1998</v>
      </c>
      <c r="H612" s="1" t="s">
        <v>1308</v>
      </c>
      <c r="I612" s="6" cm="1">
        <f t="array" ref="I612">GetLatitude(D612)</f>
        <v>551202958</v>
      </c>
      <c r="J612" s="1" cm="1">
        <f t="array" ref="J612">GetLongitude(D612)</f>
        <v>102115418</v>
      </c>
      <c r="K612" s="1">
        <f t="shared" si="28"/>
        <v>55.120295800000001</v>
      </c>
      <c r="L612" s="1">
        <f t="shared" si="29"/>
        <v>10.211541799999999</v>
      </c>
    </row>
    <row r="613" spans="1:12" ht="16" x14ac:dyDescent="0.2">
      <c r="A613" s="1">
        <v>612</v>
      </c>
      <c r="B613" s="1" t="s">
        <v>1797</v>
      </c>
      <c r="C613" s="1" t="s">
        <v>1855</v>
      </c>
      <c r="D613" s="1" t="str">
        <f t="shared" si="27"/>
        <v>Faarborg-Midtfyn KommuneGrubbemøllegyden 2</v>
      </c>
      <c r="E613" s="1" t="s">
        <v>1858</v>
      </c>
      <c r="F613" s="1" t="s">
        <v>1859</v>
      </c>
      <c r="G613" s="1">
        <v>1959</v>
      </c>
      <c r="H613" s="1" t="s">
        <v>11</v>
      </c>
      <c r="I613" s="6" cm="1">
        <f t="array" ref="I613">GetLatitude(D613)</f>
        <v>551202958</v>
      </c>
      <c r="J613" s="1" cm="1">
        <f t="array" ref="J613">GetLongitude(D613)</f>
        <v>102115418</v>
      </c>
      <c r="K613" s="1">
        <f t="shared" si="28"/>
        <v>55.120295800000001</v>
      </c>
      <c r="L613" s="1">
        <f t="shared" si="29"/>
        <v>10.211541799999999</v>
      </c>
    </row>
    <row r="614" spans="1:12" ht="16" x14ac:dyDescent="0.2">
      <c r="A614" s="1">
        <v>613</v>
      </c>
      <c r="B614" s="1" t="s">
        <v>1797</v>
      </c>
      <c r="C614" s="1" t="s">
        <v>1860</v>
      </c>
      <c r="D614" s="1" t="str">
        <f t="shared" si="27"/>
        <v>Faarborg-Midtfyn KommuneGrønnebjerg 1 A</v>
      </c>
      <c r="E614" s="1" t="s">
        <v>1861</v>
      </c>
      <c r="F614" s="1" t="s">
        <v>1862</v>
      </c>
      <c r="G614" s="1">
        <v>1959</v>
      </c>
      <c r="H614" s="1" t="s">
        <v>11</v>
      </c>
      <c r="I614" s="6" cm="1">
        <f t="array" ref="I614">GetLatitude(D614)</f>
        <v>551834600</v>
      </c>
      <c r="J614" s="1" cm="1">
        <f t="array" ref="J614">GetLongitude(D614)</f>
        <v>103708703</v>
      </c>
      <c r="K614" s="1">
        <f t="shared" si="28"/>
        <v>55.183459999999997</v>
      </c>
      <c r="L614" s="1">
        <f t="shared" si="29"/>
        <v>10.3708703</v>
      </c>
    </row>
    <row r="615" spans="1:12" ht="16" x14ac:dyDescent="0.2">
      <c r="A615" s="1">
        <v>614</v>
      </c>
      <c r="B615" s="1" t="s">
        <v>1797</v>
      </c>
      <c r="C615" s="1" t="s">
        <v>1863</v>
      </c>
      <c r="D615" s="1" t="str">
        <f t="shared" si="27"/>
        <v>Faarborg-Midtfyn KommuneGrønnegade 32</v>
      </c>
      <c r="E615" s="1" t="s">
        <v>1864</v>
      </c>
      <c r="F615" s="1" t="s">
        <v>1865</v>
      </c>
      <c r="G615" s="1">
        <v>1991</v>
      </c>
      <c r="H615" s="1" t="s">
        <v>11</v>
      </c>
      <c r="I615" s="6" cm="1">
        <f t="array" ref="I615">GetLatitude(D615)</f>
        <v>550956713</v>
      </c>
      <c r="J615" s="1" cm="1">
        <f t="array" ref="J615">GetLongitude(D615)</f>
        <v>102446753</v>
      </c>
      <c r="K615" s="1">
        <f t="shared" si="28"/>
        <v>55.095671299999999</v>
      </c>
      <c r="L615" s="1">
        <f t="shared" si="29"/>
        <v>10.244675300000001</v>
      </c>
    </row>
    <row r="616" spans="1:12" ht="16" x14ac:dyDescent="0.2">
      <c r="A616" s="1">
        <v>615</v>
      </c>
      <c r="B616" s="1" t="s">
        <v>1797</v>
      </c>
      <c r="C616" s="1" t="s">
        <v>1866</v>
      </c>
      <c r="D616" s="1" t="str">
        <f t="shared" si="27"/>
        <v>Faarborg-Midtfyn KommuneGrønnegade 48</v>
      </c>
      <c r="E616" s="1" t="s">
        <v>1867</v>
      </c>
      <c r="F616" s="1" t="s">
        <v>1868</v>
      </c>
      <c r="G616" s="1">
        <v>1945</v>
      </c>
      <c r="H616" s="1" t="s">
        <v>15</v>
      </c>
      <c r="I616" s="6" cm="1">
        <f t="array" ref="I616">GetLatitude(D616)</f>
        <v>550952881</v>
      </c>
      <c r="J616" s="1" cm="1">
        <f t="array" ref="J616">GetLongitude(D616)</f>
        <v>102458940</v>
      </c>
      <c r="K616" s="1">
        <f t="shared" si="28"/>
        <v>55.095288099999998</v>
      </c>
      <c r="L616" s="1">
        <f t="shared" si="29"/>
        <v>10.245894</v>
      </c>
    </row>
    <row r="617" spans="1:12" ht="16" x14ac:dyDescent="0.2">
      <c r="A617" s="1">
        <v>616</v>
      </c>
      <c r="B617" s="1" t="s">
        <v>1797</v>
      </c>
      <c r="C617" s="1" t="s">
        <v>1869</v>
      </c>
      <c r="D617" s="1" t="str">
        <f t="shared" si="27"/>
        <v>Faarborg-Midtfyn KommuneGrønnegade 72</v>
      </c>
      <c r="E617" s="1" t="s">
        <v>1870</v>
      </c>
      <c r="F617" s="1" t="s">
        <v>1871</v>
      </c>
      <c r="G617" s="1">
        <v>1945</v>
      </c>
      <c r="H617" s="1" t="s">
        <v>15</v>
      </c>
      <c r="I617" s="6" cm="1">
        <f t="array" ref="I617">GetLatitude(D617)</f>
        <v>551834600</v>
      </c>
      <c r="J617" s="1" cm="1">
        <f t="array" ref="J617">GetLongitude(D617)</f>
        <v>103708703</v>
      </c>
      <c r="K617" s="1">
        <f t="shared" si="28"/>
        <v>55.183459999999997</v>
      </c>
      <c r="L617" s="1">
        <f t="shared" si="29"/>
        <v>10.3708703</v>
      </c>
    </row>
    <row r="618" spans="1:12" ht="16" x14ac:dyDescent="0.2">
      <c r="A618" s="1">
        <v>617</v>
      </c>
      <c r="B618" s="1" t="s">
        <v>1797</v>
      </c>
      <c r="C618" s="1" t="s">
        <v>1872</v>
      </c>
      <c r="D618" s="1" t="str">
        <f t="shared" si="27"/>
        <v>Faarborg-Midtfyn KommuneGrønnegade 73 A</v>
      </c>
      <c r="E618" s="1" t="s">
        <v>1873</v>
      </c>
      <c r="F618" s="1" t="s">
        <v>1874</v>
      </c>
      <c r="G618" s="1">
        <v>1985</v>
      </c>
      <c r="H618" s="1" t="s">
        <v>1746</v>
      </c>
      <c r="I618" s="6" cm="1">
        <f t="array" ref="I618">GetLatitude(D618)</f>
        <v>550946976</v>
      </c>
      <c r="J618" s="1" cm="1">
        <f t="array" ref="J618">GetLongitude(D618)</f>
        <v>102468865</v>
      </c>
      <c r="K618" s="1">
        <f t="shared" si="28"/>
        <v>55.094697600000003</v>
      </c>
      <c r="L618" s="1">
        <f t="shared" si="29"/>
        <v>10.2468865</v>
      </c>
    </row>
    <row r="619" spans="1:12" ht="16" x14ac:dyDescent="0.2">
      <c r="A619" s="1">
        <v>618</v>
      </c>
      <c r="B619" s="1" t="s">
        <v>1797</v>
      </c>
      <c r="C619" s="1" t="s">
        <v>1875</v>
      </c>
      <c r="D619" s="1" t="str">
        <f t="shared" si="27"/>
        <v>Faarborg-Midtfyn KommuneGrønnegade 74-76</v>
      </c>
      <c r="E619" s="1" t="s">
        <v>1876</v>
      </c>
      <c r="F619" s="1" t="s">
        <v>1877</v>
      </c>
      <c r="G619" s="1">
        <v>2000</v>
      </c>
      <c r="H619" s="1" t="s">
        <v>11</v>
      </c>
      <c r="I619" s="6" cm="1">
        <f t="array" ref="I619">GetLatitude(D619)</f>
        <v>550947484</v>
      </c>
      <c r="J619" s="1" cm="1">
        <f t="array" ref="J619">GetLongitude(D619)</f>
        <v>102466730</v>
      </c>
      <c r="K619" s="1">
        <f t="shared" si="28"/>
        <v>55.0947484</v>
      </c>
      <c r="L619" s="1">
        <f t="shared" si="29"/>
        <v>10.246672999999999</v>
      </c>
    </row>
    <row r="620" spans="1:12" ht="16" x14ac:dyDescent="0.2">
      <c r="A620" s="1">
        <v>619</v>
      </c>
      <c r="B620" s="1" t="s">
        <v>1797</v>
      </c>
      <c r="C620" s="1" t="s">
        <v>1878</v>
      </c>
      <c r="D620" s="1" t="str">
        <f t="shared" si="27"/>
        <v>Faarborg-Midtfyn KommuneGrønnegade 75</v>
      </c>
      <c r="E620" s="1" t="s">
        <v>1879</v>
      </c>
      <c r="F620" s="1" t="s">
        <v>1880</v>
      </c>
      <c r="G620" s="1">
        <v>1979</v>
      </c>
      <c r="H620" s="1" t="s">
        <v>11</v>
      </c>
      <c r="I620" s="6" cm="1">
        <f t="array" ref="I620">GetLatitude(D620)</f>
        <v>551834600</v>
      </c>
      <c r="J620" s="1" cm="1">
        <f t="array" ref="J620">GetLongitude(D620)</f>
        <v>103708703</v>
      </c>
      <c r="K620" s="1">
        <f t="shared" si="28"/>
        <v>55.183459999999997</v>
      </c>
      <c r="L620" s="1">
        <f t="shared" si="29"/>
        <v>10.3708703</v>
      </c>
    </row>
    <row r="621" spans="1:12" ht="16" x14ac:dyDescent="0.2">
      <c r="A621" s="1">
        <v>620</v>
      </c>
      <c r="B621" s="1" t="s">
        <v>1797</v>
      </c>
      <c r="C621" s="1" t="s">
        <v>1881</v>
      </c>
      <c r="D621" s="1" t="str">
        <f t="shared" si="27"/>
        <v>Faarborg-Midtfyn KommuneHavnegade 2</v>
      </c>
      <c r="E621" s="1" t="s">
        <v>1882</v>
      </c>
      <c r="F621" s="1" t="s">
        <v>1883</v>
      </c>
      <c r="G621" s="1">
        <v>1990</v>
      </c>
      <c r="H621" s="1" t="s">
        <v>15</v>
      </c>
      <c r="I621" s="6" cm="1">
        <f t="array" ref="I621">GetLatitude(D621)</f>
        <v>551834600</v>
      </c>
      <c r="J621" s="1" cm="1">
        <f t="array" ref="J621">GetLongitude(D621)</f>
        <v>103708703</v>
      </c>
      <c r="K621" s="1">
        <f t="shared" si="28"/>
        <v>55.183459999999997</v>
      </c>
      <c r="L621" s="1">
        <f t="shared" si="29"/>
        <v>10.3708703</v>
      </c>
    </row>
    <row r="622" spans="1:12" ht="16" x14ac:dyDescent="0.2">
      <c r="A622" s="1">
        <v>621</v>
      </c>
      <c r="B622" s="1" t="s">
        <v>1797</v>
      </c>
      <c r="C622" s="1" t="s">
        <v>1884</v>
      </c>
      <c r="D622" s="1" t="str">
        <f t="shared" si="27"/>
        <v>Faarborg-Midtfyn KommuneHellerupvej 18-20</v>
      </c>
      <c r="E622" s="1" t="s">
        <v>1885</v>
      </c>
      <c r="F622" s="1" t="s">
        <v>1886</v>
      </c>
      <c r="G622" s="1">
        <v>1918</v>
      </c>
      <c r="H622" s="1" t="s">
        <v>11</v>
      </c>
      <c r="I622" s="6" cm="1">
        <f t="array" ref="I622">GetLatitude(D622)</f>
        <v>552842650</v>
      </c>
      <c r="J622" s="1" cm="1">
        <f t="array" ref="J622">GetLongitude(D622)</f>
        <v>105725453</v>
      </c>
      <c r="K622" s="1">
        <f t="shared" si="28"/>
        <v>55.284264999999998</v>
      </c>
      <c r="L622" s="1">
        <f t="shared" si="29"/>
        <v>10.5725453</v>
      </c>
    </row>
    <row r="623" spans="1:12" ht="16" x14ac:dyDescent="0.2">
      <c r="A623" s="1">
        <v>622</v>
      </c>
      <c r="B623" s="1" t="s">
        <v>1797</v>
      </c>
      <c r="C623" s="1" t="s">
        <v>1887</v>
      </c>
      <c r="D623" s="1" t="str">
        <f t="shared" si="27"/>
        <v>Faarborg-Midtfyn KommuneHolkegade 1</v>
      </c>
      <c r="E623" s="1" t="s">
        <v>1888</v>
      </c>
      <c r="F623" s="1" t="s">
        <v>1889</v>
      </c>
      <c r="G623" s="1">
        <v>1919</v>
      </c>
      <c r="H623" s="1" t="s">
        <v>1890</v>
      </c>
      <c r="I623" s="6" cm="1">
        <f t="array" ref="I623">GetLatitude(D623)</f>
        <v>550954039</v>
      </c>
      <c r="J623" s="1" cm="1">
        <f t="array" ref="J623">GetLongitude(D623)</f>
        <v>102408586</v>
      </c>
      <c r="K623" s="1">
        <f t="shared" si="28"/>
        <v>55.095403900000001</v>
      </c>
      <c r="L623" s="1">
        <f t="shared" si="29"/>
        <v>10.240858599999999</v>
      </c>
    </row>
    <row r="624" spans="1:12" ht="16" x14ac:dyDescent="0.2">
      <c r="A624" s="1">
        <v>623</v>
      </c>
      <c r="B624" s="1" t="s">
        <v>1797</v>
      </c>
      <c r="C624" s="1" t="s">
        <v>1891</v>
      </c>
      <c r="D624" s="1" t="str">
        <f t="shared" si="27"/>
        <v>Faarborg-Midtfyn KommuneHolkegade 2</v>
      </c>
      <c r="E624" s="1" t="s">
        <v>1892</v>
      </c>
      <c r="F624" s="1" t="s">
        <v>1893</v>
      </c>
      <c r="G624" s="1">
        <v>1919</v>
      </c>
      <c r="H624" s="1" t="s">
        <v>11</v>
      </c>
      <c r="I624" s="6" cm="1">
        <f t="array" ref="I624">GetLatitude(D624)</f>
        <v>550954852</v>
      </c>
      <c r="J624" s="1" cm="1">
        <f t="array" ref="J624">GetLongitude(D624)</f>
        <v>102401670</v>
      </c>
      <c r="K624" s="1">
        <f t="shared" si="28"/>
        <v>55.095485199999999</v>
      </c>
      <c r="L624" s="1">
        <f t="shared" si="29"/>
        <v>10.240167</v>
      </c>
    </row>
    <row r="625" spans="1:12" ht="16" x14ac:dyDescent="0.2">
      <c r="A625" s="1">
        <v>624</v>
      </c>
      <c r="B625" s="1" t="s">
        <v>1797</v>
      </c>
      <c r="C625" s="1" t="s">
        <v>1894</v>
      </c>
      <c r="D625" s="1" t="str">
        <f t="shared" si="27"/>
        <v>Faarborg-Midtfyn KommuneHolkegade 3</v>
      </c>
      <c r="E625" s="1" t="s">
        <v>1895</v>
      </c>
      <c r="F625" s="1" t="s">
        <v>1896</v>
      </c>
      <c r="G625" s="1">
        <v>1919</v>
      </c>
      <c r="H625" s="1" t="s">
        <v>11</v>
      </c>
      <c r="I625" s="6" cm="1">
        <f t="array" ref="I625">GetLatitude(D625)</f>
        <v>550954634</v>
      </c>
      <c r="J625" s="1" cm="1">
        <f t="array" ref="J625">GetLongitude(D625)</f>
        <v>102405048</v>
      </c>
      <c r="K625" s="1">
        <f t="shared" si="28"/>
        <v>55.0954634</v>
      </c>
      <c r="L625" s="1">
        <f t="shared" si="29"/>
        <v>10.2405048</v>
      </c>
    </row>
    <row r="626" spans="1:12" ht="16" x14ac:dyDescent="0.2">
      <c r="A626" s="1">
        <v>625</v>
      </c>
      <c r="B626" s="1" t="s">
        <v>1797</v>
      </c>
      <c r="C626" s="1" t="s">
        <v>1897</v>
      </c>
      <c r="D626" s="1" t="str">
        <f t="shared" si="27"/>
        <v>Faarborg-Midtfyn KommuneHvedholms Allé 9</v>
      </c>
      <c r="E626" s="1" t="s">
        <v>1898</v>
      </c>
      <c r="F626" s="1" t="s">
        <v>1899</v>
      </c>
      <c r="G626" s="1">
        <v>1918</v>
      </c>
      <c r="H626" s="1" t="s">
        <v>15</v>
      </c>
      <c r="I626" s="6" cm="1">
        <f t="array" ref="I626">GetLatitude(D626)</f>
        <v>551064804</v>
      </c>
      <c r="J626" s="1" cm="1">
        <f t="array" ref="J626">GetLongitude(D626)</f>
        <v>101922913</v>
      </c>
      <c r="K626" s="1">
        <f t="shared" si="28"/>
        <v>55.106480400000002</v>
      </c>
      <c r="L626" s="1">
        <f t="shared" si="29"/>
        <v>10.192291300000001</v>
      </c>
    </row>
    <row r="627" spans="1:12" ht="16" x14ac:dyDescent="0.2">
      <c r="A627" s="1">
        <v>626</v>
      </c>
      <c r="B627" s="1" t="s">
        <v>1797</v>
      </c>
      <c r="C627" s="1" t="s">
        <v>1900</v>
      </c>
      <c r="D627" s="1" t="str">
        <f t="shared" si="27"/>
        <v>Faarborg-Midtfyn KommuneHvedholm Slot 1</v>
      </c>
      <c r="E627" s="1" t="s">
        <v>1901</v>
      </c>
      <c r="F627" s="1" t="s">
        <v>1902</v>
      </c>
      <c r="G627" s="1">
        <v>1994</v>
      </c>
      <c r="H627" s="1" t="s">
        <v>11</v>
      </c>
      <c r="I627" s="6" cm="1">
        <f t="array" ref="I627">GetLatitude(D627)</f>
        <v>551050636</v>
      </c>
      <c r="J627" s="1" cm="1">
        <f t="array" ref="J627">GetLongitude(D627)</f>
        <v>101881769</v>
      </c>
      <c r="K627" s="1">
        <f t="shared" si="28"/>
        <v>55.105063600000001</v>
      </c>
      <c r="L627" s="1">
        <f t="shared" si="29"/>
        <v>10.1881769</v>
      </c>
    </row>
    <row r="628" spans="1:12" ht="16" x14ac:dyDescent="0.2">
      <c r="A628" s="1">
        <v>627</v>
      </c>
      <c r="B628" s="1" t="s">
        <v>1797</v>
      </c>
      <c r="C628" s="1" t="s">
        <v>1903</v>
      </c>
      <c r="D628" s="1" t="str">
        <f t="shared" si="27"/>
        <v>Faarborg-Midtfyn KommuneKarlsbjergvej 39 og 39 A-D</v>
      </c>
      <c r="E628" s="1" t="s">
        <v>1904</v>
      </c>
      <c r="F628" s="1" t="s">
        <v>1905</v>
      </c>
      <c r="G628" s="1">
        <v>1924</v>
      </c>
      <c r="H628" s="1" t="s">
        <v>15</v>
      </c>
      <c r="I628" s="6" cm="1">
        <f t="array" ref="I628">GetLatitude(D628)</f>
        <v>552290631</v>
      </c>
      <c r="J628" s="1" cm="1">
        <f t="array" ref="J628">GetLongitude(D628)</f>
        <v>102685954</v>
      </c>
      <c r="K628" s="1">
        <f t="shared" si="28"/>
        <v>55.229063099999998</v>
      </c>
      <c r="L628" s="1">
        <f t="shared" si="29"/>
        <v>10.268595400000001</v>
      </c>
    </row>
    <row r="629" spans="1:12" ht="16" x14ac:dyDescent="0.2">
      <c r="A629" s="1">
        <v>628</v>
      </c>
      <c r="B629" s="1" t="s">
        <v>1797</v>
      </c>
      <c r="C629" s="1" t="s">
        <v>1906</v>
      </c>
      <c r="D629" s="1" t="str">
        <f t="shared" si="27"/>
        <v>Faarborg-Midtfyn KommuneKirkegyden 3</v>
      </c>
      <c r="E629" s="1" t="s">
        <v>1907</v>
      </c>
      <c r="F629" s="1" t="s">
        <v>1908</v>
      </c>
      <c r="G629" s="1">
        <v>1964</v>
      </c>
      <c r="H629" s="1" t="s">
        <v>15</v>
      </c>
      <c r="I629" s="6" cm="1">
        <f t="array" ref="I629">GetLatitude(D629)</f>
        <v>551303320</v>
      </c>
      <c r="J629" s="1" cm="1">
        <f t="array" ref="J629">GetLongitude(D629)</f>
        <v>102134065</v>
      </c>
      <c r="K629" s="1">
        <f t="shared" si="28"/>
        <v>55.130332000000003</v>
      </c>
      <c r="L629" s="1">
        <f t="shared" si="29"/>
        <v>10.2134065</v>
      </c>
    </row>
    <row r="630" spans="1:12" ht="16" x14ac:dyDescent="0.2">
      <c r="A630" s="1">
        <v>629</v>
      </c>
      <c r="B630" s="1" t="s">
        <v>1797</v>
      </c>
      <c r="C630" s="1" t="s">
        <v>1909</v>
      </c>
      <c r="D630" s="1" t="str">
        <f t="shared" si="27"/>
        <v>Faarborg-Midtfyn KommuneKirkestræde 11</v>
      </c>
      <c r="E630" s="1" t="s">
        <v>1910</v>
      </c>
      <c r="F630" s="1" t="s">
        <v>1911</v>
      </c>
      <c r="G630" s="1">
        <v>1945</v>
      </c>
      <c r="H630" s="1" t="s">
        <v>15</v>
      </c>
      <c r="I630" s="6" cm="1">
        <f t="array" ref="I630">GetLatitude(D630)</f>
        <v>551834600</v>
      </c>
      <c r="J630" s="1" cm="1">
        <f t="array" ref="J630">GetLongitude(D630)</f>
        <v>103708703</v>
      </c>
      <c r="K630" s="1">
        <f t="shared" si="28"/>
        <v>55.183459999999997</v>
      </c>
      <c r="L630" s="1">
        <f t="shared" si="29"/>
        <v>10.3708703</v>
      </c>
    </row>
    <row r="631" spans="1:12" ht="16" x14ac:dyDescent="0.2">
      <c r="A631" s="1">
        <v>630</v>
      </c>
      <c r="B631" s="1" t="s">
        <v>1797</v>
      </c>
      <c r="C631" s="1" t="s">
        <v>1912</v>
      </c>
      <c r="D631" s="1" t="str">
        <f t="shared" si="27"/>
        <v>Faarborg-Midtfyn KommuneKirkevej 20</v>
      </c>
      <c r="E631" s="1" t="s">
        <v>1913</v>
      </c>
      <c r="F631" s="1" t="s">
        <v>1914</v>
      </c>
      <c r="G631" s="1">
        <v>1945</v>
      </c>
      <c r="H631" s="1" t="s">
        <v>15</v>
      </c>
      <c r="I631" s="6" cm="1">
        <f t="array" ref="I631">GetLatitude(D631)</f>
        <v>551834600</v>
      </c>
      <c r="J631" s="1" cm="1">
        <f t="array" ref="J631">GetLongitude(D631)</f>
        <v>103708703</v>
      </c>
      <c r="K631" s="1">
        <f t="shared" si="28"/>
        <v>55.183459999999997</v>
      </c>
      <c r="L631" s="1">
        <f t="shared" si="29"/>
        <v>10.3708703</v>
      </c>
    </row>
    <row r="632" spans="1:12" ht="16" x14ac:dyDescent="0.2">
      <c r="A632" s="1">
        <v>631</v>
      </c>
      <c r="B632" s="1" t="s">
        <v>1797</v>
      </c>
      <c r="C632" s="1" t="s">
        <v>1915</v>
      </c>
      <c r="D632" s="1" t="str">
        <f t="shared" si="27"/>
        <v>Faarborg-Midtfyn KommuneKirkevej 5</v>
      </c>
      <c r="E632" s="1" t="s">
        <v>1916</v>
      </c>
      <c r="F632" s="1" t="s">
        <v>1917</v>
      </c>
      <c r="G632" s="1">
        <v>1990</v>
      </c>
      <c r="H632" s="1" t="s">
        <v>15</v>
      </c>
      <c r="I632" s="6" cm="1">
        <f t="array" ref="I632">GetLatitude(D632)</f>
        <v>551834600</v>
      </c>
      <c r="J632" s="1" cm="1">
        <f t="array" ref="J632">GetLongitude(D632)</f>
        <v>103708703</v>
      </c>
      <c r="K632" s="1">
        <f t="shared" si="28"/>
        <v>55.183459999999997</v>
      </c>
      <c r="L632" s="1">
        <f t="shared" si="29"/>
        <v>10.3708703</v>
      </c>
    </row>
    <row r="633" spans="1:12" ht="16" x14ac:dyDescent="0.2">
      <c r="A633" s="1">
        <v>632</v>
      </c>
      <c r="B633" s="1" t="s">
        <v>1797</v>
      </c>
      <c r="C633" s="1" t="s">
        <v>1918</v>
      </c>
      <c r="D633" s="1" t="str">
        <f t="shared" si="27"/>
        <v>Faarborg-Midtfyn KommuneKnoldsborgvej 6</v>
      </c>
      <c r="E633" s="1" t="s">
        <v>1919</v>
      </c>
      <c r="F633" s="1" t="s">
        <v>1920</v>
      </c>
      <c r="G633" s="1">
        <v>1989</v>
      </c>
      <c r="H633" s="1" t="s">
        <v>11</v>
      </c>
      <c r="I633" s="6" cm="1">
        <f t="array" ref="I633">GetLatitude(D633)</f>
        <v>550760218</v>
      </c>
      <c r="J633" s="1" cm="1">
        <f t="array" ref="J633">GetLongitude(D633)</f>
        <v>102051740</v>
      </c>
      <c r="K633" s="1">
        <f t="shared" si="28"/>
        <v>55.076021799999999</v>
      </c>
      <c r="L633" s="1">
        <f t="shared" si="29"/>
        <v>10.205174</v>
      </c>
    </row>
    <row r="634" spans="1:12" ht="16" x14ac:dyDescent="0.2">
      <c r="A634" s="1">
        <v>633</v>
      </c>
      <c r="B634" s="1" t="s">
        <v>1797</v>
      </c>
      <c r="C634" s="1" t="s">
        <v>1921</v>
      </c>
      <c r="D634" s="1" t="str">
        <f t="shared" si="27"/>
        <v>Faarborg-Midtfyn KommuneKrumstrupvej 10</v>
      </c>
      <c r="E634" s="1" t="s">
        <v>1922</v>
      </c>
      <c r="F634" s="1" t="s">
        <v>1923</v>
      </c>
      <c r="G634" s="1">
        <v>1945</v>
      </c>
      <c r="H634" s="1" t="s">
        <v>11</v>
      </c>
      <c r="I634" s="6" cm="1">
        <f t="array" ref="I634">GetLatitude(D634)</f>
        <v>552199537</v>
      </c>
      <c r="J634" s="1" cm="1">
        <f t="array" ref="J634">GetLongitude(D634)</f>
        <v>105225652</v>
      </c>
      <c r="K634" s="1">
        <f t="shared" si="28"/>
        <v>55.219953699999998</v>
      </c>
      <c r="L634" s="1">
        <f t="shared" si="29"/>
        <v>10.522565200000001</v>
      </c>
    </row>
    <row r="635" spans="1:12" ht="16" x14ac:dyDescent="0.2">
      <c r="A635" s="1">
        <v>634</v>
      </c>
      <c r="B635" s="1" t="s">
        <v>1797</v>
      </c>
      <c r="C635" s="1" t="s">
        <v>1924</v>
      </c>
      <c r="D635" s="1" t="str">
        <f t="shared" si="27"/>
        <v>Faarborg-Midtfyn KommuneLagonis Minde 11 A</v>
      </c>
      <c r="E635" s="1" t="s">
        <v>1925</v>
      </c>
      <c r="F635" s="1" t="s">
        <v>1926</v>
      </c>
      <c r="G635" s="1">
        <v>1919</v>
      </c>
      <c r="H635" s="1" t="s">
        <v>15</v>
      </c>
      <c r="I635" s="6" cm="1">
        <f t="array" ref="I635">GetLatitude(D635)</f>
        <v>550989890</v>
      </c>
      <c r="J635" s="1" cm="1">
        <f t="array" ref="J635">GetLongitude(D635)</f>
        <v>102405106</v>
      </c>
      <c r="K635" s="1">
        <f t="shared" si="28"/>
        <v>55.098989000000003</v>
      </c>
      <c r="L635" s="1">
        <f t="shared" si="29"/>
        <v>10.2405106</v>
      </c>
    </row>
    <row r="636" spans="1:12" ht="16" x14ac:dyDescent="0.2">
      <c r="A636" s="1">
        <v>635</v>
      </c>
      <c r="B636" s="1" t="s">
        <v>1797</v>
      </c>
      <c r="C636" s="1" t="s">
        <v>1927</v>
      </c>
      <c r="D636" s="1" t="str">
        <f t="shared" si="27"/>
        <v>Faarborg-Midtfyn Kommune Lagonis Minde 12</v>
      </c>
      <c r="E636" s="1" t="s">
        <v>1927</v>
      </c>
      <c r="F636" s="1" t="s">
        <v>1928</v>
      </c>
      <c r="G636" s="1">
        <v>1919</v>
      </c>
      <c r="H636" s="1" t="s">
        <v>11</v>
      </c>
      <c r="I636" s="6" cm="1">
        <f t="array" ref="I636">GetLatitude(D636)</f>
        <v>550990266</v>
      </c>
      <c r="J636" s="1" cm="1">
        <f t="array" ref="J636">GetLongitude(D636)</f>
        <v>102410332</v>
      </c>
      <c r="K636" s="1">
        <f t="shared" si="28"/>
        <v>55.099026600000002</v>
      </c>
      <c r="L636" s="1">
        <f t="shared" si="29"/>
        <v>10.2410332</v>
      </c>
    </row>
    <row r="637" spans="1:12" ht="16" x14ac:dyDescent="0.2">
      <c r="A637" s="1">
        <v>636</v>
      </c>
      <c r="B637" s="1" t="s">
        <v>1797</v>
      </c>
      <c r="C637" s="1" t="s">
        <v>1929</v>
      </c>
      <c r="D637" s="1" t="str">
        <f t="shared" si="27"/>
        <v>Faarborg-Midtfyn KommuneLundegårdsvej 44-46 (tidl Lundegårdsvej 6)</v>
      </c>
      <c r="E637" s="1" t="s">
        <v>1930</v>
      </c>
      <c r="F637" s="1" t="s">
        <v>1931</v>
      </c>
      <c r="G637" s="1">
        <v>1944</v>
      </c>
      <c r="H637" s="1" t="s">
        <v>11</v>
      </c>
      <c r="I637" s="6" cm="1">
        <f t="array" ref="I637">GetLatitude(D637)</f>
        <v>552745926</v>
      </c>
      <c r="J637" s="1" cm="1">
        <f t="array" ref="J637">GetLongitude(D637)</f>
        <v>102428585</v>
      </c>
      <c r="K637" s="1">
        <f t="shared" si="28"/>
        <v>55.274592599999998</v>
      </c>
      <c r="L637" s="1">
        <f t="shared" si="29"/>
        <v>10.242858500000001</v>
      </c>
    </row>
    <row r="638" spans="1:12" ht="16" x14ac:dyDescent="0.2">
      <c r="A638" s="1">
        <v>637</v>
      </c>
      <c r="B638" s="1" t="s">
        <v>1797</v>
      </c>
      <c r="C638" s="1" t="s">
        <v>1932</v>
      </c>
      <c r="D638" s="1" t="str">
        <f t="shared" si="27"/>
        <v>Faarborg-Midtfyn KommuneLydinge Mølle Vej 17</v>
      </c>
      <c r="E638" s="1" t="s">
        <v>1933</v>
      </c>
      <c r="F638" s="1" t="s">
        <v>1934</v>
      </c>
      <c r="G638" s="1">
        <v>1959</v>
      </c>
      <c r="H638" s="1" t="s">
        <v>1935</v>
      </c>
      <c r="I638" s="6" cm="1">
        <f t="array" ref="I638">GetLatitude(D638)</f>
        <v>551819635</v>
      </c>
      <c r="J638" s="1" cm="1">
        <f t="array" ref="J638">GetLongitude(D638)</f>
        <v>104062996</v>
      </c>
      <c r="K638" s="1">
        <f t="shared" si="28"/>
        <v>55.181963500000002</v>
      </c>
      <c r="L638" s="1">
        <f t="shared" si="29"/>
        <v>10.406299600000001</v>
      </c>
    </row>
    <row r="639" spans="1:12" ht="16" x14ac:dyDescent="0.2">
      <c r="A639" s="1">
        <v>638</v>
      </c>
      <c r="B639" s="1" t="s">
        <v>1797</v>
      </c>
      <c r="C639" s="1" t="s">
        <v>1936</v>
      </c>
      <c r="D639" s="1" t="str">
        <f t="shared" si="27"/>
        <v>Faarborg-Midtfyn KommuneLyø Bygade 14</v>
      </c>
      <c r="E639" s="1" t="s">
        <v>1937</v>
      </c>
      <c r="F639" s="1" t="s">
        <v>1938</v>
      </c>
      <c r="G639" s="1">
        <v>1995</v>
      </c>
      <c r="H639" s="1" t="s">
        <v>11</v>
      </c>
      <c r="I639" s="6" cm="1">
        <f t="array" ref="I639">GetLatitude(D639)</f>
        <v>550424931</v>
      </c>
      <c r="J639" s="1" cm="1">
        <f t="array" ref="J639">GetLongitude(D639)</f>
        <v>101526639</v>
      </c>
      <c r="K639" s="1">
        <f t="shared" si="28"/>
        <v>55.042493100000002</v>
      </c>
      <c r="L639" s="1">
        <f t="shared" si="29"/>
        <v>10.1526639</v>
      </c>
    </row>
    <row r="640" spans="1:12" ht="16" x14ac:dyDescent="0.2">
      <c r="A640" s="1">
        <v>639</v>
      </c>
      <c r="B640" s="1" t="s">
        <v>1797</v>
      </c>
      <c r="C640" s="1" t="s">
        <v>1939</v>
      </c>
      <c r="D640" s="1" t="str">
        <f t="shared" si="27"/>
        <v>Faarborg-Midtfyn KommuneLyø Bygade 16</v>
      </c>
      <c r="E640" s="1" t="s">
        <v>1940</v>
      </c>
      <c r="F640" s="1" t="s">
        <v>1941</v>
      </c>
      <c r="G640" s="1">
        <v>1995</v>
      </c>
      <c r="H640" s="1" t="s">
        <v>11</v>
      </c>
      <c r="I640" s="6" cm="1">
        <f t="array" ref="I640">GetLatitude(D640)</f>
        <v>550425219</v>
      </c>
      <c r="J640" s="1" cm="1">
        <f t="array" ref="J640">GetLongitude(D640)</f>
        <v>101533563</v>
      </c>
      <c r="K640" s="1">
        <f t="shared" si="28"/>
        <v>55.042521899999997</v>
      </c>
      <c r="L640" s="1">
        <f t="shared" si="29"/>
        <v>10.1533563</v>
      </c>
    </row>
    <row r="641" spans="1:12" ht="16" x14ac:dyDescent="0.2">
      <c r="A641" s="1">
        <v>640</v>
      </c>
      <c r="B641" s="1" t="s">
        <v>1797</v>
      </c>
      <c r="C641" s="1" t="s">
        <v>1942</v>
      </c>
      <c r="D641" s="1" t="str">
        <f t="shared" si="27"/>
        <v>Faarborg-Midtfyn KommuneLyø Bygade 4</v>
      </c>
      <c r="E641" s="1" t="s">
        <v>1943</v>
      </c>
      <c r="F641" s="1" t="s">
        <v>1944</v>
      </c>
      <c r="G641" s="1">
        <v>1988</v>
      </c>
      <c r="H641" s="1" t="s">
        <v>11</v>
      </c>
      <c r="I641" s="6" cm="1">
        <f t="array" ref="I641">GetLatitude(D641)</f>
        <v>550419934</v>
      </c>
      <c r="J641" s="1" cm="1">
        <f t="array" ref="J641">GetLongitude(D641)</f>
        <v>101498094</v>
      </c>
      <c r="K641" s="1">
        <f t="shared" si="28"/>
        <v>55.041993400000003</v>
      </c>
      <c r="L641" s="1">
        <f t="shared" si="29"/>
        <v>10.149809400000001</v>
      </c>
    </row>
    <row r="642" spans="1:12" ht="16" x14ac:dyDescent="0.2">
      <c r="A642" s="1">
        <v>641</v>
      </c>
      <c r="B642" s="1" t="s">
        <v>1797</v>
      </c>
      <c r="C642" s="1" t="s">
        <v>1945</v>
      </c>
      <c r="D642" s="1" t="str">
        <f t="shared" si="27"/>
        <v>Faarborg-Midtfyn KommuneLyø Strandvej 2</v>
      </c>
      <c r="E642" s="1" t="s">
        <v>1946</v>
      </c>
      <c r="F642" s="1" t="s">
        <v>1947</v>
      </c>
      <c r="G642" s="1">
        <v>1995</v>
      </c>
      <c r="H642" s="1" t="s">
        <v>15</v>
      </c>
      <c r="I642" s="6" cm="1">
        <f t="array" ref="I642">GetLatitude(D642)</f>
        <v>550442729</v>
      </c>
      <c r="J642" s="1" cm="1">
        <f t="array" ref="J642">GetLongitude(D642)</f>
        <v>101558209</v>
      </c>
      <c r="K642" s="1">
        <f t="shared" si="28"/>
        <v>55.044272900000003</v>
      </c>
      <c r="L642" s="1">
        <f t="shared" si="29"/>
        <v>10.1558209</v>
      </c>
    </row>
    <row r="643" spans="1:12" ht="16" x14ac:dyDescent="0.2">
      <c r="A643" s="1">
        <v>642</v>
      </c>
      <c r="B643" s="1" t="s">
        <v>1797</v>
      </c>
      <c r="C643" s="1" t="s">
        <v>1948</v>
      </c>
      <c r="D643" s="1" t="str">
        <f t="shared" ref="D643:D706" si="30">B643&amp;C643</f>
        <v>Faarborg-Midtfyn KommuneMarsk Billesvej 2-4</v>
      </c>
      <c r="E643" s="1" t="s">
        <v>1949</v>
      </c>
      <c r="F643" s="1" t="s">
        <v>1950</v>
      </c>
      <c r="G643" s="1">
        <v>1979</v>
      </c>
      <c r="H643" s="1" t="s">
        <v>11</v>
      </c>
      <c r="I643" s="6" cm="1">
        <f t="array" ref="I643">GetLatitude(D643)</f>
        <v>552312560</v>
      </c>
      <c r="J643" s="1" cm="1">
        <f t="array" ref="J643">GetLongitude(D643)</f>
        <v>102602207</v>
      </c>
      <c r="K643" s="1">
        <f t="shared" si="28"/>
        <v>55.231256000000002</v>
      </c>
      <c r="L643" s="1">
        <f t="shared" si="29"/>
        <v>10.2602207</v>
      </c>
    </row>
    <row r="644" spans="1:12" ht="16" x14ac:dyDescent="0.2">
      <c r="A644" s="1">
        <v>643</v>
      </c>
      <c r="B644" s="1" t="s">
        <v>1797</v>
      </c>
      <c r="C644" s="1" t="s">
        <v>1951</v>
      </c>
      <c r="D644" s="1" t="str">
        <f t="shared" si="30"/>
        <v>Faarborg-Midtfyn KommuneMosetoften 3</v>
      </c>
      <c r="E644" s="1" t="s">
        <v>1952</v>
      </c>
      <c r="F644" s="1" t="s">
        <v>1953</v>
      </c>
      <c r="G644" s="1">
        <v>1945</v>
      </c>
      <c r="H644" s="1" t="s">
        <v>11</v>
      </c>
      <c r="I644" s="6" cm="1">
        <f t="array" ref="I644">GetLatitude(D644)</f>
        <v>557779114</v>
      </c>
      <c r="J644" s="1" cm="1">
        <f t="array" ref="J644">GetLongitude(D644)</f>
        <v>96974384</v>
      </c>
      <c r="K644" s="1">
        <f t="shared" ref="K644:K707" si="31">I644/10000000</f>
        <v>55.777911400000001</v>
      </c>
      <c r="L644" s="1">
        <f t="shared" ref="L644:L707" si="32">J644/10000000</f>
        <v>9.6974383999999993</v>
      </c>
    </row>
    <row r="645" spans="1:12" ht="16" x14ac:dyDescent="0.2">
      <c r="A645" s="1">
        <v>644</v>
      </c>
      <c r="B645" s="1" t="s">
        <v>1797</v>
      </c>
      <c r="C645" s="1" t="s">
        <v>1954</v>
      </c>
      <c r="D645" s="1" t="str">
        <f t="shared" si="30"/>
        <v>Faarborg-Midtfyn KommuneNørremarksgyden 8, Ryslinge Mark</v>
      </c>
      <c r="E645" s="1" t="s">
        <v>1955</v>
      </c>
      <c r="F645" s="1" t="s">
        <v>1956</v>
      </c>
      <c r="G645" s="1">
        <v>1945</v>
      </c>
      <c r="H645" s="1" t="s">
        <v>11</v>
      </c>
      <c r="I645" s="6" cm="1">
        <f t="array" ref="I645">GetLatitude(D645)</f>
        <v>552483831</v>
      </c>
      <c r="J645" s="1" cm="1">
        <f t="array" ref="J645">GetLongitude(D645)</f>
        <v>105296717</v>
      </c>
      <c r="K645" s="1">
        <f t="shared" si="31"/>
        <v>55.248383099999998</v>
      </c>
      <c r="L645" s="1">
        <f t="shared" si="32"/>
        <v>10.5296717</v>
      </c>
    </row>
    <row r="646" spans="1:12" ht="16" x14ac:dyDescent="0.2">
      <c r="A646" s="1">
        <v>645</v>
      </c>
      <c r="B646" s="1" t="s">
        <v>1797</v>
      </c>
      <c r="C646" s="1" t="s">
        <v>1957</v>
      </c>
      <c r="D646" s="1" t="str">
        <f t="shared" si="30"/>
        <v>Faarborg-Midtfyn KommunePrices Havevej 38</v>
      </c>
      <c r="E646" s="1" t="s">
        <v>1958</v>
      </c>
      <c r="F646" s="1" t="s">
        <v>1959</v>
      </c>
      <c r="G646" s="1">
        <v>1944</v>
      </c>
      <c r="H646" s="1" t="s">
        <v>1960</v>
      </c>
      <c r="I646" s="6" cm="1">
        <f t="array" ref="I646">GetLatitude(D646)</f>
        <v>550990785</v>
      </c>
      <c r="J646" s="1" cm="1">
        <f t="array" ref="J646">GetLongitude(D646)</f>
        <v>102671013</v>
      </c>
      <c r="K646" s="1">
        <f t="shared" si="31"/>
        <v>55.099078499999997</v>
      </c>
      <c r="L646" s="1">
        <f t="shared" si="32"/>
        <v>10.2671013</v>
      </c>
    </row>
    <row r="647" spans="1:12" ht="16" x14ac:dyDescent="0.2">
      <c r="A647" s="1">
        <v>646</v>
      </c>
      <c r="B647" s="1" t="s">
        <v>1797</v>
      </c>
      <c r="C647" s="1" t="s">
        <v>1961</v>
      </c>
      <c r="D647" s="1" t="str">
        <f t="shared" si="30"/>
        <v>Faarborg-Midtfyn KommunePrices Havevej 39</v>
      </c>
      <c r="E647" s="1" t="s">
        <v>1962</v>
      </c>
      <c r="F647" s="1" t="s">
        <v>1963</v>
      </c>
      <c r="G647" s="1">
        <v>1994</v>
      </c>
      <c r="H647" s="1" t="s">
        <v>15</v>
      </c>
      <c r="I647" s="6" cm="1">
        <f t="array" ref="I647">GetLatitude(D647)</f>
        <v>551005957</v>
      </c>
      <c r="J647" s="1" cm="1">
        <f t="array" ref="J647">GetLongitude(D647)</f>
        <v>102630855</v>
      </c>
      <c r="K647" s="1">
        <f t="shared" si="31"/>
        <v>55.1005957</v>
      </c>
      <c r="L647" s="1">
        <f t="shared" si="32"/>
        <v>10.263085500000001</v>
      </c>
    </row>
    <row r="648" spans="1:12" ht="16" x14ac:dyDescent="0.2">
      <c r="A648" s="1">
        <v>647</v>
      </c>
      <c r="B648" s="1" t="s">
        <v>1797</v>
      </c>
      <c r="C648" s="1" t="s">
        <v>1964</v>
      </c>
      <c r="D648" s="1" t="str">
        <f t="shared" si="30"/>
        <v>Faarborg-Midtfyn KommunePrices Havevej 40</v>
      </c>
      <c r="E648" s="1" t="s">
        <v>1965</v>
      </c>
      <c r="F648" s="1" t="s">
        <v>1966</v>
      </c>
      <c r="G648" s="1">
        <v>1964</v>
      </c>
      <c r="H648" s="1" t="s">
        <v>11</v>
      </c>
      <c r="I648" s="6" cm="1">
        <f t="array" ref="I648">GetLatitude(D648)</f>
        <v>550997354</v>
      </c>
      <c r="J648" s="1" cm="1">
        <f t="array" ref="J648">GetLongitude(D648)</f>
        <v>102665465</v>
      </c>
      <c r="K648" s="1">
        <f t="shared" si="31"/>
        <v>55.0997354</v>
      </c>
      <c r="L648" s="1">
        <f t="shared" si="32"/>
        <v>10.2665465</v>
      </c>
    </row>
    <row r="649" spans="1:12" ht="16" x14ac:dyDescent="0.2">
      <c r="A649" s="1">
        <v>648</v>
      </c>
      <c r="B649" s="1" t="s">
        <v>1797</v>
      </c>
      <c r="C649" s="1" t="s">
        <v>1967</v>
      </c>
      <c r="D649" s="1" t="str">
        <f t="shared" si="30"/>
        <v>Faarborg-Midtfyn KommunePriorensgade 11</v>
      </c>
      <c r="E649" s="1" t="s">
        <v>1968</v>
      </c>
      <c r="F649" s="1" t="s">
        <v>1969</v>
      </c>
      <c r="G649" s="1">
        <v>1979</v>
      </c>
      <c r="H649" s="1" t="s">
        <v>11</v>
      </c>
      <c r="I649" s="6" cm="1">
        <f t="array" ref="I649">GetLatitude(D649)</f>
        <v>550924871</v>
      </c>
      <c r="J649" s="1" cm="1">
        <f t="array" ref="J649">GetLongitude(D649)</f>
        <v>102493289</v>
      </c>
      <c r="K649" s="1">
        <f t="shared" si="31"/>
        <v>55.0924871</v>
      </c>
      <c r="L649" s="1">
        <f t="shared" si="32"/>
        <v>10.2493289</v>
      </c>
    </row>
    <row r="650" spans="1:12" ht="16" x14ac:dyDescent="0.2">
      <c r="A650" s="1">
        <v>649</v>
      </c>
      <c r="B650" s="1" t="s">
        <v>1797</v>
      </c>
      <c r="C650" s="1" t="s">
        <v>1970</v>
      </c>
      <c r="D650" s="1" t="str">
        <f t="shared" si="30"/>
        <v>Faarborg-Midtfyn KommunePriorensgade 4</v>
      </c>
      <c r="E650" s="1" t="s">
        <v>1971</v>
      </c>
      <c r="F650" s="1" t="s">
        <v>1972</v>
      </c>
      <c r="G650" s="1">
        <v>1964</v>
      </c>
      <c r="H650" s="1" t="s">
        <v>701</v>
      </c>
      <c r="I650" s="6" cm="1">
        <f t="array" ref="I650">GetLatitude(D650)</f>
        <v>550923328</v>
      </c>
      <c r="J650" s="1" cm="1">
        <f t="array" ref="J650">GetLongitude(D650)</f>
        <v>102492228</v>
      </c>
      <c r="K650" s="1">
        <f t="shared" si="31"/>
        <v>55.092332800000001</v>
      </c>
      <c r="L650" s="1">
        <f t="shared" si="32"/>
        <v>10.2492228</v>
      </c>
    </row>
    <row r="651" spans="1:12" ht="16" x14ac:dyDescent="0.2">
      <c r="A651" s="1">
        <v>650</v>
      </c>
      <c r="B651" s="1" t="s">
        <v>1797</v>
      </c>
      <c r="C651" s="1" t="s">
        <v>1973</v>
      </c>
      <c r="D651" s="1" t="str">
        <f t="shared" si="30"/>
        <v>Faarborg-Midtfyn KommunePræstegårds Allé 2</v>
      </c>
      <c r="E651" s="1" t="s">
        <v>1974</v>
      </c>
      <c r="F651" s="1" t="s">
        <v>1975</v>
      </c>
      <c r="G651" s="1">
        <v>1924</v>
      </c>
      <c r="H651" s="1" t="s">
        <v>15</v>
      </c>
      <c r="I651" s="6" cm="1">
        <f t="array" ref="I651">GetLatitude(D651)</f>
        <v>552536406</v>
      </c>
      <c r="J651" s="1" cm="1">
        <f t="array" ref="J651">GetLongitude(D651)</f>
        <v>102328713</v>
      </c>
      <c r="K651" s="1">
        <f t="shared" si="31"/>
        <v>55.253640599999997</v>
      </c>
      <c r="L651" s="1">
        <f t="shared" si="32"/>
        <v>10.232871299999999</v>
      </c>
    </row>
    <row r="652" spans="1:12" ht="16" x14ac:dyDescent="0.2">
      <c r="A652" s="1">
        <v>651</v>
      </c>
      <c r="B652" s="1" t="s">
        <v>1797</v>
      </c>
      <c r="C652" s="1" t="s">
        <v>1976</v>
      </c>
      <c r="D652" s="1" t="str">
        <f t="shared" si="30"/>
        <v>Faarborg-Midtfyn KommunePræstegårdsgyden 6</v>
      </c>
      <c r="E652" s="1" t="s">
        <v>1977</v>
      </c>
      <c r="F652" s="1" t="s">
        <v>1978</v>
      </c>
      <c r="G652" s="1">
        <v>1945</v>
      </c>
      <c r="H652" s="1" t="s">
        <v>11</v>
      </c>
      <c r="I652" s="6" cm="1">
        <f t="array" ref="I652">GetLatitude(D652)</f>
        <v>551065319</v>
      </c>
      <c r="J652" s="1" cm="1">
        <f t="array" ref="J652">GetLongitude(D652)</f>
        <v>101655742</v>
      </c>
      <c r="K652" s="1">
        <f t="shared" si="31"/>
        <v>55.1065319</v>
      </c>
      <c r="L652" s="1">
        <f t="shared" si="32"/>
        <v>10.1655742</v>
      </c>
    </row>
    <row r="653" spans="1:12" ht="16" x14ac:dyDescent="0.2">
      <c r="A653" s="1">
        <v>652</v>
      </c>
      <c r="B653" s="1" t="s">
        <v>1797</v>
      </c>
      <c r="C653" s="1" t="s">
        <v>1979</v>
      </c>
      <c r="D653" s="1" t="str">
        <f t="shared" si="30"/>
        <v>Faarborg-Midtfyn KommuneReventlowsvej 1 B</v>
      </c>
      <c r="E653" s="1" t="s">
        <v>1980</v>
      </c>
      <c r="F653" s="1" t="s">
        <v>1981</v>
      </c>
      <c r="G653" s="1">
        <v>1985</v>
      </c>
      <c r="H653" s="1" t="s">
        <v>11</v>
      </c>
      <c r="I653" s="6" cm="1">
        <f t="array" ref="I653">GetLatitude(D653)</f>
        <v>551528750</v>
      </c>
      <c r="J653" s="1" cm="1">
        <f t="array" ref="J653">GetLongitude(D653)</f>
        <v>103581588</v>
      </c>
      <c r="K653" s="1">
        <f t="shared" si="31"/>
        <v>55.152875000000002</v>
      </c>
      <c r="L653" s="1">
        <f t="shared" si="32"/>
        <v>10.3581588</v>
      </c>
    </row>
    <row r="654" spans="1:12" ht="16" x14ac:dyDescent="0.2">
      <c r="A654" s="1">
        <v>653</v>
      </c>
      <c r="B654" s="1" t="s">
        <v>1797</v>
      </c>
      <c r="C654" s="1" t="s">
        <v>1982</v>
      </c>
      <c r="D654" s="1" t="str">
        <f t="shared" si="30"/>
        <v>Faarborg-Midtfyn KommuneReventlowsvej 1 N og P</v>
      </c>
      <c r="E654" s="1" t="s">
        <v>1983</v>
      </c>
      <c r="F654" s="1" t="s">
        <v>1984</v>
      </c>
      <c r="G654" s="1">
        <v>1982</v>
      </c>
      <c r="H654" s="1" t="s">
        <v>15</v>
      </c>
      <c r="I654" s="6" cm="1">
        <f t="array" ref="I654">GetLatitude(D654)</f>
        <v>551539914</v>
      </c>
      <c r="J654" s="1" cm="1">
        <f t="array" ref="J654">GetLongitude(D654)</f>
        <v>103512332</v>
      </c>
      <c r="K654" s="1">
        <f t="shared" si="31"/>
        <v>55.153991400000002</v>
      </c>
      <c r="L654" s="1">
        <f t="shared" si="32"/>
        <v>10.351233199999999</v>
      </c>
    </row>
    <row r="655" spans="1:12" ht="16" x14ac:dyDescent="0.2">
      <c r="A655" s="1">
        <v>654</v>
      </c>
      <c r="B655" s="1" t="s">
        <v>1797</v>
      </c>
      <c r="C655" s="1" t="s">
        <v>1985</v>
      </c>
      <c r="D655" s="1" t="str">
        <f t="shared" si="30"/>
        <v>Faarborg-Midtfyn KommuneReventlowsvej 1 og 1 C, G</v>
      </c>
      <c r="E655" s="1" t="s">
        <v>1986</v>
      </c>
      <c r="F655" s="1" t="s">
        <v>1987</v>
      </c>
      <c r="G655" s="1">
        <v>1918</v>
      </c>
      <c r="H655" s="1" t="s">
        <v>1988</v>
      </c>
      <c r="I655" s="6" cm="1">
        <f t="array" ref="I655">GetLatitude(D655)</f>
        <v>551529317</v>
      </c>
      <c r="J655" s="1" cm="1">
        <f t="array" ref="J655">GetLongitude(D655)</f>
        <v>103508828</v>
      </c>
      <c r="K655" s="1">
        <f t="shared" si="31"/>
        <v>55.152931700000003</v>
      </c>
      <c r="L655" s="1">
        <f t="shared" si="32"/>
        <v>10.350882800000001</v>
      </c>
    </row>
    <row r="656" spans="1:12" ht="16" x14ac:dyDescent="0.2">
      <c r="A656" s="1">
        <v>655</v>
      </c>
      <c r="B656" s="1" t="s">
        <v>1797</v>
      </c>
      <c r="C656" s="1" t="s">
        <v>1989</v>
      </c>
      <c r="D656" s="1" t="str">
        <f t="shared" si="30"/>
        <v>Faarborg-Midtfyn KommuneReventlowsvej 2</v>
      </c>
      <c r="E656" s="1" t="s">
        <v>1990</v>
      </c>
      <c r="F656" s="1" t="s">
        <v>1991</v>
      </c>
      <c r="G656" s="1">
        <v>1945</v>
      </c>
      <c r="H656" s="1" t="s">
        <v>15</v>
      </c>
      <c r="I656" s="6" cm="1">
        <f t="array" ref="I656">GetLatitude(D656)</f>
        <v>551530076</v>
      </c>
      <c r="J656" s="1" cm="1">
        <f t="array" ref="J656">GetLongitude(D656)</f>
        <v>103489788</v>
      </c>
      <c r="K656" s="1">
        <f t="shared" si="31"/>
        <v>55.153007600000002</v>
      </c>
      <c r="L656" s="1">
        <f t="shared" si="32"/>
        <v>10.348978799999999</v>
      </c>
    </row>
    <row r="657" spans="1:12" ht="16" x14ac:dyDescent="0.2">
      <c r="A657" s="1">
        <v>656</v>
      </c>
      <c r="B657" s="1" t="s">
        <v>1797</v>
      </c>
      <c r="C657" s="1" t="s">
        <v>1992</v>
      </c>
      <c r="D657" s="1" t="str">
        <f t="shared" si="30"/>
        <v>Faarborg-Midtfyn KommuneReventlowsvej 3</v>
      </c>
      <c r="E657" s="1" t="s">
        <v>1993</v>
      </c>
      <c r="F657" s="1" t="s">
        <v>1994</v>
      </c>
      <c r="G657" s="1">
        <v>1987</v>
      </c>
      <c r="H657" s="1" t="s">
        <v>1995</v>
      </c>
      <c r="I657" s="6" cm="1">
        <f t="array" ref="I657">GetLatitude(D657)</f>
        <v>551495753</v>
      </c>
      <c r="J657" s="1" cm="1">
        <f t="array" ref="J657">GetLongitude(D657)</f>
        <v>103447737</v>
      </c>
      <c r="K657" s="1">
        <f t="shared" si="31"/>
        <v>55.149575300000002</v>
      </c>
      <c r="L657" s="1">
        <f t="shared" si="32"/>
        <v>10.344773699999999</v>
      </c>
    </row>
    <row r="658" spans="1:12" ht="16" x14ac:dyDescent="0.2">
      <c r="A658" s="1">
        <v>657</v>
      </c>
      <c r="B658" s="1" t="s">
        <v>1797</v>
      </c>
      <c r="C658" s="1" t="s">
        <v>1996</v>
      </c>
      <c r="D658" s="1" t="str">
        <f t="shared" si="30"/>
        <v>Faarborg-Midtfyn KommuneReventlowsvej 5 A-D</v>
      </c>
      <c r="E658" s="1" t="s">
        <v>1997</v>
      </c>
      <c r="F658" s="1" t="s">
        <v>1998</v>
      </c>
      <c r="G658" s="1">
        <v>1984</v>
      </c>
      <c r="H658" s="1" t="s">
        <v>11</v>
      </c>
      <c r="I658" s="6" cm="1">
        <f t="array" ref="I658">GetLatitude(D658)</f>
        <v>551450703</v>
      </c>
      <c r="J658" s="1" cm="1">
        <f t="array" ref="J658">GetLongitude(D658)</f>
        <v>103370249</v>
      </c>
      <c r="K658" s="1">
        <f t="shared" si="31"/>
        <v>55.1450703</v>
      </c>
      <c r="L658" s="1">
        <f t="shared" si="32"/>
        <v>10.337024899999999</v>
      </c>
    </row>
    <row r="659" spans="1:12" ht="16" x14ac:dyDescent="0.2">
      <c r="A659" s="1">
        <v>658</v>
      </c>
      <c r="B659" s="1" t="s">
        <v>1797</v>
      </c>
      <c r="C659" s="1" t="s">
        <v>1999</v>
      </c>
      <c r="D659" s="1" t="str">
        <f t="shared" si="30"/>
        <v>Faarborg-Midtfyn KommuneRishøjvej 2</v>
      </c>
      <c r="E659" s="1" t="s">
        <v>2000</v>
      </c>
      <c r="F659" s="1" t="s">
        <v>2001</v>
      </c>
      <c r="G659" s="1">
        <v>1918</v>
      </c>
      <c r="H659" s="1" t="s">
        <v>11</v>
      </c>
      <c r="I659" s="6" cm="1">
        <f t="array" ref="I659">GetLatitude(D659)</f>
        <v>551928310</v>
      </c>
      <c r="J659" s="1" cm="1">
        <f t="array" ref="J659">GetLongitude(D659)</f>
        <v>102763750</v>
      </c>
      <c r="K659" s="1">
        <f t="shared" si="31"/>
        <v>55.192830999999998</v>
      </c>
      <c r="L659" s="1">
        <f t="shared" si="32"/>
        <v>10.276375</v>
      </c>
    </row>
    <row r="660" spans="1:12" ht="16" x14ac:dyDescent="0.2">
      <c r="A660" s="1">
        <v>659</v>
      </c>
      <c r="B660" s="1" t="s">
        <v>1797</v>
      </c>
      <c r="C660" s="1" t="s">
        <v>2002</v>
      </c>
      <c r="D660" s="1" t="str">
        <f t="shared" si="30"/>
        <v>Faarborg-Midtfyn KommuneRynkebyvej 32</v>
      </c>
      <c r="E660" s="1" t="s">
        <v>2003</v>
      </c>
      <c r="F660" s="1" t="s">
        <v>2004</v>
      </c>
      <c r="G660" s="1">
        <v>1983</v>
      </c>
      <c r="H660" s="1" t="s">
        <v>11</v>
      </c>
      <c r="I660" s="6" cm="1">
        <f t="array" ref="I660">GetLatitude(D660)</f>
        <v>552548346</v>
      </c>
      <c r="J660" s="1" cm="1">
        <f t="array" ref="J660">GetLongitude(D660)</f>
        <v>104527644</v>
      </c>
      <c r="K660" s="1">
        <f t="shared" si="31"/>
        <v>55.254834600000002</v>
      </c>
      <c r="L660" s="1">
        <f t="shared" si="32"/>
        <v>10.4527644</v>
      </c>
    </row>
    <row r="661" spans="1:12" ht="16" x14ac:dyDescent="0.2">
      <c r="A661" s="1">
        <v>660</v>
      </c>
      <c r="B661" s="1" t="s">
        <v>1797</v>
      </c>
      <c r="C661" s="1" t="s">
        <v>2005</v>
      </c>
      <c r="D661" s="1" t="str">
        <f t="shared" si="30"/>
        <v>Faarborg-Midtfyn KommuneRådhusgården 5</v>
      </c>
      <c r="E661" s="1" t="s">
        <v>2006</v>
      </c>
      <c r="F661" s="1" t="s">
        <v>2007</v>
      </c>
      <c r="G661" s="1">
        <v>1977</v>
      </c>
      <c r="H661" s="1" t="s">
        <v>11</v>
      </c>
      <c r="I661" s="6" cm="1">
        <f t="array" ref="I661">GetLatitude(D661)</f>
        <v>550967620</v>
      </c>
      <c r="J661" s="1" cm="1">
        <f t="array" ref="J661">GetLongitude(D661)</f>
        <v>102410314</v>
      </c>
      <c r="K661" s="1">
        <f t="shared" si="31"/>
        <v>55.096761999999998</v>
      </c>
      <c r="L661" s="1">
        <f t="shared" si="32"/>
        <v>10.241031400000001</v>
      </c>
    </row>
    <row r="662" spans="1:12" ht="16" x14ac:dyDescent="0.2">
      <c r="A662" s="1">
        <v>661</v>
      </c>
      <c r="B662" s="1" t="s">
        <v>1797</v>
      </c>
      <c r="C662" s="1" t="s">
        <v>2008</v>
      </c>
      <c r="D662" s="1" t="str">
        <f t="shared" si="30"/>
        <v>Faarborg-Midtfyn KommuneSallingelunde 10</v>
      </c>
      <c r="E662" s="1" t="s">
        <v>2009</v>
      </c>
      <c r="F662" s="1" t="s">
        <v>2010</v>
      </c>
      <c r="G662" s="1">
        <v>1996</v>
      </c>
      <c r="H662" s="1" t="s">
        <v>11</v>
      </c>
      <c r="I662" s="6" cm="1">
        <f t="array" ref="I662">GetLatitude(D662)</f>
        <v>552295566</v>
      </c>
      <c r="J662" s="1" cm="1">
        <f t="array" ref="J662">GetLongitude(D662)</f>
        <v>103559570</v>
      </c>
      <c r="K662" s="1">
        <f t="shared" si="31"/>
        <v>55.229556600000002</v>
      </c>
      <c r="L662" s="1">
        <f t="shared" si="32"/>
        <v>10.355957</v>
      </c>
    </row>
    <row r="663" spans="1:12" ht="16" x14ac:dyDescent="0.2">
      <c r="A663" s="1">
        <v>662</v>
      </c>
      <c r="B663" s="1" t="s">
        <v>1797</v>
      </c>
      <c r="C663" s="1" t="s">
        <v>2011</v>
      </c>
      <c r="D663" s="1" t="str">
        <f t="shared" si="30"/>
        <v>Faarborg-Midtfyn KommuneSlotsalléen 8</v>
      </c>
      <c r="E663" s="1" t="s">
        <v>2012</v>
      </c>
      <c r="F663" s="1" t="s">
        <v>2013</v>
      </c>
      <c r="G663" s="1">
        <v>1990</v>
      </c>
      <c r="H663" s="1" t="s">
        <v>15</v>
      </c>
      <c r="I663" s="6" cm="1">
        <f t="array" ref="I663">GetLatitude(D663)</f>
        <v>551834600</v>
      </c>
      <c r="J663" s="1" cm="1">
        <f t="array" ref="J663">GetLongitude(D663)</f>
        <v>103708703</v>
      </c>
      <c r="K663" s="1">
        <f t="shared" si="31"/>
        <v>55.183459999999997</v>
      </c>
      <c r="L663" s="1">
        <f t="shared" si="32"/>
        <v>10.3708703</v>
      </c>
    </row>
    <row r="664" spans="1:12" ht="16" x14ac:dyDescent="0.2">
      <c r="A664" s="1">
        <v>663</v>
      </c>
      <c r="B664" s="1" t="s">
        <v>1797</v>
      </c>
      <c r="C664" s="1" t="s">
        <v>2014</v>
      </c>
      <c r="D664" s="1" t="str">
        <f t="shared" si="30"/>
        <v>Faarborg-Midtfyn KommuneSmedegyden 8</v>
      </c>
      <c r="E664" s="1" t="s">
        <v>2015</v>
      </c>
      <c r="F664" s="1" t="s">
        <v>2016</v>
      </c>
      <c r="G664" s="1">
        <v>1992</v>
      </c>
      <c r="H664" s="1" t="s">
        <v>11</v>
      </c>
      <c r="I664" s="6" cm="1">
        <f t="array" ref="I664">GetLatitude(D664)</f>
        <v>551743404</v>
      </c>
      <c r="J664" s="1" cm="1">
        <f t="array" ref="J664">GetLongitude(D664)</f>
        <v>102591629</v>
      </c>
      <c r="K664" s="1">
        <f t="shared" si="31"/>
        <v>55.174340399999998</v>
      </c>
      <c r="L664" s="1">
        <f t="shared" si="32"/>
        <v>10.2591629</v>
      </c>
    </row>
    <row r="665" spans="1:12" ht="16" x14ac:dyDescent="0.2">
      <c r="A665" s="1">
        <v>664</v>
      </c>
      <c r="B665" s="1" t="s">
        <v>1797</v>
      </c>
      <c r="C665" s="1" t="s">
        <v>2017</v>
      </c>
      <c r="D665" s="1" t="str">
        <f t="shared" si="30"/>
        <v>Faarborg-Midtfyn KommuneSpanget 3 A-C, Korinth</v>
      </c>
      <c r="E665" s="1" t="s">
        <v>2018</v>
      </c>
      <c r="F665" s="1" t="s">
        <v>2019</v>
      </c>
      <c r="G665" s="1">
        <v>1984</v>
      </c>
      <c r="H665" s="1" t="s">
        <v>99</v>
      </c>
      <c r="I665" s="6" cm="1">
        <f t="array" ref="I665">GetLatitude(D665)</f>
        <v>551460132</v>
      </c>
      <c r="J665" s="1" cm="1">
        <f t="array" ref="J665">GetLongitude(D665)</f>
        <v>103423766</v>
      </c>
      <c r="K665" s="1">
        <f t="shared" si="31"/>
        <v>55.146013199999999</v>
      </c>
      <c r="L665" s="1">
        <f t="shared" si="32"/>
        <v>10.3423766</v>
      </c>
    </row>
    <row r="666" spans="1:12" ht="16" x14ac:dyDescent="0.2">
      <c r="A666" s="1">
        <v>665</v>
      </c>
      <c r="B666" s="1" t="s">
        <v>1797</v>
      </c>
      <c r="C666" s="1" t="s">
        <v>2020</v>
      </c>
      <c r="D666" s="1" t="str">
        <f t="shared" si="30"/>
        <v>Faarborg-Midtfyn KommuneSpanget 5 A-D, Korinth</v>
      </c>
      <c r="E666" s="1" t="s">
        <v>2021</v>
      </c>
      <c r="F666" s="1" t="s">
        <v>2019</v>
      </c>
      <c r="G666" s="1">
        <v>1984</v>
      </c>
      <c r="H666" s="1" t="s">
        <v>11</v>
      </c>
      <c r="I666" s="6" cm="1">
        <f t="array" ref="I666">GetLatitude(D666)</f>
        <v>551453848</v>
      </c>
      <c r="J666" s="1" cm="1">
        <f t="array" ref="J666">GetLongitude(D666)</f>
        <v>103433877</v>
      </c>
      <c r="K666" s="1">
        <f t="shared" si="31"/>
        <v>55.145384800000002</v>
      </c>
      <c r="L666" s="1">
        <f t="shared" si="32"/>
        <v>10.343387699999999</v>
      </c>
    </row>
    <row r="667" spans="1:12" ht="16" x14ac:dyDescent="0.2">
      <c r="A667" s="1">
        <v>666</v>
      </c>
      <c r="B667" s="1" t="s">
        <v>1797</v>
      </c>
      <c r="C667" s="1" t="s">
        <v>2022</v>
      </c>
      <c r="D667" s="1" t="str">
        <f t="shared" si="30"/>
        <v>Faarborg-Midtfyn KommuneSteensgaard 4</v>
      </c>
      <c r="E667" s="1" t="s">
        <v>2023</v>
      </c>
      <c r="F667" s="1" t="s">
        <v>2024</v>
      </c>
      <c r="G667" s="1">
        <v>1918</v>
      </c>
      <c r="H667" s="1" t="s">
        <v>2025</v>
      </c>
      <c r="I667" s="6" cm="1">
        <f t="array" ref="I667">GetLatitude(D667)</f>
        <v>551408589</v>
      </c>
      <c r="J667" s="1" cm="1">
        <f t="array" ref="J667">GetLongitude(D667)</f>
        <v>101826210</v>
      </c>
      <c r="K667" s="1">
        <f t="shared" si="31"/>
        <v>55.140858899999998</v>
      </c>
      <c r="L667" s="1">
        <f t="shared" si="32"/>
        <v>10.182620999999999</v>
      </c>
    </row>
    <row r="668" spans="1:12" ht="16" x14ac:dyDescent="0.2">
      <c r="A668" s="1">
        <v>667</v>
      </c>
      <c r="B668" s="1" t="s">
        <v>1797</v>
      </c>
      <c r="C668" s="1" t="s">
        <v>2026</v>
      </c>
      <c r="D668" s="1" t="str">
        <f t="shared" si="30"/>
        <v>Faarborg-Midtfyn KommuneSundsgårdsvej 4-10</v>
      </c>
      <c r="E668" s="1" t="s">
        <v>2027</v>
      </c>
      <c r="F668" s="1" t="s">
        <v>2028</v>
      </c>
      <c r="G668" s="1">
        <v>1918</v>
      </c>
      <c r="H668" s="1" t="s">
        <v>2029</v>
      </c>
      <c r="I668" s="6" cm="1">
        <f t="array" ref="I668">GetLatitude(D668)</f>
        <v>551882035</v>
      </c>
      <c r="J668" s="1" cm="1">
        <f t="array" ref="J668">GetLongitude(D668)</f>
        <v>104517614</v>
      </c>
      <c r="K668" s="1">
        <f t="shared" si="31"/>
        <v>55.1882035</v>
      </c>
      <c r="L668" s="1">
        <f t="shared" si="32"/>
        <v>10.451761400000001</v>
      </c>
    </row>
    <row r="669" spans="1:12" ht="16" x14ac:dyDescent="0.2">
      <c r="A669" s="1">
        <v>668</v>
      </c>
      <c r="B669" s="1" t="s">
        <v>1797</v>
      </c>
      <c r="C669" s="1" t="s">
        <v>2030</v>
      </c>
      <c r="D669" s="1" t="str">
        <f t="shared" si="30"/>
        <v>Faarborg-Midtfyn KommuneSvendborgvej 452</v>
      </c>
      <c r="E669" s="1" t="s">
        <v>2031</v>
      </c>
      <c r="F669" s="1" t="s">
        <v>2032</v>
      </c>
      <c r="G669" s="1">
        <v>1945</v>
      </c>
      <c r="H669" s="1" t="s">
        <v>15</v>
      </c>
      <c r="I669" s="6" cm="1">
        <f t="array" ref="I669">GetLatitude(D669)</f>
        <v>553071224</v>
      </c>
      <c r="J669" s="1" cm="1">
        <f t="array" ref="J669">GetLongitude(D669)</f>
        <v>104515710</v>
      </c>
      <c r="K669" s="1">
        <f t="shared" si="31"/>
        <v>55.307122399999997</v>
      </c>
      <c r="L669" s="1">
        <f t="shared" si="32"/>
        <v>10.451571</v>
      </c>
    </row>
    <row r="670" spans="1:12" ht="16" x14ac:dyDescent="0.2">
      <c r="A670" s="1">
        <v>669</v>
      </c>
      <c r="B670" s="1" t="s">
        <v>1797</v>
      </c>
      <c r="C670" s="1" t="s">
        <v>2033</v>
      </c>
      <c r="D670" s="1" t="str">
        <f t="shared" si="30"/>
        <v>Faarborg-Midtfyn KommuneSvendborgvej 47</v>
      </c>
      <c r="E670" s="1" t="s">
        <v>2034</v>
      </c>
      <c r="F670" s="1" t="s">
        <v>2035</v>
      </c>
      <c r="G670" s="1">
        <v>1950</v>
      </c>
      <c r="H670" s="1" t="s">
        <v>15</v>
      </c>
      <c r="I670" s="6" cm="1">
        <f t="array" ref="I670">GetLatitude(D670)</f>
        <v>553061030</v>
      </c>
      <c r="J670" s="1" cm="1">
        <f t="array" ref="J670">GetLongitude(D670)</f>
        <v>104513083</v>
      </c>
      <c r="K670" s="1">
        <f t="shared" si="31"/>
        <v>55.306103</v>
      </c>
      <c r="L670" s="1">
        <f t="shared" si="32"/>
        <v>10.451308300000001</v>
      </c>
    </row>
    <row r="671" spans="1:12" ht="16" x14ac:dyDescent="0.2">
      <c r="A671" s="1">
        <v>670</v>
      </c>
      <c r="B671" s="1" t="s">
        <v>1797</v>
      </c>
      <c r="C671" s="1" t="s">
        <v>2036</v>
      </c>
      <c r="D671" s="1" t="str">
        <f t="shared" si="30"/>
        <v>Faarborg-Midtfyn KommuneSøllingevej 61</v>
      </c>
      <c r="E671" s="1" t="s">
        <v>2037</v>
      </c>
      <c r="F671" s="1" t="s">
        <v>2038</v>
      </c>
      <c r="G671" s="1">
        <v>1954</v>
      </c>
      <c r="H671" s="1" t="s">
        <v>15</v>
      </c>
      <c r="I671" s="6" cm="1">
        <f t="array" ref="I671">GetLatitude(D671)</f>
        <v>552851311</v>
      </c>
      <c r="J671" s="1" cm="1">
        <f t="array" ref="J671">GetLongitude(D671)</f>
        <v>105380338</v>
      </c>
      <c r="K671" s="1">
        <f t="shared" si="31"/>
        <v>55.285131100000001</v>
      </c>
      <c r="L671" s="1">
        <f t="shared" si="32"/>
        <v>10.538033799999999</v>
      </c>
    </row>
    <row r="672" spans="1:12" ht="16" x14ac:dyDescent="0.2">
      <c r="A672" s="1">
        <v>671</v>
      </c>
      <c r="B672" s="1" t="s">
        <v>1797</v>
      </c>
      <c r="C672" s="1" t="s">
        <v>2039</v>
      </c>
      <c r="D672" s="1" t="str">
        <f t="shared" si="30"/>
        <v>Faarborg-Midtfyn KommuneSøren Lundsvej 42</v>
      </c>
      <c r="E672" s="1" t="s">
        <v>2040</v>
      </c>
      <c r="F672" s="1" t="s">
        <v>2041</v>
      </c>
      <c r="G672" s="1">
        <v>1983</v>
      </c>
      <c r="H672" s="1" t="s">
        <v>15</v>
      </c>
      <c r="I672" s="6" cm="1">
        <f t="array" ref="I672">GetLatitude(D672)</f>
        <v>551062888</v>
      </c>
      <c r="J672" s="1" cm="1">
        <f t="array" ref="J672">GetLongitude(D672)</f>
        <v>101731192</v>
      </c>
      <c r="K672" s="1">
        <f t="shared" si="31"/>
        <v>55.106288800000002</v>
      </c>
      <c r="L672" s="1">
        <f t="shared" si="32"/>
        <v>10.1731192</v>
      </c>
    </row>
    <row r="673" spans="1:12" ht="16" x14ac:dyDescent="0.2">
      <c r="A673" s="1">
        <v>672</v>
      </c>
      <c r="B673" s="1" t="s">
        <v>1797</v>
      </c>
      <c r="C673" s="1" t="s">
        <v>2042</v>
      </c>
      <c r="D673" s="1" t="str">
        <f t="shared" si="30"/>
        <v>Faarborg-Midtfyn KommuneSøvej 27</v>
      </c>
      <c r="E673" s="1" t="s">
        <v>2043</v>
      </c>
      <c r="F673" s="1" t="s">
        <v>2044</v>
      </c>
      <c r="G673" s="1">
        <v>1918</v>
      </c>
      <c r="H673" s="1" t="s">
        <v>11</v>
      </c>
      <c r="I673" s="6" cm="1">
        <f t="array" ref="I673">GetLatitude(D673)</f>
        <v>552867798</v>
      </c>
      <c r="J673" s="1" cm="1">
        <f t="array" ref="J673">GetLongitude(D673)</f>
        <v>103625660</v>
      </c>
      <c r="K673" s="1">
        <f t="shared" si="31"/>
        <v>55.286779799999998</v>
      </c>
      <c r="L673" s="1">
        <f t="shared" si="32"/>
        <v>10.362565999999999</v>
      </c>
    </row>
    <row r="674" spans="1:12" ht="16" x14ac:dyDescent="0.2">
      <c r="A674" s="1">
        <v>673</v>
      </c>
      <c r="B674" s="1" t="s">
        <v>1797</v>
      </c>
      <c r="C674" s="1" t="s">
        <v>2045</v>
      </c>
      <c r="D674" s="1" t="str">
        <f t="shared" si="30"/>
        <v>Faarborg-Midtfyn KommuneTorvet 19</v>
      </c>
      <c r="E674" s="1" t="s">
        <v>2046</v>
      </c>
      <c r="F674" s="1" t="s">
        <v>2047</v>
      </c>
      <c r="G674" s="1">
        <v>1977</v>
      </c>
      <c r="H674" s="1" t="s">
        <v>2048</v>
      </c>
      <c r="I674" s="6" cm="1">
        <f t="array" ref="I674">GetLatitude(D674)</f>
        <v>550949894</v>
      </c>
      <c r="J674" s="1" cm="1">
        <f t="array" ref="J674">GetLongitude(D674)</f>
        <v>102419618</v>
      </c>
      <c r="K674" s="1">
        <f t="shared" si="31"/>
        <v>55.094989400000003</v>
      </c>
      <c r="L674" s="1">
        <f t="shared" si="32"/>
        <v>10.2419618</v>
      </c>
    </row>
    <row r="675" spans="1:12" ht="16" x14ac:dyDescent="0.2">
      <c r="A675" s="1">
        <v>674</v>
      </c>
      <c r="B675" s="1" t="s">
        <v>1797</v>
      </c>
      <c r="C675" s="1" t="s">
        <v>2049</v>
      </c>
      <c r="D675" s="1" t="str">
        <f t="shared" si="30"/>
        <v>Faarborg-Midtfyn KommuneTorvet 5</v>
      </c>
      <c r="E675" s="1" t="s">
        <v>2050</v>
      </c>
      <c r="F675" s="1" t="s">
        <v>2051</v>
      </c>
      <c r="G675" s="1">
        <v>1945</v>
      </c>
      <c r="H675" s="1" t="s">
        <v>11</v>
      </c>
      <c r="I675" s="6" cm="1">
        <f t="array" ref="I675">GetLatitude(D675)</f>
        <v>551834600</v>
      </c>
      <c r="J675" s="1" cm="1">
        <f t="array" ref="J675">GetLongitude(D675)</f>
        <v>103708703</v>
      </c>
      <c r="K675" s="1">
        <f t="shared" si="31"/>
        <v>55.183459999999997</v>
      </c>
      <c r="L675" s="1">
        <f t="shared" si="32"/>
        <v>10.3708703</v>
      </c>
    </row>
    <row r="676" spans="1:12" ht="16" x14ac:dyDescent="0.2">
      <c r="A676" s="1">
        <v>675</v>
      </c>
      <c r="B676" s="1" t="s">
        <v>1797</v>
      </c>
      <c r="C676" s="1" t="s">
        <v>2052</v>
      </c>
      <c r="D676" s="1" t="str">
        <f t="shared" si="30"/>
        <v>Faarborg-Midtfyn KommuneTrekanten 1</v>
      </c>
      <c r="E676" s="1" t="s">
        <v>2053</v>
      </c>
      <c r="F676" s="1" t="s">
        <v>2054</v>
      </c>
      <c r="G676" s="1">
        <v>1980</v>
      </c>
      <c r="H676" s="1" t="s">
        <v>11</v>
      </c>
      <c r="I676" s="6" cm="1">
        <f t="array" ref="I676">GetLatitude(D676)</f>
        <v>551741792</v>
      </c>
      <c r="J676" s="1" cm="1">
        <f t="array" ref="J676">GetLongitude(D676)</f>
        <v>101989212</v>
      </c>
      <c r="K676" s="1">
        <f t="shared" si="31"/>
        <v>55.174179199999998</v>
      </c>
      <c r="L676" s="1">
        <f t="shared" si="32"/>
        <v>10.198921199999999</v>
      </c>
    </row>
    <row r="677" spans="1:12" ht="16" x14ac:dyDescent="0.2">
      <c r="A677" s="1">
        <v>676</v>
      </c>
      <c r="B677" s="1" t="s">
        <v>1797</v>
      </c>
      <c r="C677" s="1" t="s">
        <v>2055</v>
      </c>
      <c r="D677" s="1" t="str">
        <f t="shared" si="30"/>
        <v>Faarborg-Midtfyn KommuneTårngade 6-8</v>
      </c>
      <c r="E677" s="1" t="s">
        <v>2056</v>
      </c>
      <c r="F677" s="1" t="s">
        <v>2057</v>
      </c>
      <c r="G677" s="1">
        <v>1945</v>
      </c>
      <c r="H677" s="1" t="s">
        <v>11</v>
      </c>
      <c r="I677" s="6" cm="1">
        <f t="array" ref="I677">GetLatitude(D677)</f>
        <v>550948480</v>
      </c>
      <c r="J677" s="1" cm="1">
        <f t="array" ref="J677">GetLongitude(D677)</f>
        <v>102429985</v>
      </c>
      <c r="K677" s="1">
        <f t="shared" si="31"/>
        <v>55.094847999999999</v>
      </c>
      <c r="L677" s="1">
        <f t="shared" si="32"/>
        <v>10.242998500000001</v>
      </c>
    </row>
    <row r="678" spans="1:12" ht="16" x14ac:dyDescent="0.2">
      <c r="A678" s="1">
        <v>677</v>
      </c>
      <c r="B678" s="1" t="s">
        <v>1797</v>
      </c>
      <c r="C678" s="1" t="s">
        <v>2058</v>
      </c>
      <c r="D678" s="1" t="str">
        <f t="shared" si="30"/>
        <v>Faarborg-Midtfyn KommuneTårnstræde 1 A</v>
      </c>
      <c r="E678" s="1" t="s">
        <v>2059</v>
      </c>
      <c r="F678" s="1" t="s">
        <v>2060</v>
      </c>
      <c r="G678" s="1">
        <v>1945</v>
      </c>
      <c r="H678" s="1" t="s">
        <v>15</v>
      </c>
      <c r="I678" s="6" cm="1">
        <f t="array" ref="I678">GetLatitude(D678)</f>
        <v>550946045</v>
      </c>
      <c r="J678" s="1" cm="1">
        <f t="array" ref="J678">GetLongitude(D678)</f>
        <v>102437489</v>
      </c>
      <c r="K678" s="1">
        <f t="shared" si="31"/>
        <v>55.094604500000003</v>
      </c>
      <c r="L678" s="1">
        <f t="shared" si="32"/>
        <v>10.2437489</v>
      </c>
    </row>
    <row r="679" spans="1:12" ht="16" x14ac:dyDescent="0.2">
      <c r="A679" s="1">
        <v>678</v>
      </c>
      <c r="B679" s="1" t="s">
        <v>1797</v>
      </c>
      <c r="C679" s="1" t="s">
        <v>2061</v>
      </c>
      <c r="D679" s="1" t="str">
        <f t="shared" si="30"/>
        <v>Faarborg-Midtfyn KommuneTårnstræde 2</v>
      </c>
      <c r="E679" s="1" t="s">
        <v>2062</v>
      </c>
      <c r="F679" s="1" t="s">
        <v>2063</v>
      </c>
      <c r="G679" s="1">
        <v>1918</v>
      </c>
      <c r="H679" s="1" t="s">
        <v>15</v>
      </c>
      <c r="I679" s="6" cm="1">
        <f t="array" ref="I679">GetLatitude(D679)</f>
        <v>550946680</v>
      </c>
      <c r="J679" s="1" cm="1">
        <f t="array" ref="J679">GetLongitude(D679)</f>
        <v>102435770</v>
      </c>
      <c r="K679" s="1">
        <f t="shared" si="31"/>
        <v>55.094667999999999</v>
      </c>
      <c r="L679" s="1">
        <f t="shared" si="32"/>
        <v>10.243577</v>
      </c>
    </row>
    <row r="680" spans="1:12" ht="16" x14ac:dyDescent="0.2">
      <c r="A680" s="1">
        <v>679</v>
      </c>
      <c r="B680" s="1" t="s">
        <v>1797</v>
      </c>
      <c r="C680" s="1" t="s">
        <v>2064</v>
      </c>
      <c r="D680" s="1" t="str">
        <f t="shared" si="30"/>
        <v>Faarborg-Midtfyn KommuneTårnstræde 3</v>
      </c>
      <c r="E680" s="1" t="s">
        <v>2065</v>
      </c>
      <c r="F680" s="1" t="s">
        <v>2066</v>
      </c>
      <c r="G680" s="1">
        <v>1945</v>
      </c>
      <c r="H680" s="1" t="s">
        <v>11</v>
      </c>
      <c r="I680" s="6" cm="1">
        <f t="array" ref="I680">GetLatitude(D680)</f>
        <v>550945421</v>
      </c>
      <c r="J680" s="1" cm="1">
        <f t="array" ref="J680">GetLongitude(D680)</f>
        <v>102437506</v>
      </c>
      <c r="K680" s="1">
        <f t="shared" si="31"/>
        <v>55.094542099999998</v>
      </c>
      <c r="L680" s="1">
        <f t="shared" si="32"/>
        <v>10.2437506</v>
      </c>
    </row>
    <row r="681" spans="1:12" ht="16" x14ac:dyDescent="0.2">
      <c r="A681" s="1">
        <v>680</v>
      </c>
      <c r="B681" s="1" t="s">
        <v>1797</v>
      </c>
      <c r="C681" s="1" t="s">
        <v>2067</v>
      </c>
      <c r="D681" s="1" t="str">
        <f t="shared" si="30"/>
        <v>Faarborg-Midtfyn KommuneVestergade 10 og Rådhusgården 7</v>
      </c>
      <c r="E681" s="1" t="s">
        <v>2068</v>
      </c>
      <c r="F681" s="1" t="s">
        <v>2069</v>
      </c>
      <c r="G681" s="1">
        <v>1918</v>
      </c>
      <c r="H681" s="1" t="s">
        <v>11</v>
      </c>
      <c r="I681" s="6" cm="1">
        <f t="array" ref="I681">GetLatitude(D681)</f>
        <v>550970385</v>
      </c>
      <c r="J681" s="1" cm="1">
        <f t="array" ref="J681">GetLongitude(D681)</f>
        <v>102410854</v>
      </c>
      <c r="K681" s="1">
        <f t="shared" si="31"/>
        <v>55.097038499999996</v>
      </c>
      <c r="L681" s="1">
        <f t="shared" si="32"/>
        <v>10.241085399999999</v>
      </c>
    </row>
    <row r="682" spans="1:12" ht="16" x14ac:dyDescent="0.2">
      <c r="A682" s="1">
        <v>681</v>
      </c>
      <c r="B682" s="1" t="s">
        <v>1797</v>
      </c>
      <c r="C682" s="1" t="s">
        <v>11377</v>
      </c>
      <c r="D682" s="1" t="str">
        <f t="shared" si="30"/>
        <v>Faarborg-Midtfyn KommuneVestergade  1  E  og  1     Vestergade  1  E  og  1     Pakhuset  (1837)  og  det  dermedsammenbyggede sidehus (1838)</v>
      </c>
      <c r="E682" s="1">
        <v>1945</v>
      </c>
      <c r="F682" s="1" t="s">
        <v>11</v>
      </c>
      <c r="G682" s="1"/>
      <c r="H682" s="1" t="s">
        <v>15</v>
      </c>
      <c r="I682" s="6" cm="1">
        <f t="array" ref="I682">GetLatitude(D682)</f>
        <v>551834600</v>
      </c>
      <c r="J682" s="1" cm="1">
        <f t="array" ref="J682">GetLongitude(D682)</f>
        <v>103708703</v>
      </c>
      <c r="K682" s="1">
        <f t="shared" si="31"/>
        <v>55.183459999999997</v>
      </c>
      <c r="L682" s="1">
        <f t="shared" si="32"/>
        <v>10.3708703</v>
      </c>
    </row>
    <row r="683" spans="1:12" ht="16" x14ac:dyDescent="0.2">
      <c r="A683" s="1">
        <v>682</v>
      </c>
      <c r="B683" s="1" t="s">
        <v>1797</v>
      </c>
      <c r="C683" s="1" t="s">
        <v>2070</v>
      </c>
      <c r="D683" s="1" t="str">
        <f t="shared" si="30"/>
        <v>Faarborg-Midtfyn KommuneVestergade 3</v>
      </c>
      <c r="E683" s="1" t="s">
        <v>2071</v>
      </c>
      <c r="F683" s="1" t="s">
        <v>2072</v>
      </c>
      <c r="G683" s="1">
        <v>1919</v>
      </c>
      <c r="H683" s="1" t="s">
        <v>11</v>
      </c>
      <c r="I683" s="6" cm="1">
        <f t="array" ref="I683">GetLatitude(D683)</f>
        <v>551834600</v>
      </c>
      <c r="J683" s="1" cm="1">
        <f t="array" ref="J683">GetLongitude(D683)</f>
        <v>103708703</v>
      </c>
      <c r="K683" s="1">
        <f t="shared" si="31"/>
        <v>55.183459999999997</v>
      </c>
      <c r="L683" s="1">
        <f t="shared" si="32"/>
        <v>10.3708703</v>
      </c>
    </row>
    <row r="684" spans="1:12" ht="16" x14ac:dyDescent="0.2">
      <c r="A684" s="1">
        <v>683</v>
      </c>
      <c r="B684" s="1" t="s">
        <v>1797</v>
      </c>
      <c r="C684" s="1" t="s">
        <v>2073</v>
      </c>
      <c r="D684" s="1" t="str">
        <f t="shared" si="30"/>
        <v>Faarborg-Midtfyn KommuneVestergade 5</v>
      </c>
      <c r="E684" s="1" t="s">
        <v>2074</v>
      </c>
      <c r="F684" s="1" t="s">
        <v>2075</v>
      </c>
      <c r="G684" s="1">
        <v>1918</v>
      </c>
      <c r="H684" s="1" t="s">
        <v>15</v>
      </c>
      <c r="I684" s="6" cm="1">
        <f t="array" ref="I684">GetLatitude(D684)</f>
        <v>551834600</v>
      </c>
      <c r="J684" s="1" cm="1">
        <f t="array" ref="J684">GetLongitude(D684)</f>
        <v>103708703</v>
      </c>
      <c r="K684" s="1">
        <f t="shared" si="31"/>
        <v>55.183459999999997</v>
      </c>
      <c r="L684" s="1">
        <f t="shared" si="32"/>
        <v>10.3708703</v>
      </c>
    </row>
    <row r="685" spans="1:12" ht="16" x14ac:dyDescent="0.2">
      <c r="A685" s="1">
        <v>684</v>
      </c>
      <c r="B685" s="1" t="s">
        <v>1797</v>
      </c>
      <c r="C685" s="1" t="s">
        <v>2076</v>
      </c>
      <c r="D685" s="1" t="str">
        <f t="shared" si="30"/>
        <v>Faarborg-Midtfyn KommuneVestergade 8</v>
      </c>
      <c r="E685" s="1" t="s">
        <v>2077</v>
      </c>
      <c r="F685" s="1" t="s">
        <v>2078</v>
      </c>
      <c r="G685" s="1">
        <v>1919</v>
      </c>
      <c r="H685" s="1" t="s">
        <v>1571</v>
      </c>
      <c r="I685" s="6" cm="1">
        <f t="array" ref="I685">GetLatitude(D685)</f>
        <v>551834600</v>
      </c>
      <c r="J685" s="1" cm="1">
        <f t="array" ref="J685">GetLongitude(D685)</f>
        <v>103708703</v>
      </c>
      <c r="K685" s="1">
        <f t="shared" si="31"/>
        <v>55.183459999999997</v>
      </c>
      <c r="L685" s="1">
        <f t="shared" si="32"/>
        <v>10.3708703</v>
      </c>
    </row>
    <row r="686" spans="1:12" ht="16" x14ac:dyDescent="0.2">
      <c r="A686" s="1">
        <v>685</v>
      </c>
      <c r="B686" s="1" t="s">
        <v>1797</v>
      </c>
      <c r="C686" s="1" t="s">
        <v>2079</v>
      </c>
      <c r="D686" s="1" t="str">
        <f t="shared" si="30"/>
        <v>Faarborg-Midtfyn KommuneVestergade 9</v>
      </c>
      <c r="E686" s="1" t="s">
        <v>2080</v>
      </c>
      <c r="F686" s="1" t="s">
        <v>2081</v>
      </c>
      <c r="G686" s="1">
        <v>1978</v>
      </c>
      <c r="H686" s="1" t="s">
        <v>15</v>
      </c>
      <c r="I686" s="6" cm="1">
        <f t="array" ref="I686">GetLatitude(D686)</f>
        <v>551834600</v>
      </c>
      <c r="J686" s="1" cm="1">
        <f t="array" ref="J686">GetLongitude(D686)</f>
        <v>103708703</v>
      </c>
      <c r="K686" s="1">
        <f t="shared" si="31"/>
        <v>55.183459999999997</v>
      </c>
      <c r="L686" s="1">
        <f t="shared" si="32"/>
        <v>10.3708703</v>
      </c>
    </row>
    <row r="687" spans="1:12" ht="16" x14ac:dyDescent="0.2">
      <c r="A687" s="1">
        <v>686</v>
      </c>
      <c r="B687" s="1" t="s">
        <v>1797</v>
      </c>
      <c r="C687" s="1" t="s">
        <v>2082</v>
      </c>
      <c r="D687" s="1" t="str">
        <f t="shared" si="30"/>
        <v>Faarborg-Midtfyn KommuneØstergade 17</v>
      </c>
      <c r="E687" s="1" t="s">
        <v>2083</v>
      </c>
      <c r="F687" s="1" t="s">
        <v>2084</v>
      </c>
      <c r="G687" s="1">
        <v>1919</v>
      </c>
      <c r="H687" s="1" t="s">
        <v>15</v>
      </c>
      <c r="I687" s="6" cm="1">
        <f t="array" ref="I687">GetLatitude(D687)</f>
        <v>552668462</v>
      </c>
      <c r="J687" s="1" cm="1">
        <f t="array" ref="J687">GetLongitude(D687)</f>
        <v>103292312</v>
      </c>
      <c r="K687" s="1">
        <f t="shared" si="31"/>
        <v>55.266846200000003</v>
      </c>
      <c r="L687" s="1">
        <f t="shared" si="32"/>
        <v>10.329231200000001</v>
      </c>
    </row>
    <row r="688" spans="1:12" ht="16" x14ac:dyDescent="0.2">
      <c r="A688" s="1">
        <v>687</v>
      </c>
      <c r="B688" s="1" t="s">
        <v>1797</v>
      </c>
      <c r="C688" s="1" t="s">
        <v>2085</v>
      </c>
      <c r="D688" s="1" t="str">
        <f t="shared" si="30"/>
        <v>Faarborg-Midtfyn KommuneØstergade 1 A</v>
      </c>
      <c r="E688" s="1" t="s">
        <v>2086</v>
      </c>
      <c r="F688" s="1" t="s">
        <v>2087</v>
      </c>
      <c r="G688" s="1">
        <v>1945</v>
      </c>
      <c r="H688" s="1" t="s">
        <v>11</v>
      </c>
      <c r="I688" s="6" cm="1">
        <f t="array" ref="I688">GetLatitude(D688)</f>
        <v>551834600</v>
      </c>
      <c r="J688" s="1" cm="1">
        <f t="array" ref="J688">GetLongitude(D688)</f>
        <v>103708703</v>
      </c>
      <c r="K688" s="1">
        <f t="shared" si="31"/>
        <v>55.183459999999997</v>
      </c>
      <c r="L688" s="1">
        <f t="shared" si="32"/>
        <v>10.3708703</v>
      </c>
    </row>
    <row r="689" spans="1:12" ht="16" x14ac:dyDescent="0.2">
      <c r="A689" s="1">
        <v>688</v>
      </c>
      <c r="B689" s="1" t="s">
        <v>1797</v>
      </c>
      <c r="C689" s="1" t="s">
        <v>2088</v>
      </c>
      <c r="D689" s="1" t="str">
        <f t="shared" si="30"/>
        <v>Faarborg-Midtfyn KommuneØstergade 25</v>
      </c>
      <c r="E689" s="1" t="s">
        <v>2089</v>
      </c>
      <c r="F689" s="1" t="s">
        <v>2090</v>
      </c>
      <c r="G689" s="1">
        <v>1919</v>
      </c>
      <c r="H689" s="1" t="s">
        <v>11</v>
      </c>
      <c r="I689" s="6" cm="1">
        <f t="array" ref="I689">GetLatitude(D689)</f>
        <v>551834600</v>
      </c>
      <c r="J689" s="1" cm="1">
        <f t="array" ref="J689">GetLongitude(D689)</f>
        <v>103708703</v>
      </c>
      <c r="K689" s="1">
        <f t="shared" si="31"/>
        <v>55.183459999999997</v>
      </c>
      <c r="L689" s="1">
        <f t="shared" si="32"/>
        <v>10.3708703</v>
      </c>
    </row>
    <row r="690" spans="1:12" ht="16" x14ac:dyDescent="0.2">
      <c r="A690" s="1">
        <v>689</v>
      </c>
      <c r="B690" s="1" t="s">
        <v>1797</v>
      </c>
      <c r="C690" s="1" t="s">
        <v>11378</v>
      </c>
      <c r="D690" s="1" t="str">
        <f t="shared" si="30"/>
        <v>Faarborg-Midtfyn KommuneØstergade 45 A-B og 45 E-  Mads Rasmussens Gård</v>
      </c>
      <c r="E690" s="1" t="s">
        <v>2091</v>
      </c>
      <c r="F690" s="1">
        <v>1945</v>
      </c>
      <c r="G690" s="1"/>
      <c r="H690" s="1" t="s">
        <v>15</v>
      </c>
      <c r="I690" s="6" cm="1">
        <f t="array" ref="I690">GetLatitude(D690)</f>
        <v>551041550</v>
      </c>
      <c r="J690" s="1" cm="1">
        <f t="array" ref="J690">GetLongitude(D690)</f>
        <v>102287250</v>
      </c>
      <c r="K690" s="1">
        <f t="shared" si="31"/>
        <v>55.104154999999999</v>
      </c>
      <c r="L690" s="1">
        <f t="shared" si="32"/>
        <v>10.228725000000001</v>
      </c>
    </row>
    <row r="691" spans="1:12" ht="16" x14ac:dyDescent="0.2">
      <c r="A691" s="1">
        <v>690</v>
      </c>
      <c r="B691" s="1" t="s">
        <v>1797</v>
      </c>
      <c r="C691" s="1" t="s">
        <v>2092</v>
      </c>
      <c r="D691" s="1" t="str">
        <f t="shared" si="30"/>
        <v>Faarborg-Midtfyn KommuneØstergyden 3</v>
      </c>
      <c r="E691" s="1" t="s">
        <v>2093</v>
      </c>
      <c r="F691" s="1" t="s">
        <v>2094</v>
      </c>
      <c r="G691" s="1">
        <v>1918</v>
      </c>
      <c r="H691" s="1" t="s">
        <v>11</v>
      </c>
      <c r="I691" s="6" cm="1">
        <f t="array" ref="I691">GetLatitude(D691)</f>
        <v>550795537</v>
      </c>
      <c r="J691" s="1" cm="1">
        <f t="array" ref="J691">GetLongitude(D691)</f>
        <v>103565115</v>
      </c>
      <c r="K691" s="1">
        <f t="shared" si="31"/>
        <v>55.079553699999998</v>
      </c>
      <c r="L691" s="1">
        <f t="shared" si="32"/>
        <v>10.3565115</v>
      </c>
    </row>
    <row r="692" spans="1:12" ht="16" x14ac:dyDescent="0.2">
      <c r="A692" s="1">
        <v>691</v>
      </c>
      <c r="B692" s="1" t="s">
        <v>1797</v>
      </c>
      <c r="C692" s="1" t="s">
        <v>2095</v>
      </c>
      <c r="D692" s="1" t="str">
        <f t="shared" si="30"/>
        <v>Faarborg-Midtfyn KommuneØstrup 38, 48, 50 og 60</v>
      </c>
      <c r="E692" s="1" t="s">
        <v>2096</v>
      </c>
      <c r="F692" s="1" t="s">
        <v>2097</v>
      </c>
      <c r="G692" s="1">
        <v>1918</v>
      </c>
      <c r="H692" s="1" t="s">
        <v>11</v>
      </c>
      <c r="I692" s="6" cm="1">
        <f t="array" ref="I692">GetLatitude(D692)</f>
        <v>551712288</v>
      </c>
      <c r="J692" s="1" cm="1">
        <f t="array" ref="J692">GetLongitude(D692)</f>
        <v>102396902</v>
      </c>
      <c r="K692" s="1">
        <f t="shared" si="31"/>
        <v>55.171228800000002</v>
      </c>
      <c r="L692" s="1">
        <f t="shared" si="32"/>
        <v>10.2396902</v>
      </c>
    </row>
    <row r="693" spans="1:12" ht="16" x14ac:dyDescent="0.2">
      <c r="A693" s="1">
        <v>692</v>
      </c>
      <c r="B693" s="1" t="s">
        <v>2098</v>
      </c>
      <c r="C693" s="1" t="s">
        <v>2099</v>
      </c>
      <c r="D693" s="1" t="str">
        <f t="shared" si="30"/>
        <v>Gentofte Kommune Adolphsvej 25</v>
      </c>
      <c r="E693" s="1" t="s">
        <v>2100</v>
      </c>
      <c r="F693" s="1" t="s">
        <v>2101</v>
      </c>
      <c r="G693" s="1">
        <v>2000</v>
      </c>
      <c r="H693" s="1" t="s">
        <v>15</v>
      </c>
      <c r="I693" s="6" cm="1">
        <f t="array" ref="I693">GetLatitude(D693)</f>
        <v>557462605</v>
      </c>
      <c r="J693" s="1" cm="1">
        <f t="array" ref="J693">GetLongitude(D693)</f>
        <v>125520148</v>
      </c>
      <c r="K693" s="1">
        <f t="shared" si="31"/>
        <v>55.746260499999998</v>
      </c>
      <c r="L693" s="1">
        <f t="shared" si="32"/>
        <v>12.5520148</v>
      </c>
    </row>
    <row r="694" spans="1:12" ht="16" x14ac:dyDescent="0.2">
      <c r="A694" s="1">
        <v>693</v>
      </c>
      <c r="B694" s="1" t="s">
        <v>2098</v>
      </c>
      <c r="C694" s="1" t="s">
        <v>2102</v>
      </c>
      <c r="D694" s="1" t="str">
        <f t="shared" si="30"/>
        <v>Gentofte Kommune Bakkedal 7</v>
      </c>
      <c r="E694" s="1" t="s">
        <v>2103</v>
      </c>
      <c r="F694" s="1" t="s">
        <v>2104</v>
      </c>
      <c r="G694" s="1">
        <v>1998</v>
      </c>
      <c r="H694" s="1" t="s">
        <v>11</v>
      </c>
      <c r="I694" s="6" cm="1">
        <f t="array" ref="I694">GetLatitude(D694)</f>
        <v>557354651</v>
      </c>
      <c r="J694" s="1" cm="1">
        <f t="array" ref="J694">GetLongitude(D694)</f>
        <v>125486637</v>
      </c>
      <c r="K694" s="1">
        <f t="shared" si="31"/>
        <v>55.735465099999999</v>
      </c>
      <c r="L694" s="1">
        <f t="shared" si="32"/>
        <v>12.548663700000001</v>
      </c>
    </row>
    <row r="695" spans="1:12" ht="16" x14ac:dyDescent="0.2">
      <c r="A695" s="1">
        <v>694</v>
      </c>
      <c r="B695" s="1" t="s">
        <v>2098</v>
      </c>
      <c r="C695" s="1" t="s">
        <v>2105</v>
      </c>
      <c r="D695" s="1" t="str">
        <f t="shared" si="30"/>
        <v>Gentofte Kommune Bellevuekrogen 1-26, 903 og Strandvejen 413</v>
      </c>
      <c r="E695" s="1" t="s">
        <v>2106</v>
      </c>
      <c r="F695" s="1" t="s">
        <v>2107</v>
      </c>
      <c r="G695" s="1">
        <v>1987</v>
      </c>
      <c r="H695" s="1" t="s">
        <v>2108</v>
      </c>
      <c r="I695" s="6" cm="1">
        <f t="array" ref="I695">GetLatitude(D695)</f>
        <v>557748648</v>
      </c>
      <c r="J695" s="1" cm="1">
        <f t="array" ref="J695">GetLongitude(D695)</f>
        <v>125912672</v>
      </c>
      <c r="K695" s="1">
        <f t="shared" si="31"/>
        <v>55.774864800000003</v>
      </c>
      <c r="L695" s="1">
        <f t="shared" si="32"/>
        <v>12.591267200000001</v>
      </c>
    </row>
    <row r="696" spans="1:12" ht="16" x14ac:dyDescent="0.2">
      <c r="A696" s="1">
        <v>695</v>
      </c>
      <c r="B696" s="1" t="s">
        <v>2098</v>
      </c>
      <c r="C696" s="1" t="s">
        <v>2109</v>
      </c>
      <c r="D696" s="1" t="str">
        <f t="shared" si="30"/>
        <v>Gentofte Kommune Bernstorff Slot 1</v>
      </c>
      <c r="E696" s="1" t="s">
        <v>2110</v>
      </c>
      <c r="F696" s="1" t="s">
        <v>2111</v>
      </c>
      <c r="G696" s="1">
        <v>1918</v>
      </c>
      <c r="H696" s="1" t="s">
        <v>15</v>
      </c>
      <c r="I696" s="6" cm="1">
        <f t="array" ref="I696">GetLatitude(D696)</f>
        <v>557584216</v>
      </c>
      <c r="J696" s="1" cm="1">
        <f t="array" ref="J696">GetLongitude(D696)</f>
        <v>125523677</v>
      </c>
      <c r="K696" s="1">
        <f t="shared" si="31"/>
        <v>55.758421599999998</v>
      </c>
      <c r="L696" s="1">
        <f t="shared" si="32"/>
        <v>12.5523677</v>
      </c>
    </row>
    <row r="697" spans="1:12" ht="16" x14ac:dyDescent="0.2">
      <c r="A697" s="1">
        <v>696</v>
      </c>
      <c r="B697" s="1" t="s">
        <v>2098</v>
      </c>
      <c r="C697" s="1" t="s">
        <v>2112</v>
      </c>
      <c r="D697" s="1" t="str">
        <f t="shared" si="30"/>
        <v>Gentofte Kommune Bernstorffsvej 17</v>
      </c>
      <c r="E697" s="1" t="s">
        <v>2113</v>
      </c>
      <c r="F697" s="1" t="s">
        <v>2114</v>
      </c>
      <c r="G697" s="1">
        <v>1996</v>
      </c>
      <c r="H697" s="1" t="s">
        <v>2115</v>
      </c>
      <c r="I697" s="6" cm="1">
        <f t="array" ref="I697">GetLatitude(D697)</f>
        <v>557271330</v>
      </c>
      <c r="J697" s="1" cm="1">
        <f t="array" ref="J697">GetLongitude(D697)</f>
        <v>125546128</v>
      </c>
      <c r="K697" s="1">
        <f t="shared" si="31"/>
        <v>55.727133000000002</v>
      </c>
      <c r="L697" s="1">
        <f t="shared" si="32"/>
        <v>12.554612799999999</v>
      </c>
    </row>
    <row r="698" spans="1:12" ht="16" x14ac:dyDescent="0.2">
      <c r="A698" s="1">
        <v>697</v>
      </c>
      <c r="B698" s="1" t="s">
        <v>2098</v>
      </c>
      <c r="C698" s="1" t="s">
        <v>2116</v>
      </c>
      <c r="D698" s="1" t="str">
        <f t="shared" si="30"/>
        <v>Gentofte Kommune Bernstorffsvej 27</v>
      </c>
      <c r="E698" s="1" t="s">
        <v>2117</v>
      </c>
      <c r="F698" s="1" t="s">
        <v>2118</v>
      </c>
      <c r="G698" s="1">
        <v>2013</v>
      </c>
      <c r="H698" s="1" t="s">
        <v>15</v>
      </c>
      <c r="I698" s="6" cm="1">
        <f t="array" ref="I698">GetLatitude(D698)</f>
        <v>557289760</v>
      </c>
      <c r="J698" s="1" cm="1">
        <f t="array" ref="J698">GetLongitude(D698)</f>
        <v>125547051</v>
      </c>
      <c r="K698" s="1">
        <f t="shared" si="31"/>
        <v>55.728976000000003</v>
      </c>
      <c r="L698" s="1">
        <f t="shared" si="32"/>
        <v>12.5547051</v>
      </c>
    </row>
    <row r="699" spans="1:12" ht="16" x14ac:dyDescent="0.2">
      <c r="A699" s="1">
        <v>698</v>
      </c>
      <c r="B699" s="1" t="s">
        <v>2098</v>
      </c>
      <c r="C699" s="1" t="s">
        <v>2119</v>
      </c>
      <c r="D699" s="1" t="str">
        <f t="shared" si="30"/>
        <v>Gentofte Kommune Brogårdsvej 72</v>
      </c>
      <c r="E699" s="1" t="s">
        <v>2120</v>
      </c>
      <c r="F699" s="1" t="s">
        <v>2121</v>
      </c>
      <c r="G699" s="1">
        <v>1995</v>
      </c>
      <c r="H699" s="1" t="s">
        <v>11</v>
      </c>
      <c r="I699" s="6" cm="1">
        <f t="array" ref="I699">GetLatitude(D699)</f>
        <v>557542446</v>
      </c>
      <c r="J699" s="1" cm="1">
        <f t="array" ref="J699">GetLongitude(D699)</f>
        <v>125253764</v>
      </c>
      <c r="K699" s="1">
        <f t="shared" si="31"/>
        <v>55.7542446</v>
      </c>
      <c r="L699" s="1">
        <f t="shared" si="32"/>
        <v>12.525376400000001</v>
      </c>
    </row>
    <row r="700" spans="1:12" ht="16" x14ac:dyDescent="0.2">
      <c r="A700" s="1">
        <v>699</v>
      </c>
      <c r="B700" s="1" t="s">
        <v>2098</v>
      </c>
      <c r="C700" s="1" t="s">
        <v>2122</v>
      </c>
      <c r="D700" s="1" t="str">
        <f t="shared" si="30"/>
        <v>Gentofte Kommune Dyrehavevej 3</v>
      </c>
      <c r="E700" s="1" t="s">
        <v>2123</v>
      </c>
      <c r="F700" s="1" t="s">
        <v>2124</v>
      </c>
      <c r="G700" s="1">
        <v>1992</v>
      </c>
      <c r="H700" s="1" t="s">
        <v>15</v>
      </c>
      <c r="I700" s="6" cm="1">
        <f t="array" ref="I700">GetLatitude(D700)</f>
        <v>557765982</v>
      </c>
      <c r="J700" s="1" cm="1">
        <f t="array" ref="J700">GetLongitude(D700)</f>
        <v>125877904</v>
      </c>
      <c r="K700" s="1">
        <f t="shared" si="31"/>
        <v>55.776598200000002</v>
      </c>
      <c r="L700" s="1">
        <f t="shared" si="32"/>
        <v>12.587790399999999</v>
      </c>
    </row>
    <row r="701" spans="1:12" ht="16" x14ac:dyDescent="0.2">
      <c r="A701" s="1">
        <v>700</v>
      </c>
      <c r="B701" s="1" t="s">
        <v>2098</v>
      </c>
      <c r="C701" s="1" t="s">
        <v>2125</v>
      </c>
      <c r="D701" s="1" t="str">
        <f t="shared" si="30"/>
        <v>Gentofte Kommune Ermelundsvej 105</v>
      </c>
      <c r="E701" s="1" t="s">
        <v>2126</v>
      </c>
      <c r="F701" s="1" t="s">
        <v>2127</v>
      </c>
      <c r="G701" s="1">
        <v>1945</v>
      </c>
      <c r="H701" s="1" t="s">
        <v>11</v>
      </c>
      <c r="I701" s="6" cm="1">
        <f t="array" ref="I701">GetLatitude(D701)</f>
        <v>557637304</v>
      </c>
      <c r="J701" s="1" cm="1">
        <f t="array" ref="J701">GetLongitude(D701)</f>
        <v>125354080</v>
      </c>
      <c r="K701" s="1">
        <f t="shared" si="31"/>
        <v>55.7637304</v>
      </c>
      <c r="L701" s="1">
        <f t="shared" si="32"/>
        <v>12.535408</v>
      </c>
    </row>
    <row r="702" spans="1:12" ht="16" x14ac:dyDescent="0.2">
      <c r="A702" s="1">
        <v>701</v>
      </c>
      <c r="B702" s="1" t="s">
        <v>2098</v>
      </c>
      <c r="C702" s="1" t="s">
        <v>2128</v>
      </c>
      <c r="D702" s="1" t="str">
        <f t="shared" si="30"/>
        <v>Gentofte Kommune Ermelundsvej 94</v>
      </c>
      <c r="E702" s="1" t="s">
        <v>2129</v>
      </c>
      <c r="F702" s="1" t="s">
        <v>2130</v>
      </c>
      <c r="G702" s="1">
        <v>1945</v>
      </c>
      <c r="H702" s="1" t="s">
        <v>11</v>
      </c>
      <c r="I702" s="6" cm="1">
        <f t="array" ref="I702">GetLatitude(D702)</f>
        <v>557634901</v>
      </c>
      <c r="J702" s="1" cm="1">
        <f t="array" ref="J702">GetLongitude(D702)</f>
        <v>125364090</v>
      </c>
      <c r="K702" s="1">
        <f t="shared" si="31"/>
        <v>55.763490099999999</v>
      </c>
      <c r="L702" s="1">
        <f t="shared" si="32"/>
        <v>12.536409000000001</v>
      </c>
    </row>
    <row r="703" spans="1:12" ht="16" x14ac:dyDescent="0.2">
      <c r="A703" s="1">
        <v>702</v>
      </c>
      <c r="B703" s="1" t="s">
        <v>2098</v>
      </c>
      <c r="C703" s="1" t="s">
        <v>2131</v>
      </c>
      <c r="D703" s="1" t="str">
        <f t="shared" si="30"/>
        <v>Gentofte Kommune Ermelundsvej 96</v>
      </c>
      <c r="E703" s="1" t="s">
        <v>2132</v>
      </c>
      <c r="F703" s="1" t="s">
        <v>2133</v>
      </c>
      <c r="G703" s="1">
        <v>1999</v>
      </c>
      <c r="H703" s="1" t="s">
        <v>15</v>
      </c>
      <c r="I703" s="6" cm="1">
        <f t="array" ref="I703">GetLatitude(D703)</f>
        <v>557635143</v>
      </c>
      <c r="J703" s="1" cm="1">
        <f t="array" ref="J703">GetLongitude(D703)</f>
        <v>125370583</v>
      </c>
      <c r="K703" s="1">
        <f t="shared" si="31"/>
        <v>55.763514299999997</v>
      </c>
      <c r="L703" s="1">
        <f t="shared" si="32"/>
        <v>12.5370583</v>
      </c>
    </row>
    <row r="704" spans="1:12" ht="16" x14ac:dyDescent="0.2">
      <c r="A704" s="1">
        <v>703</v>
      </c>
      <c r="B704" s="1" t="s">
        <v>2098</v>
      </c>
      <c r="C704" s="1" t="s">
        <v>2134</v>
      </c>
      <c r="D704" s="1" t="str">
        <f t="shared" si="30"/>
        <v>Gentofte Kommune Femvejen 2</v>
      </c>
      <c r="E704" s="1" t="s">
        <v>2135</v>
      </c>
      <c r="F704" s="1" t="s">
        <v>2136</v>
      </c>
      <c r="G704" s="1">
        <v>2010</v>
      </c>
      <c r="H704" s="1" t="s">
        <v>15</v>
      </c>
      <c r="I704" s="6" cm="1">
        <f t="array" ref="I704">GetLatitude(D704)</f>
        <v>557531100</v>
      </c>
      <c r="J704" s="1" cm="1">
        <f t="array" ref="J704">GetLongitude(D704)</f>
        <v>125386956</v>
      </c>
      <c r="K704" s="1">
        <f t="shared" si="31"/>
        <v>55.75311</v>
      </c>
      <c r="L704" s="1">
        <f t="shared" si="32"/>
        <v>12.5386956</v>
      </c>
    </row>
    <row r="705" spans="1:12" ht="16" x14ac:dyDescent="0.2">
      <c r="A705" s="1">
        <v>704</v>
      </c>
      <c r="B705" s="1" t="s">
        <v>2098</v>
      </c>
      <c r="C705" s="1" t="s">
        <v>2137</v>
      </c>
      <c r="D705" s="1" t="str">
        <f t="shared" si="30"/>
        <v>Gentofte Kommune Gersonsvej 32</v>
      </c>
      <c r="E705" s="1" t="s">
        <v>2138</v>
      </c>
      <c r="F705" s="1" t="s">
        <v>2139</v>
      </c>
      <c r="G705" s="1">
        <v>1995</v>
      </c>
      <c r="H705" s="1" t="s">
        <v>15</v>
      </c>
      <c r="I705" s="6" cm="1">
        <f t="array" ref="I705">GetLatitude(D705)</f>
        <v>557379296</v>
      </c>
      <c r="J705" s="1" cm="1">
        <f t="array" ref="J705">GetLongitude(D705)</f>
        <v>125668649</v>
      </c>
      <c r="K705" s="1">
        <f t="shared" si="31"/>
        <v>55.737929600000001</v>
      </c>
      <c r="L705" s="1">
        <f t="shared" si="32"/>
        <v>12.566864900000001</v>
      </c>
    </row>
    <row r="706" spans="1:12" ht="16" x14ac:dyDescent="0.2">
      <c r="A706" s="1">
        <v>705</v>
      </c>
      <c r="B706" s="1" t="s">
        <v>2098</v>
      </c>
      <c r="C706" s="1" t="s">
        <v>2140</v>
      </c>
      <c r="D706" s="1" t="str">
        <f t="shared" si="30"/>
        <v>Gentofte Kommune Gotfred Rodesvej 2</v>
      </c>
      <c r="E706" s="1" t="s">
        <v>2141</v>
      </c>
      <c r="F706" s="1" t="s">
        <v>2142</v>
      </c>
      <c r="G706" s="1">
        <v>1987</v>
      </c>
      <c r="H706" s="1" t="s">
        <v>15</v>
      </c>
      <c r="I706" s="6" cm="1">
        <f t="array" ref="I706">GetLatitude(D706)</f>
        <v>557677321</v>
      </c>
      <c r="J706" s="1" cm="1">
        <f t="array" ref="J706">GetLongitude(D706)</f>
        <v>125686735</v>
      </c>
      <c r="K706" s="1">
        <f t="shared" si="31"/>
        <v>55.767732100000003</v>
      </c>
      <c r="L706" s="1">
        <f t="shared" si="32"/>
        <v>12.568673499999999</v>
      </c>
    </row>
    <row r="707" spans="1:12" ht="16" x14ac:dyDescent="0.2">
      <c r="A707" s="1">
        <v>706</v>
      </c>
      <c r="B707" s="1" t="s">
        <v>2098</v>
      </c>
      <c r="C707" s="1" t="s">
        <v>2143</v>
      </c>
      <c r="D707" s="1" t="str">
        <f t="shared" ref="D707:D770" si="33">B707&amp;C707</f>
        <v>Gentofte Kommune Hvidørevej 24</v>
      </c>
      <c r="E707" s="1" t="s">
        <v>2144</v>
      </c>
      <c r="F707" s="1" t="s">
        <v>2145</v>
      </c>
      <c r="G707" s="1">
        <v>1987</v>
      </c>
      <c r="H707" s="1" t="s">
        <v>15</v>
      </c>
      <c r="I707" s="6" cm="1">
        <f t="array" ref="I707">GetLatitude(D707)</f>
        <v>557685751</v>
      </c>
      <c r="J707" s="1" cm="1">
        <f t="array" ref="J707">GetLongitude(D707)</f>
        <v>125885105</v>
      </c>
      <c r="K707" s="1">
        <f t="shared" si="31"/>
        <v>55.7685751</v>
      </c>
      <c r="L707" s="1">
        <f t="shared" si="32"/>
        <v>12.5885105</v>
      </c>
    </row>
    <row r="708" spans="1:12" ht="16" x14ac:dyDescent="0.2">
      <c r="A708" s="1">
        <v>707</v>
      </c>
      <c r="B708" s="1" t="s">
        <v>2098</v>
      </c>
      <c r="C708" s="1" t="s">
        <v>2146</v>
      </c>
      <c r="D708" s="1" t="str">
        <f t="shared" si="33"/>
        <v>Gentofte Kommune Hvidørevej 28</v>
      </c>
      <c r="E708" s="1" t="s">
        <v>2147</v>
      </c>
      <c r="F708" s="1" t="s">
        <v>2148</v>
      </c>
      <c r="G708" s="1">
        <v>1987</v>
      </c>
      <c r="H708" s="1" t="s">
        <v>11</v>
      </c>
      <c r="I708" s="6" cm="1">
        <f t="array" ref="I708">GetLatitude(D708)</f>
        <v>557684883</v>
      </c>
      <c r="J708" s="1" cm="1">
        <f t="array" ref="J708">GetLongitude(D708)</f>
        <v>125872510</v>
      </c>
      <c r="K708" s="1">
        <f t="shared" ref="K708:K771" si="34">I708/10000000</f>
        <v>55.768488300000001</v>
      </c>
      <c r="L708" s="1">
        <f t="shared" ref="L708:L771" si="35">J708/10000000</f>
        <v>12.587251</v>
      </c>
    </row>
    <row r="709" spans="1:12" ht="16" x14ac:dyDescent="0.2">
      <c r="A709" s="1">
        <v>708</v>
      </c>
      <c r="B709" s="1" t="s">
        <v>2098</v>
      </c>
      <c r="C709" s="1" t="s">
        <v>2149</v>
      </c>
      <c r="D709" s="1" t="str">
        <f t="shared" si="33"/>
        <v>Gentofte Kommune Jægersborg Allé 150-158 og Meutegårdsvej 2A-2C</v>
      </c>
      <c r="E709" s="1" t="s">
        <v>2150</v>
      </c>
      <c r="F709" s="1" t="s">
        <v>2151</v>
      </c>
      <c r="G709" s="1">
        <v>1918</v>
      </c>
      <c r="H709" s="1" t="s">
        <v>2152</v>
      </c>
      <c r="I709" s="6" cm="1">
        <f t="array" ref="I709">GetLatitude(D709)</f>
        <v>557624740</v>
      </c>
      <c r="J709" s="1" cm="1">
        <f t="array" ref="J709">GetLongitude(D709)</f>
        <v>125407637</v>
      </c>
      <c r="K709" s="1">
        <f t="shared" si="34"/>
        <v>55.762473999999997</v>
      </c>
      <c r="L709" s="1">
        <f t="shared" si="35"/>
        <v>12.540763699999999</v>
      </c>
    </row>
    <row r="710" spans="1:12" ht="16" x14ac:dyDescent="0.2">
      <c r="A710" s="1">
        <v>709</v>
      </c>
      <c r="B710" s="1" t="s">
        <v>2098</v>
      </c>
      <c r="C710" s="1" t="s">
        <v>2153</v>
      </c>
      <c r="D710" s="1" t="str">
        <f t="shared" si="33"/>
        <v>Gentofte Kommune Jægersborg Allé 170 A</v>
      </c>
      <c r="E710" s="1" t="s">
        <v>2154</v>
      </c>
      <c r="F710" s="1" t="s">
        <v>2155</v>
      </c>
      <c r="G710" s="1">
        <v>1945</v>
      </c>
      <c r="H710" s="1" t="s">
        <v>15</v>
      </c>
      <c r="I710" s="6" cm="1">
        <f t="array" ref="I710">GetLatitude(D710)</f>
        <v>557628850</v>
      </c>
      <c r="J710" s="1" cm="1">
        <f t="array" ref="J710">GetLongitude(D710)</f>
        <v>125340630</v>
      </c>
      <c r="K710" s="1">
        <f t="shared" si="34"/>
        <v>55.762884999999997</v>
      </c>
      <c r="L710" s="1">
        <f t="shared" si="35"/>
        <v>12.534063</v>
      </c>
    </row>
    <row r="711" spans="1:12" ht="16" x14ac:dyDescent="0.2">
      <c r="A711" s="1">
        <v>710</v>
      </c>
      <c r="B711" s="1" t="s">
        <v>2098</v>
      </c>
      <c r="C711" s="1" t="s">
        <v>2156</v>
      </c>
      <c r="D711" s="1" t="str">
        <f t="shared" si="33"/>
        <v>Gentofte Kommune Jægersborg Allé 1 A</v>
      </c>
      <c r="E711" s="1" t="s">
        <v>2157</v>
      </c>
      <c r="F711" s="1" t="s">
        <v>2158</v>
      </c>
      <c r="G711" s="1">
        <v>1918</v>
      </c>
      <c r="H711" s="1" t="s">
        <v>15</v>
      </c>
      <c r="I711" s="6" cm="1">
        <f t="array" ref="I711">GetLatitude(D711)</f>
        <v>557488800</v>
      </c>
      <c r="J711" s="1" cm="1">
        <f t="array" ref="J711">GetLongitude(D711)</f>
        <v>125857621</v>
      </c>
      <c r="K711" s="1">
        <f t="shared" si="34"/>
        <v>55.74888</v>
      </c>
      <c r="L711" s="1">
        <f t="shared" si="35"/>
        <v>12.5857621</v>
      </c>
    </row>
    <row r="712" spans="1:12" ht="16" x14ac:dyDescent="0.2">
      <c r="A712" s="1">
        <v>711</v>
      </c>
      <c r="B712" s="1" t="s">
        <v>2098</v>
      </c>
      <c r="C712" s="1" t="s">
        <v>2159</v>
      </c>
      <c r="D712" s="1" t="str">
        <f t="shared" si="33"/>
        <v>Gentofte Kommune Jægersborg Allé 2</v>
      </c>
      <c r="E712" s="1" t="s">
        <v>2160</v>
      </c>
      <c r="F712" s="1" t="s">
        <v>2161</v>
      </c>
      <c r="G712" s="1">
        <v>1998</v>
      </c>
      <c r="H712" s="1" t="s">
        <v>15</v>
      </c>
      <c r="I712" s="6" cm="1">
        <f t="array" ref="I712">GetLatitude(D712)</f>
        <v>557495549</v>
      </c>
      <c r="J712" s="1" cm="1">
        <f t="array" ref="J712">GetLongitude(D712)</f>
        <v>125845242</v>
      </c>
      <c r="K712" s="1">
        <f t="shared" si="34"/>
        <v>55.7495549</v>
      </c>
      <c r="L712" s="1">
        <f t="shared" si="35"/>
        <v>12.584524200000001</v>
      </c>
    </row>
    <row r="713" spans="1:12" ht="16" x14ac:dyDescent="0.2">
      <c r="A713" s="1">
        <v>712</v>
      </c>
      <c r="B713" s="1" t="s">
        <v>2098</v>
      </c>
      <c r="C713" s="1" t="s">
        <v>2162</v>
      </c>
      <c r="D713" s="1" t="str">
        <f t="shared" si="33"/>
        <v>Gentofte Kommune Jægersborg Allé 90</v>
      </c>
      <c r="E713" s="1" t="s">
        <v>2163</v>
      </c>
      <c r="F713" s="1" t="s">
        <v>2164</v>
      </c>
      <c r="G713" s="1">
        <v>1945</v>
      </c>
      <c r="H713" s="1" t="s">
        <v>11</v>
      </c>
      <c r="I713" s="6" cm="1">
        <f t="array" ref="I713">GetLatitude(D713)</f>
        <v>557579542</v>
      </c>
      <c r="J713" s="1" cm="1">
        <f t="array" ref="J713">GetLongitude(D713)</f>
        <v>125597705</v>
      </c>
      <c r="K713" s="1">
        <f t="shared" si="34"/>
        <v>55.7579542</v>
      </c>
      <c r="L713" s="1">
        <f t="shared" si="35"/>
        <v>12.559770500000001</v>
      </c>
    </row>
    <row r="714" spans="1:12" ht="16" x14ac:dyDescent="0.2">
      <c r="A714" s="1">
        <v>713</v>
      </c>
      <c r="B714" s="1" t="s">
        <v>2098</v>
      </c>
      <c r="C714" s="1" t="s">
        <v>2165</v>
      </c>
      <c r="D714" s="1" t="str">
        <f t="shared" si="33"/>
        <v>Gentofte Kommune  Jægersborg Allé 92-94</v>
      </c>
      <c r="E714" s="1" t="s">
        <v>2165</v>
      </c>
      <c r="F714" s="1" t="s">
        <v>2166</v>
      </c>
      <c r="G714" s="1">
        <v>1944</v>
      </c>
      <c r="H714" s="1" t="s">
        <v>15</v>
      </c>
      <c r="I714" s="6" cm="1">
        <f t="array" ref="I714">GetLatitude(D714)</f>
        <v>557581530</v>
      </c>
      <c r="J714" s="1" cm="1">
        <f t="array" ref="J714">GetLongitude(D714)</f>
        <v>125596730</v>
      </c>
      <c r="K714" s="1">
        <f t="shared" si="34"/>
        <v>55.758153</v>
      </c>
      <c r="L714" s="1">
        <f t="shared" si="35"/>
        <v>12.559673</v>
      </c>
    </row>
    <row r="715" spans="1:12" ht="16" x14ac:dyDescent="0.2">
      <c r="A715" s="1">
        <v>714</v>
      </c>
      <c r="B715" s="1" t="s">
        <v>2098</v>
      </c>
      <c r="C715" s="1" t="s">
        <v>2167</v>
      </c>
      <c r="D715" s="1" t="str">
        <f t="shared" si="33"/>
        <v>Gentofte Kommune Jægersborg Allé 95</v>
      </c>
      <c r="E715" s="1" t="s">
        <v>2168</v>
      </c>
      <c r="F715" s="1" t="s">
        <v>2169</v>
      </c>
      <c r="G715" s="1">
        <v>1987</v>
      </c>
      <c r="H715" s="1" t="s">
        <v>15</v>
      </c>
      <c r="I715" s="6" cm="1">
        <f t="array" ref="I715">GetLatitude(D715)</f>
        <v>557597909</v>
      </c>
      <c r="J715" s="1" cm="1">
        <f t="array" ref="J715">GetLongitude(D715)</f>
        <v>125534806</v>
      </c>
      <c r="K715" s="1">
        <f t="shared" si="34"/>
        <v>55.759790899999999</v>
      </c>
      <c r="L715" s="1">
        <f t="shared" si="35"/>
        <v>12.5534806</v>
      </c>
    </row>
    <row r="716" spans="1:12" ht="16" x14ac:dyDescent="0.2">
      <c r="A716" s="1">
        <v>715</v>
      </c>
      <c r="B716" s="1" t="s">
        <v>2098</v>
      </c>
      <c r="C716" s="1" t="s">
        <v>2170</v>
      </c>
      <c r="D716" s="1" t="str">
        <f t="shared" si="33"/>
        <v>Gentofte Kommune Krathusvej 2, tidl Ørnekulsvej 14</v>
      </c>
      <c r="E716" s="1" t="s">
        <v>2171</v>
      </c>
      <c r="F716" s="1" t="s">
        <v>2172</v>
      </c>
      <c r="G716" s="1">
        <v>1992</v>
      </c>
      <c r="H716" s="1" t="s">
        <v>11</v>
      </c>
      <c r="I716" s="6" cm="1">
        <f t="array" ref="I716">GetLatitude(D716)</f>
        <v>557663540</v>
      </c>
      <c r="J716" s="1" cm="1">
        <f t="array" ref="J716">GetLongitude(D716)</f>
        <v>125738830</v>
      </c>
      <c r="K716" s="1">
        <f t="shared" si="34"/>
        <v>55.766354</v>
      </c>
      <c r="L716" s="1">
        <f t="shared" si="35"/>
        <v>12.573883</v>
      </c>
    </row>
    <row r="717" spans="1:12" ht="16" x14ac:dyDescent="0.2">
      <c r="A717" s="1">
        <v>716</v>
      </c>
      <c r="B717" s="1" t="s">
        <v>2098</v>
      </c>
      <c r="C717" s="1" t="s">
        <v>2173</v>
      </c>
      <c r="D717" s="1" t="str">
        <f t="shared" si="33"/>
        <v>Gentofte Kommune Krathusvej 36</v>
      </c>
      <c r="E717" s="1" t="s">
        <v>2174</v>
      </c>
      <c r="F717" s="1" t="s">
        <v>2175</v>
      </c>
      <c r="G717" s="1">
        <v>1945</v>
      </c>
      <c r="H717" s="1" t="s">
        <v>11</v>
      </c>
      <c r="I717" s="6" cm="1">
        <f t="array" ref="I717">GetLatitude(D717)</f>
        <v>557698329</v>
      </c>
      <c r="J717" s="1" cm="1">
        <f t="array" ref="J717">GetLongitude(D717)</f>
        <v>125725648</v>
      </c>
      <c r="K717" s="1">
        <f t="shared" si="34"/>
        <v>55.769832899999997</v>
      </c>
      <c r="L717" s="1">
        <f t="shared" si="35"/>
        <v>12.5725648</v>
      </c>
    </row>
    <row r="718" spans="1:12" ht="16" x14ac:dyDescent="0.2">
      <c r="A718" s="1">
        <v>717</v>
      </c>
      <c r="B718" s="1" t="s">
        <v>2098</v>
      </c>
      <c r="C718" s="1" t="s">
        <v>2176</v>
      </c>
      <c r="D718" s="1" t="str">
        <f t="shared" si="33"/>
        <v>Gentofte Kommune Krathusvej 7</v>
      </c>
      <c r="E718" s="1" t="s">
        <v>2177</v>
      </c>
      <c r="F718" s="1" t="s">
        <v>2178</v>
      </c>
      <c r="G718" s="1">
        <v>1987</v>
      </c>
      <c r="H718" s="1" t="s">
        <v>11</v>
      </c>
      <c r="I718" s="6" cm="1">
        <f t="array" ref="I718">GetLatitude(D718)</f>
        <v>557672934</v>
      </c>
      <c r="J718" s="1" cm="1">
        <f t="array" ref="J718">GetLongitude(D718)</f>
        <v>125727974</v>
      </c>
      <c r="K718" s="1">
        <f t="shared" si="34"/>
        <v>55.7672934</v>
      </c>
      <c r="L718" s="1">
        <f t="shared" si="35"/>
        <v>12.572797400000001</v>
      </c>
    </row>
    <row r="719" spans="1:12" ht="16" x14ac:dyDescent="0.2">
      <c r="A719" s="1">
        <v>718</v>
      </c>
      <c r="B719" s="1" t="s">
        <v>2098</v>
      </c>
      <c r="C719" s="1" t="s">
        <v>2179</v>
      </c>
      <c r="D719" s="1" t="str">
        <f t="shared" si="33"/>
        <v>Gentofte Kommune Kratvænget 9</v>
      </c>
      <c r="E719" s="1" t="s">
        <v>2180</v>
      </c>
      <c r="F719" s="1" t="s">
        <v>2181</v>
      </c>
      <c r="G719" s="1">
        <v>2014</v>
      </c>
      <c r="H719" s="1" t="s">
        <v>15</v>
      </c>
      <c r="I719" s="6" cm="1">
        <f t="array" ref="I719">GetLatitude(D719)</f>
        <v>557669106</v>
      </c>
      <c r="J719" s="1" cm="1">
        <f t="array" ref="J719">GetLongitude(D719)</f>
        <v>125645721</v>
      </c>
      <c r="K719" s="1">
        <f t="shared" si="34"/>
        <v>55.766910600000003</v>
      </c>
      <c r="L719" s="1">
        <f t="shared" si="35"/>
        <v>12.564572099999999</v>
      </c>
    </row>
    <row r="720" spans="1:12" ht="16" x14ac:dyDescent="0.2">
      <c r="A720" s="1">
        <v>719</v>
      </c>
      <c r="B720" s="1" t="s">
        <v>2098</v>
      </c>
      <c r="C720" s="1" t="s">
        <v>2182</v>
      </c>
      <c r="D720" s="1" t="str">
        <f t="shared" si="33"/>
        <v>Gentofte Kommune Kystvejen 24</v>
      </c>
      <c r="E720" s="1" t="s">
        <v>2183</v>
      </c>
      <c r="F720" s="1" t="s">
        <v>2184</v>
      </c>
      <c r="G720" s="1">
        <v>1986</v>
      </c>
      <c r="H720" s="1" t="s">
        <v>15</v>
      </c>
      <c r="I720" s="6" cm="1">
        <f t="array" ref="I720">GetLatitude(D720)</f>
        <v>557632440</v>
      </c>
      <c r="J720" s="1" cm="1">
        <f t="array" ref="J720">GetLongitude(D720)</f>
        <v>125994674</v>
      </c>
      <c r="K720" s="1">
        <f t="shared" si="34"/>
        <v>55.763244</v>
      </c>
      <c r="L720" s="1">
        <f t="shared" si="35"/>
        <v>12.5994674</v>
      </c>
    </row>
    <row r="721" spans="1:12" ht="16" x14ac:dyDescent="0.2">
      <c r="A721" s="1">
        <v>720</v>
      </c>
      <c r="B721" s="1" t="s">
        <v>2098</v>
      </c>
      <c r="C721" s="1" t="s">
        <v>2185</v>
      </c>
      <c r="D721" s="1" t="str">
        <f t="shared" si="33"/>
        <v>Gentofte Kommune Lyngbyvej 485</v>
      </c>
      <c r="E721" s="1" t="s">
        <v>2186</v>
      </c>
      <c r="F721" s="1" t="s">
        <v>2187</v>
      </c>
      <c r="G721" s="1">
        <v>1918</v>
      </c>
      <c r="H721" s="1" t="s">
        <v>15</v>
      </c>
      <c r="I721" s="6" cm="1">
        <f t="array" ref="I721">GetLatitude(D721)</f>
        <v>557597698</v>
      </c>
      <c r="J721" s="1" cm="1">
        <f t="array" ref="J721">GetLongitude(D721)</f>
        <v>125148123</v>
      </c>
      <c r="K721" s="1">
        <f t="shared" si="34"/>
        <v>55.759769800000001</v>
      </c>
      <c r="L721" s="1">
        <f t="shared" si="35"/>
        <v>12.514812299999999</v>
      </c>
    </row>
    <row r="722" spans="1:12" ht="16" x14ac:dyDescent="0.2">
      <c r="A722" s="1">
        <v>721</v>
      </c>
      <c r="B722" s="1" t="s">
        <v>2098</v>
      </c>
      <c r="C722" s="1" t="s">
        <v>2188</v>
      </c>
      <c r="D722" s="1" t="str">
        <f t="shared" si="33"/>
        <v>Gentofte Kommune Lyngbyvej ved Fristedet</v>
      </c>
      <c r="E722" s="1" t="s">
        <v>2189</v>
      </c>
      <c r="F722" s="1" t="s">
        <v>2190</v>
      </c>
      <c r="G722" s="1">
        <v>1918</v>
      </c>
      <c r="H722" s="1" t="s">
        <v>15</v>
      </c>
      <c r="I722" s="6" cm="1">
        <f t="array" ref="I722">GetLatitude(D722)</f>
        <v>557424185</v>
      </c>
      <c r="J722" s="1" cm="1">
        <f t="array" ref="J722">GetLongitude(D722)</f>
        <v>125342105</v>
      </c>
      <c r="K722" s="1">
        <f t="shared" si="34"/>
        <v>55.742418499999999</v>
      </c>
      <c r="L722" s="1">
        <f t="shared" si="35"/>
        <v>12.5342105</v>
      </c>
    </row>
    <row r="723" spans="1:12" ht="16" x14ac:dyDescent="0.2">
      <c r="A723" s="1">
        <v>722</v>
      </c>
      <c r="B723" s="1" t="s">
        <v>2098</v>
      </c>
      <c r="C723" s="1" t="s">
        <v>2191</v>
      </c>
      <c r="D723" s="1" t="str">
        <f t="shared" si="33"/>
        <v>Gentofte Kommune Ordrup Station 1 (tidl Schioldannsvej 21)</v>
      </c>
      <c r="E723" s="1" t="s">
        <v>2192</v>
      </c>
      <c r="F723" s="1" t="s">
        <v>2193</v>
      </c>
      <c r="G723" s="1">
        <v>1992</v>
      </c>
      <c r="H723" s="1" t="s">
        <v>15</v>
      </c>
      <c r="I723" s="6" cm="1">
        <f t="array" ref="I723">GetLatitude(D723)</f>
        <v>557629377</v>
      </c>
      <c r="J723" s="1" cm="1">
        <f t="array" ref="J723">GetLongitude(D723)</f>
        <v>125835994</v>
      </c>
      <c r="K723" s="1">
        <f t="shared" si="34"/>
        <v>55.762937700000002</v>
      </c>
      <c r="L723" s="1">
        <f t="shared" si="35"/>
        <v>12.583599400000001</v>
      </c>
    </row>
    <row r="724" spans="1:12" ht="16" x14ac:dyDescent="0.2">
      <c r="A724" s="1">
        <v>723</v>
      </c>
      <c r="B724" s="1" t="s">
        <v>2098</v>
      </c>
      <c r="C724" s="1" t="s">
        <v>2194</v>
      </c>
      <c r="D724" s="1" t="str">
        <f t="shared" si="33"/>
        <v>Gentofte Kommune Ordrupvej 70 A-B</v>
      </c>
      <c r="E724" s="1" t="s">
        <v>2195</v>
      </c>
      <c r="F724" s="1" t="s">
        <v>2196</v>
      </c>
      <c r="G724" s="1">
        <v>1996</v>
      </c>
      <c r="H724" s="1" t="s">
        <v>11</v>
      </c>
      <c r="I724" s="6" cm="1">
        <f t="array" ref="I724">GetLatitude(D724)</f>
        <v>557622969</v>
      </c>
      <c r="J724" s="1" cm="1">
        <f t="array" ref="J724">GetLongitude(D724)</f>
        <v>125758734</v>
      </c>
      <c r="K724" s="1">
        <f t="shared" si="34"/>
        <v>55.762296900000003</v>
      </c>
      <c r="L724" s="1">
        <f t="shared" si="35"/>
        <v>12.575873400000001</v>
      </c>
    </row>
    <row r="725" spans="1:12" ht="16" x14ac:dyDescent="0.2">
      <c r="A725" s="1">
        <v>724</v>
      </c>
      <c r="B725" s="1" t="s">
        <v>2098</v>
      </c>
      <c r="C725" s="1" t="s">
        <v>2197</v>
      </c>
      <c r="D725" s="1" t="str">
        <f t="shared" si="33"/>
        <v>Gentofte Kommune Skovvej 35 A</v>
      </c>
      <c r="E725" s="1" t="s">
        <v>2198</v>
      </c>
      <c r="F725" s="1" t="s">
        <v>2199</v>
      </c>
      <c r="G725" s="1">
        <v>2005</v>
      </c>
      <c r="H725" s="1" t="s">
        <v>15</v>
      </c>
      <c r="I725" s="6" cm="1">
        <f t="array" ref="I725">GetLatitude(D725)</f>
        <v>557639838</v>
      </c>
      <c r="J725" s="1" cm="1">
        <f t="array" ref="J725">GetLongitude(D725)</f>
        <v>125451146</v>
      </c>
      <c r="K725" s="1">
        <f t="shared" si="34"/>
        <v>55.763983799999998</v>
      </c>
      <c r="L725" s="1">
        <f t="shared" si="35"/>
        <v>12.5451146</v>
      </c>
    </row>
    <row r="726" spans="1:12" ht="16" x14ac:dyDescent="0.2">
      <c r="A726" s="1">
        <v>725</v>
      </c>
      <c r="B726" s="1" t="s">
        <v>2098</v>
      </c>
      <c r="C726" s="1" t="s">
        <v>2200</v>
      </c>
      <c r="D726" s="1" t="str">
        <f t="shared" si="33"/>
        <v>Gentofte Kommune Smutvej 14</v>
      </c>
      <c r="E726" s="1" t="s">
        <v>2201</v>
      </c>
      <c r="F726" s="1" t="s">
        <v>2202</v>
      </c>
      <c r="G726" s="1">
        <v>2005</v>
      </c>
      <c r="H726" s="1" t="s">
        <v>15</v>
      </c>
      <c r="I726" s="6" cm="1">
        <f t="array" ref="I726">GetLatitude(D726)</f>
        <v>557630243</v>
      </c>
      <c r="J726" s="1" cm="1">
        <f t="array" ref="J726">GetLongitude(D726)</f>
        <v>125556589</v>
      </c>
      <c r="K726" s="1">
        <f t="shared" si="34"/>
        <v>55.763024299999998</v>
      </c>
      <c r="L726" s="1">
        <f t="shared" si="35"/>
        <v>12.555658899999999</v>
      </c>
    </row>
    <row r="727" spans="1:12" ht="16" x14ac:dyDescent="0.2">
      <c r="A727" s="1">
        <v>726</v>
      </c>
      <c r="B727" s="1" t="s">
        <v>2098</v>
      </c>
      <c r="C727" s="1" t="s">
        <v>2203</v>
      </c>
      <c r="D727" s="1" t="str">
        <f t="shared" si="33"/>
        <v>Gentofte Kommune Solbakkevej 57</v>
      </c>
      <c r="E727" s="1" t="s">
        <v>2204</v>
      </c>
      <c r="F727" s="1" t="s">
        <v>2205</v>
      </c>
      <c r="G727" s="1">
        <v>2005</v>
      </c>
      <c r="H727" s="1" t="s">
        <v>15</v>
      </c>
      <c r="I727" s="6" cm="1">
        <f t="array" ref="I727">GetLatitude(D727)</f>
        <v>557653025</v>
      </c>
      <c r="J727" s="1" cm="1">
        <f t="array" ref="J727">GetLongitude(D727)</f>
        <v>125420724</v>
      </c>
      <c r="K727" s="1">
        <f t="shared" si="34"/>
        <v>55.765302499999997</v>
      </c>
      <c r="L727" s="1">
        <f t="shared" si="35"/>
        <v>12.5420724</v>
      </c>
    </row>
    <row r="728" spans="1:12" ht="16" x14ac:dyDescent="0.2">
      <c r="A728" s="1">
        <v>727</v>
      </c>
      <c r="B728" s="1" t="s">
        <v>2098</v>
      </c>
      <c r="C728" s="1" t="s">
        <v>2206</v>
      </c>
      <c r="D728" s="1" t="str">
        <f t="shared" si="33"/>
        <v>Gentofte Kommune Strandvejen 340</v>
      </c>
      <c r="E728" s="1" t="s">
        <v>2207</v>
      </c>
      <c r="F728" s="1" t="s">
        <v>2208</v>
      </c>
      <c r="G728" s="1">
        <v>2001</v>
      </c>
      <c r="H728" s="1" t="s">
        <v>15</v>
      </c>
      <c r="I728" s="6" cm="1">
        <f t="array" ref="I728">GetLatitude(D728)</f>
        <v>557783450</v>
      </c>
      <c r="J728" s="1" cm="1">
        <f t="array" ref="J728">GetLongitude(D728)</f>
        <v>125912860</v>
      </c>
      <c r="K728" s="1">
        <f t="shared" si="34"/>
        <v>55.778345000000002</v>
      </c>
      <c r="L728" s="1">
        <f t="shared" si="35"/>
        <v>12.591286</v>
      </c>
    </row>
    <row r="729" spans="1:12" ht="16" x14ac:dyDescent="0.2">
      <c r="A729" s="1">
        <v>728</v>
      </c>
      <c r="B729" s="1" t="s">
        <v>2098</v>
      </c>
      <c r="C729" s="1" t="s">
        <v>2209</v>
      </c>
      <c r="D729" s="1" t="str">
        <f t="shared" si="33"/>
        <v>Gentofte Kommune Strandvejen 407</v>
      </c>
      <c r="E729" s="1" t="s">
        <v>2210</v>
      </c>
      <c r="F729" s="1" t="s">
        <v>2211</v>
      </c>
      <c r="G729" s="1">
        <v>1989</v>
      </c>
      <c r="H729" s="1" t="s">
        <v>15</v>
      </c>
      <c r="I729" s="6" cm="1">
        <f t="array" ref="I729">GetLatitude(D729)</f>
        <v>557733854</v>
      </c>
      <c r="J729" s="1" cm="1">
        <f t="array" ref="J729">GetLongitude(D729)</f>
        <v>125923374</v>
      </c>
      <c r="K729" s="1">
        <f t="shared" si="34"/>
        <v>55.773385400000002</v>
      </c>
      <c r="L729" s="1">
        <f t="shared" si="35"/>
        <v>12.5923374</v>
      </c>
    </row>
    <row r="730" spans="1:12" ht="16" x14ac:dyDescent="0.2">
      <c r="A730" s="1">
        <v>729</v>
      </c>
      <c r="B730" s="1" t="s">
        <v>2098</v>
      </c>
      <c r="C730" s="1" t="s">
        <v>2212</v>
      </c>
      <c r="D730" s="1" t="str">
        <f t="shared" si="33"/>
        <v>Gentofte Kommune Strandvejen 415 A-E og 417 A</v>
      </c>
      <c r="E730" s="1" t="s">
        <v>2213</v>
      </c>
      <c r="F730" s="1" t="s">
        <v>2214</v>
      </c>
      <c r="G730" s="1">
        <v>1986</v>
      </c>
      <c r="H730" s="1" t="s">
        <v>2215</v>
      </c>
      <c r="I730" s="6" cm="1">
        <f t="array" ref="I730">GetLatitude(D730)</f>
        <v>557753162</v>
      </c>
      <c r="J730" s="1" cm="1">
        <f t="array" ref="J730">GetLongitude(D730)</f>
        <v>125901631</v>
      </c>
      <c r="K730" s="1">
        <f t="shared" si="34"/>
        <v>55.775316199999999</v>
      </c>
      <c r="L730" s="1">
        <f t="shared" si="35"/>
        <v>12.5901631</v>
      </c>
    </row>
    <row r="731" spans="1:12" ht="16" x14ac:dyDescent="0.2">
      <c r="A731" s="1">
        <v>730</v>
      </c>
      <c r="B731" s="1" t="s">
        <v>2098</v>
      </c>
      <c r="C731" s="1" t="s">
        <v>2216</v>
      </c>
      <c r="D731" s="1" t="str">
        <f t="shared" si="33"/>
        <v>Gentofte Kommune Strandvejen 419-433, Bellevuevej 1-7</v>
      </c>
      <c r="E731" s="1" t="s">
        <v>2217</v>
      </c>
      <c r="F731" s="1" t="s">
        <v>2218</v>
      </c>
      <c r="G731" s="1">
        <v>1987</v>
      </c>
      <c r="H731" s="1" t="s">
        <v>15</v>
      </c>
      <c r="I731" s="6" cm="1">
        <f t="array" ref="I731">GetLatitude(D731)</f>
        <v>557761100</v>
      </c>
      <c r="J731" s="1" cm="1">
        <f t="array" ref="J731">GetLongitude(D731)</f>
        <v>125909938</v>
      </c>
      <c r="K731" s="1">
        <f t="shared" si="34"/>
        <v>55.776110000000003</v>
      </c>
      <c r="L731" s="1">
        <f t="shared" si="35"/>
        <v>12.5909938</v>
      </c>
    </row>
    <row r="732" spans="1:12" ht="16" x14ac:dyDescent="0.2">
      <c r="A732" s="1">
        <v>731</v>
      </c>
      <c r="B732" s="1" t="s">
        <v>2098</v>
      </c>
      <c r="C732" s="1" t="s">
        <v>2219</v>
      </c>
      <c r="D732" s="1" t="str">
        <f t="shared" si="33"/>
        <v>Gentofte Kommune Strandvejen 435-451</v>
      </c>
      <c r="E732" s="1" t="s">
        <v>2220</v>
      </c>
      <c r="F732" s="1" t="s">
        <v>2221</v>
      </c>
      <c r="G732" s="1">
        <v>1986</v>
      </c>
      <c r="H732" s="1" t="s">
        <v>11</v>
      </c>
      <c r="I732" s="6" cm="1">
        <f t="array" ref="I732">GetLatitude(D732)</f>
        <v>557769233</v>
      </c>
      <c r="J732" s="1" cm="1">
        <f t="array" ref="J732">GetLongitude(D732)</f>
        <v>125901452</v>
      </c>
      <c r="K732" s="1">
        <f t="shared" si="34"/>
        <v>55.7769233</v>
      </c>
      <c r="L732" s="1">
        <f t="shared" si="35"/>
        <v>12.5901452</v>
      </c>
    </row>
    <row r="733" spans="1:12" ht="16" x14ac:dyDescent="0.2">
      <c r="A733" s="1">
        <v>732</v>
      </c>
      <c r="B733" s="1" t="s">
        <v>2098</v>
      </c>
      <c r="C733" s="1" t="s">
        <v>2222</v>
      </c>
      <c r="D733" s="1" t="str">
        <f t="shared" si="33"/>
        <v>Gentofte Kommune Strandvejen 54</v>
      </c>
      <c r="E733" s="1" t="s">
        <v>2223</v>
      </c>
      <c r="F733" s="1" t="s">
        <v>2224</v>
      </c>
      <c r="G733" s="1">
        <v>2007</v>
      </c>
      <c r="H733" s="1" t="s">
        <v>15</v>
      </c>
      <c r="I733" s="6" cm="1">
        <f t="array" ref="I733">GetLatitude(D733)</f>
        <v>557261481</v>
      </c>
      <c r="J733" s="1" cm="1">
        <f t="array" ref="J733">GetLongitude(D733)</f>
        <v>125770858</v>
      </c>
      <c r="K733" s="1">
        <f t="shared" si="34"/>
        <v>55.726148100000003</v>
      </c>
      <c r="L733" s="1">
        <f t="shared" si="35"/>
        <v>12.577085800000001</v>
      </c>
    </row>
    <row r="734" spans="1:12" ht="16" x14ac:dyDescent="0.2">
      <c r="A734" s="1">
        <v>733</v>
      </c>
      <c r="B734" s="1" t="s">
        <v>2098</v>
      </c>
      <c r="C734" s="1" t="s">
        <v>2225</v>
      </c>
      <c r="D734" s="1" t="str">
        <f t="shared" si="33"/>
        <v>Gentofte Kommune Strandvejen ved Emiliekildevej</v>
      </c>
      <c r="E734" s="1" t="s">
        <v>2226</v>
      </c>
      <c r="F734" s="1" t="s">
        <v>2227</v>
      </c>
      <c r="G734" s="1">
        <v>1918</v>
      </c>
      <c r="H734" s="1" t="s">
        <v>15</v>
      </c>
      <c r="I734" s="6" cm="1">
        <f t="array" ref="I734">GetLatitude(D734)</f>
        <v>557624471</v>
      </c>
      <c r="J734" s="1" cm="1">
        <f t="array" ref="J734">GetLongitude(D734)</f>
        <v>125972547</v>
      </c>
      <c r="K734" s="1">
        <f t="shared" si="34"/>
        <v>55.762447100000003</v>
      </c>
      <c r="L734" s="1">
        <f t="shared" si="35"/>
        <v>12.597254700000001</v>
      </c>
    </row>
    <row r="735" spans="1:12" ht="16" x14ac:dyDescent="0.2">
      <c r="A735" s="1">
        <v>734</v>
      </c>
      <c r="B735" s="1" t="s">
        <v>2098</v>
      </c>
      <c r="C735" s="1" t="s">
        <v>2228</v>
      </c>
      <c r="D735" s="1" t="str">
        <f t="shared" si="33"/>
        <v>Gentofte Kommune Søholmparken 1</v>
      </c>
      <c r="E735" s="1" t="s">
        <v>2229</v>
      </c>
      <c r="F735" s="1" t="s">
        <v>2230</v>
      </c>
      <c r="G735" s="1">
        <v>1918</v>
      </c>
      <c r="H735" s="1" t="s">
        <v>11</v>
      </c>
      <c r="I735" s="6" cm="1">
        <f t="array" ref="I735">GetLatitude(D735)</f>
        <v>557239522</v>
      </c>
      <c r="J735" s="1" cm="1">
        <f t="array" ref="J735">GetLongitude(D735)</f>
        <v>125529593</v>
      </c>
      <c r="K735" s="1">
        <f t="shared" si="34"/>
        <v>55.723952199999999</v>
      </c>
      <c r="L735" s="1">
        <f t="shared" si="35"/>
        <v>12.552959299999999</v>
      </c>
    </row>
    <row r="736" spans="1:12" ht="16" x14ac:dyDescent="0.2">
      <c r="A736" s="1">
        <v>735</v>
      </c>
      <c r="B736" s="1" t="s">
        <v>2098</v>
      </c>
      <c r="C736" s="1" t="s">
        <v>2231</v>
      </c>
      <c r="D736" s="1" t="str">
        <f t="shared" si="33"/>
        <v>Gentofte Kommune Sølystvej 11</v>
      </c>
      <c r="E736" s="1" t="s">
        <v>2232</v>
      </c>
      <c r="F736" s="1" t="s">
        <v>2233</v>
      </c>
      <c r="G736" s="1">
        <v>1987</v>
      </c>
      <c r="H736" s="1" t="s">
        <v>11</v>
      </c>
      <c r="I736" s="6" cm="1">
        <f t="array" ref="I736">GetLatitude(D736)</f>
        <v>557691317</v>
      </c>
      <c r="J736" s="1" cm="1">
        <f t="array" ref="J736">GetLongitude(D736)</f>
        <v>125882502</v>
      </c>
      <c r="K736" s="1">
        <f t="shared" si="34"/>
        <v>55.769131700000003</v>
      </c>
      <c r="L736" s="1">
        <f t="shared" si="35"/>
        <v>12.588250199999999</v>
      </c>
    </row>
    <row r="737" spans="1:12" ht="16" x14ac:dyDescent="0.2">
      <c r="A737" s="1">
        <v>736</v>
      </c>
      <c r="B737" s="1" t="s">
        <v>2098</v>
      </c>
      <c r="C737" s="1" t="s">
        <v>2234</v>
      </c>
      <c r="D737" s="1" t="str">
        <f t="shared" si="33"/>
        <v>Gentofte Kommune Sølystvej 5</v>
      </c>
      <c r="E737" s="1" t="s">
        <v>2235</v>
      </c>
      <c r="F737" s="1" t="s">
        <v>2236</v>
      </c>
      <c r="G737" s="1">
        <v>1987</v>
      </c>
      <c r="H737" s="1" t="s">
        <v>11</v>
      </c>
      <c r="I737" s="6" cm="1">
        <f t="array" ref="I737">GetLatitude(D737)</f>
        <v>557688983</v>
      </c>
      <c r="J737" s="1" cm="1">
        <f t="array" ref="J737">GetLongitude(D737)</f>
        <v>125887975</v>
      </c>
      <c r="K737" s="1">
        <f t="shared" si="34"/>
        <v>55.768898299999996</v>
      </c>
      <c r="L737" s="1">
        <f t="shared" si="35"/>
        <v>12.5887975</v>
      </c>
    </row>
    <row r="738" spans="1:12" ht="16" x14ac:dyDescent="0.2">
      <c r="A738" s="1">
        <v>737</v>
      </c>
      <c r="B738" s="1" t="s">
        <v>2098</v>
      </c>
      <c r="C738" s="1" t="s">
        <v>2237</v>
      </c>
      <c r="D738" s="1" t="str">
        <f t="shared" si="33"/>
        <v>Gentofte Kommune Sølystvej 7</v>
      </c>
      <c r="E738" s="1" t="s">
        <v>2238</v>
      </c>
      <c r="F738" s="1" t="s">
        <v>2239</v>
      </c>
      <c r="G738" s="1">
        <v>1987</v>
      </c>
      <c r="H738" s="1" t="s">
        <v>11</v>
      </c>
      <c r="I738" s="6" cm="1">
        <f t="array" ref="I738">GetLatitude(D738)</f>
        <v>557689730</v>
      </c>
      <c r="J738" s="1" cm="1">
        <f t="array" ref="J738">GetLongitude(D738)</f>
        <v>125885037</v>
      </c>
      <c r="K738" s="1">
        <f t="shared" si="34"/>
        <v>55.768973000000003</v>
      </c>
      <c r="L738" s="1">
        <f t="shared" si="35"/>
        <v>12.5885037</v>
      </c>
    </row>
    <row r="739" spans="1:12" ht="16" x14ac:dyDescent="0.2">
      <c r="A739" s="1">
        <v>738</v>
      </c>
      <c r="B739" s="1" t="s">
        <v>2098</v>
      </c>
      <c r="C739" s="1" t="s">
        <v>2240</v>
      </c>
      <c r="D739" s="1" t="str">
        <f t="shared" si="33"/>
        <v>Gentofte Kommune Tuborgvej 99</v>
      </c>
      <c r="E739" s="1" t="s">
        <v>2241</v>
      </c>
      <c r="F739" s="1" t="s">
        <v>2242</v>
      </c>
      <c r="G739" s="1">
        <v>2022</v>
      </c>
      <c r="H739" s="1" t="s">
        <v>15</v>
      </c>
      <c r="I739" s="6" cm="1">
        <f t="array" ref="I739">GetLatitude(D739)</f>
        <v>557274885</v>
      </c>
      <c r="J739" s="1" cm="1">
        <f t="array" ref="J739">GetLongitude(D739)</f>
        <v>125534173</v>
      </c>
      <c r="K739" s="1">
        <f t="shared" si="34"/>
        <v>55.7274885</v>
      </c>
      <c r="L739" s="1">
        <f t="shared" si="35"/>
        <v>12.5534173</v>
      </c>
    </row>
    <row r="740" spans="1:12" ht="16" x14ac:dyDescent="0.2">
      <c r="A740" s="1">
        <v>739</v>
      </c>
      <c r="B740" s="1" t="s">
        <v>2098</v>
      </c>
      <c r="C740" s="1" t="s">
        <v>2243</v>
      </c>
      <c r="D740" s="1" t="str">
        <f t="shared" si="33"/>
        <v>Gentofte Kommune Vangedevej 178</v>
      </c>
      <c r="E740" s="1" t="s">
        <v>2244</v>
      </c>
      <c r="F740" s="1" t="s">
        <v>2245</v>
      </c>
      <c r="G740" s="1">
        <v>1995</v>
      </c>
      <c r="H740" s="1" t="s">
        <v>15</v>
      </c>
      <c r="I740" s="6" cm="1">
        <f t="array" ref="I740">GetLatitude(D740)</f>
        <v>557353822</v>
      </c>
      <c r="J740" s="1" cm="1">
        <f t="array" ref="J740">GetLongitude(D740)</f>
        <v>125219984</v>
      </c>
      <c r="K740" s="1">
        <f t="shared" si="34"/>
        <v>55.735382199999997</v>
      </c>
      <c r="L740" s="1">
        <f t="shared" si="35"/>
        <v>12.521998399999999</v>
      </c>
    </row>
    <row r="741" spans="1:12" ht="16" x14ac:dyDescent="0.2">
      <c r="A741" s="1">
        <v>740</v>
      </c>
      <c r="B741" s="1" t="s">
        <v>2098</v>
      </c>
      <c r="C741" s="1" t="s">
        <v>2246</v>
      </c>
      <c r="D741" s="1" t="str">
        <f t="shared" si="33"/>
        <v>Gentofte Kommune Ved Slotshaven 14</v>
      </c>
      <c r="E741" s="1" t="s">
        <v>2247</v>
      </c>
      <c r="F741" s="1" t="s">
        <v>2248</v>
      </c>
      <c r="G741" s="1">
        <v>1999</v>
      </c>
      <c r="H741" s="1" t="s">
        <v>11</v>
      </c>
      <c r="I741" s="6" cm="1">
        <f t="array" ref="I741">GetLatitude(D741)</f>
        <v>557551878</v>
      </c>
      <c r="J741" s="1" cm="1">
        <f t="array" ref="J741">GetLongitude(D741)</f>
        <v>125468345</v>
      </c>
      <c r="K741" s="1">
        <f t="shared" si="34"/>
        <v>55.755187800000002</v>
      </c>
      <c r="L741" s="1">
        <f t="shared" si="35"/>
        <v>12.546834499999999</v>
      </c>
    </row>
    <row r="742" spans="1:12" ht="16" x14ac:dyDescent="0.2">
      <c r="A742" s="1">
        <v>741</v>
      </c>
      <c r="B742" s="1" t="s">
        <v>2098</v>
      </c>
      <c r="C742" s="1" t="s">
        <v>2249</v>
      </c>
      <c r="D742" s="1" t="str">
        <f t="shared" si="33"/>
        <v>Gentofte Kommune Vitus Beringsallé 30-32</v>
      </c>
      <c r="E742" s="1" t="s">
        <v>2250</v>
      </c>
      <c r="F742" s="1" t="s">
        <v>2251</v>
      </c>
      <c r="G742" s="1">
        <v>1918</v>
      </c>
      <c r="H742" s="1" t="s">
        <v>11</v>
      </c>
      <c r="I742" s="6" cm="1">
        <f t="array" ref="I742">GetLatitude(D742)</f>
        <v>557724384</v>
      </c>
      <c r="J742" s="1" cm="1">
        <f t="array" ref="J742">GetLongitude(D742)</f>
        <v>125882154</v>
      </c>
      <c r="K742" s="1">
        <f t="shared" si="34"/>
        <v>55.772438399999999</v>
      </c>
      <c r="L742" s="1">
        <f t="shared" si="35"/>
        <v>12.588215399999999</v>
      </c>
    </row>
    <row r="743" spans="1:12" ht="16" x14ac:dyDescent="0.2">
      <c r="A743" s="1">
        <v>742</v>
      </c>
      <c r="B743" s="1" t="s">
        <v>2098</v>
      </c>
      <c r="C743" s="1" t="s">
        <v>2252</v>
      </c>
      <c r="D743" s="1" t="str">
        <f t="shared" si="33"/>
        <v>Gentofte Kommune Ørehøj Allé 2</v>
      </c>
      <c r="E743" s="1" t="s">
        <v>2253</v>
      </c>
      <c r="F743" s="1" t="s">
        <v>2254</v>
      </c>
      <c r="G743" s="1">
        <v>1918</v>
      </c>
      <c r="H743" s="1" t="s">
        <v>15</v>
      </c>
      <c r="I743" s="6" cm="1">
        <f t="array" ref="I743">GetLatitude(D743)</f>
        <v>557387980</v>
      </c>
      <c r="J743" s="1" cm="1">
        <f t="array" ref="J743">GetLongitude(D743)</f>
        <v>125728430</v>
      </c>
      <c r="K743" s="1">
        <f t="shared" si="34"/>
        <v>55.738798000000003</v>
      </c>
      <c r="L743" s="1">
        <f t="shared" si="35"/>
        <v>12.572843000000001</v>
      </c>
    </row>
    <row r="744" spans="1:12" ht="16" x14ac:dyDescent="0.2">
      <c r="A744" s="1">
        <v>743</v>
      </c>
      <c r="B744" s="1" t="s">
        <v>2255</v>
      </c>
      <c r="C744" s="1" t="s">
        <v>2256</v>
      </c>
      <c r="D744" s="1" t="str">
        <f t="shared" si="33"/>
        <v>Gladsaxe KommuneMørkhøj Bygade 19</v>
      </c>
      <c r="E744" s="1" t="s">
        <v>2257</v>
      </c>
      <c r="F744" s="1" t="s">
        <v>2258</v>
      </c>
      <c r="G744" s="1">
        <v>1950</v>
      </c>
      <c r="H744" s="1" t="s">
        <v>15</v>
      </c>
      <c r="I744" s="6" cm="1">
        <f t="array" ref="I744">GetLatitude(D744)</f>
        <v>557321590</v>
      </c>
      <c r="J744" s="1" cm="1">
        <f t="array" ref="J744">GetLongitude(D744)</f>
        <v>124784430</v>
      </c>
      <c r="K744" s="1">
        <f t="shared" si="34"/>
        <v>55.732159000000003</v>
      </c>
      <c r="L744" s="1">
        <f t="shared" si="35"/>
        <v>12.478443</v>
      </c>
    </row>
    <row r="745" spans="1:12" ht="16" x14ac:dyDescent="0.2">
      <c r="A745" s="1">
        <v>744</v>
      </c>
      <c r="B745" s="1" t="s">
        <v>2255</v>
      </c>
      <c r="C745" s="1" t="s">
        <v>2259</v>
      </c>
      <c r="D745" s="1" t="str">
        <f t="shared" si="33"/>
        <v>Gladsaxe KommuneVandtårnsvej 60</v>
      </c>
      <c r="E745" s="1" t="s">
        <v>2260</v>
      </c>
      <c r="F745" s="1" t="s">
        <v>2261</v>
      </c>
      <c r="G745" s="1">
        <v>2001</v>
      </c>
      <c r="H745" s="1" t="s">
        <v>15</v>
      </c>
      <c r="I745" s="6" cm="1">
        <f t="array" ref="I745">GetLatitude(D745)</f>
        <v>557367539</v>
      </c>
      <c r="J745" s="1" cm="1">
        <f t="array" ref="J745">GetLongitude(D745)</f>
        <v>124969618</v>
      </c>
      <c r="K745" s="1">
        <f t="shared" si="34"/>
        <v>55.736753899999997</v>
      </c>
      <c r="L745" s="1">
        <f t="shared" si="35"/>
        <v>12.496961799999999</v>
      </c>
    </row>
    <row r="746" spans="1:12" ht="16" x14ac:dyDescent="0.2">
      <c r="A746" s="1">
        <v>745</v>
      </c>
      <c r="B746" s="1" t="s">
        <v>2262</v>
      </c>
      <c r="C746" s="1" t="s">
        <v>2263</v>
      </c>
      <c r="D746" s="1" t="str">
        <f t="shared" si="33"/>
        <v>Greve KommuneDegnestræde 3-5 og 7</v>
      </c>
      <c r="E746" s="1" t="s">
        <v>2264</v>
      </c>
      <c r="F746" s="1" t="s">
        <v>2265</v>
      </c>
      <c r="G746" s="1">
        <v>1989</v>
      </c>
      <c r="H746" s="1" t="s">
        <v>701</v>
      </c>
      <c r="I746" s="6" cm="1">
        <f t="array" ref="I746">GetLatitude(D746)</f>
        <v>555956730</v>
      </c>
      <c r="J746" s="1" cm="1">
        <f t="array" ref="J746">GetLongitude(D746)</f>
        <v>122490960</v>
      </c>
      <c r="K746" s="1">
        <f t="shared" si="34"/>
        <v>55.595672999999998</v>
      </c>
      <c r="L746" s="1">
        <f t="shared" si="35"/>
        <v>12.249096</v>
      </c>
    </row>
    <row r="747" spans="1:12" ht="16" x14ac:dyDescent="0.2">
      <c r="A747" s="1">
        <v>746</v>
      </c>
      <c r="B747" s="1" t="s">
        <v>2262</v>
      </c>
      <c r="C747" s="1" t="s">
        <v>2266</v>
      </c>
      <c r="D747" s="1" t="str">
        <f t="shared" si="33"/>
        <v>Greve KommuneMichael Gjøesvej 1</v>
      </c>
      <c r="E747" s="1" t="s">
        <v>2267</v>
      </c>
      <c r="F747" s="1" t="s">
        <v>2268</v>
      </c>
      <c r="G747" s="1">
        <v>1950</v>
      </c>
      <c r="H747" s="1" t="s">
        <v>15</v>
      </c>
      <c r="I747" s="6" cm="1">
        <f t="array" ref="I747">GetLatitude(D747)</f>
        <v>555956842</v>
      </c>
      <c r="J747" s="1" cm="1">
        <f t="array" ref="J747">GetLongitude(D747)</f>
        <v>122484845</v>
      </c>
      <c r="K747" s="1">
        <f t="shared" si="34"/>
        <v>55.595684200000001</v>
      </c>
      <c r="L747" s="1">
        <f t="shared" si="35"/>
        <v>12.2484845</v>
      </c>
    </row>
    <row r="748" spans="1:12" ht="16" x14ac:dyDescent="0.2">
      <c r="A748" s="1">
        <v>747</v>
      </c>
      <c r="B748" s="1" t="s">
        <v>2262</v>
      </c>
      <c r="C748" s="1" t="s">
        <v>2269</v>
      </c>
      <c r="D748" s="1" t="str">
        <f t="shared" si="33"/>
        <v>Greve KommuneMosede Bygade 51</v>
      </c>
      <c r="E748" s="1" t="s">
        <v>2270</v>
      </c>
      <c r="F748" s="1" t="s">
        <v>2271</v>
      </c>
      <c r="G748" s="1">
        <v>1988</v>
      </c>
      <c r="H748" s="1" t="s">
        <v>11</v>
      </c>
      <c r="I748" s="6" cm="1">
        <f t="array" ref="I748">GetLatitude(D748)</f>
        <v>555781822</v>
      </c>
      <c r="J748" s="1" cm="1">
        <f t="array" ref="J748">GetLongitude(D748)</f>
        <v>122679895</v>
      </c>
      <c r="K748" s="1">
        <f t="shared" si="34"/>
        <v>55.578182200000001</v>
      </c>
      <c r="L748" s="1">
        <f t="shared" si="35"/>
        <v>12.267989500000001</v>
      </c>
    </row>
    <row r="749" spans="1:12" ht="16" x14ac:dyDescent="0.2">
      <c r="A749" s="1">
        <v>748</v>
      </c>
      <c r="B749" s="1" t="s">
        <v>2272</v>
      </c>
      <c r="C749" s="1" t="s">
        <v>2273</v>
      </c>
      <c r="D749" s="1" t="str">
        <f t="shared" si="33"/>
        <v>Gribskov KommuneAlléen 3</v>
      </c>
      <c r="E749" s="1" t="s">
        <v>2274</v>
      </c>
      <c r="F749" s="1" t="s">
        <v>2275</v>
      </c>
      <c r="G749" s="1">
        <v>1918</v>
      </c>
      <c r="H749" s="1" t="s">
        <v>15</v>
      </c>
      <c r="I749" s="6" cm="1">
        <f t="array" ref="I749">GetLatitude(D749)</f>
        <v>560672275</v>
      </c>
      <c r="J749" s="1" cm="1">
        <f t="array" ref="J749">GetLongitude(D749)</f>
        <v>122309388</v>
      </c>
      <c r="K749" s="1">
        <f t="shared" si="34"/>
        <v>56.067227500000001</v>
      </c>
      <c r="L749" s="1">
        <f t="shared" si="35"/>
        <v>12.230938800000001</v>
      </c>
    </row>
    <row r="750" spans="1:12" ht="16" x14ac:dyDescent="0.2">
      <c r="A750" s="1">
        <v>749</v>
      </c>
      <c r="B750" s="1" t="s">
        <v>2272</v>
      </c>
      <c r="C750" s="1" t="s">
        <v>2276</v>
      </c>
      <c r="D750" s="1" t="str">
        <f t="shared" si="33"/>
        <v>Gribskov KommuneFyrvejen 25</v>
      </c>
      <c r="E750" s="1" t="s">
        <v>2277</v>
      </c>
      <c r="F750" s="1" t="s">
        <v>2278</v>
      </c>
      <c r="G750" s="1">
        <v>2002</v>
      </c>
      <c r="H750" s="1" t="s">
        <v>15</v>
      </c>
      <c r="I750" s="6" cm="1">
        <f t="array" ref="I750">GetLatitude(D750)</f>
        <v>561185359</v>
      </c>
      <c r="J750" s="1" cm="1">
        <f t="array" ref="J750">GetLongitude(D750)</f>
        <v>123443964</v>
      </c>
      <c r="K750" s="1">
        <f t="shared" si="34"/>
        <v>56.118535899999998</v>
      </c>
      <c r="L750" s="1">
        <f t="shared" si="35"/>
        <v>12.344396400000001</v>
      </c>
    </row>
    <row r="751" spans="1:12" ht="16" x14ac:dyDescent="0.2">
      <c r="A751" s="1">
        <v>750</v>
      </c>
      <c r="B751" s="1" t="s">
        <v>2272</v>
      </c>
      <c r="C751" s="1" t="s">
        <v>2279</v>
      </c>
      <c r="D751" s="1" t="str">
        <f t="shared" si="33"/>
        <v>Gribskov KommuneFyrvejen 27 og 29 B</v>
      </c>
      <c r="E751" s="1" t="s">
        <v>2280</v>
      </c>
      <c r="F751" s="1" t="s">
        <v>2281</v>
      </c>
      <c r="G751" s="1">
        <v>1976</v>
      </c>
      <c r="H751" s="1" t="s">
        <v>11</v>
      </c>
      <c r="I751" s="6" cm="1">
        <f t="array" ref="I751">GetLatitude(D751)</f>
        <v>561190990</v>
      </c>
      <c r="J751" s="1" cm="1">
        <f t="array" ref="J751">GetLongitude(D751)</f>
        <v>123495899</v>
      </c>
      <c r="K751" s="1">
        <f t="shared" si="34"/>
        <v>56.119098999999999</v>
      </c>
      <c r="L751" s="1">
        <f t="shared" si="35"/>
        <v>12.3495899</v>
      </c>
    </row>
    <row r="752" spans="1:12" ht="16" x14ac:dyDescent="0.2">
      <c r="A752" s="1">
        <v>751</v>
      </c>
      <c r="B752" s="1" t="s">
        <v>2272</v>
      </c>
      <c r="C752" s="1" t="s">
        <v>2282</v>
      </c>
      <c r="D752" s="1" t="str">
        <f t="shared" si="33"/>
        <v>Gribskov KommuneHøbjergvej</v>
      </c>
      <c r="E752" s="1" t="s">
        <v>2283</v>
      </c>
      <c r="F752" s="1" t="s">
        <v>2284</v>
      </c>
      <c r="G752" s="1">
        <v>1959</v>
      </c>
      <c r="H752" s="1" t="s">
        <v>15</v>
      </c>
      <c r="I752" s="6" cm="1">
        <f t="array" ref="I752">GetLatitude(D752)</f>
        <v>560015640</v>
      </c>
      <c r="J752" s="1" cm="1">
        <f t="array" ref="J752">GetLongitude(D752)</f>
        <v>122254285</v>
      </c>
      <c r="K752" s="1">
        <f t="shared" si="34"/>
        <v>56.001564000000002</v>
      </c>
      <c r="L752" s="1">
        <f t="shared" si="35"/>
        <v>12.2254285</v>
      </c>
    </row>
    <row r="753" spans="1:12" ht="16" x14ac:dyDescent="0.2">
      <c r="A753" s="1">
        <v>752</v>
      </c>
      <c r="B753" s="1" t="s">
        <v>2272</v>
      </c>
      <c r="C753" s="1" t="s">
        <v>2285</v>
      </c>
      <c r="D753" s="1" t="str">
        <f t="shared" si="33"/>
        <v>Gribskov KommuneKlostergade 11 A-C</v>
      </c>
      <c r="E753" s="1" t="s">
        <v>2286</v>
      </c>
      <c r="F753" s="1" t="s">
        <v>2287</v>
      </c>
      <c r="G753" s="1">
        <v>1918</v>
      </c>
      <c r="H753" s="1" t="s">
        <v>15</v>
      </c>
      <c r="I753" s="6" cm="1">
        <f t="array" ref="I753">GetLatitude(D753)</f>
        <v>560475616</v>
      </c>
      <c r="J753" s="1" cm="1">
        <f t="array" ref="J753">GetLongitude(D753)</f>
        <v>123772007</v>
      </c>
      <c r="K753" s="1">
        <f t="shared" si="34"/>
        <v>56.047561600000002</v>
      </c>
      <c r="L753" s="1">
        <f t="shared" si="35"/>
        <v>12.3772007</v>
      </c>
    </row>
    <row r="754" spans="1:12" ht="16" x14ac:dyDescent="0.2">
      <c r="A754" s="1">
        <v>753</v>
      </c>
      <c r="B754" s="1" t="s">
        <v>2272</v>
      </c>
      <c r="C754" s="1" t="s">
        <v>2288</v>
      </c>
      <c r="D754" s="1" t="str">
        <f t="shared" si="33"/>
        <v>Gribskov KommuneKlostergade 12 A-D</v>
      </c>
      <c r="E754" s="1" t="s">
        <v>2289</v>
      </c>
      <c r="F754" s="1" t="s">
        <v>2290</v>
      </c>
      <c r="G754" s="1">
        <v>1986</v>
      </c>
      <c r="H754" s="1" t="s">
        <v>15</v>
      </c>
      <c r="I754" s="6" cm="1">
        <f t="array" ref="I754">GetLatitude(D754)</f>
        <v>560672275</v>
      </c>
      <c r="J754" s="1" cm="1">
        <f t="array" ref="J754">GetLongitude(D754)</f>
        <v>122309388</v>
      </c>
      <c r="K754" s="1">
        <f t="shared" si="34"/>
        <v>56.067227500000001</v>
      </c>
      <c r="L754" s="1">
        <f t="shared" si="35"/>
        <v>12.230938800000001</v>
      </c>
    </row>
    <row r="755" spans="1:12" ht="16" x14ac:dyDescent="0.2">
      <c r="A755" s="1">
        <v>754</v>
      </c>
      <c r="B755" s="1" t="s">
        <v>2272</v>
      </c>
      <c r="C755" s="1" t="s">
        <v>2291</v>
      </c>
      <c r="D755" s="1" t="str">
        <f t="shared" si="33"/>
        <v>Gribskov KommuneMunkerup Strandvej 78</v>
      </c>
      <c r="E755" s="1" t="s">
        <v>2292</v>
      </c>
      <c r="F755" s="1" t="s">
        <v>2293</v>
      </c>
      <c r="G755" s="1">
        <v>1987</v>
      </c>
      <c r="H755" s="1" t="s">
        <v>15</v>
      </c>
      <c r="I755" s="6" cm="1">
        <f t="array" ref="I755">GetLatitude(D755)</f>
        <v>561095584</v>
      </c>
      <c r="J755" s="1" cm="1">
        <f t="array" ref="J755">GetLongitude(D755)</f>
        <v>123655522</v>
      </c>
      <c r="K755" s="1">
        <f t="shared" si="34"/>
        <v>56.109558399999997</v>
      </c>
      <c r="L755" s="1">
        <f t="shared" si="35"/>
        <v>12.3655522</v>
      </c>
    </row>
    <row r="756" spans="1:12" ht="16" x14ac:dyDescent="0.2">
      <c r="A756" s="1">
        <v>755</v>
      </c>
      <c r="B756" s="1" t="s">
        <v>2272</v>
      </c>
      <c r="C756" s="1" t="s">
        <v>2294</v>
      </c>
      <c r="D756" s="1" t="str">
        <f t="shared" si="33"/>
        <v>Gribskov KommuneMuseumsvej 19</v>
      </c>
      <c r="E756" s="1" t="s">
        <v>2295</v>
      </c>
      <c r="F756" s="1" t="s">
        <v>2296</v>
      </c>
      <c r="G756" s="1">
        <v>1999</v>
      </c>
      <c r="H756" s="1" t="s">
        <v>11</v>
      </c>
      <c r="I756" s="6" cm="1">
        <f t="array" ref="I756">GetLatitude(D756)</f>
        <v>560864257</v>
      </c>
      <c r="J756" s="1" cm="1">
        <f t="array" ref="J756">GetLongitude(D756)</f>
        <v>124008424</v>
      </c>
      <c r="K756" s="1">
        <f t="shared" si="34"/>
        <v>56.086425699999999</v>
      </c>
      <c r="L756" s="1">
        <f t="shared" si="35"/>
        <v>12.4008424</v>
      </c>
    </row>
    <row r="757" spans="1:12" ht="16" x14ac:dyDescent="0.2">
      <c r="A757" s="1">
        <v>756</v>
      </c>
      <c r="B757" s="1" t="s">
        <v>2272</v>
      </c>
      <c r="C757" s="1" t="s">
        <v>2297</v>
      </c>
      <c r="D757" s="1" t="str">
        <f t="shared" si="33"/>
        <v>Gribskov KommuneRigmor Stampes Vej 15</v>
      </c>
      <c r="E757" s="1" t="s">
        <v>2298</v>
      </c>
      <c r="F757" s="1" t="s">
        <v>2299</v>
      </c>
      <c r="G757" s="1">
        <v>2004</v>
      </c>
      <c r="H757" s="1" t="s">
        <v>15</v>
      </c>
      <c r="I757" s="6" cm="1">
        <f t="array" ref="I757">GetLatitude(D757)</f>
        <v>560481443</v>
      </c>
      <c r="J757" s="1" cm="1">
        <f t="array" ref="J757">GetLongitude(D757)</f>
        <v>120972713</v>
      </c>
      <c r="K757" s="1">
        <f t="shared" si="34"/>
        <v>56.048144299999997</v>
      </c>
      <c r="L757" s="1">
        <f t="shared" si="35"/>
        <v>12.097271299999999</v>
      </c>
    </row>
    <row r="758" spans="1:12" ht="16" x14ac:dyDescent="0.2">
      <c r="A758" s="1">
        <v>757</v>
      </c>
      <c r="B758" s="1" t="s">
        <v>2272</v>
      </c>
      <c r="C758" s="1" t="s">
        <v>2300</v>
      </c>
      <c r="D758" s="1" t="str">
        <f t="shared" si="33"/>
        <v>Gribskov KommuneRågeleje Strandvej 1 A</v>
      </c>
      <c r="E758" s="1" t="s">
        <v>2301</v>
      </c>
      <c r="F758" s="1" t="s">
        <v>2302</v>
      </c>
      <c r="G758" s="1">
        <v>1989</v>
      </c>
      <c r="H758" s="1" t="s">
        <v>2303</v>
      </c>
      <c r="I758" s="6" cm="1">
        <f t="array" ref="I758">GetLatitude(D758)</f>
        <v>561060856</v>
      </c>
      <c r="J758" s="1" cm="1">
        <f t="array" ref="J758">GetLongitude(D758)</f>
        <v>121784802</v>
      </c>
      <c r="K758" s="1">
        <f t="shared" si="34"/>
        <v>56.1060856</v>
      </c>
      <c r="L758" s="1">
        <f t="shared" si="35"/>
        <v>12.178480199999999</v>
      </c>
    </row>
    <row r="759" spans="1:12" ht="16" x14ac:dyDescent="0.2">
      <c r="A759" s="1">
        <v>758</v>
      </c>
      <c r="B759" s="1" t="s">
        <v>2272</v>
      </c>
      <c r="C759" s="1" t="s">
        <v>2304</v>
      </c>
      <c r="D759" s="1" t="str">
        <f t="shared" si="33"/>
        <v>Gribskov KommuneSilkebjerg 3</v>
      </c>
      <c r="E759" s="1" t="s">
        <v>2305</v>
      </c>
      <c r="F759" s="1" t="s">
        <v>2306</v>
      </c>
      <c r="G759" s="1">
        <v>1992</v>
      </c>
      <c r="H759" s="1" t="s">
        <v>11</v>
      </c>
      <c r="I759" s="6" cm="1">
        <f t="array" ref="I759">GetLatitude(D759)</f>
        <v>560347604</v>
      </c>
      <c r="J759" s="1" cm="1">
        <f t="array" ref="J759">GetLongitude(D759)</f>
        <v>120988180</v>
      </c>
      <c r="K759" s="1">
        <f t="shared" si="34"/>
        <v>56.034760400000003</v>
      </c>
      <c r="L759" s="1">
        <f t="shared" si="35"/>
        <v>12.098818</v>
      </c>
    </row>
    <row r="760" spans="1:12" ht="16" x14ac:dyDescent="0.2">
      <c r="A760" s="1">
        <v>759</v>
      </c>
      <c r="B760" s="1" t="s">
        <v>2272</v>
      </c>
      <c r="C760" s="1" t="s">
        <v>2307</v>
      </c>
      <c r="D760" s="1" t="str">
        <f t="shared" si="33"/>
        <v>Gribskov KommuneStrandvejen 20</v>
      </c>
      <c r="E760" s="1" t="s">
        <v>2308</v>
      </c>
      <c r="F760" s="1" t="s">
        <v>2309</v>
      </c>
      <c r="G760" s="1">
        <v>2004</v>
      </c>
      <c r="H760" s="1" t="s">
        <v>11</v>
      </c>
      <c r="I760" s="6" cm="1">
        <f t="array" ref="I760">GetLatitude(D760)</f>
        <v>560672275</v>
      </c>
      <c r="J760" s="1" cm="1">
        <f t="array" ref="J760">GetLongitude(D760)</f>
        <v>122309388</v>
      </c>
      <c r="K760" s="1">
        <f t="shared" si="34"/>
        <v>56.067227500000001</v>
      </c>
      <c r="L760" s="1">
        <f t="shared" si="35"/>
        <v>12.230938800000001</v>
      </c>
    </row>
    <row r="761" spans="1:12" ht="16" x14ac:dyDescent="0.2">
      <c r="A761" s="1">
        <v>760</v>
      </c>
      <c r="B761" s="1" t="s">
        <v>2272</v>
      </c>
      <c r="C761" s="1" t="s">
        <v>2310</v>
      </c>
      <c r="D761" s="1" t="str">
        <f t="shared" si="33"/>
        <v>Gribskov KommuneVed Gærdet 1</v>
      </c>
      <c r="E761" s="1" t="s">
        <v>2311</v>
      </c>
      <c r="F761" s="1" t="s">
        <v>2312</v>
      </c>
      <c r="G761" s="1">
        <v>2015</v>
      </c>
      <c r="H761" s="1" t="s">
        <v>15</v>
      </c>
      <c r="I761" s="6" cm="1">
        <f t="array" ref="I761">GetLatitude(D761)</f>
        <v>560549325</v>
      </c>
      <c r="J761" s="1" cm="1">
        <f t="array" ref="J761">GetLongitude(D761)</f>
        <v>120862338</v>
      </c>
      <c r="K761" s="1">
        <f t="shared" si="34"/>
        <v>56.0549325</v>
      </c>
      <c r="L761" s="1">
        <f t="shared" si="35"/>
        <v>12.0862338</v>
      </c>
    </row>
    <row r="762" spans="1:12" ht="16" x14ac:dyDescent="0.2">
      <c r="A762" s="1">
        <v>761</v>
      </c>
      <c r="B762" s="1" t="s">
        <v>2272</v>
      </c>
      <c r="C762" s="1" t="s">
        <v>2313</v>
      </c>
      <c r="D762" s="1" t="str">
        <f t="shared" si="33"/>
        <v>Gribskov KommuneØstergade 10</v>
      </c>
      <c r="E762" s="1" t="s">
        <v>2314</v>
      </c>
      <c r="F762" s="1" t="s">
        <v>2315</v>
      </c>
      <c r="G762" s="1">
        <v>1993</v>
      </c>
      <c r="H762" s="1" t="s">
        <v>11</v>
      </c>
      <c r="I762" s="6" cm="1">
        <f t="array" ref="I762">GetLatitude(D762)</f>
        <v>560672275</v>
      </c>
      <c r="J762" s="1" cm="1">
        <f t="array" ref="J762">GetLongitude(D762)</f>
        <v>122309388</v>
      </c>
      <c r="K762" s="1">
        <f t="shared" si="34"/>
        <v>56.067227500000001</v>
      </c>
      <c r="L762" s="1">
        <f t="shared" si="35"/>
        <v>12.230938800000001</v>
      </c>
    </row>
    <row r="763" spans="1:12" ht="16" x14ac:dyDescent="0.2">
      <c r="A763" s="1">
        <v>762</v>
      </c>
      <c r="B763" s="1" t="s">
        <v>2272</v>
      </c>
      <c r="C763" s="1" t="s">
        <v>2316</v>
      </c>
      <c r="D763" s="1" t="str">
        <f t="shared" si="33"/>
        <v>Gribskov KommuneØstergade 55</v>
      </c>
      <c r="E763" s="1" t="s">
        <v>2317</v>
      </c>
      <c r="F763" s="1" t="s">
        <v>2318</v>
      </c>
      <c r="G763" s="1">
        <v>1918</v>
      </c>
      <c r="H763" s="1" t="s">
        <v>11</v>
      </c>
      <c r="I763" s="6" cm="1">
        <f t="array" ref="I763">GetLatitude(D763)</f>
        <v>560246025</v>
      </c>
      <c r="J763" s="1" cm="1">
        <f t="array" ref="J763">GetLongitude(D763)</f>
        <v>122109580</v>
      </c>
      <c r="K763" s="1">
        <f t="shared" si="34"/>
        <v>56.0246025</v>
      </c>
      <c r="L763" s="1">
        <f t="shared" si="35"/>
        <v>12.210958</v>
      </c>
    </row>
    <row r="764" spans="1:12" ht="16" x14ac:dyDescent="0.2">
      <c r="A764" s="1">
        <v>763</v>
      </c>
      <c r="B764" s="1" t="s">
        <v>2319</v>
      </c>
      <c r="C764" s="1" t="s">
        <v>2320</v>
      </c>
      <c r="D764" s="1" t="str">
        <f t="shared" si="33"/>
        <v>Guldborgsund KommuneAdelgade 11 og 17</v>
      </c>
      <c r="E764" s="1" t="s">
        <v>2321</v>
      </c>
      <c r="F764" s="1" t="s">
        <v>2322</v>
      </c>
      <c r="G764" s="1">
        <v>1954</v>
      </c>
      <c r="H764" s="1" t="s">
        <v>2323</v>
      </c>
      <c r="I764" s="6" cm="1">
        <f t="array" ref="I764">GetLatitude(D764)</f>
        <v>547651204</v>
      </c>
      <c r="J764" s="1" cm="1">
        <f t="array" ref="J764">GetLongitude(D764)</f>
        <v>118791854</v>
      </c>
      <c r="K764" s="1">
        <f t="shared" si="34"/>
        <v>54.765120400000001</v>
      </c>
      <c r="L764" s="1">
        <f t="shared" si="35"/>
        <v>11.879185400000001</v>
      </c>
    </row>
    <row r="765" spans="1:12" ht="16" x14ac:dyDescent="0.2">
      <c r="A765" s="1">
        <v>764</v>
      </c>
      <c r="B765" s="1" t="s">
        <v>2319</v>
      </c>
      <c r="C765" s="1" t="s">
        <v>2324</v>
      </c>
      <c r="D765" s="1" t="str">
        <f t="shared" si="33"/>
        <v>Guldborgsund KommuneAdelgade 23</v>
      </c>
      <c r="E765" s="1" t="s">
        <v>2325</v>
      </c>
      <c r="F765" s="1" t="s">
        <v>2326</v>
      </c>
      <c r="G765" s="1">
        <v>1984</v>
      </c>
      <c r="H765" s="1" t="s">
        <v>15</v>
      </c>
      <c r="I765" s="6" cm="1">
        <f t="array" ref="I765">GetLatitude(D765)</f>
        <v>546683353</v>
      </c>
      <c r="J765" s="1" cm="1">
        <f t="array" ref="J765">GetLongitude(D765)</f>
        <v>117287874</v>
      </c>
      <c r="K765" s="1">
        <f t="shared" si="34"/>
        <v>54.668335300000003</v>
      </c>
      <c r="L765" s="1">
        <f t="shared" si="35"/>
        <v>11.7287874</v>
      </c>
    </row>
    <row r="766" spans="1:12" ht="16" x14ac:dyDescent="0.2">
      <c r="A766" s="1">
        <v>765</v>
      </c>
      <c r="B766" s="1" t="s">
        <v>2319</v>
      </c>
      <c r="C766" s="1" t="s">
        <v>2327</v>
      </c>
      <c r="D766" s="1" t="str">
        <f t="shared" si="33"/>
        <v>Guldborgsund Kommune Adelgade 28 B</v>
      </c>
      <c r="E766" s="1" t="s">
        <v>2328</v>
      </c>
      <c r="F766" s="1" t="s">
        <v>2329</v>
      </c>
      <c r="G766" s="1">
        <v>1982</v>
      </c>
      <c r="H766" s="1" t="s">
        <v>15</v>
      </c>
      <c r="I766" s="6" cm="1">
        <f t="array" ref="I766">GetLatitude(D766)</f>
        <v>546682640</v>
      </c>
      <c r="J766" s="1" cm="1">
        <f t="array" ref="J766">GetLongitude(D766)</f>
        <v>117284800</v>
      </c>
      <c r="K766" s="1">
        <f t="shared" si="34"/>
        <v>54.668264000000001</v>
      </c>
      <c r="L766" s="1">
        <f t="shared" si="35"/>
        <v>11.728479999999999</v>
      </c>
    </row>
    <row r="767" spans="1:12" ht="16" x14ac:dyDescent="0.2">
      <c r="A767" s="1">
        <v>766</v>
      </c>
      <c r="B767" s="1" t="s">
        <v>2319</v>
      </c>
      <c r="C767" s="1" t="s">
        <v>2330</v>
      </c>
      <c r="D767" s="1" t="str">
        <f t="shared" si="33"/>
        <v>Guldborgsund KommuneAdelgade 40</v>
      </c>
      <c r="E767" s="1" t="s">
        <v>2331</v>
      </c>
      <c r="F767" s="1" t="s">
        <v>2332</v>
      </c>
      <c r="G767" s="1">
        <v>1984</v>
      </c>
      <c r="H767" s="1" t="s">
        <v>11</v>
      </c>
      <c r="I767" s="6" cm="1">
        <f t="array" ref="I767">GetLatitude(D767)</f>
        <v>546676127</v>
      </c>
      <c r="J767" s="1" cm="1">
        <f t="array" ref="J767">GetLongitude(D767)</f>
        <v>117285076</v>
      </c>
      <c r="K767" s="1">
        <f t="shared" si="34"/>
        <v>54.667612699999999</v>
      </c>
      <c r="L767" s="1">
        <f t="shared" si="35"/>
        <v>11.7285076</v>
      </c>
    </row>
    <row r="768" spans="1:12" ht="16" x14ac:dyDescent="0.2">
      <c r="A768" s="1">
        <v>767</v>
      </c>
      <c r="B768" s="1" t="s">
        <v>2319</v>
      </c>
      <c r="C768" s="1" t="s">
        <v>2333</v>
      </c>
      <c r="D768" s="1" t="str">
        <f t="shared" si="33"/>
        <v>Guldborgsund KommuneAdelgade 80</v>
      </c>
      <c r="E768" s="1" t="s">
        <v>2334</v>
      </c>
      <c r="F768" s="1" t="s">
        <v>2335</v>
      </c>
      <c r="G768" s="1">
        <v>1982</v>
      </c>
      <c r="H768" s="1" t="s">
        <v>11</v>
      </c>
      <c r="I768" s="6" cm="1">
        <f t="array" ref="I768">GetLatitude(D768)</f>
        <v>546653732</v>
      </c>
      <c r="J768" s="1" cm="1">
        <f t="array" ref="J768">GetLongitude(D768)</f>
        <v>117306243</v>
      </c>
      <c r="K768" s="1">
        <f t="shared" si="34"/>
        <v>54.665373199999998</v>
      </c>
      <c r="L768" s="1">
        <f t="shared" si="35"/>
        <v>11.730624300000001</v>
      </c>
    </row>
    <row r="769" spans="1:12" ht="16" x14ac:dyDescent="0.2">
      <c r="A769" s="1">
        <v>768</v>
      </c>
      <c r="B769" s="1" t="s">
        <v>2319</v>
      </c>
      <c r="C769" s="1" t="s">
        <v>2336</v>
      </c>
      <c r="D769" s="1" t="str">
        <f t="shared" si="33"/>
        <v>Guldborgsund KommuneBramsløkkevej 7</v>
      </c>
      <c r="E769" s="1" t="s">
        <v>2337</v>
      </c>
      <c r="F769" s="1" t="s">
        <v>1762</v>
      </c>
      <c r="G769" s="1">
        <v>1918</v>
      </c>
      <c r="H769" s="1" t="s">
        <v>15</v>
      </c>
      <c r="I769" s="6" cm="1">
        <f t="array" ref="I769">GetLatitude(D769)</f>
        <v>547296078</v>
      </c>
      <c r="J769" s="1" cm="1">
        <f t="array" ref="J769">GetLongitude(D769)</f>
        <v>116604300</v>
      </c>
      <c r="K769" s="1">
        <f t="shared" si="34"/>
        <v>54.729607799999997</v>
      </c>
      <c r="L769" s="1">
        <f t="shared" si="35"/>
        <v>11.66043</v>
      </c>
    </row>
    <row r="770" spans="1:12" ht="16" x14ac:dyDescent="0.2">
      <c r="A770" s="1">
        <v>769</v>
      </c>
      <c r="B770" s="1" t="s">
        <v>2319</v>
      </c>
      <c r="C770" s="1" t="s">
        <v>2338</v>
      </c>
      <c r="D770" s="1" t="str">
        <f t="shared" si="33"/>
        <v>Guldborgsund KommuneBregningevej 43</v>
      </c>
      <c r="E770" s="1" t="s">
        <v>2339</v>
      </c>
      <c r="F770" s="1" t="s">
        <v>2340</v>
      </c>
      <c r="G770" s="1">
        <v>1970</v>
      </c>
      <c r="H770" s="1" t="s">
        <v>11</v>
      </c>
      <c r="I770" s="6" cm="1">
        <f t="array" ref="I770">GetLatitude(D770)</f>
        <v>547433258</v>
      </c>
      <c r="J770" s="1" cm="1">
        <f t="array" ref="J770">GetLongitude(D770)</f>
        <v>117047992</v>
      </c>
      <c r="K770" s="1">
        <f t="shared" si="34"/>
        <v>54.743325800000001</v>
      </c>
      <c r="L770" s="1">
        <f t="shared" si="35"/>
        <v>11.7047992</v>
      </c>
    </row>
    <row r="771" spans="1:12" ht="16" x14ac:dyDescent="0.2">
      <c r="A771" s="1">
        <v>770</v>
      </c>
      <c r="B771" s="1" t="s">
        <v>2319</v>
      </c>
      <c r="C771" s="1" t="s">
        <v>2341</v>
      </c>
      <c r="D771" s="1" t="str">
        <f t="shared" ref="D771:D834" si="36">B771&amp;C771</f>
        <v>Guldborgsund KommuneBrogade 2, hj af Torvegade</v>
      </c>
      <c r="E771" s="1" t="s">
        <v>2342</v>
      </c>
      <c r="F771" s="1" t="s">
        <v>2343</v>
      </c>
      <c r="G771" s="1">
        <v>1919</v>
      </c>
      <c r="H771" s="1" t="s">
        <v>11</v>
      </c>
      <c r="I771" s="6" cm="1">
        <f t="array" ref="I771">GetLatitude(D771)</f>
        <v>547651204</v>
      </c>
      <c r="J771" s="1" cm="1">
        <f t="array" ref="J771">GetLongitude(D771)</f>
        <v>118791854</v>
      </c>
      <c r="K771" s="1">
        <f t="shared" si="34"/>
        <v>54.765120400000001</v>
      </c>
      <c r="L771" s="1">
        <f t="shared" si="35"/>
        <v>11.879185400000001</v>
      </c>
    </row>
    <row r="772" spans="1:12" ht="16" x14ac:dyDescent="0.2">
      <c r="A772" s="1">
        <v>771</v>
      </c>
      <c r="B772" s="1" t="s">
        <v>2319</v>
      </c>
      <c r="C772" s="1" t="s">
        <v>2344</v>
      </c>
      <c r="D772" s="1" t="str">
        <f t="shared" si="36"/>
        <v>Guldborgsund KommuneBøtøgårdsvej 23</v>
      </c>
      <c r="E772" s="1" t="s">
        <v>2345</v>
      </c>
      <c r="F772" s="1" t="s">
        <v>2346</v>
      </c>
      <c r="G772" s="1">
        <v>1950</v>
      </c>
      <c r="H772" s="1" t="s">
        <v>15</v>
      </c>
      <c r="I772" s="6" cm="1">
        <f t="array" ref="I772">GetLatitude(D772)</f>
        <v>546119129</v>
      </c>
      <c r="J772" s="1" cm="1">
        <f t="array" ref="J772">GetLongitude(D772)</f>
        <v>119630476</v>
      </c>
      <c r="K772" s="1">
        <f t="shared" ref="K772:K835" si="37">I772/10000000</f>
        <v>54.6119129</v>
      </c>
      <c r="L772" s="1">
        <f t="shared" ref="L772:L835" si="38">J772/10000000</f>
        <v>11.963047599999999</v>
      </c>
    </row>
    <row r="773" spans="1:12" ht="16" x14ac:dyDescent="0.2">
      <c r="A773" s="1">
        <v>772</v>
      </c>
      <c r="B773" s="1" t="s">
        <v>2319</v>
      </c>
      <c r="C773" s="1" t="s">
        <v>2347</v>
      </c>
      <c r="D773" s="1" t="str">
        <f t="shared" si="36"/>
        <v>Guldborgsund KommuneEgensevej 49</v>
      </c>
      <c r="E773" s="1" t="s">
        <v>2348</v>
      </c>
      <c r="F773" s="1" t="s">
        <v>2349</v>
      </c>
      <c r="G773" s="1">
        <v>1950</v>
      </c>
      <c r="H773" s="1" t="s">
        <v>11</v>
      </c>
      <c r="I773" s="6" cm="1">
        <f t="array" ref="I773">GetLatitude(D773)</f>
        <v>549095552</v>
      </c>
      <c r="J773" s="1" cm="1">
        <f t="array" ref="J773">GetLongitude(D773)</f>
        <v>117730473</v>
      </c>
      <c r="K773" s="1">
        <f t="shared" si="37"/>
        <v>54.9095552</v>
      </c>
      <c r="L773" s="1">
        <f t="shared" si="38"/>
        <v>11.7730473</v>
      </c>
    </row>
    <row r="774" spans="1:12" ht="16" x14ac:dyDescent="0.2">
      <c r="A774" s="1">
        <v>773</v>
      </c>
      <c r="B774" s="1" t="s">
        <v>2319</v>
      </c>
      <c r="C774" s="1" t="s">
        <v>2350</v>
      </c>
      <c r="D774" s="1" t="str">
        <f t="shared" si="36"/>
        <v>Guldborgsund KommuneEjegodvej 4 A-B og 6</v>
      </c>
      <c r="E774" s="1" t="s">
        <v>2351</v>
      </c>
      <c r="F774" s="1" t="s">
        <v>2352</v>
      </c>
      <c r="G774" s="1">
        <v>1964</v>
      </c>
      <c r="H774" s="1" t="s">
        <v>701</v>
      </c>
      <c r="I774" s="6" cm="1">
        <f t="array" ref="I774">GetLatitude(D774)</f>
        <v>547801353</v>
      </c>
      <c r="J774" s="1" cm="1">
        <f t="array" ref="J774">GetLongitude(D774)</f>
        <v>118654088</v>
      </c>
      <c r="K774" s="1">
        <f t="shared" si="37"/>
        <v>54.780135299999998</v>
      </c>
      <c r="L774" s="1">
        <f t="shared" si="38"/>
        <v>11.865408800000001</v>
      </c>
    </row>
    <row r="775" spans="1:12" ht="16" x14ac:dyDescent="0.2">
      <c r="A775" s="1">
        <v>774</v>
      </c>
      <c r="B775" s="1" t="s">
        <v>2319</v>
      </c>
      <c r="C775" s="1" t="s">
        <v>2353</v>
      </c>
      <c r="D775" s="1" t="str">
        <f t="shared" si="36"/>
        <v>Guldborgsund KommuneEngestoftevej 95</v>
      </c>
      <c r="E775" s="1" t="s">
        <v>2354</v>
      </c>
      <c r="F775" s="1" t="s">
        <v>2355</v>
      </c>
      <c r="G775" s="1">
        <v>1918</v>
      </c>
      <c r="H775" s="1" t="s">
        <v>15</v>
      </c>
      <c r="I775" s="6" cm="1">
        <f t="array" ref="I775">GetLatitude(D775)</f>
        <v>547626417</v>
      </c>
      <c r="J775" s="1" cm="1">
        <f t="array" ref="J775">GetLongitude(D775)</f>
        <v>115618531</v>
      </c>
      <c r="K775" s="1">
        <f t="shared" si="37"/>
        <v>54.762641700000003</v>
      </c>
      <c r="L775" s="1">
        <f t="shared" si="38"/>
        <v>11.5618531</v>
      </c>
    </row>
    <row r="776" spans="1:12" ht="16" x14ac:dyDescent="0.2">
      <c r="A776" s="1">
        <v>775</v>
      </c>
      <c r="B776" s="1" t="s">
        <v>2319</v>
      </c>
      <c r="C776" s="1" t="s">
        <v>2356</v>
      </c>
      <c r="D776" s="1" t="str">
        <f t="shared" si="36"/>
        <v>Guldborgsund KommuneFrisegade 1</v>
      </c>
      <c r="E776" s="1" t="s">
        <v>2357</v>
      </c>
      <c r="F776" s="1" t="s">
        <v>2358</v>
      </c>
      <c r="G776" s="1">
        <v>1918</v>
      </c>
      <c r="H776" s="1" t="s">
        <v>11</v>
      </c>
      <c r="I776" s="6" cm="1">
        <f t="array" ref="I776">GetLatitude(D776)</f>
        <v>547658892</v>
      </c>
      <c r="J776" s="1" cm="1">
        <f t="array" ref="J776">GetLongitude(D776)</f>
        <v>118674352</v>
      </c>
      <c r="K776" s="1">
        <f t="shared" si="37"/>
        <v>54.765889199999997</v>
      </c>
      <c r="L776" s="1">
        <f t="shared" si="38"/>
        <v>11.867435199999999</v>
      </c>
    </row>
    <row r="777" spans="1:12" ht="16" x14ac:dyDescent="0.2">
      <c r="A777" s="1">
        <v>776</v>
      </c>
      <c r="B777" s="1" t="s">
        <v>2319</v>
      </c>
      <c r="C777" s="1" t="s">
        <v>2359</v>
      </c>
      <c r="D777" s="1" t="str">
        <f t="shared" si="36"/>
        <v>Guldborgsund KommuneFrisegade 43</v>
      </c>
      <c r="E777" s="1" t="s">
        <v>2360</v>
      </c>
      <c r="F777" s="1" t="s">
        <v>2361</v>
      </c>
      <c r="G777" s="1">
        <v>1945</v>
      </c>
      <c r="H777" s="1" t="s">
        <v>2362</v>
      </c>
      <c r="I777" s="6" cm="1">
        <f t="array" ref="I777">GetLatitude(D777)</f>
        <v>547637248</v>
      </c>
      <c r="J777" s="1" cm="1">
        <f t="array" ref="J777">GetLongitude(D777)</f>
        <v>118689777</v>
      </c>
      <c r="K777" s="1">
        <f t="shared" si="37"/>
        <v>54.763724799999999</v>
      </c>
      <c r="L777" s="1">
        <f t="shared" si="38"/>
        <v>11.8689777</v>
      </c>
    </row>
    <row r="778" spans="1:12" ht="16" x14ac:dyDescent="0.2">
      <c r="A778" s="1">
        <v>777</v>
      </c>
      <c r="B778" s="1" t="s">
        <v>2319</v>
      </c>
      <c r="C778" s="1" t="s">
        <v>2363</v>
      </c>
      <c r="D778" s="1" t="str">
        <f t="shared" si="36"/>
        <v>Guldborgsund KommuneGammel Færgevej 6</v>
      </c>
      <c r="E778" s="1" t="s">
        <v>2364</v>
      </c>
      <c r="F778" s="1" t="s">
        <v>2365</v>
      </c>
      <c r="G778" s="1">
        <v>1950</v>
      </c>
      <c r="H778" s="1" t="s">
        <v>15</v>
      </c>
      <c r="I778" s="6" cm="1">
        <f t="array" ref="I778">GetLatitude(D778)</f>
        <v>548857998</v>
      </c>
      <c r="J778" s="1" cm="1">
        <f t="array" ref="J778">GetLongitude(D778)</f>
        <v>121195010</v>
      </c>
      <c r="K778" s="1">
        <f t="shared" si="37"/>
        <v>54.885799800000001</v>
      </c>
      <c r="L778" s="1">
        <f t="shared" si="38"/>
        <v>12.119501</v>
      </c>
    </row>
    <row r="779" spans="1:12" ht="16" x14ac:dyDescent="0.2">
      <c r="A779" s="1">
        <v>778</v>
      </c>
      <c r="B779" s="1" t="s">
        <v>2319</v>
      </c>
      <c r="C779" s="1" t="s">
        <v>2366</v>
      </c>
      <c r="D779" s="1" t="str">
        <f t="shared" si="36"/>
        <v>Guldborgsund KommuneGammel Torv 2</v>
      </c>
      <c r="E779" s="1" t="s">
        <v>2367</v>
      </c>
      <c r="F779" s="1" t="s">
        <v>2368</v>
      </c>
      <c r="G779" s="1">
        <v>1983</v>
      </c>
      <c r="H779" s="1" t="s">
        <v>11</v>
      </c>
      <c r="I779" s="6" cm="1">
        <f t="array" ref="I779">GetLatitude(D779)</f>
        <v>547651204</v>
      </c>
      <c r="J779" s="1" cm="1">
        <f t="array" ref="J779">GetLongitude(D779)</f>
        <v>118791854</v>
      </c>
      <c r="K779" s="1">
        <f t="shared" si="37"/>
        <v>54.765120400000001</v>
      </c>
      <c r="L779" s="1">
        <f t="shared" si="38"/>
        <v>11.879185400000001</v>
      </c>
    </row>
    <row r="780" spans="1:12" ht="16" x14ac:dyDescent="0.2">
      <c r="A780" s="1">
        <v>779</v>
      </c>
      <c r="B780" s="1" t="s">
        <v>2319</v>
      </c>
      <c r="C780" s="1" t="s">
        <v>2369</v>
      </c>
      <c r="D780" s="1" t="str">
        <f t="shared" si="36"/>
        <v>Guldborgsund KommuneGammel Torv 3, 5 og 7</v>
      </c>
      <c r="E780" s="1" t="s">
        <v>2370</v>
      </c>
      <c r="F780" s="1" t="s">
        <v>2371</v>
      </c>
      <c r="G780" s="1">
        <v>1954</v>
      </c>
      <c r="H780" s="1" t="s">
        <v>15</v>
      </c>
      <c r="I780" s="6" cm="1">
        <f t="array" ref="I780">GetLatitude(D780)</f>
        <v>547651204</v>
      </c>
      <c r="J780" s="1" cm="1">
        <f t="array" ref="J780">GetLongitude(D780)</f>
        <v>118791854</v>
      </c>
      <c r="K780" s="1">
        <f t="shared" si="37"/>
        <v>54.765120400000001</v>
      </c>
      <c r="L780" s="1">
        <f t="shared" si="38"/>
        <v>11.879185400000001</v>
      </c>
    </row>
    <row r="781" spans="1:12" ht="16" x14ac:dyDescent="0.2">
      <c r="A781" s="1">
        <v>780</v>
      </c>
      <c r="B781" s="1" t="s">
        <v>2319</v>
      </c>
      <c r="C781" s="1" t="s">
        <v>2372</v>
      </c>
      <c r="D781" s="1" t="str">
        <f t="shared" si="36"/>
        <v>Guldborgsund KommuneGedsergård 1 og 2</v>
      </c>
      <c r="E781" s="1" t="s">
        <v>2373</v>
      </c>
      <c r="F781" s="1" t="s">
        <v>2374</v>
      </c>
      <c r="G781" s="1">
        <v>1959</v>
      </c>
      <c r="H781" s="1" t="s">
        <v>2375</v>
      </c>
      <c r="I781" s="6" cm="1">
        <f t="array" ref="I781">GetLatitude(D781)</f>
        <v>546482887</v>
      </c>
      <c r="J781" s="1" cm="1">
        <f t="array" ref="J781">GetLongitude(D781)</f>
        <v>118822410</v>
      </c>
      <c r="K781" s="1">
        <f t="shared" si="37"/>
        <v>54.648288700000002</v>
      </c>
      <c r="L781" s="1">
        <f t="shared" si="38"/>
        <v>11.882241</v>
      </c>
    </row>
    <row r="782" spans="1:12" ht="16" x14ac:dyDescent="0.2">
      <c r="A782" s="1">
        <v>781</v>
      </c>
      <c r="B782" s="1" t="s">
        <v>2319</v>
      </c>
      <c r="C782" s="1" t="s">
        <v>2376</v>
      </c>
      <c r="D782" s="1" t="str">
        <f t="shared" si="36"/>
        <v>Guldborgsund KommuneGåbense Strandvej 61</v>
      </c>
      <c r="E782" s="1" t="s">
        <v>2377</v>
      </c>
      <c r="F782" s="1" t="s">
        <v>2378</v>
      </c>
      <c r="G782" s="1">
        <v>1950</v>
      </c>
      <c r="H782" s="1" t="s">
        <v>11</v>
      </c>
      <c r="I782" s="6" cm="1">
        <f t="array" ref="I782">GetLatitude(D782)</f>
        <v>549438270</v>
      </c>
      <c r="J782" s="1" cm="1">
        <f t="array" ref="J782">GetLongitude(D782)</f>
        <v>118766520</v>
      </c>
      <c r="K782" s="1">
        <f t="shared" si="37"/>
        <v>54.943826999999999</v>
      </c>
      <c r="L782" s="1">
        <f t="shared" si="38"/>
        <v>11.876652</v>
      </c>
    </row>
    <row r="783" spans="1:12" ht="16" x14ac:dyDescent="0.2">
      <c r="A783" s="1">
        <v>782</v>
      </c>
      <c r="B783" s="1" t="s">
        <v>2319</v>
      </c>
      <c r="C783" s="1" t="s">
        <v>2379</v>
      </c>
      <c r="D783" s="1" t="str">
        <f t="shared" si="36"/>
        <v>Guldborgsund KommuneHavnegade 18</v>
      </c>
      <c r="E783" s="1" t="s">
        <v>2380</v>
      </c>
      <c r="F783" s="1" t="s">
        <v>2381</v>
      </c>
      <c r="G783" s="1">
        <v>2002</v>
      </c>
      <c r="H783" s="1" t="s">
        <v>15</v>
      </c>
      <c r="I783" s="6" cm="1">
        <f t="array" ref="I783">GetLatitude(D783)</f>
        <v>547651204</v>
      </c>
      <c r="J783" s="1" cm="1">
        <f t="array" ref="J783">GetLongitude(D783)</f>
        <v>118791854</v>
      </c>
      <c r="K783" s="1">
        <f t="shared" si="37"/>
        <v>54.765120400000001</v>
      </c>
      <c r="L783" s="1">
        <f t="shared" si="38"/>
        <v>11.879185400000001</v>
      </c>
    </row>
    <row r="784" spans="1:12" ht="16" x14ac:dyDescent="0.2">
      <c r="A784" s="1">
        <v>783</v>
      </c>
      <c r="B784" s="1" t="s">
        <v>2319</v>
      </c>
      <c r="C784" s="1" t="s">
        <v>2382</v>
      </c>
      <c r="D784" s="1" t="str">
        <f t="shared" si="36"/>
        <v>Guldborgsund KommuneHesnæsvej 56 og Lyremosen 1</v>
      </c>
      <c r="E784" s="1" t="s">
        <v>2383</v>
      </c>
      <c r="F784" s="1" t="s">
        <v>2384</v>
      </c>
      <c r="G784" s="1">
        <v>1945</v>
      </c>
      <c r="H784" s="1" t="s">
        <v>15</v>
      </c>
      <c r="I784" s="6" cm="1">
        <f t="array" ref="I784">GetLatitude(D784)</f>
        <v>548311616</v>
      </c>
      <c r="J784" s="1" cm="1">
        <f t="array" ref="J784">GetLongitude(D784)</f>
        <v>121061732</v>
      </c>
      <c r="K784" s="1">
        <f t="shared" si="37"/>
        <v>54.831161600000001</v>
      </c>
      <c r="L784" s="1">
        <f t="shared" si="38"/>
        <v>12.106173200000001</v>
      </c>
    </row>
    <row r="785" spans="1:12" ht="16" x14ac:dyDescent="0.2">
      <c r="A785" s="1">
        <v>784</v>
      </c>
      <c r="B785" s="1" t="s">
        <v>2319</v>
      </c>
      <c r="C785" s="1" t="s">
        <v>2385</v>
      </c>
      <c r="D785" s="1" t="str">
        <f t="shared" si="36"/>
        <v>Guldborgsund KommuneJuniorsgade 6-12</v>
      </c>
      <c r="E785" s="1" t="s">
        <v>2386</v>
      </c>
      <c r="F785" s="1" t="s">
        <v>2387</v>
      </c>
      <c r="G785" s="1">
        <v>1964</v>
      </c>
      <c r="H785" s="1" t="s">
        <v>15</v>
      </c>
      <c r="I785" s="6" cm="1">
        <f t="array" ref="I785">GetLatitude(D785)</f>
        <v>547993777</v>
      </c>
      <c r="J785" s="1" cm="1">
        <f t="array" ref="J785">GetLongitude(D785)</f>
        <v>116336990</v>
      </c>
      <c r="K785" s="1">
        <f t="shared" si="37"/>
        <v>54.799377700000001</v>
      </c>
      <c r="L785" s="1">
        <f t="shared" si="38"/>
        <v>11.633699</v>
      </c>
    </row>
    <row r="786" spans="1:12" ht="16" x14ac:dyDescent="0.2">
      <c r="A786" s="1">
        <v>785</v>
      </c>
      <c r="B786" s="1" t="s">
        <v>2319</v>
      </c>
      <c r="C786" s="1" t="s">
        <v>2388</v>
      </c>
      <c r="D786" s="1" t="str">
        <f t="shared" si="36"/>
        <v>Guldborgsund KommuneKirkepladsen 3</v>
      </c>
      <c r="E786" s="1" t="s">
        <v>2389</v>
      </c>
      <c r="F786" s="1" t="s">
        <v>2390</v>
      </c>
      <c r="G786" s="1">
        <v>1981</v>
      </c>
      <c r="H786" s="1" t="s">
        <v>15</v>
      </c>
      <c r="I786" s="6" cm="1">
        <f t="array" ref="I786">GetLatitude(D786)</f>
        <v>547656061</v>
      </c>
      <c r="J786" s="1" cm="1">
        <f t="array" ref="J786">GetLongitude(D786)</f>
        <v>118692296</v>
      </c>
      <c r="K786" s="1">
        <f t="shared" si="37"/>
        <v>54.765606099999999</v>
      </c>
      <c r="L786" s="1">
        <f t="shared" si="38"/>
        <v>11.869229600000001</v>
      </c>
    </row>
    <row r="787" spans="1:12" ht="16" x14ac:dyDescent="0.2">
      <c r="A787" s="1">
        <v>786</v>
      </c>
      <c r="B787" s="1" t="s">
        <v>2319</v>
      </c>
      <c r="C787" s="1" t="s">
        <v>2391</v>
      </c>
      <c r="D787" s="1" t="str">
        <f t="shared" si="36"/>
        <v>Guldborgsund KommuneKlosterstræde 1-9 og Voldgade 8</v>
      </c>
      <c r="E787" s="1" t="s">
        <v>2392</v>
      </c>
      <c r="F787" s="1" t="s">
        <v>2393</v>
      </c>
      <c r="G787" s="1">
        <v>1959</v>
      </c>
      <c r="H787" s="1" t="s">
        <v>2394</v>
      </c>
      <c r="I787" s="6" cm="1">
        <f t="array" ref="I787">GetLatitude(D787)</f>
        <v>547651204</v>
      </c>
      <c r="J787" s="1" cm="1">
        <f t="array" ref="J787">GetLongitude(D787)</f>
        <v>118791854</v>
      </c>
      <c r="K787" s="1">
        <f t="shared" si="37"/>
        <v>54.765120400000001</v>
      </c>
      <c r="L787" s="1">
        <f t="shared" si="38"/>
        <v>11.879185400000001</v>
      </c>
    </row>
    <row r="788" spans="1:12" ht="16" x14ac:dyDescent="0.2">
      <c r="A788" s="1">
        <v>787</v>
      </c>
      <c r="B788" s="1" t="s">
        <v>2319</v>
      </c>
      <c r="C788" s="1" t="s">
        <v>2395</v>
      </c>
      <c r="D788" s="1" t="str">
        <f t="shared" si="36"/>
        <v>Guldborgsund KommuneKogangen 8</v>
      </c>
      <c r="E788" s="1" t="s">
        <v>2396</v>
      </c>
      <c r="F788" s="1" t="s">
        <v>2397</v>
      </c>
      <c r="G788" s="1">
        <v>1918</v>
      </c>
      <c r="H788" s="1" t="s">
        <v>15</v>
      </c>
      <c r="I788" s="6" cm="1">
        <f t="array" ref="I788">GetLatitude(D788)</f>
        <v>548217310</v>
      </c>
      <c r="J788" s="1" cm="1">
        <f t="array" ref="J788">GetLongitude(D788)</f>
        <v>116656160</v>
      </c>
      <c r="K788" s="1">
        <f t="shared" si="37"/>
        <v>54.821731</v>
      </c>
      <c r="L788" s="1">
        <f t="shared" si="38"/>
        <v>11.665616</v>
      </c>
    </row>
    <row r="789" spans="1:12" ht="16" x14ac:dyDescent="0.2">
      <c r="A789" s="1">
        <v>788</v>
      </c>
      <c r="B789" s="1" t="s">
        <v>2319</v>
      </c>
      <c r="C789" s="1" t="s">
        <v>2398</v>
      </c>
      <c r="D789" s="1" t="str">
        <f t="shared" si="36"/>
        <v>Guldborgsund KommuneKraghave Gaabensevej 95 A og 97</v>
      </c>
      <c r="E789" s="1" t="s">
        <v>2399</v>
      </c>
      <c r="F789" s="1" t="s">
        <v>2400</v>
      </c>
      <c r="G789" s="1">
        <v>1945</v>
      </c>
      <c r="H789" s="1" t="s">
        <v>15</v>
      </c>
      <c r="I789" s="6" cm="1">
        <f t="array" ref="I789">GetLatitude(D789)</f>
        <v>547787950</v>
      </c>
      <c r="J789" s="1" cm="1">
        <f t="array" ref="J789">GetLongitude(D789)</f>
        <v>118667303</v>
      </c>
      <c r="K789" s="1">
        <f t="shared" si="37"/>
        <v>54.778795000000002</v>
      </c>
      <c r="L789" s="1">
        <f t="shared" si="38"/>
        <v>11.8667303</v>
      </c>
    </row>
    <row r="790" spans="1:12" ht="16" x14ac:dyDescent="0.2">
      <c r="A790" s="1">
        <v>789</v>
      </c>
      <c r="B790" s="1" t="s">
        <v>2319</v>
      </c>
      <c r="C790" s="1" t="s">
        <v>2401</v>
      </c>
      <c r="D790" s="1" t="str">
        <f t="shared" si="36"/>
        <v>Guldborgsund KommuneKrenkerupvej 25-27</v>
      </c>
      <c r="E790" s="1" t="s">
        <v>2402</v>
      </c>
      <c r="F790" s="1" t="s">
        <v>2403</v>
      </c>
      <c r="G790" s="1">
        <v>1918</v>
      </c>
      <c r="H790" s="1" t="s">
        <v>15</v>
      </c>
      <c r="I790" s="6" cm="1">
        <f t="array" ref="I790">GetLatitude(D790)</f>
        <v>547779634</v>
      </c>
      <c r="J790" s="1" cm="1">
        <f t="array" ref="J790">GetLongitude(D790)</f>
        <v>116712947</v>
      </c>
      <c r="K790" s="1">
        <f t="shared" si="37"/>
        <v>54.777963399999997</v>
      </c>
      <c r="L790" s="1">
        <f t="shared" si="38"/>
        <v>11.671294700000001</v>
      </c>
    </row>
    <row r="791" spans="1:12" ht="16" x14ac:dyDescent="0.2">
      <c r="A791" s="1">
        <v>790</v>
      </c>
      <c r="B791" s="1" t="s">
        <v>2319</v>
      </c>
      <c r="C791" s="1" t="s">
        <v>2404</v>
      </c>
      <c r="D791" s="1" t="str">
        <f t="shared" si="36"/>
        <v>Guldborgsund KommuneKringelborg Allé 11 (tidl Grønsundsvej 123)</v>
      </c>
      <c r="E791" s="1" t="s">
        <v>2405</v>
      </c>
      <c r="F791" s="1" t="s">
        <v>2406</v>
      </c>
      <c r="G791" s="1">
        <v>1959</v>
      </c>
      <c r="H791" s="1" t="s">
        <v>15</v>
      </c>
      <c r="I791" s="6" cm="1">
        <f t="array" ref="I791">GetLatitude(D791)</f>
        <v>547584188</v>
      </c>
      <c r="J791" s="1" cm="1">
        <f t="array" ref="J791">GetLongitude(D791)</f>
        <v>119250090</v>
      </c>
      <c r="K791" s="1">
        <f t="shared" si="37"/>
        <v>54.758418800000001</v>
      </c>
      <c r="L791" s="1">
        <f t="shared" si="38"/>
        <v>11.925008999999999</v>
      </c>
    </row>
    <row r="792" spans="1:12" ht="16" x14ac:dyDescent="0.2">
      <c r="A792" s="1">
        <v>791</v>
      </c>
      <c r="B792" s="1" t="s">
        <v>2319</v>
      </c>
      <c r="C792" s="1" t="s">
        <v>2407</v>
      </c>
      <c r="D792" s="1" t="str">
        <f t="shared" si="36"/>
        <v>Guldborgsund KommuneLanggade 16-18</v>
      </c>
      <c r="E792" s="1" t="s">
        <v>11379</v>
      </c>
      <c r="F792" s="1">
        <v>1919</v>
      </c>
      <c r="G792" s="1" t="s">
        <v>11</v>
      </c>
      <c r="H792" s="1" t="s">
        <v>15</v>
      </c>
      <c r="I792" s="6" cm="1">
        <f t="array" ref="I792">GetLatitude(D792)</f>
        <v>547670674</v>
      </c>
      <c r="J792" s="1" cm="1">
        <f t="array" ref="J792">GetLongitude(D792)</f>
        <v>118669099</v>
      </c>
      <c r="K792" s="1">
        <f t="shared" si="37"/>
        <v>54.767067400000002</v>
      </c>
      <c r="L792" s="1">
        <f t="shared" si="38"/>
        <v>11.8669099</v>
      </c>
    </row>
    <row r="793" spans="1:12" ht="16" x14ac:dyDescent="0.2">
      <c r="A793" s="1">
        <v>792</v>
      </c>
      <c r="B793" s="1" t="s">
        <v>2319</v>
      </c>
      <c r="C793" s="1" t="s">
        <v>2408</v>
      </c>
      <c r="D793" s="1" t="str">
        <f t="shared" si="36"/>
        <v>Guldborgsund KommuneLanggade 2, hj af Færgestræde</v>
      </c>
      <c r="E793" s="1" t="s">
        <v>2409</v>
      </c>
      <c r="F793" s="1" t="s">
        <v>1868</v>
      </c>
      <c r="G793" s="1">
        <v>1918</v>
      </c>
      <c r="H793" s="1" t="s">
        <v>11</v>
      </c>
      <c r="I793" s="6" cm="1">
        <f t="array" ref="I793">GetLatitude(D793)</f>
        <v>547651204</v>
      </c>
      <c r="J793" s="1" cm="1">
        <f t="array" ref="J793">GetLongitude(D793)</f>
        <v>118791854</v>
      </c>
      <c r="K793" s="1">
        <f t="shared" si="37"/>
        <v>54.765120400000001</v>
      </c>
      <c r="L793" s="1">
        <f t="shared" si="38"/>
        <v>11.879185400000001</v>
      </c>
    </row>
    <row r="794" spans="1:12" ht="16" x14ac:dyDescent="0.2">
      <c r="A794" s="1">
        <v>793</v>
      </c>
      <c r="B794" s="1" t="s">
        <v>2319</v>
      </c>
      <c r="C794" s="1" t="s">
        <v>2410</v>
      </c>
      <c r="D794" s="1" t="str">
        <f t="shared" si="36"/>
        <v>Guldborgsund KommuneLille Kirkestræde 9-11</v>
      </c>
      <c r="E794" s="1" t="s">
        <v>2411</v>
      </c>
      <c r="F794" s="1" t="s">
        <v>2412</v>
      </c>
      <c r="G794" s="1">
        <v>1945</v>
      </c>
      <c r="H794" s="1" t="s">
        <v>15</v>
      </c>
      <c r="I794" s="6" cm="1">
        <f t="array" ref="I794">GetLatitude(D794)</f>
        <v>547652993</v>
      </c>
      <c r="J794" s="1" cm="1">
        <f t="array" ref="J794">GetLongitude(D794)</f>
        <v>118683771</v>
      </c>
      <c r="K794" s="1">
        <f t="shared" si="37"/>
        <v>54.765299300000002</v>
      </c>
      <c r="L794" s="1">
        <f t="shared" si="38"/>
        <v>11.8683771</v>
      </c>
    </row>
    <row r="795" spans="1:12" ht="16" x14ac:dyDescent="0.2">
      <c r="A795" s="1">
        <v>794</v>
      </c>
      <c r="B795" s="1" t="s">
        <v>2319</v>
      </c>
      <c r="C795" s="1" t="s">
        <v>2413</v>
      </c>
      <c r="D795" s="1" t="str">
        <f t="shared" si="36"/>
        <v>Guldborgsund Kommune Lundbyvej 44</v>
      </c>
      <c r="E795" s="1" t="s">
        <v>2414</v>
      </c>
      <c r="F795" s="1" t="s">
        <v>2415</v>
      </c>
      <c r="G795" s="1">
        <v>1959</v>
      </c>
      <c r="H795" s="1" t="s">
        <v>11</v>
      </c>
      <c r="I795" s="6" cm="1">
        <f t="array" ref="I795">GetLatitude(D795)</f>
        <v>548649033</v>
      </c>
      <c r="J795" s="1" cm="1">
        <f t="array" ref="J795">GetLongitude(D795)</f>
        <v>118338895</v>
      </c>
      <c r="K795" s="1">
        <f t="shared" si="37"/>
        <v>54.864903300000002</v>
      </c>
      <c r="L795" s="1">
        <f t="shared" si="38"/>
        <v>11.8338895</v>
      </c>
    </row>
    <row r="796" spans="1:12" ht="16" x14ac:dyDescent="0.2">
      <c r="A796" s="1">
        <v>795</v>
      </c>
      <c r="B796" s="1" t="s">
        <v>2319</v>
      </c>
      <c r="C796" s="1" t="s">
        <v>2416</v>
      </c>
      <c r="D796" s="1" t="str">
        <f t="shared" si="36"/>
        <v>Guldborgsund KommuneMøllesøvej 2</v>
      </c>
      <c r="E796" s="1" t="s">
        <v>2417</v>
      </c>
      <c r="F796" s="1" t="s">
        <v>2418</v>
      </c>
      <c r="G796" s="1">
        <v>1970</v>
      </c>
      <c r="H796" s="1" t="s">
        <v>11</v>
      </c>
      <c r="I796" s="6" cm="1">
        <f t="array" ref="I796">GetLatitude(D796)</f>
        <v>546823963</v>
      </c>
      <c r="J796" s="1" cm="1">
        <f t="array" ref="J796">GetLongitude(D796)</f>
        <v>119085845</v>
      </c>
      <c r="K796" s="1">
        <f t="shared" si="37"/>
        <v>54.682396300000001</v>
      </c>
      <c r="L796" s="1">
        <f t="shared" si="38"/>
        <v>11.9085845</v>
      </c>
    </row>
    <row r="797" spans="1:12" ht="16" x14ac:dyDescent="0.2">
      <c r="A797" s="1">
        <v>796</v>
      </c>
      <c r="B797" s="1" t="s">
        <v>2319</v>
      </c>
      <c r="C797" s="1" t="s">
        <v>2419</v>
      </c>
      <c r="D797" s="1" t="str">
        <f t="shared" si="36"/>
        <v>Guldborgsund KommuneNystedvej 73</v>
      </c>
      <c r="E797" s="1" t="s">
        <v>2420</v>
      </c>
      <c r="F797" s="1" t="s">
        <v>2421</v>
      </c>
      <c r="G797" s="1">
        <v>1983</v>
      </c>
      <c r="H797" s="1" t="s">
        <v>7875</v>
      </c>
      <c r="I797" s="6" cm="1">
        <f t="array" ref="I797">GetLatitude(D797)</f>
        <v>547218801</v>
      </c>
      <c r="J797" s="1" cm="1">
        <f t="array" ref="J797">GetLongitude(D797)</f>
        <v>117980006</v>
      </c>
      <c r="K797" s="1">
        <f t="shared" si="37"/>
        <v>54.7218801</v>
      </c>
      <c r="L797" s="1">
        <f t="shared" si="38"/>
        <v>11.7980006</v>
      </c>
    </row>
    <row r="798" spans="1:12" ht="16" x14ac:dyDescent="0.2">
      <c r="A798" s="1">
        <v>797</v>
      </c>
      <c r="B798" s="1" t="s">
        <v>2319</v>
      </c>
      <c r="C798" s="1" t="s">
        <v>2422</v>
      </c>
      <c r="D798" s="1" t="str">
        <f t="shared" si="36"/>
        <v>Guldborgsund KommuneNy Østergade 11</v>
      </c>
      <c r="E798" s="1" t="s">
        <v>2423</v>
      </c>
      <c r="F798" s="1" t="s">
        <v>11380</v>
      </c>
      <c r="G798" s="1">
        <v>2003</v>
      </c>
      <c r="H798" s="1" t="s">
        <v>15</v>
      </c>
      <c r="I798" s="6" cm="1">
        <f t="array" ref="I798">GetLatitude(D798)</f>
        <v>546700385</v>
      </c>
      <c r="J798" s="1" cm="1">
        <f t="array" ref="J798">GetLongitude(D798)</f>
        <v>117299225</v>
      </c>
      <c r="K798" s="1">
        <f t="shared" si="37"/>
        <v>54.670038499999997</v>
      </c>
      <c r="L798" s="1">
        <f t="shared" si="38"/>
        <v>11.729922500000001</v>
      </c>
    </row>
    <row r="799" spans="1:12" ht="16" x14ac:dyDescent="0.2">
      <c r="A799" s="1">
        <v>798</v>
      </c>
      <c r="B799" s="1" t="s">
        <v>2319</v>
      </c>
      <c r="C799" s="1" t="s">
        <v>2424</v>
      </c>
      <c r="D799" s="1" t="str">
        <f t="shared" si="36"/>
        <v>Guldborgsund KommuneOrebygård 5</v>
      </c>
      <c r="E799" s="1" t="s">
        <v>2425</v>
      </c>
      <c r="F799" s="1" t="s">
        <v>2426</v>
      </c>
      <c r="G799" s="1">
        <v>1985</v>
      </c>
      <c r="H799" s="1" t="s">
        <v>15</v>
      </c>
      <c r="I799" s="6" cm="1">
        <f t="array" ref="I799">GetLatitude(D799)</f>
        <v>548295472</v>
      </c>
      <c r="J799" s="1" cm="1">
        <f t="array" ref="J799">GetLongitude(D799)</f>
        <v>115964910</v>
      </c>
      <c r="K799" s="1">
        <f t="shared" si="37"/>
        <v>54.8295472</v>
      </c>
      <c r="L799" s="1">
        <f t="shared" si="38"/>
        <v>11.596491</v>
      </c>
    </row>
    <row r="800" spans="1:12" ht="16" x14ac:dyDescent="0.2">
      <c r="A800" s="1">
        <v>799</v>
      </c>
      <c r="B800" s="1" t="s">
        <v>2319</v>
      </c>
      <c r="C800" s="1" t="s">
        <v>2427</v>
      </c>
      <c r="D800" s="1" t="str">
        <f t="shared" si="36"/>
        <v>Guldborgsund KommunePriorskov 11</v>
      </c>
      <c r="E800" s="1" t="s">
        <v>2428</v>
      </c>
      <c r="F800" s="1" t="s">
        <v>2429</v>
      </c>
      <c r="G800" s="1">
        <v>1971</v>
      </c>
      <c r="H800" s="1" t="s">
        <v>15</v>
      </c>
      <c r="I800" s="6" cm="1">
        <f t="array" ref="I800">GetLatitude(D800)</f>
        <v>547337719</v>
      </c>
      <c r="J800" s="1" cm="1">
        <f t="array" ref="J800">GetLongitude(D800)</f>
        <v>118421965</v>
      </c>
      <c r="K800" s="1">
        <f t="shared" si="37"/>
        <v>54.733771900000001</v>
      </c>
      <c r="L800" s="1">
        <f t="shared" si="38"/>
        <v>11.8421965</v>
      </c>
    </row>
    <row r="801" spans="1:12" ht="16" x14ac:dyDescent="0.2">
      <c r="A801" s="1">
        <v>800</v>
      </c>
      <c r="B801" s="1" t="s">
        <v>2319</v>
      </c>
      <c r="C801" s="1" t="s">
        <v>2430</v>
      </c>
      <c r="D801" s="1" t="str">
        <f t="shared" si="36"/>
        <v>Guldborgsund KommuneRosenvænget 12</v>
      </c>
      <c r="E801" s="1" t="s">
        <v>2431</v>
      </c>
      <c r="F801" s="1" t="s">
        <v>2432</v>
      </c>
      <c r="G801" s="1">
        <v>1992</v>
      </c>
      <c r="H801" s="1" t="s">
        <v>15</v>
      </c>
      <c r="I801" s="6" cm="1">
        <f t="array" ref="I801">GetLatitude(D801)</f>
        <v>547697018</v>
      </c>
      <c r="J801" s="1" cm="1">
        <f t="array" ref="J801">GetLongitude(D801)</f>
        <v>118670965</v>
      </c>
      <c r="K801" s="1">
        <f t="shared" si="37"/>
        <v>54.7697018</v>
      </c>
      <c r="L801" s="1">
        <f t="shared" si="38"/>
        <v>11.867096500000001</v>
      </c>
    </row>
    <row r="802" spans="1:12" ht="16" x14ac:dyDescent="0.2">
      <c r="A802" s="1">
        <v>801</v>
      </c>
      <c r="B802" s="1" t="s">
        <v>2319</v>
      </c>
      <c r="C802" s="1" t="s">
        <v>2433</v>
      </c>
      <c r="D802" s="1" t="str">
        <f t="shared" si="36"/>
        <v>Guldborgsund KommuneSlotsgade 22</v>
      </c>
      <c r="E802" s="1" t="s">
        <v>2434</v>
      </c>
      <c r="F802" s="1" t="s">
        <v>2435</v>
      </c>
      <c r="G802" s="1">
        <v>1945</v>
      </c>
      <c r="H802" s="1" t="s">
        <v>15</v>
      </c>
      <c r="I802" s="6" cm="1">
        <f t="array" ref="I802">GetLatitude(D802)</f>
        <v>547691997</v>
      </c>
      <c r="J802" s="1" cm="1">
        <f t="array" ref="J802">GetLongitude(D802)</f>
        <v>118667012</v>
      </c>
      <c r="K802" s="1">
        <f t="shared" si="37"/>
        <v>54.769199700000001</v>
      </c>
      <c r="L802" s="1">
        <f t="shared" si="38"/>
        <v>11.8667012</v>
      </c>
    </row>
    <row r="803" spans="1:12" ht="16" x14ac:dyDescent="0.2">
      <c r="A803" s="1">
        <v>802</v>
      </c>
      <c r="B803" s="1" t="s">
        <v>2319</v>
      </c>
      <c r="C803" s="1" t="s">
        <v>2436</v>
      </c>
      <c r="D803" s="1" t="str">
        <f t="shared" si="36"/>
        <v>Guldborgsund KommuneStovbyvej 19A</v>
      </c>
      <c r="E803" s="1" t="s">
        <v>2437</v>
      </c>
      <c r="F803" s="1" t="s">
        <v>2438</v>
      </c>
      <c r="G803" s="1">
        <v>1998</v>
      </c>
      <c r="H803" s="1" t="s">
        <v>15</v>
      </c>
      <c r="I803" s="6" cm="1">
        <f t="array" ref="I803">GetLatitude(D803)</f>
        <v>547152320</v>
      </c>
      <c r="J803" s="1" cm="1">
        <f t="array" ref="J803">GetLongitude(D803)</f>
        <v>119327555</v>
      </c>
      <c r="K803" s="1">
        <f t="shared" si="37"/>
        <v>54.715232</v>
      </c>
      <c r="L803" s="1">
        <f t="shared" si="38"/>
        <v>11.932755500000001</v>
      </c>
    </row>
    <row r="804" spans="1:12" ht="16" x14ac:dyDescent="0.2">
      <c r="A804" s="1">
        <v>803</v>
      </c>
      <c r="B804" s="1" t="s">
        <v>2319</v>
      </c>
      <c r="C804" s="1" t="s">
        <v>2307</v>
      </c>
      <c r="D804" s="1" t="str">
        <f t="shared" si="36"/>
        <v>Guldborgsund KommuneStrandvejen 20</v>
      </c>
      <c r="E804" s="1" t="s">
        <v>2439</v>
      </c>
      <c r="F804" s="1" t="s">
        <v>2440</v>
      </c>
      <c r="G804" s="1">
        <v>1983</v>
      </c>
      <c r="H804" s="1" t="s">
        <v>15</v>
      </c>
      <c r="I804" s="6" cm="1">
        <f t="array" ref="I804">GetLatitude(D804)</f>
        <v>547651204</v>
      </c>
      <c r="J804" s="1" cm="1">
        <f t="array" ref="J804">GetLongitude(D804)</f>
        <v>118791854</v>
      </c>
      <c r="K804" s="1">
        <f t="shared" si="37"/>
        <v>54.765120400000001</v>
      </c>
      <c r="L804" s="1">
        <f t="shared" si="38"/>
        <v>11.879185400000001</v>
      </c>
    </row>
    <row r="805" spans="1:12" ht="16" x14ac:dyDescent="0.2">
      <c r="A805" s="1">
        <v>804</v>
      </c>
      <c r="B805" s="1" t="s">
        <v>2319</v>
      </c>
      <c r="C805" s="1" t="s">
        <v>2441</v>
      </c>
      <c r="D805" s="1" t="str">
        <f t="shared" si="36"/>
        <v>Guldborgsund KommuneTorkilstrupvej 10 A</v>
      </c>
      <c r="E805" s="1" t="s">
        <v>2442</v>
      </c>
      <c r="F805" s="1" t="s">
        <v>2443</v>
      </c>
      <c r="G805" s="1">
        <v>1959</v>
      </c>
      <c r="H805" s="1" t="s">
        <v>15</v>
      </c>
      <c r="I805" s="6" cm="1">
        <f t="array" ref="I805">GetLatitude(D805)</f>
        <v>548700291</v>
      </c>
      <c r="J805" s="1" cm="1">
        <f t="array" ref="J805">GetLongitude(D805)</f>
        <v>119292788</v>
      </c>
      <c r="K805" s="1">
        <f t="shared" si="37"/>
        <v>54.870029099999996</v>
      </c>
      <c r="L805" s="1">
        <f t="shared" si="38"/>
        <v>11.929278800000001</v>
      </c>
    </row>
    <row r="806" spans="1:12" ht="16" x14ac:dyDescent="0.2">
      <c r="A806" s="1">
        <v>805</v>
      </c>
      <c r="B806" s="1" t="s">
        <v>2319</v>
      </c>
      <c r="C806" s="1" t="s">
        <v>2444</v>
      </c>
      <c r="D806" s="1" t="str">
        <f t="shared" si="36"/>
        <v>Guldborgsund KommuneTorkilstrupvej 16</v>
      </c>
      <c r="E806" s="1" t="s">
        <v>2445</v>
      </c>
      <c r="F806" s="1" t="s">
        <v>2446</v>
      </c>
      <c r="G806" s="1">
        <v>1950</v>
      </c>
      <c r="H806" s="1" t="s">
        <v>15</v>
      </c>
      <c r="I806" s="6" cm="1">
        <f t="array" ref="I806">GetLatitude(D806)</f>
        <v>548715080</v>
      </c>
      <c r="J806" s="1" cm="1">
        <f t="array" ref="J806">GetLongitude(D806)</f>
        <v>119322736</v>
      </c>
      <c r="K806" s="1">
        <f t="shared" si="37"/>
        <v>54.871507999999999</v>
      </c>
      <c r="L806" s="1">
        <f t="shared" si="38"/>
        <v>11.9322736</v>
      </c>
    </row>
    <row r="807" spans="1:12" ht="16" x14ac:dyDescent="0.2">
      <c r="A807" s="1">
        <v>806</v>
      </c>
      <c r="B807" s="1" t="s">
        <v>2319</v>
      </c>
      <c r="C807" s="1" t="s">
        <v>2447</v>
      </c>
      <c r="D807" s="1" t="str">
        <f t="shared" si="36"/>
        <v>Guldborgsund KommuneTorvet 9 A</v>
      </c>
      <c r="E807" s="1" t="s">
        <v>2448</v>
      </c>
      <c r="F807" s="1" t="s">
        <v>2449</v>
      </c>
      <c r="G807" s="1">
        <v>1964</v>
      </c>
      <c r="H807" s="1" t="s">
        <v>11</v>
      </c>
      <c r="I807" s="6" cm="1">
        <f t="array" ref="I807">GetLatitude(D807)</f>
        <v>547651204</v>
      </c>
      <c r="J807" s="1" cm="1">
        <f t="array" ref="J807">GetLongitude(D807)</f>
        <v>118791854</v>
      </c>
      <c r="K807" s="1">
        <f t="shared" si="37"/>
        <v>54.765120400000001</v>
      </c>
      <c r="L807" s="1">
        <f t="shared" si="38"/>
        <v>11.879185400000001</v>
      </c>
    </row>
    <row r="808" spans="1:12" ht="16" x14ac:dyDescent="0.2">
      <c r="A808" s="1">
        <v>807</v>
      </c>
      <c r="B808" s="1" t="s">
        <v>2319</v>
      </c>
      <c r="C808" s="1" t="s">
        <v>2450</v>
      </c>
      <c r="D808" s="1" t="str">
        <f t="shared" si="36"/>
        <v>Guldborgsund KommuneTromnæs Alléen 10</v>
      </c>
      <c r="E808" s="1" t="s">
        <v>2451</v>
      </c>
      <c r="F808" s="1" t="s">
        <v>2452</v>
      </c>
      <c r="G808" s="1">
        <v>1918</v>
      </c>
      <c r="H808" s="1" t="s">
        <v>15</v>
      </c>
      <c r="I808" s="6" cm="1">
        <f t="array" ref="I808">GetLatitude(D808)</f>
        <v>547611804</v>
      </c>
      <c r="J808" s="1" cm="1">
        <f t="array" ref="J808">GetLongitude(D808)</f>
        <v>120450128</v>
      </c>
      <c r="K808" s="1">
        <f t="shared" si="37"/>
        <v>54.761180400000001</v>
      </c>
      <c r="L808" s="1">
        <f t="shared" si="38"/>
        <v>12.0450128</v>
      </c>
    </row>
    <row r="809" spans="1:12" ht="16" x14ac:dyDescent="0.2">
      <c r="A809" s="1">
        <v>808</v>
      </c>
      <c r="B809" s="1" t="s">
        <v>2319</v>
      </c>
      <c r="C809" s="1" t="s">
        <v>11381</v>
      </c>
      <c r="D809" s="1" t="str">
        <f t="shared" si="36"/>
        <v>Guldborgsund KommuneTromnæs Alléen 2 og 2 C-  Corselitze</v>
      </c>
      <c r="E809" s="1" t="s">
        <v>2453</v>
      </c>
      <c r="F809" s="1" t="s">
        <v>2454</v>
      </c>
      <c r="G809" s="1">
        <v>1918</v>
      </c>
      <c r="H809" s="1" t="s">
        <v>2455</v>
      </c>
      <c r="I809" s="6" cm="1">
        <f t="array" ref="I809">GetLatitude(D809)</f>
        <v>547677090</v>
      </c>
      <c r="J809" s="1" cm="1">
        <f t="array" ref="J809">GetLongitude(D809)</f>
        <v>120202560</v>
      </c>
      <c r="K809" s="1">
        <f t="shared" si="37"/>
        <v>54.767709000000004</v>
      </c>
      <c r="L809" s="1">
        <f t="shared" si="38"/>
        <v>12.020256</v>
      </c>
    </row>
    <row r="810" spans="1:12" ht="16" x14ac:dyDescent="0.2">
      <c r="A810" s="1">
        <v>809</v>
      </c>
      <c r="B810" s="1" t="s">
        <v>2319</v>
      </c>
      <c r="C810" s="1" t="s">
        <v>2456</v>
      </c>
      <c r="D810" s="1" t="str">
        <f t="shared" si="36"/>
        <v>Guldborgsund KommuneTunderup Strandvej 1</v>
      </c>
      <c r="E810" s="1" t="s">
        <v>2457</v>
      </c>
      <c r="F810" s="1" t="s">
        <v>2458</v>
      </c>
      <c r="G810" s="1">
        <v>1950</v>
      </c>
      <c r="H810" s="1" t="s">
        <v>15</v>
      </c>
      <c r="I810" s="6" cm="1">
        <f t="array" ref="I810">GetLatitude(D810)</f>
        <v>547907691</v>
      </c>
      <c r="J810" s="1" cm="1">
        <f t="array" ref="J810">GetLongitude(D810)</f>
        <v>120310404</v>
      </c>
      <c r="K810" s="1">
        <f t="shared" si="37"/>
        <v>54.790769099999999</v>
      </c>
      <c r="L810" s="1">
        <f t="shared" si="38"/>
        <v>12.0310404</v>
      </c>
    </row>
    <row r="811" spans="1:12" ht="16" x14ac:dyDescent="0.2">
      <c r="A811" s="1">
        <v>810</v>
      </c>
      <c r="B811" s="1" t="s">
        <v>2319</v>
      </c>
      <c r="C811" s="1" t="s">
        <v>2459</v>
      </c>
      <c r="D811" s="1" t="str">
        <f t="shared" si="36"/>
        <v>Guldborgsund KommuneVennerslundsvej 15, 17 og 19</v>
      </c>
      <c r="E811" s="1" t="s">
        <v>2460</v>
      </c>
      <c r="F811" s="1" t="s">
        <v>2461</v>
      </c>
      <c r="G811" s="1">
        <v>1950</v>
      </c>
      <c r="H811" s="1" t="s">
        <v>15</v>
      </c>
      <c r="I811" s="6" cm="1">
        <f t="array" ref="I811">GetLatitude(D811)</f>
        <v>548559763</v>
      </c>
      <c r="J811" s="1" cm="1">
        <f t="array" ref="J811">GetLongitude(D811)</f>
        <v>118023920</v>
      </c>
      <c r="K811" s="1">
        <f t="shared" si="37"/>
        <v>54.855976300000002</v>
      </c>
      <c r="L811" s="1">
        <f t="shared" si="38"/>
        <v>11.802391999999999</v>
      </c>
    </row>
    <row r="812" spans="1:12" ht="16" x14ac:dyDescent="0.2">
      <c r="A812" s="1">
        <v>811</v>
      </c>
      <c r="B812" s="1" t="s">
        <v>2319</v>
      </c>
      <c r="C812" s="1" t="s">
        <v>2462</v>
      </c>
      <c r="D812" s="1" t="str">
        <f t="shared" si="36"/>
        <v>Guldborgsund KommuneVestergade 15</v>
      </c>
      <c r="E812" s="1" t="s">
        <v>2463</v>
      </c>
      <c r="F812" s="1" t="s">
        <v>2464</v>
      </c>
      <c r="G812" s="1">
        <v>1945</v>
      </c>
      <c r="H812" s="1" t="s">
        <v>15</v>
      </c>
      <c r="I812" s="6" cm="1">
        <f t="array" ref="I812">GetLatitude(D812)</f>
        <v>547651204</v>
      </c>
      <c r="J812" s="1" cm="1">
        <f t="array" ref="J812">GetLongitude(D812)</f>
        <v>118791854</v>
      </c>
      <c r="K812" s="1">
        <f t="shared" si="37"/>
        <v>54.765120400000001</v>
      </c>
      <c r="L812" s="1">
        <f t="shared" si="38"/>
        <v>11.879185400000001</v>
      </c>
    </row>
    <row r="813" spans="1:12" ht="16" x14ac:dyDescent="0.2">
      <c r="A813" s="1">
        <v>812</v>
      </c>
      <c r="B813" s="1" t="s">
        <v>2319</v>
      </c>
      <c r="C813" s="1" t="s">
        <v>2465</v>
      </c>
      <c r="D813" s="1" t="str">
        <f t="shared" si="36"/>
        <v>Guldborgsund KommuneVestergade 16</v>
      </c>
      <c r="E813" s="1" t="s">
        <v>2466</v>
      </c>
      <c r="F813" s="1" t="s">
        <v>416</v>
      </c>
      <c r="G813" s="1">
        <v>1919</v>
      </c>
      <c r="H813" s="1" t="s">
        <v>11</v>
      </c>
      <c r="I813" s="6" cm="1">
        <f t="array" ref="I813">GetLatitude(D813)</f>
        <v>547430717</v>
      </c>
      <c r="J813" s="1" cm="1">
        <f t="array" ref="J813">GetLongitude(D813)</f>
        <v>119536648</v>
      </c>
      <c r="K813" s="1">
        <f t="shared" si="37"/>
        <v>54.743071700000002</v>
      </c>
      <c r="L813" s="1">
        <f t="shared" si="38"/>
        <v>11.9536648</v>
      </c>
    </row>
    <row r="814" spans="1:12" ht="16" x14ac:dyDescent="0.2">
      <c r="A814" s="1">
        <v>813</v>
      </c>
      <c r="B814" s="1" t="s">
        <v>2319</v>
      </c>
      <c r="C814" s="1" t="s">
        <v>2467</v>
      </c>
      <c r="D814" s="1" t="str">
        <f t="shared" si="36"/>
        <v>Guldborgsund KommuneVestergade 43</v>
      </c>
      <c r="E814" s="1" t="s">
        <v>2468</v>
      </c>
      <c r="F814" s="1" t="s">
        <v>2469</v>
      </c>
      <c r="G814" s="1">
        <v>1954</v>
      </c>
      <c r="H814" s="1" t="s">
        <v>11</v>
      </c>
      <c r="I814" s="6" cm="1">
        <f t="array" ref="I814">GetLatitude(D814)</f>
        <v>548903224</v>
      </c>
      <c r="J814" s="1" cm="1">
        <f t="array" ref="J814">GetLongitude(D814)</f>
        <v>120393594</v>
      </c>
      <c r="K814" s="1">
        <f t="shared" si="37"/>
        <v>54.890322400000002</v>
      </c>
      <c r="L814" s="1">
        <f t="shared" si="38"/>
        <v>12.0393594</v>
      </c>
    </row>
    <row r="815" spans="1:12" ht="16" x14ac:dyDescent="0.2">
      <c r="A815" s="1">
        <v>814</v>
      </c>
      <c r="B815" s="1" t="s">
        <v>2319</v>
      </c>
      <c r="C815" s="1" t="s">
        <v>2470</v>
      </c>
      <c r="D815" s="1" t="str">
        <f t="shared" si="36"/>
        <v>Guldborgsund KommuneØstergade 13</v>
      </c>
      <c r="E815" s="1" t="s">
        <v>2471</v>
      </c>
      <c r="F815" s="1" t="s">
        <v>2472</v>
      </c>
      <c r="G815" s="1">
        <v>1984</v>
      </c>
      <c r="H815" s="1" t="s">
        <v>15</v>
      </c>
      <c r="I815" s="6" cm="1">
        <f t="array" ref="I815">GetLatitude(D815)</f>
        <v>547651204</v>
      </c>
      <c r="J815" s="1" cm="1">
        <f t="array" ref="J815">GetLongitude(D815)</f>
        <v>118791854</v>
      </c>
      <c r="K815" s="1">
        <f t="shared" si="37"/>
        <v>54.765120400000001</v>
      </c>
      <c r="L815" s="1">
        <f t="shared" si="38"/>
        <v>11.879185400000001</v>
      </c>
    </row>
    <row r="816" spans="1:12" ht="16" x14ac:dyDescent="0.2">
      <c r="A816" s="1">
        <v>815</v>
      </c>
      <c r="B816" s="1" t="s">
        <v>2319</v>
      </c>
      <c r="C816" s="1" t="s">
        <v>2473</v>
      </c>
      <c r="D816" s="1" t="str">
        <f t="shared" si="36"/>
        <v>Guldborgsund KommuneØstergade 9</v>
      </c>
      <c r="E816" s="1" t="s">
        <v>2474</v>
      </c>
      <c r="F816" s="1" t="s">
        <v>2475</v>
      </c>
      <c r="G816" s="1">
        <v>1984</v>
      </c>
      <c r="H816" s="1" t="s">
        <v>15</v>
      </c>
      <c r="I816" s="6" cm="1">
        <f t="array" ref="I816">GetLatitude(D816)</f>
        <v>547651204</v>
      </c>
      <c r="J816" s="1" cm="1">
        <f t="array" ref="J816">GetLongitude(D816)</f>
        <v>118791854</v>
      </c>
      <c r="K816" s="1">
        <f t="shared" si="37"/>
        <v>54.765120400000001</v>
      </c>
      <c r="L816" s="1">
        <f t="shared" si="38"/>
        <v>11.879185400000001</v>
      </c>
    </row>
    <row r="817" spans="1:12" ht="16" x14ac:dyDescent="0.2">
      <c r="A817" s="1">
        <v>816</v>
      </c>
      <c r="B817" s="1" t="s">
        <v>2319</v>
      </c>
      <c r="C817" s="1" t="s">
        <v>2476</v>
      </c>
      <c r="D817" s="1" t="str">
        <f t="shared" si="36"/>
        <v>Guldborgsund KommuneØstre Allé 2</v>
      </c>
      <c r="E817" s="1" t="s">
        <v>2477</v>
      </c>
      <c r="F817" s="1" t="s">
        <v>2478</v>
      </c>
      <c r="G817" s="1">
        <v>1977</v>
      </c>
      <c r="H817" s="1" t="s">
        <v>15</v>
      </c>
      <c r="I817" s="6" cm="1">
        <f t="array" ref="I817">GetLatitude(D817)</f>
        <v>547651204</v>
      </c>
      <c r="J817" s="1" cm="1">
        <f t="array" ref="J817">GetLongitude(D817)</f>
        <v>118791854</v>
      </c>
      <c r="K817" s="1">
        <f t="shared" si="37"/>
        <v>54.765120400000001</v>
      </c>
      <c r="L817" s="1">
        <f t="shared" si="38"/>
        <v>11.879185400000001</v>
      </c>
    </row>
    <row r="818" spans="1:12" ht="16" x14ac:dyDescent="0.2">
      <c r="A818" s="1">
        <v>817</v>
      </c>
      <c r="B818" s="1" t="s">
        <v>2319</v>
      </c>
      <c r="C818" s="1" t="s">
        <v>2479</v>
      </c>
      <c r="D818" s="1" t="str">
        <f t="shared" si="36"/>
        <v>Guldborgsund KommuneÅlholm Parkvej 4</v>
      </c>
      <c r="E818" s="1" t="s">
        <v>2480</v>
      </c>
      <c r="F818" s="1" t="s">
        <v>2481</v>
      </c>
      <c r="G818" s="1">
        <v>1918</v>
      </c>
      <c r="H818" s="1" t="s">
        <v>15</v>
      </c>
      <c r="I818" s="6" cm="1">
        <f t="array" ref="I818">GetLatitude(D818)</f>
        <v>546647952</v>
      </c>
      <c r="J818" s="1" cm="1">
        <f t="array" ref="J818">GetLongitude(D818)</f>
        <v>117235294</v>
      </c>
      <c r="K818" s="1">
        <f t="shared" si="37"/>
        <v>54.6647952</v>
      </c>
      <c r="L818" s="1">
        <f t="shared" si="38"/>
        <v>11.7235294</v>
      </c>
    </row>
    <row r="819" spans="1:12" ht="16" x14ac:dyDescent="0.2">
      <c r="A819" s="1">
        <v>818</v>
      </c>
      <c r="B819" s="1" t="s">
        <v>2482</v>
      </c>
      <c r="C819" s="1" t="s">
        <v>2483</v>
      </c>
      <c r="D819" s="1" t="str">
        <f t="shared" si="36"/>
        <v>Haderslev Kommune Apotekergade 1</v>
      </c>
      <c r="E819" s="1" t="s">
        <v>2484</v>
      </c>
      <c r="F819" s="1" t="s">
        <v>2485</v>
      </c>
      <c r="G819" s="1">
        <v>1964</v>
      </c>
      <c r="H819" s="1" t="s">
        <v>11</v>
      </c>
      <c r="I819" s="6" cm="1">
        <f t="array" ref="I819">GetLatitude(D819)</f>
        <v>552490683</v>
      </c>
      <c r="J819" s="1" cm="1">
        <f t="array" ref="J819">GetLongitude(D819)</f>
        <v>94872719</v>
      </c>
      <c r="K819" s="1">
        <f t="shared" si="37"/>
        <v>55.249068299999998</v>
      </c>
      <c r="L819" s="1">
        <f t="shared" si="38"/>
        <v>9.4872718999999996</v>
      </c>
    </row>
    <row r="820" spans="1:12" ht="16" x14ac:dyDescent="0.2">
      <c r="A820" s="1">
        <v>819</v>
      </c>
      <c r="B820" s="1" t="s">
        <v>2482</v>
      </c>
      <c r="C820" s="1" t="s">
        <v>2486</v>
      </c>
      <c r="D820" s="1" t="str">
        <f t="shared" si="36"/>
        <v>Haderslev Kommune Apotekergade 11</v>
      </c>
      <c r="E820" s="1" t="s">
        <v>2487</v>
      </c>
      <c r="F820" s="1" t="s">
        <v>2488</v>
      </c>
      <c r="G820" s="1">
        <v>1964</v>
      </c>
      <c r="H820" s="1" t="s">
        <v>15</v>
      </c>
      <c r="I820" s="6" cm="1">
        <f t="array" ref="I820">GetLatitude(D820)</f>
        <v>552495485</v>
      </c>
      <c r="J820" s="1" cm="1">
        <f t="array" ref="J820">GetLongitude(D820)</f>
        <v>94867028</v>
      </c>
      <c r="K820" s="1">
        <f t="shared" si="37"/>
        <v>55.249548500000003</v>
      </c>
      <c r="L820" s="1">
        <f t="shared" si="38"/>
        <v>9.4867027999999998</v>
      </c>
    </row>
    <row r="821" spans="1:12" ht="16" x14ac:dyDescent="0.2">
      <c r="A821" s="1">
        <v>820</v>
      </c>
      <c r="B821" s="1" t="s">
        <v>2482</v>
      </c>
      <c r="C821" s="1" t="s">
        <v>2489</v>
      </c>
      <c r="D821" s="1" t="str">
        <f t="shared" si="36"/>
        <v>Haderslev Kommune Apotekergade 9 A</v>
      </c>
      <c r="E821" s="1" t="s">
        <v>2490</v>
      </c>
      <c r="F821" s="1" t="s">
        <v>2491</v>
      </c>
      <c r="G821" s="1">
        <v>1971</v>
      </c>
      <c r="H821" s="1" t="s">
        <v>11</v>
      </c>
      <c r="I821" s="6" cm="1">
        <f t="array" ref="I821">GetLatitude(D821)</f>
        <v>552494299</v>
      </c>
      <c r="J821" s="1" cm="1">
        <f t="array" ref="J821">GetLongitude(D821)</f>
        <v>94868928</v>
      </c>
      <c r="K821" s="1">
        <f t="shared" si="37"/>
        <v>55.249429900000003</v>
      </c>
      <c r="L821" s="1">
        <f t="shared" si="38"/>
        <v>9.4868927999999997</v>
      </c>
    </row>
    <row r="822" spans="1:12" ht="16" x14ac:dyDescent="0.2">
      <c r="A822" s="1">
        <v>821</v>
      </c>
      <c r="B822" s="1" t="s">
        <v>2482</v>
      </c>
      <c r="C822" s="1" t="s">
        <v>2492</v>
      </c>
      <c r="D822" s="1" t="str">
        <f t="shared" si="36"/>
        <v>Haderslev Kommune Badstuegade 14</v>
      </c>
      <c r="E822" s="1" t="s">
        <v>2493</v>
      </c>
      <c r="F822" s="1" t="s">
        <v>2494</v>
      </c>
      <c r="G822" s="1">
        <v>1972</v>
      </c>
      <c r="H822" s="1" t="s">
        <v>11</v>
      </c>
      <c r="I822" s="6" cm="1">
        <f t="array" ref="I822">GetLatitude(D822)</f>
        <v>552486215</v>
      </c>
      <c r="J822" s="1" cm="1">
        <f t="array" ref="J822">GetLongitude(D822)</f>
        <v>94900584</v>
      </c>
      <c r="K822" s="1">
        <f t="shared" si="37"/>
        <v>55.248621499999999</v>
      </c>
      <c r="L822" s="1">
        <f t="shared" si="38"/>
        <v>9.4900584000000006</v>
      </c>
    </row>
    <row r="823" spans="1:12" ht="16" x14ac:dyDescent="0.2">
      <c r="A823" s="1">
        <v>822</v>
      </c>
      <c r="B823" s="1" t="s">
        <v>2482</v>
      </c>
      <c r="C823" s="1" t="s">
        <v>2495</v>
      </c>
      <c r="D823" s="1" t="str">
        <f t="shared" si="36"/>
        <v>Haderslev Kommune Badstuegade 16</v>
      </c>
      <c r="E823" s="1" t="s">
        <v>2496</v>
      </c>
      <c r="F823" s="1" t="s">
        <v>2497</v>
      </c>
      <c r="G823" s="1">
        <v>1921</v>
      </c>
      <c r="H823" s="1" t="s">
        <v>11</v>
      </c>
      <c r="I823" s="6" cm="1">
        <f t="array" ref="I823">GetLatitude(D823)</f>
        <v>552486926</v>
      </c>
      <c r="J823" s="1" cm="1">
        <f t="array" ref="J823">GetLongitude(D823)</f>
        <v>94905570</v>
      </c>
      <c r="K823" s="1">
        <f t="shared" si="37"/>
        <v>55.248692599999998</v>
      </c>
      <c r="L823" s="1">
        <f t="shared" si="38"/>
        <v>9.4905570000000008</v>
      </c>
    </row>
    <row r="824" spans="1:12" ht="16" x14ac:dyDescent="0.2">
      <c r="A824" s="1">
        <v>823</v>
      </c>
      <c r="B824" s="1" t="s">
        <v>2482</v>
      </c>
      <c r="C824" s="1" t="s">
        <v>2498</v>
      </c>
      <c r="D824" s="1" t="str">
        <f t="shared" si="36"/>
        <v>Haderslev Kommune Brogårdvej 4</v>
      </c>
      <c r="E824" s="1" t="s">
        <v>2499</v>
      </c>
      <c r="F824" s="1" t="s">
        <v>2500</v>
      </c>
      <c r="G824" s="1">
        <v>1986</v>
      </c>
      <c r="H824" s="1" t="s">
        <v>11</v>
      </c>
      <c r="I824" s="6" cm="1">
        <f t="array" ref="I824">GetLatitude(D824)</f>
        <v>552990691</v>
      </c>
      <c r="J824" s="1" cm="1">
        <f t="array" ref="J824">GetLongitude(D824)</f>
        <v>89843972</v>
      </c>
      <c r="K824" s="1">
        <f t="shared" si="37"/>
        <v>55.299069099999997</v>
      </c>
      <c r="L824" s="1">
        <f t="shared" si="38"/>
        <v>8.9843972000000001</v>
      </c>
    </row>
    <row r="825" spans="1:12" ht="16" x14ac:dyDescent="0.2">
      <c r="A825" s="1">
        <v>824</v>
      </c>
      <c r="B825" s="1" t="s">
        <v>2482</v>
      </c>
      <c r="C825" s="1" t="s">
        <v>2501</v>
      </c>
      <c r="D825" s="1" t="str">
        <f t="shared" si="36"/>
        <v>Haderslev Kommune Christiansdalsvej 50</v>
      </c>
      <c r="E825" s="1" t="s">
        <v>2502</v>
      </c>
      <c r="F825" s="1" t="s">
        <v>2503</v>
      </c>
      <c r="G825" s="1">
        <v>2001</v>
      </c>
      <c r="H825" s="1" t="s">
        <v>15</v>
      </c>
      <c r="I825" s="6" cm="1">
        <f t="array" ref="I825">GetLatitude(D825)</f>
        <v>552329340</v>
      </c>
      <c r="J825" s="1" cm="1">
        <f t="array" ref="J825">GetLongitude(D825)</f>
        <v>93873762</v>
      </c>
      <c r="K825" s="1">
        <f t="shared" si="37"/>
        <v>55.232934</v>
      </c>
      <c r="L825" s="1">
        <f t="shared" si="38"/>
        <v>9.3873762000000003</v>
      </c>
    </row>
    <row r="826" spans="1:12" ht="16" x14ac:dyDescent="0.2">
      <c r="A826" s="1">
        <v>825</v>
      </c>
      <c r="B826" s="1" t="s">
        <v>2482</v>
      </c>
      <c r="C826" s="1" t="s">
        <v>2504</v>
      </c>
      <c r="D826" s="1" t="str">
        <f t="shared" si="36"/>
        <v>Haderslev Kommune Christiansfeldvej 4 A og B</v>
      </c>
      <c r="E826" s="1" t="s">
        <v>2505</v>
      </c>
      <c r="F826" s="1" t="s">
        <v>2506</v>
      </c>
      <c r="G826" s="1">
        <v>1988</v>
      </c>
      <c r="H826" s="1" t="s">
        <v>15</v>
      </c>
      <c r="I826" s="6" cm="1">
        <f t="array" ref="I826">GetLatitude(D826)</f>
        <v>552556231</v>
      </c>
      <c r="J826" s="1" cm="1">
        <f t="array" ref="J826">GetLongitude(D826)</f>
        <v>94911787</v>
      </c>
      <c r="K826" s="1">
        <f t="shared" si="37"/>
        <v>55.255623100000001</v>
      </c>
      <c r="L826" s="1">
        <f t="shared" si="38"/>
        <v>9.4911787000000007</v>
      </c>
    </row>
    <row r="827" spans="1:12" ht="16" x14ac:dyDescent="0.2">
      <c r="A827" s="1">
        <v>826</v>
      </c>
      <c r="B827" s="1" t="s">
        <v>2482</v>
      </c>
      <c r="C827" s="1" t="s">
        <v>2507</v>
      </c>
      <c r="D827" s="1" t="str">
        <f t="shared" si="36"/>
        <v>Haderslev Kommune Domkirkepladsen 1</v>
      </c>
      <c r="E827" s="1" t="s">
        <v>2508</v>
      </c>
      <c r="F827" s="1" t="s">
        <v>2509</v>
      </c>
      <c r="G827" s="1">
        <v>1978</v>
      </c>
      <c r="H827" s="1" t="s">
        <v>15</v>
      </c>
      <c r="I827" s="6" cm="1">
        <f t="array" ref="I827">GetLatitude(D827)</f>
        <v>552494309</v>
      </c>
      <c r="J827" s="1" cm="1">
        <f t="array" ref="J827">GetLongitude(D827)</f>
        <v>94876481</v>
      </c>
      <c r="K827" s="1">
        <f t="shared" si="37"/>
        <v>55.2494309</v>
      </c>
      <c r="L827" s="1">
        <f t="shared" si="38"/>
        <v>9.4876480999999995</v>
      </c>
    </row>
    <row r="828" spans="1:12" ht="16" x14ac:dyDescent="0.2">
      <c r="A828" s="1">
        <v>827</v>
      </c>
      <c r="B828" s="1" t="s">
        <v>2482</v>
      </c>
      <c r="C828" s="1" t="s">
        <v>2510</v>
      </c>
      <c r="D828" s="1" t="str">
        <f t="shared" si="36"/>
        <v>Haderslev Kommune Domkirkepladsen 3, tidl Smedegade 3</v>
      </c>
      <c r="E828" s="1" t="s">
        <v>2511</v>
      </c>
      <c r="F828" s="1" t="s">
        <v>2512</v>
      </c>
      <c r="G828" s="1">
        <v>1971</v>
      </c>
      <c r="H828" s="1" t="s">
        <v>15</v>
      </c>
      <c r="I828" s="6" cm="1">
        <f t="array" ref="I828">GetLatitude(D828)</f>
        <v>552499879</v>
      </c>
      <c r="J828" s="1" cm="1">
        <f t="array" ref="J828">GetLongitude(D828)</f>
        <v>94870215</v>
      </c>
      <c r="K828" s="1">
        <f t="shared" si="37"/>
        <v>55.249987900000001</v>
      </c>
      <c r="L828" s="1">
        <f t="shared" si="38"/>
        <v>9.4870215000000009</v>
      </c>
    </row>
    <row r="829" spans="1:12" ht="16" x14ac:dyDescent="0.2">
      <c r="A829" s="1">
        <v>828</v>
      </c>
      <c r="B829" s="1" t="s">
        <v>2482</v>
      </c>
      <c r="C829" s="1" t="s">
        <v>2513</v>
      </c>
      <c r="D829" s="1" t="str">
        <f t="shared" si="36"/>
        <v>Haderslev Kommune Gammelting 1 og 2</v>
      </c>
      <c r="E829" s="1" t="s">
        <v>2514</v>
      </c>
      <c r="F829" s="1" t="s">
        <v>1276</v>
      </c>
      <c r="G829" s="1">
        <v>1945</v>
      </c>
      <c r="H829" s="1" t="s">
        <v>15</v>
      </c>
      <c r="I829" s="6" cm="1">
        <f t="array" ref="I829">GetLatitude(D829)</f>
        <v>552531985</v>
      </c>
      <c r="J829" s="1" cm="1">
        <f t="array" ref="J829">GetLongitude(D829)</f>
        <v>94889303</v>
      </c>
      <c r="K829" s="1">
        <f t="shared" si="37"/>
        <v>55.253198500000003</v>
      </c>
      <c r="L829" s="1">
        <f t="shared" si="38"/>
        <v>9.4889302999999998</v>
      </c>
    </row>
    <row r="830" spans="1:12" ht="16" x14ac:dyDescent="0.2">
      <c r="A830" s="1">
        <v>829</v>
      </c>
      <c r="B830" s="1" t="s">
        <v>2482</v>
      </c>
      <c r="C830" s="1" t="s">
        <v>2515</v>
      </c>
      <c r="D830" s="1" t="str">
        <f t="shared" si="36"/>
        <v>Haderslev Kommune Gravene 8 og 8 A</v>
      </c>
      <c r="E830" s="1" t="s">
        <v>2516</v>
      </c>
      <c r="F830" s="1" t="s">
        <v>2517</v>
      </c>
      <c r="G830" s="1">
        <v>2003</v>
      </c>
      <c r="H830" s="1" t="s">
        <v>15</v>
      </c>
      <c r="I830" s="6" cm="1">
        <f t="array" ref="I830">GetLatitude(D830)</f>
        <v>552517993</v>
      </c>
      <c r="J830" s="1" cm="1">
        <f t="array" ref="J830">GetLongitude(D830)</f>
        <v>94871666</v>
      </c>
      <c r="K830" s="1">
        <f t="shared" si="37"/>
        <v>55.251799300000002</v>
      </c>
      <c r="L830" s="1">
        <f t="shared" si="38"/>
        <v>9.4871666000000001</v>
      </c>
    </row>
    <row r="831" spans="1:12" ht="16" x14ac:dyDescent="0.2">
      <c r="A831" s="1">
        <v>830</v>
      </c>
      <c r="B831" s="1" t="s">
        <v>2482</v>
      </c>
      <c r="C831" s="1" t="s">
        <v>2518</v>
      </c>
      <c r="D831" s="1" t="str">
        <f t="shared" si="36"/>
        <v>Haderslev Kommune Gåskærgade 19B</v>
      </c>
      <c r="E831" s="1" t="s">
        <v>2519</v>
      </c>
      <c r="F831" s="1" t="s">
        <v>2520</v>
      </c>
      <c r="G831" s="1">
        <v>1945</v>
      </c>
      <c r="H831" s="1" t="s">
        <v>11</v>
      </c>
      <c r="I831" s="6" cm="1">
        <f t="array" ref="I831">GetLatitude(D831)</f>
        <v>552524952</v>
      </c>
      <c r="J831" s="1" cm="1">
        <f t="array" ref="J831">GetLongitude(D831)</f>
        <v>94851245</v>
      </c>
      <c r="K831" s="1">
        <f t="shared" si="37"/>
        <v>55.252495199999998</v>
      </c>
      <c r="L831" s="1">
        <f t="shared" si="38"/>
        <v>9.4851244999999995</v>
      </c>
    </row>
    <row r="832" spans="1:12" ht="16" x14ac:dyDescent="0.2">
      <c r="A832" s="1">
        <v>831</v>
      </c>
      <c r="B832" s="1" t="s">
        <v>2482</v>
      </c>
      <c r="C832" s="1" t="s">
        <v>2521</v>
      </c>
      <c r="D832" s="1" t="str">
        <f t="shared" si="36"/>
        <v>Haderslev Kommune Gåskærgade 27 og 27 A</v>
      </c>
      <c r="E832" s="1" t="s">
        <v>2522</v>
      </c>
      <c r="F832" s="1" t="s">
        <v>2523</v>
      </c>
      <c r="G832" s="1">
        <v>1988</v>
      </c>
      <c r="H832" s="1" t="s">
        <v>15</v>
      </c>
      <c r="I832" s="6" cm="1">
        <f t="array" ref="I832">GetLatitude(D832)</f>
        <v>552525256</v>
      </c>
      <c r="J832" s="1" cm="1">
        <f t="array" ref="J832">GetLongitude(D832)</f>
        <v>94836719</v>
      </c>
      <c r="K832" s="1">
        <f t="shared" si="37"/>
        <v>55.252525599999998</v>
      </c>
      <c r="L832" s="1">
        <f t="shared" si="38"/>
        <v>9.4836718999999992</v>
      </c>
    </row>
    <row r="833" spans="1:12" ht="16" x14ac:dyDescent="0.2">
      <c r="A833" s="1">
        <v>832</v>
      </c>
      <c r="B833" s="1" t="s">
        <v>2482</v>
      </c>
      <c r="C833" s="1" t="s">
        <v>2524</v>
      </c>
      <c r="D833" s="1" t="str">
        <f t="shared" si="36"/>
        <v>Haderslev Kommune Gåskærgade 28</v>
      </c>
      <c r="E833" s="1" t="s">
        <v>2525</v>
      </c>
      <c r="F833" s="1" t="s">
        <v>2526</v>
      </c>
      <c r="G833" s="1">
        <v>1954</v>
      </c>
      <c r="H833" s="1" t="s">
        <v>11</v>
      </c>
      <c r="I833" s="6" cm="1">
        <f t="array" ref="I833">GetLatitude(D833)</f>
        <v>552528444</v>
      </c>
      <c r="J833" s="1" cm="1">
        <f t="array" ref="J833">GetLongitude(D833)</f>
        <v>94860587</v>
      </c>
      <c r="K833" s="1">
        <f t="shared" si="37"/>
        <v>55.252844400000001</v>
      </c>
      <c r="L833" s="1">
        <f t="shared" si="38"/>
        <v>9.4860586999999992</v>
      </c>
    </row>
    <row r="834" spans="1:12" ht="16" x14ac:dyDescent="0.2">
      <c r="A834" s="1">
        <v>833</v>
      </c>
      <c r="B834" s="1" t="s">
        <v>2482</v>
      </c>
      <c r="C834" s="1" t="s">
        <v>2527</v>
      </c>
      <c r="D834" s="1" t="str">
        <f t="shared" si="36"/>
        <v>Haderslev Kommune Gåskærgade 30</v>
      </c>
      <c r="E834" s="1" t="s">
        <v>2528</v>
      </c>
      <c r="F834" s="1" t="s">
        <v>2529</v>
      </c>
      <c r="G834" s="1">
        <v>1988</v>
      </c>
      <c r="H834" s="1" t="s">
        <v>11</v>
      </c>
      <c r="I834" s="6" cm="1">
        <f t="array" ref="I834">GetLatitude(D834)</f>
        <v>552526418</v>
      </c>
      <c r="J834" s="1" cm="1">
        <f t="array" ref="J834">GetLongitude(D834)</f>
        <v>94855854</v>
      </c>
      <c r="K834" s="1">
        <f t="shared" si="37"/>
        <v>55.252641799999999</v>
      </c>
      <c r="L834" s="1">
        <f t="shared" si="38"/>
        <v>9.4855853999999997</v>
      </c>
    </row>
    <row r="835" spans="1:12" ht="16" x14ac:dyDescent="0.2">
      <c r="A835" s="1">
        <v>834</v>
      </c>
      <c r="B835" s="1" t="s">
        <v>2482</v>
      </c>
      <c r="C835" s="1" t="s">
        <v>2530</v>
      </c>
      <c r="D835" s="1" t="str">
        <f t="shared" ref="D835:D898" si="39">B835&amp;C835</f>
        <v>Haderslev Kommune Hornsgårdsvej 7</v>
      </c>
      <c r="E835" s="1" t="s">
        <v>2531</v>
      </c>
      <c r="F835" s="1" t="s">
        <v>2532</v>
      </c>
      <c r="G835" s="1">
        <v>1997</v>
      </c>
      <c r="H835" s="1" t="s">
        <v>11</v>
      </c>
      <c r="I835" s="6" cm="1">
        <f t="array" ref="I835">GetLatitude(D835)</f>
        <v>553136640</v>
      </c>
      <c r="J835" s="1" cm="1">
        <f t="array" ref="J835">GetLongitude(D835)</f>
        <v>90184053</v>
      </c>
      <c r="K835" s="1">
        <f t="shared" si="37"/>
        <v>55.313664000000003</v>
      </c>
      <c r="L835" s="1">
        <f t="shared" si="38"/>
        <v>9.0184052999999995</v>
      </c>
    </row>
    <row r="836" spans="1:12" ht="16" x14ac:dyDescent="0.2">
      <c r="A836" s="1">
        <v>835</v>
      </c>
      <c r="B836" s="1" t="s">
        <v>2482</v>
      </c>
      <c r="C836" s="1" t="s">
        <v>2533</v>
      </c>
      <c r="D836" s="1" t="str">
        <f t="shared" si="39"/>
        <v>Haderslev Kommune Højgade 3</v>
      </c>
      <c r="E836" s="1" t="s">
        <v>2534</v>
      </c>
      <c r="F836" s="1" t="s">
        <v>2535</v>
      </c>
      <c r="G836" s="1">
        <v>1971</v>
      </c>
      <c r="H836" s="1" t="s">
        <v>11</v>
      </c>
      <c r="I836" s="6" cm="1">
        <f t="array" ref="I836">GetLatitude(D836)</f>
        <v>552488331</v>
      </c>
      <c r="J836" s="1" cm="1">
        <f t="array" ref="J836">GetLongitude(D836)</f>
        <v>94886070</v>
      </c>
      <c r="K836" s="1">
        <f t="shared" ref="K836:K899" si="40">I836/10000000</f>
        <v>55.248833099999999</v>
      </c>
      <c r="L836" s="1">
        <f t="shared" ref="L836:L899" si="41">J836/10000000</f>
        <v>9.488607</v>
      </c>
    </row>
    <row r="837" spans="1:12" ht="16" x14ac:dyDescent="0.2">
      <c r="A837" s="1">
        <v>836</v>
      </c>
      <c r="B837" s="1" t="s">
        <v>2482</v>
      </c>
      <c r="C837" s="1" t="s">
        <v>2536</v>
      </c>
      <c r="D837" s="1" t="str">
        <f t="shared" si="39"/>
        <v>Haderslev Kommune Jomfrugang 12</v>
      </c>
      <c r="E837" s="1" t="s">
        <v>2537</v>
      </c>
      <c r="F837" s="1" t="s">
        <v>1276</v>
      </c>
      <c r="G837" s="1">
        <v>1971</v>
      </c>
      <c r="H837" s="1" t="s">
        <v>11</v>
      </c>
      <c r="I837" s="6" cm="1">
        <f t="array" ref="I837">GetLatitude(D837)</f>
        <v>552493035</v>
      </c>
      <c r="J837" s="1" cm="1">
        <f t="array" ref="J837">GetLongitude(D837)</f>
        <v>94859368</v>
      </c>
      <c r="K837" s="1">
        <f t="shared" si="40"/>
        <v>55.249303500000003</v>
      </c>
      <c r="L837" s="1">
        <f t="shared" si="41"/>
        <v>9.4859367999999993</v>
      </c>
    </row>
    <row r="838" spans="1:12" ht="16" x14ac:dyDescent="0.2">
      <c r="A838" s="1">
        <v>837</v>
      </c>
      <c r="B838" s="1" t="s">
        <v>2482</v>
      </c>
      <c r="C838" s="1" t="s">
        <v>2538</v>
      </c>
      <c r="D838" s="1" t="str">
        <f t="shared" si="39"/>
        <v>Haderslev Kommune Klostret 23-25</v>
      </c>
      <c r="E838" s="1" t="s">
        <v>2539</v>
      </c>
      <c r="F838" s="1" t="s">
        <v>2540</v>
      </c>
      <c r="G838" s="1">
        <v>1988</v>
      </c>
      <c r="H838" s="1" t="s">
        <v>11</v>
      </c>
      <c r="I838" s="6" cm="1">
        <f t="array" ref="I838">GetLatitude(D838)</f>
        <v>552500720</v>
      </c>
      <c r="J838" s="1" cm="1">
        <f t="array" ref="J838">GetLongitude(D838)</f>
        <v>94891100</v>
      </c>
      <c r="K838" s="1">
        <f t="shared" si="40"/>
        <v>55.250072000000003</v>
      </c>
      <c r="L838" s="1">
        <f t="shared" si="41"/>
        <v>9.4891100000000002</v>
      </c>
    </row>
    <row r="839" spans="1:12" ht="16" x14ac:dyDescent="0.2">
      <c r="A839" s="1">
        <v>838</v>
      </c>
      <c r="B839" s="1" t="s">
        <v>2482</v>
      </c>
      <c r="C839" s="1" t="s">
        <v>2541</v>
      </c>
      <c r="D839" s="1" t="str">
        <f t="shared" si="39"/>
        <v>Haderslev Kommune Klostret 28</v>
      </c>
      <c r="E839" s="1" t="s">
        <v>2542</v>
      </c>
      <c r="F839" s="1" t="s">
        <v>2543</v>
      </c>
      <c r="G839" s="1">
        <v>1988</v>
      </c>
      <c r="H839" s="1" t="s">
        <v>11</v>
      </c>
      <c r="I839" s="6" cm="1">
        <f t="array" ref="I839">GetLatitude(D839)</f>
        <v>552484487</v>
      </c>
      <c r="J839" s="1" cm="1">
        <f t="array" ref="J839">GetLongitude(D839)</f>
        <v>94853080</v>
      </c>
      <c r="K839" s="1">
        <f t="shared" si="40"/>
        <v>55.248448699999997</v>
      </c>
      <c r="L839" s="1">
        <f t="shared" si="41"/>
        <v>9.4853079999999999</v>
      </c>
    </row>
    <row r="840" spans="1:12" ht="16" x14ac:dyDescent="0.2">
      <c r="A840" s="1">
        <v>839</v>
      </c>
      <c r="B840" s="1" t="s">
        <v>2482</v>
      </c>
      <c r="C840" s="1" t="s">
        <v>2544</v>
      </c>
      <c r="D840" s="1" t="str">
        <f t="shared" si="39"/>
        <v>Haderslev Kommune Kvistrupvej 36</v>
      </c>
      <c r="E840" s="1" t="s">
        <v>2545</v>
      </c>
      <c r="F840" s="1" t="s">
        <v>2546</v>
      </c>
      <c r="G840" s="1">
        <v>2000</v>
      </c>
      <c r="H840" s="1" t="s">
        <v>15</v>
      </c>
      <c r="I840" s="6" cm="1">
        <f t="array" ref="I840">GetLatitude(D840)</f>
        <v>552644781</v>
      </c>
      <c r="J840" s="1" cm="1">
        <f t="array" ref="J840">GetLongitude(D840)</f>
        <v>96333122</v>
      </c>
      <c r="K840" s="1">
        <f t="shared" si="40"/>
        <v>55.264478099999998</v>
      </c>
      <c r="L840" s="1">
        <f t="shared" si="41"/>
        <v>9.6333122000000007</v>
      </c>
    </row>
    <row r="841" spans="1:12" ht="16" x14ac:dyDescent="0.2">
      <c r="A841" s="1">
        <v>840</v>
      </c>
      <c r="B841" s="1" t="s">
        <v>2482</v>
      </c>
      <c r="C841" s="1" t="s">
        <v>2547</v>
      </c>
      <c r="D841" s="1" t="str">
        <f t="shared" si="39"/>
        <v>Haderslev Kommune Laurids Skausgade 8</v>
      </c>
      <c r="E841" s="1" t="s">
        <v>2548</v>
      </c>
      <c r="F841" s="1" t="s">
        <v>2549</v>
      </c>
      <c r="G841" s="1">
        <v>1990</v>
      </c>
      <c r="H841" s="1" t="s">
        <v>11</v>
      </c>
      <c r="I841" s="6" cm="1">
        <f t="array" ref="I841">GetLatitude(D841)</f>
        <v>552542030</v>
      </c>
      <c r="J841" s="1" cm="1">
        <f t="array" ref="J841">GetLongitude(D841)</f>
        <v>94860740</v>
      </c>
      <c r="K841" s="1">
        <f t="shared" si="40"/>
        <v>55.254202999999997</v>
      </c>
      <c r="L841" s="1">
        <f t="shared" si="41"/>
        <v>9.4860740000000003</v>
      </c>
    </row>
    <row r="842" spans="1:12" ht="16" x14ac:dyDescent="0.2">
      <c r="A842" s="1">
        <v>841</v>
      </c>
      <c r="B842" s="1" t="s">
        <v>2482</v>
      </c>
      <c r="C842" s="1" t="s">
        <v>2550</v>
      </c>
      <c r="D842" s="1" t="str">
        <f t="shared" si="39"/>
        <v>Haderslev Kommune Lavgade 12</v>
      </c>
      <c r="E842" s="1" t="s">
        <v>2551</v>
      </c>
      <c r="F842" s="1" t="s">
        <v>2552</v>
      </c>
      <c r="G842" s="1">
        <v>1992</v>
      </c>
      <c r="H842" s="1" t="s">
        <v>11</v>
      </c>
      <c r="I842" s="6" cm="1">
        <f t="array" ref="I842">GetLatitude(D842)</f>
        <v>552480644</v>
      </c>
      <c r="J842" s="1" cm="1">
        <f t="array" ref="J842">GetLongitude(D842)</f>
        <v>94886712</v>
      </c>
      <c r="K842" s="1">
        <f t="shared" si="40"/>
        <v>55.248064399999997</v>
      </c>
      <c r="L842" s="1">
        <f t="shared" si="41"/>
        <v>9.4886712000000006</v>
      </c>
    </row>
    <row r="843" spans="1:12" ht="16" x14ac:dyDescent="0.2">
      <c r="A843" s="1">
        <v>842</v>
      </c>
      <c r="B843" s="1" t="s">
        <v>2482</v>
      </c>
      <c r="C843" s="1" t="s">
        <v>2553</v>
      </c>
      <c r="D843" s="1" t="str">
        <f t="shared" si="39"/>
        <v>Haderslev Kommune Lavgade 5-7</v>
      </c>
      <c r="E843" s="1" t="s">
        <v>2554</v>
      </c>
      <c r="F843" s="1" t="s">
        <v>2555</v>
      </c>
      <c r="G843" s="1">
        <v>1990</v>
      </c>
      <c r="H843" s="1" t="s">
        <v>15</v>
      </c>
      <c r="I843" s="6" cm="1">
        <f t="array" ref="I843">GetLatitude(D843)</f>
        <v>552483923</v>
      </c>
      <c r="J843" s="1" cm="1">
        <f t="array" ref="J843">GetLongitude(D843)</f>
        <v>94884498</v>
      </c>
      <c r="K843" s="1">
        <f t="shared" si="40"/>
        <v>55.248392299999999</v>
      </c>
      <c r="L843" s="1">
        <f t="shared" si="41"/>
        <v>9.4884497999999997</v>
      </c>
    </row>
    <row r="844" spans="1:12" ht="16" x14ac:dyDescent="0.2">
      <c r="A844" s="1">
        <v>843</v>
      </c>
      <c r="B844" s="1" t="s">
        <v>2482</v>
      </c>
      <c r="C844" s="1" t="s">
        <v>2556</v>
      </c>
      <c r="D844" s="1" t="str">
        <f t="shared" si="39"/>
        <v>Haderslev Kommune Lille Slagtergade 17, tidl Gåskærgade 66</v>
      </c>
      <c r="E844" s="1" t="s">
        <v>2557</v>
      </c>
      <c r="F844" s="1" t="s">
        <v>1472</v>
      </c>
      <c r="G844" s="1">
        <v>1972</v>
      </c>
      <c r="H844" s="1" t="s">
        <v>11</v>
      </c>
      <c r="I844" s="6" cm="1">
        <f t="array" ref="I844">GetLatitude(D844)</f>
        <v>552529263</v>
      </c>
      <c r="J844" s="1" cm="1">
        <f t="array" ref="J844">GetLongitude(D844)</f>
        <v>94825472</v>
      </c>
      <c r="K844" s="1">
        <f t="shared" si="40"/>
        <v>55.252926299999999</v>
      </c>
      <c r="L844" s="1">
        <f t="shared" si="41"/>
        <v>9.4825472000000008</v>
      </c>
    </row>
    <row r="845" spans="1:12" ht="16" x14ac:dyDescent="0.2">
      <c r="A845" s="1">
        <v>844</v>
      </c>
      <c r="B845" s="1" t="s">
        <v>2482</v>
      </c>
      <c r="C845" s="1" t="s">
        <v>2558</v>
      </c>
      <c r="D845" s="1" t="str">
        <f t="shared" si="39"/>
        <v>Haderslev Kommune Moltrup Landevej 75</v>
      </c>
      <c r="E845" s="1" t="s">
        <v>2559</v>
      </c>
      <c r="F845" s="1" t="s">
        <v>2560</v>
      </c>
      <c r="G845" s="1">
        <v>1989</v>
      </c>
      <c r="H845" s="1" t="s">
        <v>11</v>
      </c>
      <c r="I845" s="6" cm="1">
        <f t="array" ref="I845">GetLatitude(D845)</f>
        <v>552820989</v>
      </c>
      <c r="J845" s="1" cm="1">
        <f t="array" ref="J845">GetLongitude(D845)</f>
        <v>94638050</v>
      </c>
      <c r="K845" s="1">
        <f t="shared" si="40"/>
        <v>55.282098900000001</v>
      </c>
      <c r="L845" s="1">
        <f t="shared" si="41"/>
        <v>9.4638050000000007</v>
      </c>
    </row>
    <row r="846" spans="1:12" ht="16" x14ac:dyDescent="0.2">
      <c r="A846" s="1">
        <v>845</v>
      </c>
      <c r="B846" s="1" t="s">
        <v>2482</v>
      </c>
      <c r="C846" s="1" t="s">
        <v>2561</v>
      </c>
      <c r="D846" s="1" t="str">
        <f t="shared" si="39"/>
        <v>Haderslev Kommune Moltrupvej 1</v>
      </c>
      <c r="E846" s="1" t="s">
        <v>2562</v>
      </c>
      <c r="F846" s="1" t="s">
        <v>2563</v>
      </c>
      <c r="G846" s="1">
        <v>1988</v>
      </c>
      <c r="H846" s="1" t="s">
        <v>11</v>
      </c>
      <c r="I846" s="6" cm="1">
        <f t="array" ref="I846">GetLatitude(D846)</f>
        <v>552536431</v>
      </c>
      <c r="J846" s="1" cm="1">
        <f t="array" ref="J846">GetLongitude(D846)</f>
        <v>94780759</v>
      </c>
      <c r="K846" s="1">
        <f t="shared" si="40"/>
        <v>55.253643099999998</v>
      </c>
      <c r="L846" s="1">
        <f t="shared" si="41"/>
        <v>9.4780759000000003</v>
      </c>
    </row>
    <row r="847" spans="1:12" ht="16" x14ac:dyDescent="0.2">
      <c r="A847" s="1">
        <v>846</v>
      </c>
      <c r="B847" s="1" t="s">
        <v>2482</v>
      </c>
      <c r="C847" s="1" t="s">
        <v>2564</v>
      </c>
      <c r="D847" s="1" t="str">
        <f t="shared" si="39"/>
        <v>Haderslev Kommune Moltrupvej 1 A</v>
      </c>
      <c r="E847" s="1" t="s">
        <v>2565</v>
      </c>
      <c r="F847" s="1" t="s">
        <v>2566</v>
      </c>
      <c r="G847" s="1">
        <v>1994</v>
      </c>
      <c r="H847" s="1" t="s">
        <v>15</v>
      </c>
      <c r="I847" s="6" cm="1">
        <f t="array" ref="I847">GetLatitude(D847)</f>
        <v>552541186</v>
      </c>
      <c r="J847" s="1" cm="1">
        <f t="array" ref="J847">GetLongitude(D847)</f>
        <v>94778444</v>
      </c>
      <c r="K847" s="1">
        <f t="shared" si="40"/>
        <v>55.254118599999998</v>
      </c>
      <c r="L847" s="1">
        <f t="shared" si="41"/>
        <v>9.4778444000000004</v>
      </c>
    </row>
    <row r="848" spans="1:12" ht="16" x14ac:dyDescent="0.2">
      <c r="A848" s="1">
        <v>847</v>
      </c>
      <c r="B848" s="1" t="s">
        <v>2482</v>
      </c>
      <c r="C848" s="1" t="s">
        <v>2567</v>
      </c>
      <c r="D848" s="1" t="str">
        <f t="shared" si="39"/>
        <v>Haderslev Kommune Møllepladsen 2, hj af Højgade</v>
      </c>
      <c r="E848" s="1" t="s">
        <v>2568</v>
      </c>
      <c r="F848" s="1" t="s">
        <v>1871</v>
      </c>
      <c r="G848" s="1">
        <v>1971</v>
      </c>
      <c r="H848" s="1" t="s">
        <v>11</v>
      </c>
      <c r="I848" s="6" cm="1">
        <f t="array" ref="I848">GetLatitude(D848)</f>
        <v>552481834</v>
      </c>
      <c r="J848" s="1" cm="1">
        <f t="array" ref="J848">GetLongitude(D848)</f>
        <v>94889766</v>
      </c>
      <c r="K848" s="1">
        <f t="shared" si="40"/>
        <v>55.248183400000002</v>
      </c>
      <c r="L848" s="1">
        <f t="shared" si="41"/>
        <v>9.4889766000000009</v>
      </c>
    </row>
    <row r="849" spans="1:12" ht="16" x14ac:dyDescent="0.2">
      <c r="A849" s="1">
        <v>848</v>
      </c>
      <c r="B849" s="1" t="s">
        <v>2482</v>
      </c>
      <c r="C849" s="1" t="s">
        <v>2569</v>
      </c>
      <c r="D849" s="1" t="str">
        <f t="shared" si="39"/>
        <v>Haderslev Kommune Møllepladsen 4</v>
      </c>
      <c r="E849" s="1" t="s">
        <v>2570</v>
      </c>
      <c r="F849" s="1" t="s">
        <v>2571</v>
      </c>
      <c r="G849" s="1">
        <v>1950</v>
      </c>
      <c r="H849" s="1" t="s">
        <v>15</v>
      </c>
      <c r="I849" s="6" cm="1">
        <f t="array" ref="I849">GetLatitude(D849)</f>
        <v>552479527</v>
      </c>
      <c r="J849" s="1" cm="1">
        <f t="array" ref="J849">GetLongitude(D849)</f>
        <v>94892799</v>
      </c>
      <c r="K849" s="1">
        <f t="shared" si="40"/>
        <v>55.247952699999999</v>
      </c>
      <c r="L849" s="1">
        <f t="shared" si="41"/>
        <v>9.4892798999999997</v>
      </c>
    </row>
    <row r="850" spans="1:12" ht="16" x14ac:dyDescent="0.2">
      <c r="A850" s="1">
        <v>849</v>
      </c>
      <c r="B850" s="1" t="s">
        <v>2482</v>
      </c>
      <c r="C850" s="1" t="s">
        <v>2572</v>
      </c>
      <c r="D850" s="1" t="str">
        <f t="shared" si="39"/>
        <v>Haderslev Kommune Naffet 14</v>
      </c>
      <c r="E850" s="1" t="s">
        <v>2573</v>
      </c>
      <c r="F850" s="1" t="s">
        <v>2574</v>
      </c>
      <c r="G850" s="1">
        <v>1989</v>
      </c>
      <c r="H850" s="1" t="s">
        <v>11</v>
      </c>
      <c r="I850" s="6" cm="1">
        <f t="array" ref="I850">GetLatitude(D850)</f>
        <v>552491374</v>
      </c>
      <c r="J850" s="1" cm="1">
        <f t="array" ref="J850">GetLongitude(D850)</f>
        <v>94918272</v>
      </c>
      <c r="K850" s="1">
        <f t="shared" si="40"/>
        <v>55.249137400000002</v>
      </c>
      <c r="L850" s="1">
        <f t="shared" si="41"/>
        <v>9.4918271999999995</v>
      </c>
    </row>
    <row r="851" spans="1:12" ht="16" x14ac:dyDescent="0.2">
      <c r="A851" s="1">
        <v>850</v>
      </c>
      <c r="B851" s="1" t="s">
        <v>2482</v>
      </c>
      <c r="C851" s="1" t="s">
        <v>2575</v>
      </c>
      <c r="D851" s="1" t="str">
        <f t="shared" si="39"/>
        <v>Haderslev Kommune Naffet 24</v>
      </c>
      <c r="E851" s="1" t="s">
        <v>2576</v>
      </c>
      <c r="F851" s="1" t="s">
        <v>2577</v>
      </c>
      <c r="G851" s="1">
        <v>1971</v>
      </c>
      <c r="H851" s="1" t="s">
        <v>11</v>
      </c>
      <c r="I851" s="6" cm="1">
        <f t="array" ref="I851">GetLatitude(D851)</f>
        <v>552491703</v>
      </c>
      <c r="J851" s="1" cm="1">
        <f t="array" ref="J851">GetLongitude(D851)</f>
        <v>94927154</v>
      </c>
      <c r="K851" s="1">
        <f t="shared" si="40"/>
        <v>55.249170300000003</v>
      </c>
      <c r="L851" s="1">
        <f t="shared" si="41"/>
        <v>9.4927153999999998</v>
      </c>
    </row>
    <row r="852" spans="1:12" ht="16" x14ac:dyDescent="0.2">
      <c r="A852" s="1">
        <v>851</v>
      </c>
      <c r="B852" s="1" t="s">
        <v>2482</v>
      </c>
      <c r="C852" s="1" t="s">
        <v>2578</v>
      </c>
      <c r="D852" s="1" t="str">
        <f t="shared" si="39"/>
        <v>Haderslev Kommune Naffet 27</v>
      </c>
      <c r="E852" s="1" t="s">
        <v>2579</v>
      </c>
      <c r="F852" s="1" t="s">
        <v>612</v>
      </c>
      <c r="G852" s="1">
        <v>1987</v>
      </c>
      <c r="H852" s="1" t="s">
        <v>11</v>
      </c>
      <c r="I852" s="6" cm="1">
        <f t="array" ref="I852">GetLatitude(D852)</f>
        <v>552493329</v>
      </c>
      <c r="J852" s="1" cm="1">
        <f t="array" ref="J852">GetLongitude(D852)</f>
        <v>94933511</v>
      </c>
      <c r="K852" s="1">
        <f t="shared" si="40"/>
        <v>55.249332899999999</v>
      </c>
      <c r="L852" s="1">
        <f t="shared" si="41"/>
        <v>9.4933510999999999</v>
      </c>
    </row>
    <row r="853" spans="1:12" ht="16" x14ac:dyDescent="0.2">
      <c r="A853" s="1">
        <v>852</v>
      </c>
      <c r="B853" s="1" t="s">
        <v>2482</v>
      </c>
      <c r="C853" s="1" t="s">
        <v>2580</v>
      </c>
      <c r="D853" s="1" t="str">
        <f t="shared" si="39"/>
        <v>Haderslev Kommune Naffet 2 A</v>
      </c>
      <c r="E853" s="1" t="s">
        <v>2581</v>
      </c>
      <c r="F853" s="1" t="s">
        <v>1871</v>
      </c>
      <c r="G853" s="1">
        <v>1945</v>
      </c>
      <c r="H853" s="1" t="s">
        <v>99</v>
      </c>
      <c r="I853" s="6" cm="1">
        <f t="array" ref="I853">GetLatitude(D853)</f>
        <v>552490364</v>
      </c>
      <c r="J853" s="1" cm="1">
        <f t="array" ref="J853">GetLongitude(D853)</f>
        <v>94904353</v>
      </c>
      <c r="K853" s="1">
        <f t="shared" si="40"/>
        <v>55.249036400000001</v>
      </c>
      <c r="L853" s="1">
        <f t="shared" si="41"/>
        <v>9.4904352999999997</v>
      </c>
    </row>
    <row r="854" spans="1:12" ht="16" x14ac:dyDescent="0.2">
      <c r="A854" s="1">
        <v>853</v>
      </c>
      <c r="B854" s="1" t="s">
        <v>2482</v>
      </c>
      <c r="C854" s="1" t="s">
        <v>2582</v>
      </c>
      <c r="D854" s="1" t="str">
        <f t="shared" si="39"/>
        <v>Haderslev Kommune Naffet 30</v>
      </c>
      <c r="E854" s="1" t="s">
        <v>2583</v>
      </c>
      <c r="F854" s="1" t="s">
        <v>2584</v>
      </c>
      <c r="G854" s="1">
        <v>1980</v>
      </c>
      <c r="H854" s="1" t="s">
        <v>15</v>
      </c>
      <c r="I854" s="6" cm="1">
        <f t="array" ref="I854">GetLatitude(D854)</f>
        <v>552491634</v>
      </c>
      <c r="J854" s="1" cm="1">
        <f t="array" ref="J854">GetLongitude(D854)</f>
        <v>94932906</v>
      </c>
      <c r="K854" s="1">
        <f t="shared" si="40"/>
        <v>55.2491634</v>
      </c>
      <c r="L854" s="1">
        <f t="shared" si="41"/>
        <v>9.4932905999999999</v>
      </c>
    </row>
    <row r="855" spans="1:12" ht="16" x14ac:dyDescent="0.2">
      <c r="A855" s="1">
        <v>854</v>
      </c>
      <c r="B855" s="1" t="s">
        <v>2482</v>
      </c>
      <c r="C855" s="1" t="s">
        <v>2585</v>
      </c>
      <c r="D855" s="1" t="str">
        <f t="shared" si="39"/>
        <v>Haderslev Kommune Nygårdvej 4</v>
      </c>
      <c r="E855" s="1" t="s">
        <v>2586</v>
      </c>
      <c r="F855" s="1" t="s">
        <v>2587</v>
      </c>
      <c r="G855" s="1">
        <v>1954</v>
      </c>
      <c r="H855" s="1" t="s">
        <v>11</v>
      </c>
      <c r="I855" s="6" cm="1">
        <f t="array" ref="I855">GetLatitude(D855)</f>
        <v>552721711</v>
      </c>
      <c r="J855" s="1" cm="1">
        <f t="array" ref="J855">GetLongitude(D855)</f>
        <v>95727879</v>
      </c>
      <c r="K855" s="1">
        <f t="shared" si="40"/>
        <v>55.272171100000001</v>
      </c>
      <c r="L855" s="1">
        <f t="shared" si="41"/>
        <v>9.5727878999999998</v>
      </c>
    </row>
    <row r="856" spans="1:12" ht="16" x14ac:dyDescent="0.2">
      <c r="A856" s="1">
        <v>855</v>
      </c>
      <c r="B856" s="1" t="s">
        <v>2482</v>
      </c>
      <c r="C856" s="1" t="s">
        <v>2588</v>
      </c>
      <c r="D856" s="1" t="str">
        <f t="shared" si="39"/>
        <v>Haderslev Kommune Nørregade 4</v>
      </c>
      <c r="E856" s="1" t="s">
        <v>2589</v>
      </c>
      <c r="F856" s="1" t="s">
        <v>2590</v>
      </c>
      <c r="G856" s="1">
        <v>1984</v>
      </c>
      <c r="H856" s="1" t="s">
        <v>11</v>
      </c>
      <c r="I856" s="6" cm="1">
        <f t="array" ref="I856">GetLatitude(D856)</f>
        <v>552510805</v>
      </c>
      <c r="J856" s="1" cm="1">
        <f t="array" ref="J856">GetLongitude(D856)</f>
        <v>94881503</v>
      </c>
      <c r="K856" s="1">
        <f t="shared" si="40"/>
        <v>55.2510805</v>
      </c>
      <c r="L856" s="1">
        <f t="shared" si="41"/>
        <v>9.4881502999999991</v>
      </c>
    </row>
    <row r="857" spans="1:12" ht="16" x14ac:dyDescent="0.2">
      <c r="A857" s="1">
        <v>856</v>
      </c>
      <c r="B857" s="1" t="s">
        <v>2482</v>
      </c>
      <c r="C857" s="1" t="s">
        <v>2591</v>
      </c>
      <c r="D857" s="1" t="str">
        <f t="shared" si="39"/>
        <v>Haderslev Kommune Præstegade 12 A</v>
      </c>
      <c r="E857" s="1" t="s">
        <v>2592</v>
      </c>
      <c r="F857" s="1" t="s">
        <v>2593</v>
      </c>
      <c r="G857" s="1">
        <v>1988</v>
      </c>
      <c r="H857" s="1" t="s">
        <v>15</v>
      </c>
      <c r="I857" s="6" cm="1">
        <f t="array" ref="I857">GetLatitude(D857)</f>
        <v>552493572</v>
      </c>
      <c r="J857" s="1" cm="1">
        <f t="array" ref="J857">GetLongitude(D857)</f>
        <v>94853776</v>
      </c>
      <c r="K857" s="1">
        <f t="shared" si="40"/>
        <v>55.249357199999999</v>
      </c>
      <c r="L857" s="1">
        <f t="shared" si="41"/>
        <v>9.4853775999999996</v>
      </c>
    </row>
    <row r="858" spans="1:12" ht="16" x14ac:dyDescent="0.2">
      <c r="A858" s="1">
        <v>857</v>
      </c>
      <c r="B858" s="1" t="s">
        <v>2482</v>
      </c>
      <c r="C858" s="1" t="s">
        <v>2594</v>
      </c>
      <c r="D858" s="1" t="str">
        <f t="shared" si="39"/>
        <v>Haderslev Kommune Præstegade 14 A</v>
      </c>
      <c r="E858" s="1" t="s">
        <v>2595</v>
      </c>
      <c r="F858" s="1" t="s">
        <v>2596</v>
      </c>
      <c r="G858" s="1">
        <v>1950</v>
      </c>
      <c r="H858" s="1" t="s">
        <v>11</v>
      </c>
      <c r="I858" s="6" cm="1">
        <f t="array" ref="I858">GetLatitude(D858)</f>
        <v>552492432</v>
      </c>
      <c r="J858" s="1" cm="1">
        <f t="array" ref="J858">GetLongitude(D858)</f>
        <v>94852299</v>
      </c>
      <c r="K858" s="1">
        <f t="shared" si="40"/>
        <v>55.249243200000002</v>
      </c>
      <c r="L858" s="1">
        <f t="shared" si="41"/>
        <v>9.4852299000000002</v>
      </c>
    </row>
    <row r="859" spans="1:12" ht="16" x14ac:dyDescent="0.2">
      <c r="A859" s="1">
        <v>858</v>
      </c>
      <c r="B859" s="1" t="s">
        <v>2482</v>
      </c>
      <c r="C859" s="1" t="s">
        <v>2597</v>
      </c>
      <c r="D859" s="1" t="str">
        <f t="shared" si="39"/>
        <v>Haderslev Kommune Præstegade 1 A, hj af Jomfrugang</v>
      </c>
      <c r="E859" s="1" t="s">
        <v>2598</v>
      </c>
      <c r="F859" s="1" t="s">
        <v>1276</v>
      </c>
      <c r="G859" s="1">
        <v>1971</v>
      </c>
      <c r="H859" s="1" t="s">
        <v>11</v>
      </c>
      <c r="I859" s="6" cm="1">
        <f t="array" ref="I859">GetLatitude(D859)</f>
        <v>552493976</v>
      </c>
      <c r="J859" s="1" cm="1">
        <f t="array" ref="J859">GetLongitude(D859)</f>
        <v>94858470</v>
      </c>
      <c r="K859" s="1">
        <f t="shared" si="40"/>
        <v>55.249397600000002</v>
      </c>
      <c r="L859" s="1">
        <f t="shared" si="41"/>
        <v>9.4858469999999997</v>
      </c>
    </row>
    <row r="860" spans="1:12" ht="16" x14ac:dyDescent="0.2">
      <c r="A860" s="1">
        <v>859</v>
      </c>
      <c r="B860" s="1" t="s">
        <v>2482</v>
      </c>
      <c r="C860" s="1" t="s">
        <v>2599</v>
      </c>
      <c r="D860" s="1" t="str">
        <f t="shared" si="39"/>
        <v>Haderslev Kommune Præstegade 9</v>
      </c>
      <c r="E860" s="1" t="s">
        <v>2600</v>
      </c>
      <c r="F860" s="1" t="s">
        <v>2601</v>
      </c>
      <c r="G860" s="1">
        <v>1988</v>
      </c>
      <c r="H860" s="1" t="s">
        <v>15</v>
      </c>
      <c r="I860" s="6" cm="1">
        <f t="array" ref="I860">GetLatitude(D860)</f>
        <v>552487395</v>
      </c>
      <c r="J860" s="1" cm="1">
        <f t="array" ref="J860">GetLongitude(D860)</f>
        <v>94845514</v>
      </c>
      <c r="K860" s="1">
        <f t="shared" si="40"/>
        <v>55.248739499999999</v>
      </c>
      <c r="L860" s="1">
        <f t="shared" si="41"/>
        <v>9.4845514000000009</v>
      </c>
    </row>
    <row r="861" spans="1:12" ht="16" x14ac:dyDescent="0.2">
      <c r="A861" s="1">
        <v>860</v>
      </c>
      <c r="B861" s="1" t="s">
        <v>2482</v>
      </c>
      <c r="C861" s="1" t="s">
        <v>2602</v>
      </c>
      <c r="D861" s="1" t="str">
        <f t="shared" si="39"/>
        <v>Haderslev Kommune Ribe Landevej 3</v>
      </c>
      <c r="E861" s="1" t="s">
        <v>2603</v>
      </c>
      <c r="F861" s="1" t="s">
        <v>2604</v>
      </c>
      <c r="G861" s="1">
        <v>1971</v>
      </c>
      <c r="H861" s="1" t="s">
        <v>11</v>
      </c>
      <c r="I861" s="6" cm="1">
        <f t="array" ref="I861">GetLatitude(D861)</f>
        <v>552512185</v>
      </c>
      <c r="J861" s="1" cm="1">
        <f t="array" ref="J861">GetLongitude(D861)</f>
        <v>94758929</v>
      </c>
      <c r="K861" s="1">
        <f t="shared" si="40"/>
        <v>55.2512185</v>
      </c>
      <c r="L861" s="1">
        <f t="shared" si="41"/>
        <v>9.4758928999999998</v>
      </c>
    </row>
    <row r="862" spans="1:12" ht="16" x14ac:dyDescent="0.2">
      <c r="A862" s="1">
        <v>861</v>
      </c>
      <c r="B862" s="1" t="s">
        <v>2482</v>
      </c>
      <c r="C862" s="1" t="s">
        <v>2605</v>
      </c>
      <c r="D862" s="1" t="str">
        <f t="shared" si="39"/>
        <v>Haderslev Kommune Sejlstensgyde 7, hj af Havnevej</v>
      </c>
      <c r="E862" s="1" t="s">
        <v>2606</v>
      </c>
      <c r="F862" s="1" t="s">
        <v>2607</v>
      </c>
      <c r="G862" s="1">
        <v>1945</v>
      </c>
      <c r="H862" s="1" t="s">
        <v>11</v>
      </c>
      <c r="I862" s="6" cm="1">
        <f t="array" ref="I862">GetLatitude(D862)</f>
        <v>552484196</v>
      </c>
      <c r="J862" s="1" cm="1">
        <f t="array" ref="J862">GetLongitude(D862)</f>
        <v>94947218</v>
      </c>
      <c r="K862" s="1">
        <f t="shared" si="40"/>
        <v>55.248419599999998</v>
      </c>
      <c r="L862" s="1">
        <f t="shared" si="41"/>
        <v>9.4947218000000007</v>
      </c>
    </row>
    <row r="863" spans="1:12" ht="16" x14ac:dyDescent="0.2">
      <c r="A863" s="1">
        <v>862</v>
      </c>
      <c r="B863" s="1" t="s">
        <v>2482</v>
      </c>
      <c r="C863" s="1" t="s">
        <v>2608</v>
      </c>
      <c r="D863" s="1" t="str">
        <f t="shared" si="39"/>
        <v>Haderslev Kommune Sillerup Møllevej 35</v>
      </c>
      <c r="E863" s="1" t="s">
        <v>2609</v>
      </c>
      <c r="F863" s="1" t="s">
        <v>2610</v>
      </c>
      <c r="G863" s="1">
        <v>1998</v>
      </c>
      <c r="H863" s="1" t="s">
        <v>15</v>
      </c>
      <c r="I863" s="6" cm="1">
        <f t="array" ref="I863">GetLatitude(D863)</f>
        <v>553105750</v>
      </c>
      <c r="J863" s="1" cm="1">
        <f t="array" ref="J863">GetLongitude(D863)</f>
        <v>95763881</v>
      </c>
      <c r="K863" s="1">
        <f t="shared" si="40"/>
        <v>55.310575</v>
      </c>
      <c r="L863" s="1">
        <f t="shared" si="41"/>
        <v>9.5763881000000008</v>
      </c>
    </row>
    <row r="864" spans="1:12" ht="16" x14ac:dyDescent="0.2">
      <c r="A864" s="1">
        <v>863</v>
      </c>
      <c r="B864" s="1" t="s">
        <v>2482</v>
      </c>
      <c r="C864" s="1" t="s">
        <v>2611</v>
      </c>
      <c r="D864" s="1" t="str">
        <f t="shared" si="39"/>
        <v>Haderslev Kommune Skovbøllingvej 35</v>
      </c>
      <c r="E864" s="1" t="s">
        <v>2612</v>
      </c>
      <c r="F864" s="1" t="s">
        <v>2613</v>
      </c>
      <c r="G864" s="1">
        <v>2005</v>
      </c>
      <c r="H864" s="1" t="s">
        <v>15</v>
      </c>
      <c r="I864" s="6" cm="1">
        <f t="array" ref="I864">GetLatitude(D864)</f>
        <v>553143270</v>
      </c>
      <c r="J864" s="1" cm="1">
        <f t="array" ref="J864">GetLongitude(D864)</f>
        <v>95012270</v>
      </c>
      <c r="K864" s="1">
        <f t="shared" si="40"/>
        <v>55.314326999999999</v>
      </c>
      <c r="L864" s="1">
        <f t="shared" si="41"/>
        <v>9.5012270000000001</v>
      </c>
    </row>
    <row r="865" spans="1:12" ht="16" x14ac:dyDescent="0.2">
      <c r="A865" s="1">
        <v>864</v>
      </c>
      <c r="B865" s="1" t="s">
        <v>2482</v>
      </c>
      <c r="C865" s="1" t="s">
        <v>2614</v>
      </c>
      <c r="D865" s="1" t="str">
        <f t="shared" si="39"/>
        <v>Haderslev Kommune Slagtergade 14</v>
      </c>
      <c r="E865" s="1" t="s">
        <v>2615</v>
      </c>
      <c r="F865" s="1" t="s">
        <v>2616</v>
      </c>
      <c r="G865" s="1">
        <v>1988</v>
      </c>
      <c r="H865" s="1" t="s">
        <v>15</v>
      </c>
      <c r="I865" s="6" cm="1">
        <f t="array" ref="I865">GetLatitude(D865)</f>
        <v>552535451</v>
      </c>
      <c r="J865" s="1" cm="1">
        <f t="array" ref="J865">GetLongitude(D865)</f>
        <v>94818353</v>
      </c>
      <c r="K865" s="1">
        <f t="shared" si="40"/>
        <v>55.253545099999997</v>
      </c>
      <c r="L865" s="1">
        <f t="shared" si="41"/>
        <v>9.4818353000000002</v>
      </c>
    </row>
    <row r="866" spans="1:12" ht="16" x14ac:dyDescent="0.2">
      <c r="A866" s="1">
        <v>865</v>
      </c>
      <c r="B866" s="1" t="s">
        <v>2482</v>
      </c>
      <c r="C866" s="1" t="s">
        <v>2617</v>
      </c>
      <c r="D866" s="1" t="str">
        <f t="shared" si="39"/>
        <v>Haderslev Kommune Slotsgade 15</v>
      </c>
      <c r="E866" s="1" t="s">
        <v>2618</v>
      </c>
      <c r="F866" s="1" t="s">
        <v>2619</v>
      </c>
      <c r="G866" s="1">
        <v>1921</v>
      </c>
      <c r="H866" s="1" t="s">
        <v>2620</v>
      </c>
      <c r="I866" s="6" cm="1">
        <f t="array" ref="I866">GetLatitude(D866)</f>
        <v>552500556</v>
      </c>
      <c r="J866" s="1" cm="1">
        <f t="array" ref="J866">GetLongitude(D866)</f>
        <v>94896708</v>
      </c>
      <c r="K866" s="1">
        <f t="shared" si="40"/>
        <v>55.250055600000003</v>
      </c>
      <c r="L866" s="1">
        <f t="shared" si="41"/>
        <v>9.4896708000000007</v>
      </c>
    </row>
    <row r="867" spans="1:12" ht="16" x14ac:dyDescent="0.2">
      <c r="A867" s="1">
        <v>866</v>
      </c>
      <c r="B867" s="1" t="s">
        <v>2482</v>
      </c>
      <c r="C867" s="1" t="s">
        <v>1382</v>
      </c>
      <c r="D867" s="1" t="str">
        <f t="shared" si="39"/>
        <v>Haderslev Kommune Slotsgade 20</v>
      </c>
      <c r="E867" s="1" t="s">
        <v>2621</v>
      </c>
      <c r="F867" s="1" t="s">
        <v>2622</v>
      </c>
      <c r="G867" s="1">
        <v>1945</v>
      </c>
      <c r="H867" s="1" t="s">
        <v>11</v>
      </c>
      <c r="I867" s="6" cm="1">
        <f t="array" ref="I867">GetLatitude(D867)</f>
        <v>552497563</v>
      </c>
      <c r="J867" s="1" cm="1">
        <f t="array" ref="J867">GetLongitude(D867)</f>
        <v>94907257</v>
      </c>
      <c r="K867" s="1">
        <f t="shared" si="40"/>
        <v>55.249756300000001</v>
      </c>
      <c r="L867" s="1">
        <f t="shared" si="41"/>
        <v>9.4907257000000005</v>
      </c>
    </row>
    <row r="868" spans="1:12" ht="16" x14ac:dyDescent="0.2">
      <c r="A868" s="1">
        <v>867</v>
      </c>
      <c r="B868" s="1" t="s">
        <v>2482</v>
      </c>
      <c r="C868" s="1" t="s">
        <v>1385</v>
      </c>
      <c r="D868" s="1" t="str">
        <f t="shared" si="39"/>
        <v>Haderslev Kommune Slotsgade 21</v>
      </c>
      <c r="E868" s="1" t="s">
        <v>2623</v>
      </c>
      <c r="F868" s="1" t="s">
        <v>2624</v>
      </c>
      <c r="G868" s="1">
        <v>1988</v>
      </c>
      <c r="H868" s="1" t="s">
        <v>11</v>
      </c>
      <c r="I868" s="6" cm="1">
        <f t="array" ref="I868">GetLatitude(D868)</f>
        <v>552499447</v>
      </c>
      <c r="J868" s="1" cm="1">
        <f t="array" ref="J868">GetLongitude(D868)</f>
        <v>94903754</v>
      </c>
      <c r="K868" s="1">
        <f t="shared" si="40"/>
        <v>55.2499447</v>
      </c>
      <c r="L868" s="1">
        <f t="shared" si="41"/>
        <v>9.4903753999999996</v>
      </c>
    </row>
    <row r="869" spans="1:12" ht="16" x14ac:dyDescent="0.2">
      <c r="A869" s="1">
        <v>868</v>
      </c>
      <c r="B869" s="1" t="s">
        <v>2482</v>
      </c>
      <c r="C869" s="1" t="s">
        <v>2433</v>
      </c>
      <c r="D869" s="1" t="str">
        <f t="shared" si="39"/>
        <v>Haderslev Kommune Slotsgade 22</v>
      </c>
      <c r="E869" s="1" t="s">
        <v>2625</v>
      </c>
      <c r="F869" s="1" t="s">
        <v>2626</v>
      </c>
      <c r="G869" s="1">
        <v>1988</v>
      </c>
      <c r="H869" s="1" t="s">
        <v>11</v>
      </c>
      <c r="I869" s="6" cm="1">
        <f t="array" ref="I869">GetLatitude(D869)</f>
        <v>552497375</v>
      </c>
      <c r="J869" s="1" cm="1">
        <f t="array" ref="J869">GetLongitude(D869)</f>
        <v>94909658</v>
      </c>
      <c r="K869" s="1">
        <f t="shared" si="40"/>
        <v>55.249737500000002</v>
      </c>
      <c r="L869" s="1">
        <f t="shared" si="41"/>
        <v>9.4909657999999997</v>
      </c>
    </row>
    <row r="870" spans="1:12" ht="16" x14ac:dyDescent="0.2">
      <c r="A870" s="1">
        <v>869</v>
      </c>
      <c r="B870" s="1" t="s">
        <v>2482</v>
      </c>
      <c r="C870" s="1" t="s">
        <v>1388</v>
      </c>
      <c r="D870" s="1" t="str">
        <f t="shared" si="39"/>
        <v>Haderslev Kommune Slotsgade 23</v>
      </c>
      <c r="E870" s="1" t="s">
        <v>2627</v>
      </c>
      <c r="F870" s="1" t="s">
        <v>2628</v>
      </c>
      <c r="G870" s="1">
        <v>1921</v>
      </c>
      <c r="H870" s="1" t="s">
        <v>1493</v>
      </c>
      <c r="I870" s="6" cm="1">
        <f t="array" ref="I870">GetLatitude(D870)</f>
        <v>552499366</v>
      </c>
      <c r="J870" s="1" cm="1">
        <f t="array" ref="J870">GetLongitude(D870)</f>
        <v>94904587</v>
      </c>
      <c r="K870" s="1">
        <f t="shared" si="40"/>
        <v>55.249936599999998</v>
      </c>
      <c r="L870" s="1">
        <f t="shared" si="41"/>
        <v>9.4904586999999996</v>
      </c>
    </row>
    <row r="871" spans="1:12" ht="16" x14ac:dyDescent="0.2">
      <c r="A871" s="1">
        <v>870</v>
      </c>
      <c r="B871" s="1" t="s">
        <v>2482</v>
      </c>
      <c r="C871" s="1" t="s">
        <v>2629</v>
      </c>
      <c r="D871" s="1" t="str">
        <f t="shared" si="39"/>
        <v>Haderslev Kommune Slotsgade 24</v>
      </c>
      <c r="E871" s="1" t="s">
        <v>2630</v>
      </c>
      <c r="F871" s="1" t="s">
        <v>2631</v>
      </c>
      <c r="G871" s="1">
        <v>1989</v>
      </c>
      <c r="H871" s="1" t="s">
        <v>15</v>
      </c>
      <c r="I871" s="6" cm="1">
        <f t="array" ref="I871">GetLatitude(D871)</f>
        <v>552496951</v>
      </c>
      <c r="J871" s="1" cm="1">
        <f t="array" ref="J871">GetLongitude(D871)</f>
        <v>94911842</v>
      </c>
      <c r="K871" s="1">
        <f t="shared" si="40"/>
        <v>55.249695099999997</v>
      </c>
      <c r="L871" s="1">
        <f t="shared" si="41"/>
        <v>9.4911841999999993</v>
      </c>
    </row>
    <row r="872" spans="1:12" ht="16" x14ac:dyDescent="0.2">
      <c r="A872" s="1">
        <v>871</v>
      </c>
      <c r="B872" s="1" t="s">
        <v>2482</v>
      </c>
      <c r="C872" s="1" t="s">
        <v>2632</v>
      </c>
      <c r="D872" s="1" t="str">
        <f t="shared" si="39"/>
        <v>Haderslev Kommune Slotsgade 27</v>
      </c>
      <c r="E872" s="1" t="s">
        <v>2633</v>
      </c>
      <c r="F872" s="1" t="s">
        <v>2634</v>
      </c>
      <c r="G872" s="1">
        <v>1989</v>
      </c>
      <c r="H872" s="1" t="s">
        <v>11</v>
      </c>
      <c r="I872" s="6" cm="1">
        <f t="array" ref="I872">GetLatitude(D872)</f>
        <v>552499541</v>
      </c>
      <c r="J872" s="1" cm="1">
        <f t="array" ref="J872">GetLongitude(D872)</f>
        <v>94907038</v>
      </c>
      <c r="K872" s="1">
        <f t="shared" si="40"/>
        <v>55.249954099999997</v>
      </c>
      <c r="L872" s="1">
        <f t="shared" si="41"/>
        <v>9.4907038000000004</v>
      </c>
    </row>
    <row r="873" spans="1:12" ht="16" x14ac:dyDescent="0.2">
      <c r="A873" s="1">
        <v>872</v>
      </c>
      <c r="B873" s="1" t="s">
        <v>2482</v>
      </c>
      <c r="C873" s="1" t="s">
        <v>2635</v>
      </c>
      <c r="D873" s="1" t="str">
        <f t="shared" si="39"/>
        <v>Haderslev Kommune Slotsgade 29</v>
      </c>
      <c r="E873" s="1" t="s">
        <v>2636</v>
      </c>
      <c r="F873" s="1" t="s">
        <v>2637</v>
      </c>
      <c r="G873" s="1">
        <v>1979</v>
      </c>
      <c r="H873" s="1" t="s">
        <v>11</v>
      </c>
      <c r="I873" s="6" cm="1">
        <f t="array" ref="I873">GetLatitude(D873)</f>
        <v>552499023</v>
      </c>
      <c r="J873" s="1" cm="1">
        <f t="array" ref="J873">GetLongitude(D873)</f>
        <v>94909253</v>
      </c>
      <c r="K873" s="1">
        <f t="shared" si="40"/>
        <v>55.249902300000002</v>
      </c>
      <c r="L873" s="1">
        <f t="shared" si="41"/>
        <v>9.4909253000000007</v>
      </c>
    </row>
    <row r="874" spans="1:12" ht="16" x14ac:dyDescent="0.2">
      <c r="A874" s="1">
        <v>873</v>
      </c>
      <c r="B874" s="1" t="s">
        <v>2482</v>
      </c>
      <c r="C874" s="1" t="s">
        <v>2638</v>
      </c>
      <c r="D874" s="1" t="str">
        <f t="shared" si="39"/>
        <v>Haderslev Kommune Slotsgade 31</v>
      </c>
      <c r="E874" s="1" t="s">
        <v>2639</v>
      </c>
      <c r="F874" s="1" t="s">
        <v>2640</v>
      </c>
      <c r="G874" s="1">
        <v>1921</v>
      </c>
      <c r="H874" s="1" t="s">
        <v>1493</v>
      </c>
      <c r="I874" s="6" cm="1">
        <f t="array" ref="I874">GetLatitude(D874)</f>
        <v>552498513</v>
      </c>
      <c r="J874" s="1" cm="1">
        <f t="array" ref="J874">GetLongitude(D874)</f>
        <v>94911490</v>
      </c>
      <c r="K874" s="1">
        <f t="shared" si="40"/>
        <v>55.249851300000003</v>
      </c>
      <c r="L874" s="1">
        <f t="shared" si="41"/>
        <v>9.4911490000000001</v>
      </c>
    </row>
    <row r="875" spans="1:12" ht="16" x14ac:dyDescent="0.2">
      <c r="A875" s="1">
        <v>874</v>
      </c>
      <c r="B875" s="1" t="s">
        <v>2482</v>
      </c>
      <c r="C875" s="1" t="s">
        <v>2641</v>
      </c>
      <c r="D875" s="1" t="str">
        <f t="shared" si="39"/>
        <v>Haderslev Kommune Slotsgrunden 1</v>
      </c>
      <c r="E875" s="1" t="s">
        <v>2642</v>
      </c>
      <c r="F875" s="1" t="s">
        <v>2643</v>
      </c>
      <c r="G875" s="1">
        <v>1989</v>
      </c>
      <c r="H875" s="1" t="s">
        <v>15</v>
      </c>
      <c r="I875" s="6" cm="1">
        <f t="array" ref="I875">GetLatitude(D875)</f>
        <v>552494350</v>
      </c>
      <c r="J875" s="1" cm="1">
        <f t="array" ref="J875">GetLongitude(D875)</f>
        <v>94918639</v>
      </c>
      <c r="K875" s="1">
        <f t="shared" si="40"/>
        <v>55.249434999999998</v>
      </c>
      <c r="L875" s="1">
        <f t="shared" si="41"/>
        <v>9.4918639000000002</v>
      </c>
    </row>
    <row r="876" spans="1:12" ht="16" x14ac:dyDescent="0.2">
      <c r="A876" s="1">
        <v>875</v>
      </c>
      <c r="B876" s="1" t="s">
        <v>2482</v>
      </c>
      <c r="C876" s="1" t="s">
        <v>2644</v>
      </c>
      <c r="D876" s="1" t="str">
        <f t="shared" si="39"/>
        <v>Haderslev Kommune Slotsgrunden 2</v>
      </c>
      <c r="E876" s="1" t="s">
        <v>2645</v>
      </c>
      <c r="F876" s="1" t="s">
        <v>2646</v>
      </c>
      <c r="G876" s="1">
        <v>1989</v>
      </c>
      <c r="H876" s="1" t="s">
        <v>15</v>
      </c>
      <c r="I876" s="6" cm="1">
        <f t="array" ref="I876">GetLatitude(D876)</f>
        <v>552493864</v>
      </c>
      <c r="J876" s="1" cm="1">
        <f t="array" ref="J876">GetLongitude(D876)</f>
        <v>94917170</v>
      </c>
      <c r="K876" s="1">
        <f t="shared" si="40"/>
        <v>55.249386399999999</v>
      </c>
      <c r="L876" s="1">
        <f t="shared" si="41"/>
        <v>9.4917169999999995</v>
      </c>
    </row>
    <row r="877" spans="1:12" ht="16" x14ac:dyDescent="0.2">
      <c r="A877" s="1">
        <v>876</v>
      </c>
      <c r="B877" s="1" t="s">
        <v>2482</v>
      </c>
      <c r="C877" s="1" t="s">
        <v>2647</v>
      </c>
      <c r="D877" s="1" t="str">
        <f t="shared" si="39"/>
        <v>Haderslev Kommune Slotsvej 48</v>
      </c>
      <c r="E877" s="1" t="s">
        <v>2648</v>
      </c>
      <c r="F877" s="1" t="s">
        <v>2649</v>
      </c>
      <c r="G877" s="1">
        <v>1986</v>
      </c>
      <c r="H877" s="1" t="s">
        <v>11</v>
      </c>
      <c r="I877" s="6" cm="1">
        <f t="array" ref="I877">GetLatitude(D877)</f>
        <v>552940421</v>
      </c>
      <c r="J877" s="1" cm="1">
        <f t="array" ref="J877">GetLongitude(D877)</f>
        <v>90546315</v>
      </c>
      <c r="K877" s="1">
        <f t="shared" si="40"/>
        <v>55.294042099999999</v>
      </c>
      <c r="L877" s="1">
        <f t="shared" si="41"/>
        <v>9.0546314999999993</v>
      </c>
    </row>
    <row r="878" spans="1:12" ht="16" x14ac:dyDescent="0.2">
      <c r="A878" s="1">
        <v>877</v>
      </c>
      <c r="B878" s="1" t="s">
        <v>2482</v>
      </c>
      <c r="C878" s="1" t="s">
        <v>2650</v>
      </c>
      <c r="D878" s="1" t="str">
        <f t="shared" si="39"/>
        <v>Haderslev Kommune Slotsvej 51</v>
      </c>
      <c r="E878" s="1" t="s">
        <v>2651</v>
      </c>
      <c r="F878" s="1" t="s">
        <v>2652</v>
      </c>
      <c r="G878" s="1">
        <v>1945</v>
      </c>
      <c r="H878" s="1" t="s">
        <v>15</v>
      </c>
      <c r="I878" s="6" cm="1">
        <f t="array" ref="I878">GetLatitude(D878)</f>
        <v>552956782</v>
      </c>
      <c r="J878" s="1" cm="1">
        <f t="array" ref="J878">GetLongitude(D878)</f>
        <v>90564086</v>
      </c>
      <c r="K878" s="1">
        <f t="shared" si="40"/>
        <v>55.295678199999998</v>
      </c>
      <c r="L878" s="1">
        <f t="shared" si="41"/>
        <v>9.0564085999999993</v>
      </c>
    </row>
    <row r="879" spans="1:12" ht="16" x14ac:dyDescent="0.2">
      <c r="A879" s="1">
        <v>878</v>
      </c>
      <c r="B879" s="1" t="s">
        <v>2482</v>
      </c>
      <c r="C879" s="1" t="s">
        <v>2653</v>
      </c>
      <c r="D879" s="1" t="str">
        <f t="shared" si="39"/>
        <v>Haderslev Kommune Slotsvej 52</v>
      </c>
      <c r="E879" s="1" t="s">
        <v>2654</v>
      </c>
      <c r="F879" s="1" t="s">
        <v>2655</v>
      </c>
      <c r="G879" s="1">
        <v>1986</v>
      </c>
      <c r="H879" s="1" t="s">
        <v>15</v>
      </c>
      <c r="I879" s="6" cm="1">
        <f t="array" ref="I879">GetLatitude(D879)</f>
        <v>552949560</v>
      </c>
      <c r="J879" s="1" cm="1">
        <f t="array" ref="J879">GetLongitude(D879)</f>
        <v>90552963</v>
      </c>
      <c r="K879" s="1">
        <f t="shared" si="40"/>
        <v>55.294955999999999</v>
      </c>
      <c r="L879" s="1">
        <f t="shared" si="41"/>
        <v>9.0552963000000002</v>
      </c>
    </row>
    <row r="880" spans="1:12" ht="16" x14ac:dyDescent="0.2">
      <c r="A880" s="1">
        <v>879</v>
      </c>
      <c r="B880" s="1" t="s">
        <v>2482</v>
      </c>
      <c r="C880" s="1" t="s">
        <v>2656</v>
      </c>
      <c r="D880" s="1" t="str">
        <f t="shared" si="39"/>
        <v>Haderslev Kommune Slotsvej 54</v>
      </c>
      <c r="E880" s="1" t="s">
        <v>2657</v>
      </c>
      <c r="F880" s="1" t="s">
        <v>2658</v>
      </c>
      <c r="G880" s="1">
        <v>1924</v>
      </c>
      <c r="H880" s="1" t="s">
        <v>11</v>
      </c>
      <c r="I880" s="6" cm="1">
        <f t="array" ref="I880">GetLatitude(D880)</f>
        <v>552952156</v>
      </c>
      <c r="J880" s="1" cm="1">
        <f t="array" ref="J880">GetLongitude(D880)</f>
        <v>90573555</v>
      </c>
      <c r="K880" s="1">
        <f t="shared" si="40"/>
        <v>55.295215599999999</v>
      </c>
      <c r="L880" s="1">
        <f t="shared" si="41"/>
        <v>9.0573554999999999</v>
      </c>
    </row>
    <row r="881" spans="1:12" ht="16" x14ac:dyDescent="0.2">
      <c r="A881" s="1">
        <v>880</v>
      </c>
      <c r="B881" s="1" t="s">
        <v>2482</v>
      </c>
      <c r="C881" s="1" t="s">
        <v>2659</v>
      </c>
      <c r="D881" s="1" t="str">
        <f t="shared" si="39"/>
        <v>Haderslev Kommune Slotsvej 56 og 56 A</v>
      </c>
      <c r="E881" s="1" t="s">
        <v>1288</v>
      </c>
      <c r="F881" s="1" t="s">
        <v>2660</v>
      </c>
      <c r="G881" s="1">
        <v>1945</v>
      </c>
      <c r="H881" s="1" t="s">
        <v>15</v>
      </c>
      <c r="I881" s="6" cm="1">
        <f t="array" ref="I881">GetLatitude(D881)</f>
        <v>552969380</v>
      </c>
      <c r="J881" s="1" cm="1">
        <f t="array" ref="J881">GetLongitude(D881)</f>
        <v>90597180</v>
      </c>
      <c r="K881" s="1">
        <f t="shared" si="40"/>
        <v>55.296937999999997</v>
      </c>
      <c r="L881" s="1">
        <f t="shared" si="41"/>
        <v>9.0597180000000002</v>
      </c>
    </row>
    <row r="882" spans="1:12" ht="16" x14ac:dyDescent="0.2">
      <c r="A882" s="1">
        <v>881</v>
      </c>
      <c r="B882" s="1" t="s">
        <v>2482</v>
      </c>
      <c r="C882" s="1" t="s">
        <v>2661</v>
      </c>
      <c r="D882" s="1" t="str">
        <f t="shared" si="39"/>
        <v>Haderslev Kommune Slotsvej 63 A-B</v>
      </c>
      <c r="E882" s="1" t="s">
        <v>2662</v>
      </c>
      <c r="F882" s="1" t="s">
        <v>2663</v>
      </c>
      <c r="G882" s="1">
        <v>1944</v>
      </c>
      <c r="H882" s="1" t="s">
        <v>15</v>
      </c>
      <c r="I882" s="6" cm="1">
        <f t="array" ref="I882">GetLatitude(D882)</f>
        <v>553037940</v>
      </c>
      <c r="J882" s="1" cm="1">
        <f t="array" ref="J882">GetLongitude(D882)</f>
        <v>90607209</v>
      </c>
      <c r="K882" s="1">
        <f t="shared" si="40"/>
        <v>55.303794000000003</v>
      </c>
      <c r="L882" s="1">
        <f t="shared" si="41"/>
        <v>9.0607208999999997</v>
      </c>
    </row>
    <row r="883" spans="1:12" ht="16" x14ac:dyDescent="0.2">
      <c r="A883" s="1">
        <v>882</v>
      </c>
      <c r="B883" s="1" t="s">
        <v>2482</v>
      </c>
      <c r="C883" s="1" t="s">
        <v>2664</v>
      </c>
      <c r="D883" s="1" t="str">
        <f t="shared" si="39"/>
        <v>Haderslev Kommune Storegade 48</v>
      </c>
      <c r="E883" s="1" t="s">
        <v>2665</v>
      </c>
      <c r="F883" s="1" t="s">
        <v>2666</v>
      </c>
      <c r="G883" s="1">
        <v>1989</v>
      </c>
      <c r="H883" s="1" t="s">
        <v>99</v>
      </c>
      <c r="I883" s="6" cm="1">
        <f t="array" ref="I883">GetLatitude(D883)</f>
        <v>552523127</v>
      </c>
      <c r="J883" s="1" cm="1">
        <f t="array" ref="J883">GetLongitude(D883)</f>
        <v>94813974</v>
      </c>
      <c r="K883" s="1">
        <f t="shared" si="40"/>
        <v>55.252312699999997</v>
      </c>
      <c r="L883" s="1">
        <f t="shared" si="41"/>
        <v>9.4813974000000005</v>
      </c>
    </row>
    <row r="884" spans="1:12" ht="16" x14ac:dyDescent="0.2">
      <c r="A884" s="1">
        <v>883</v>
      </c>
      <c r="B884" s="1" t="s">
        <v>2482</v>
      </c>
      <c r="C884" s="1" t="s">
        <v>2667</v>
      </c>
      <c r="D884" s="1" t="str">
        <f t="shared" si="39"/>
        <v>Haderslev Kommune Storegade 56</v>
      </c>
      <c r="E884" s="1" t="s">
        <v>2667</v>
      </c>
      <c r="F884" s="1" t="s">
        <v>2668</v>
      </c>
      <c r="G884" s="1">
        <v>1988</v>
      </c>
      <c r="H884" s="1" t="s">
        <v>15</v>
      </c>
      <c r="I884" s="6" cm="1">
        <f t="array" ref="I884">GetLatitude(D884)</f>
        <v>552522178</v>
      </c>
      <c r="J884" s="1" cm="1">
        <f t="array" ref="J884">GetLongitude(D884)</f>
        <v>94806772</v>
      </c>
      <c r="K884" s="1">
        <f t="shared" si="40"/>
        <v>55.252217799999997</v>
      </c>
      <c r="L884" s="1">
        <f t="shared" si="41"/>
        <v>9.4806772000000006</v>
      </c>
    </row>
    <row r="885" spans="1:12" ht="16" x14ac:dyDescent="0.2">
      <c r="A885" s="1">
        <v>884</v>
      </c>
      <c r="B885" s="1" t="s">
        <v>2482</v>
      </c>
      <c r="C885" s="1" t="s">
        <v>2669</v>
      </c>
      <c r="D885" s="1" t="str">
        <f t="shared" si="39"/>
        <v>Haderslev Kommune Storegade 65</v>
      </c>
      <c r="E885" s="1" t="s">
        <v>2670</v>
      </c>
      <c r="F885" s="1" t="s">
        <v>2671</v>
      </c>
      <c r="G885" s="1">
        <v>1989</v>
      </c>
      <c r="H885" s="1" t="s">
        <v>11</v>
      </c>
      <c r="I885" s="6" cm="1">
        <f t="array" ref="I885">GetLatitude(D885)</f>
        <v>552519296</v>
      </c>
      <c r="J885" s="1" cm="1">
        <f t="array" ref="J885">GetLongitude(D885)</f>
        <v>94802104</v>
      </c>
      <c r="K885" s="1">
        <f t="shared" si="40"/>
        <v>55.251929599999997</v>
      </c>
      <c r="L885" s="1">
        <f t="shared" si="41"/>
        <v>9.4802104000000007</v>
      </c>
    </row>
    <row r="886" spans="1:12" ht="16" x14ac:dyDescent="0.2">
      <c r="A886" s="1">
        <v>885</v>
      </c>
      <c r="B886" s="1" t="s">
        <v>2482</v>
      </c>
      <c r="C886" s="1" t="s">
        <v>2672</v>
      </c>
      <c r="D886" s="1" t="str">
        <f t="shared" si="39"/>
        <v>Haderslev Kommune Storegade 66</v>
      </c>
      <c r="E886" s="1" t="s">
        <v>2673</v>
      </c>
      <c r="F886" s="1" t="s">
        <v>2674</v>
      </c>
      <c r="G886" s="1">
        <v>1989</v>
      </c>
      <c r="H886" s="1" t="s">
        <v>11</v>
      </c>
      <c r="I886" s="6" cm="1">
        <f t="array" ref="I886">GetLatitude(D886)</f>
        <v>552520896</v>
      </c>
      <c r="J886" s="1" cm="1">
        <f t="array" ref="J886">GetLongitude(D886)</f>
        <v>94798356</v>
      </c>
      <c r="K886" s="1">
        <f t="shared" si="40"/>
        <v>55.252089599999998</v>
      </c>
      <c r="L886" s="1">
        <f t="shared" si="41"/>
        <v>9.4798355999999995</v>
      </c>
    </row>
    <row r="887" spans="1:12" ht="16" x14ac:dyDescent="0.2">
      <c r="A887" s="1">
        <v>886</v>
      </c>
      <c r="B887" s="1" t="s">
        <v>2482</v>
      </c>
      <c r="C887" s="1" t="s">
        <v>2675</v>
      </c>
      <c r="D887" s="1" t="str">
        <f t="shared" si="39"/>
        <v>Haderslev Kommune Storegade 82</v>
      </c>
      <c r="E887" s="1" t="s">
        <v>2676</v>
      </c>
      <c r="F887" s="1" t="s">
        <v>2677</v>
      </c>
      <c r="G887" s="1">
        <v>1989</v>
      </c>
      <c r="H887" s="1" t="s">
        <v>15</v>
      </c>
      <c r="I887" s="6" cm="1">
        <f t="array" ref="I887">GetLatitude(D887)</f>
        <v>552518867</v>
      </c>
      <c r="J887" s="1" cm="1">
        <f t="array" ref="J887">GetLongitude(D887)</f>
        <v>94779741</v>
      </c>
      <c r="K887" s="1">
        <f t="shared" si="40"/>
        <v>55.2518867</v>
      </c>
      <c r="L887" s="1">
        <f t="shared" si="41"/>
        <v>9.4779741000000008</v>
      </c>
    </row>
    <row r="888" spans="1:12" ht="16" x14ac:dyDescent="0.2">
      <c r="A888" s="1">
        <v>887</v>
      </c>
      <c r="B888" s="1" t="s">
        <v>2482</v>
      </c>
      <c r="C888" s="1" t="s">
        <v>2678</v>
      </c>
      <c r="D888" s="1" t="str">
        <f t="shared" si="39"/>
        <v>Haderslev Kommune Storegade 86</v>
      </c>
      <c r="E888" s="1" t="s">
        <v>2679</v>
      </c>
      <c r="F888" s="1" t="s">
        <v>2680</v>
      </c>
      <c r="G888" s="1">
        <v>1989</v>
      </c>
      <c r="H888" s="1" t="s">
        <v>11</v>
      </c>
      <c r="I888" s="6" cm="1">
        <f t="array" ref="I888">GetLatitude(D888)</f>
        <v>552519147</v>
      </c>
      <c r="J888" s="1" cm="1">
        <f t="array" ref="J888">GetLongitude(D888)</f>
        <v>94770587</v>
      </c>
      <c r="K888" s="1">
        <f t="shared" si="40"/>
        <v>55.2519147</v>
      </c>
      <c r="L888" s="1">
        <f t="shared" si="41"/>
        <v>9.4770587000000006</v>
      </c>
    </row>
    <row r="889" spans="1:12" ht="16" x14ac:dyDescent="0.2">
      <c r="A889" s="1">
        <v>888</v>
      </c>
      <c r="B889" s="1" t="s">
        <v>2482</v>
      </c>
      <c r="C889" s="1" t="s">
        <v>2681</v>
      </c>
      <c r="D889" s="1" t="str">
        <f t="shared" si="39"/>
        <v>Haderslev Kommune Store Klingbjerg 2</v>
      </c>
      <c r="E889" s="1" t="s">
        <v>2682</v>
      </c>
      <c r="F889" s="1" t="s">
        <v>2683</v>
      </c>
      <c r="G889" s="1">
        <v>1988</v>
      </c>
      <c r="H889" s="1" t="s">
        <v>11</v>
      </c>
      <c r="I889" s="6" cm="1">
        <f t="array" ref="I889">GetLatitude(D889)</f>
        <v>552494216</v>
      </c>
      <c r="J889" s="1" cm="1">
        <f t="array" ref="J889">GetLongitude(D889)</f>
        <v>94901191</v>
      </c>
      <c r="K889" s="1">
        <f t="shared" si="40"/>
        <v>55.249421599999998</v>
      </c>
      <c r="L889" s="1">
        <f t="shared" si="41"/>
        <v>9.4901190999999994</v>
      </c>
    </row>
    <row r="890" spans="1:12" ht="16" x14ac:dyDescent="0.2">
      <c r="A890" s="1">
        <v>889</v>
      </c>
      <c r="B890" s="1" t="s">
        <v>2482</v>
      </c>
      <c r="C890" s="1" t="s">
        <v>2684</v>
      </c>
      <c r="D890" s="1" t="str">
        <f t="shared" si="39"/>
        <v>Haderslev Kommune Store Klingbjerg 5</v>
      </c>
      <c r="E890" s="1" t="s">
        <v>2685</v>
      </c>
      <c r="F890" s="1" t="s">
        <v>2686</v>
      </c>
      <c r="G890" s="1">
        <v>1921</v>
      </c>
      <c r="H890" s="1" t="s">
        <v>1493</v>
      </c>
      <c r="I890" s="6" cm="1">
        <f t="array" ref="I890">GetLatitude(D890)</f>
        <v>552495133</v>
      </c>
      <c r="J890" s="1" cm="1">
        <f t="array" ref="J890">GetLongitude(D890)</f>
        <v>94899310</v>
      </c>
      <c r="K890" s="1">
        <f t="shared" si="40"/>
        <v>55.249513299999997</v>
      </c>
      <c r="L890" s="1">
        <f t="shared" si="41"/>
        <v>9.4899310000000003</v>
      </c>
    </row>
    <row r="891" spans="1:12" ht="16" x14ac:dyDescent="0.2">
      <c r="A891" s="1">
        <v>890</v>
      </c>
      <c r="B891" s="1" t="s">
        <v>2482</v>
      </c>
      <c r="C891" s="1" t="s">
        <v>2687</v>
      </c>
      <c r="D891" s="1" t="str">
        <f t="shared" si="39"/>
        <v>Haderslev Kommune Store Klingbjerg 7</v>
      </c>
      <c r="E891" s="1" t="s">
        <v>2688</v>
      </c>
      <c r="F891" s="1" t="s">
        <v>2689</v>
      </c>
      <c r="G891" s="1">
        <v>1945</v>
      </c>
      <c r="H891" s="1" t="s">
        <v>11</v>
      </c>
      <c r="I891" s="6" cm="1">
        <f t="array" ref="I891">GetLatitude(D891)</f>
        <v>552496054</v>
      </c>
      <c r="J891" s="1" cm="1">
        <f t="array" ref="J891">GetLongitude(D891)</f>
        <v>94899775</v>
      </c>
      <c r="K891" s="1">
        <f t="shared" si="40"/>
        <v>55.2496054</v>
      </c>
      <c r="L891" s="1">
        <f t="shared" si="41"/>
        <v>9.4899775000000002</v>
      </c>
    </row>
    <row r="892" spans="1:12" ht="16" x14ac:dyDescent="0.2">
      <c r="A892" s="1">
        <v>891</v>
      </c>
      <c r="B892" s="1" t="s">
        <v>2482</v>
      </c>
      <c r="C892" s="1" t="s">
        <v>2690</v>
      </c>
      <c r="D892" s="1" t="str">
        <f t="shared" si="39"/>
        <v>Haderslev Kommune Sønderballe Hoved 1</v>
      </c>
      <c r="E892" s="1" t="s">
        <v>2691</v>
      </c>
      <c r="F892" s="1" t="s">
        <v>2692</v>
      </c>
      <c r="G892" s="1">
        <v>1989</v>
      </c>
      <c r="H892" s="1" t="s">
        <v>11</v>
      </c>
      <c r="I892" s="6" cm="1">
        <f t="array" ref="I892">GetLatitude(D892)</f>
        <v>551404130</v>
      </c>
      <c r="J892" s="1" cm="1">
        <f t="array" ref="J892">GetLongitude(D892)</f>
        <v>94854842</v>
      </c>
      <c r="K892" s="1">
        <f t="shared" si="40"/>
        <v>55.140413000000002</v>
      </c>
      <c r="L892" s="1">
        <f t="shared" si="41"/>
        <v>9.4854842000000001</v>
      </c>
    </row>
    <row r="893" spans="1:12" ht="16" x14ac:dyDescent="0.2">
      <c r="A893" s="1">
        <v>892</v>
      </c>
      <c r="B893" s="1" t="s">
        <v>2482</v>
      </c>
      <c r="C893" s="1" t="s">
        <v>2693</v>
      </c>
      <c r="D893" s="1" t="str">
        <f t="shared" si="39"/>
        <v>Haderslev Kommune Sønderbro 3-5</v>
      </c>
      <c r="E893" s="1" t="s">
        <v>2694</v>
      </c>
      <c r="F893" s="1" t="s">
        <v>2695</v>
      </c>
      <c r="G893" s="1">
        <v>1921</v>
      </c>
      <c r="H893" s="1" t="s">
        <v>11</v>
      </c>
      <c r="I893" s="6" cm="1">
        <f t="array" ref="I893">GetLatitude(D893)</f>
        <v>552475041</v>
      </c>
      <c r="J893" s="1" cm="1">
        <f t="array" ref="J893">GetLongitude(D893)</f>
        <v>94899934</v>
      </c>
      <c r="K893" s="1">
        <f t="shared" si="40"/>
        <v>55.2475041</v>
      </c>
      <c r="L893" s="1">
        <f t="shared" si="41"/>
        <v>9.4899933999999995</v>
      </c>
    </row>
    <row r="894" spans="1:12" ht="16" x14ac:dyDescent="0.2">
      <c r="A894" s="1">
        <v>893</v>
      </c>
      <c r="B894" s="1" t="s">
        <v>2482</v>
      </c>
      <c r="C894" s="1" t="s">
        <v>2696</v>
      </c>
      <c r="D894" s="1" t="str">
        <f t="shared" si="39"/>
        <v>Haderslev Kommune Torvet 13</v>
      </c>
      <c r="E894" s="1" t="s">
        <v>2697</v>
      </c>
      <c r="F894" s="1" t="s">
        <v>2698</v>
      </c>
      <c r="G894" s="1">
        <v>1981</v>
      </c>
      <c r="H894" s="1" t="s">
        <v>11</v>
      </c>
      <c r="I894" s="6" cm="1">
        <f t="array" ref="I894">GetLatitude(D894)</f>
        <v>552488095</v>
      </c>
      <c r="J894" s="1" cm="1">
        <f t="array" ref="J894">GetLongitude(D894)</f>
        <v>94883518</v>
      </c>
      <c r="K894" s="1">
        <f t="shared" si="40"/>
        <v>55.2488095</v>
      </c>
      <c r="L894" s="1">
        <f t="shared" si="41"/>
        <v>9.4883518000000002</v>
      </c>
    </row>
    <row r="895" spans="1:12" ht="16" x14ac:dyDescent="0.2">
      <c r="A895" s="1">
        <v>894</v>
      </c>
      <c r="B895" s="1" t="s">
        <v>2482</v>
      </c>
      <c r="C895" s="1" t="s">
        <v>2699</v>
      </c>
      <c r="D895" s="1" t="str">
        <f t="shared" si="39"/>
        <v>Haderslev Kommune Torvet 14, hj af Lavgade</v>
      </c>
      <c r="E895" s="1" t="s">
        <v>2700</v>
      </c>
      <c r="F895" s="1" t="s">
        <v>2701</v>
      </c>
      <c r="G895" s="1">
        <v>1971</v>
      </c>
      <c r="H895" s="1" t="s">
        <v>11</v>
      </c>
      <c r="I895" s="6" cm="1">
        <f t="array" ref="I895">GetLatitude(D895)</f>
        <v>552488262</v>
      </c>
      <c r="J895" s="1" cm="1">
        <f t="array" ref="J895">GetLongitude(D895)</f>
        <v>94880941</v>
      </c>
      <c r="K895" s="1">
        <f t="shared" si="40"/>
        <v>55.248826200000003</v>
      </c>
      <c r="L895" s="1">
        <f t="shared" si="41"/>
        <v>9.4880940999999996</v>
      </c>
    </row>
    <row r="896" spans="1:12" ht="16" x14ac:dyDescent="0.2">
      <c r="A896" s="1">
        <v>895</v>
      </c>
      <c r="B896" s="1" t="s">
        <v>2482</v>
      </c>
      <c r="C896" s="1" t="s">
        <v>2702</v>
      </c>
      <c r="D896" s="1" t="str">
        <f t="shared" si="39"/>
        <v>Haderslev Kommune Torvet 4</v>
      </c>
      <c r="E896" s="1" t="s">
        <v>2703</v>
      </c>
      <c r="F896" s="1" t="s">
        <v>2704</v>
      </c>
      <c r="G896" s="1">
        <v>1964</v>
      </c>
      <c r="H896" s="1" t="s">
        <v>11</v>
      </c>
      <c r="I896" s="6" cm="1">
        <f t="array" ref="I896">GetLatitude(D896)</f>
        <v>552489224</v>
      </c>
      <c r="J896" s="1" cm="1">
        <f t="array" ref="J896">GetLongitude(D896)</f>
        <v>94874666</v>
      </c>
      <c r="K896" s="1">
        <f t="shared" si="40"/>
        <v>55.248922399999998</v>
      </c>
      <c r="L896" s="1">
        <f t="shared" si="41"/>
        <v>9.4874665999999994</v>
      </c>
    </row>
    <row r="897" spans="1:12" ht="16" x14ac:dyDescent="0.2">
      <c r="A897" s="1">
        <v>896</v>
      </c>
      <c r="B897" s="1" t="s">
        <v>2482</v>
      </c>
      <c r="C897" s="1" t="s">
        <v>2049</v>
      </c>
      <c r="D897" s="1" t="str">
        <f t="shared" si="39"/>
        <v>Haderslev Kommune Torvet 5</v>
      </c>
      <c r="E897" s="1" t="s">
        <v>2050</v>
      </c>
      <c r="F897" s="1" t="s">
        <v>2705</v>
      </c>
      <c r="G897" s="1">
        <v>1921</v>
      </c>
      <c r="H897" s="1" t="s">
        <v>11</v>
      </c>
      <c r="I897" s="6" cm="1">
        <f t="array" ref="I897">GetLatitude(D897)</f>
        <v>552490762</v>
      </c>
      <c r="J897" s="1" cm="1">
        <f t="array" ref="J897">GetLongitude(D897)</f>
        <v>94880644</v>
      </c>
      <c r="K897" s="1">
        <f t="shared" si="40"/>
        <v>55.249076199999998</v>
      </c>
      <c r="L897" s="1">
        <f t="shared" si="41"/>
        <v>9.4880644000000007</v>
      </c>
    </row>
    <row r="898" spans="1:12" ht="16" x14ac:dyDescent="0.2">
      <c r="A898" s="1">
        <v>897</v>
      </c>
      <c r="B898" s="1" t="s">
        <v>2482</v>
      </c>
      <c r="C898" s="1" t="s">
        <v>2706</v>
      </c>
      <c r="D898" s="1" t="str">
        <f t="shared" si="39"/>
        <v>Haderslev Kommune Torvet 7</v>
      </c>
      <c r="E898" s="1" t="s">
        <v>2707</v>
      </c>
      <c r="F898" s="1" t="s">
        <v>2708</v>
      </c>
      <c r="G898" s="1">
        <v>1918</v>
      </c>
      <c r="H898" s="1" t="s">
        <v>11</v>
      </c>
      <c r="I898" s="6" cm="1">
        <f t="array" ref="I898">GetLatitude(D898)</f>
        <v>552490762</v>
      </c>
      <c r="J898" s="1" cm="1">
        <f t="array" ref="J898">GetLongitude(D898)</f>
        <v>94880644</v>
      </c>
      <c r="K898" s="1">
        <f t="shared" si="40"/>
        <v>55.249076199999998</v>
      </c>
      <c r="L898" s="1">
        <f t="shared" si="41"/>
        <v>9.4880644000000007</v>
      </c>
    </row>
    <row r="899" spans="1:12" ht="16" x14ac:dyDescent="0.2">
      <c r="A899" s="1">
        <v>898</v>
      </c>
      <c r="B899" s="1" t="s">
        <v>2482</v>
      </c>
      <c r="C899" s="1" t="s">
        <v>2709</v>
      </c>
      <c r="D899" s="1" t="str">
        <f t="shared" ref="D899:D962" si="42">B899&amp;C899</f>
        <v>Haderslev Kommune Torvet 8</v>
      </c>
      <c r="E899" s="1" t="s">
        <v>2710</v>
      </c>
      <c r="F899" s="1" t="s">
        <v>2711</v>
      </c>
      <c r="G899" s="1">
        <v>1983</v>
      </c>
      <c r="H899" s="1" t="s">
        <v>15</v>
      </c>
      <c r="I899" s="6" cm="1">
        <f t="array" ref="I899">GetLatitude(D899)</f>
        <v>552493076</v>
      </c>
      <c r="J899" s="1" cm="1">
        <f t="array" ref="J899">GetLongitude(D899)</f>
        <v>94879459</v>
      </c>
      <c r="K899" s="1">
        <f t="shared" si="40"/>
        <v>55.249307600000002</v>
      </c>
      <c r="L899" s="1">
        <f t="shared" si="41"/>
        <v>9.4879458999999997</v>
      </c>
    </row>
    <row r="900" spans="1:12" ht="16" x14ac:dyDescent="0.2">
      <c r="A900" s="1">
        <v>899</v>
      </c>
      <c r="B900" s="1" t="s">
        <v>2482</v>
      </c>
      <c r="C900" s="1" t="s">
        <v>2712</v>
      </c>
      <c r="D900" s="1" t="str">
        <f t="shared" si="42"/>
        <v>Haderslev Kommune Tørningvej 6 og 7</v>
      </c>
      <c r="E900" s="1" t="s">
        <v>2713</v>
      </c>
      <c r="F900" s="1" t="s">
        <v>2714</v>
      </c>
      <c r="G900" s="1">
        <v>1980</v>
      </c>
      <c r="H900" s="1" t="s">
        <v>2715</v>
      </c>
      <c r="I900" s="6" cm="1">
        <f t="array" ref="I900">GetLatitude(D900)</f>
        <v>552378276</v>
      </c>
      <c r="J900" s="1" cm="1">
        <f t="array" ref="J900">GetLongitude(D900)</f>
        <v>93730961</v>
      </c>
      <c r="K900" s="1">
        <f t="shared" ref="K900:K963" si="43">I900/10000000</f>
        <v>55.237827600000003</v>
      </c>
      <c r="L900" s="1">
        <f t="shared" ref="L900:L963" si="44">J900/10000000</f>
        <v>9.3730960999999997</v>
      </c>
    </row>
    <row r="901" spans="1:12" ht="16" x14ac:dyDescent="0.2">
      <c r="A901" s="1">
        <v>900</v>
      </c>
      <c r="B901" s="1" t="s">
        <v>2482</v>
      </c>
      <c r="C901" s="1" t="s">
        <v>2716</v>
      </c>
      <c r="D901" s="1" t="str">
        <f t="shared" si="42"/>
        <v>Haderslev Kommune Ultangvej 26</v>
      </c>
      <c r="E901" s="1" t="s">
        <v>2717</v>
      </c>
      <c r="F901" s="1" t="s">
        <v>2718</v>
      </c>
      <c r="G901" s="1">
        <v>2013</v>
      </c>
      <c r="H901" s="1" t="s">
        <v>15</v>
      </c>
      <c r="I901" s="6" cm="1">
        <f t="array" ref="I901">GetLatitude(D901)</f>
        <v>552187907</v>
      </c>
      <c r="J901" s="1" cm="1">
        <f t="array" ref="J901">GetLongitude(D901)</f>
        <v>96513995</v>
      </c>
      <c r="K901" s="1">
        <f t="shared" si="43"/>
        <v>55.2187907</v>
      </c>
      <c r="L901" s="1">
        <f t="shared" si="44"/>
        <v>9.6513995000000001</v>
      </c>
    </row>
    <row r="902" spans="1:12" ht="16" x14ac:dyDescent="0.2">
      <c r="A902" s="1">
        <v>901</v>
      </c>
      <c r="B902" s="1" t="s">
        <v>2482</v>
      </c>
      <c r="C902" s="1" t="s">
        <v>2719</v>
      </c>
      <c r="D902" s="1" t="str">
        <f t="shared" si="42"/>
        <v>Haderslev Kommune Vestergade 4</v>
      </c>
      <c r="E902" s="1" t="s">
        <v>2720</v>
      </c>
      <c r="F902" s="1" t="s">
        <v>2721</v>
      </c>
      <c r="G902" s="1">
        <v>1989</v>
      </c>
      <c r="H902" s="1" t="s">
        <v>11</v>
      </c>
      <c r="I902" s="6" cm="1">
        <f t="array" ref="I902">GetLatitude(D902)</f>
        <v>552524946</v>
      </c>
      <c r="J902" s="1" cm="1">
        <f t="array" ref="J902">GetLongitude(D902)</f>
        <v>94812737</v>
      </c>
      <c r="K902" s="1">
        <f t="shared" si="43"/>
        <v>55.252494599999999</v>
      </c>
      <c r="L902" s="1">
        <f t="shared" si="44"/>
        <v>9.4812736999999991</v>
      </c>
    </row>
    <row r="903" spans="1:12" ht="16" x14ac:dyDescent="0.2">
      <c r="A903" s="1">
        <v>902</v>
      </c>
      <c r="B903" s="1" t="s">
        <v>2482</v>
      </c>
      <c r="C903" s="1" t="s">
        <v>2722</v>
      </c>
      <c r="D903" s="1" t="str">
        <f t="shared" si="42"/>
        <v>Haderslev Kommune Vilstrup Præstevænge 21</v>
      </c>
      <c r="E903" s="1" t="s">
        <v>2723</v>
      </c>
      <c r="F903" s="1" t="s">
        <v>2724</v>
      </c>
      <c r="G903" s="1">
        <v>1968</v>
      </c>
      <c r="H903" s="1" t="s">
        <v>11</v>
      </c>
      <c r="I903" s="6" cm="1">
        <f t="array" ref="I903">GetLatitude(D903)</f>
        <v>551897021</v>
      </c>
      <c r="J903" s="1" cm="1">
        <f t="array" ref="J903">GetLongitude(D903)</f>
        <v>95203151</v>
      </c>
      <c r="K903" s="1">
        <f t="shared" si="43"/>
        <v>55.189702099999998</v>
      </c>
      <c r="L903" s="1">
        <f t="shared" si="44"/>
        <v>9.5203150999999995</v>
      </c>
    </row>
    <row r="904" spans="1:12" ht="16" x14ac:dyDescent="0.2">
      <c r="A904" s="1">
        <v>903</v>
      </c>
      <c r="B904" s="1" t="s">
        <v>2482</v>
      </c>
      <c r="C904" s="1" t="s">
        <v>2725</v>
      </c>
      <c r="D904" s="1" t="str">
        <f t="shared" si="42"/>
        <v>Haderslev Kommune Ørby 20</v>
      </c>
      <c r="E904" s="1" t="s">
        <v>2726</v>
      </c>
      <c r="F904" s="1" t="s">
        <v>2727</v>
      </c>
      <c r="G904" s="1">
        <v>1994</v>
      </c>
      <c r="H904" s="1" t="s">
        <v>11</v>
      </c>
      <c r="I904" s="6" cm="1">
        <f t="array" ref="I904">GetLatitude(D904)</f>
        <v>553027573</v>
      </c>
      <c r="J904" s="1" cm="1">
        <f t="array" ref="J904">GetLongitude(D904)</f>
        <v>96250225</v>
      </c>
      <c r="K904" s="1">
        <f t="shared" si="43"/>
        <v>55.302757300000003</v>
      </c>
      <c r="L904" s="1">
        <f t="shared" si="44"/>
        <v>9.6250225</v>
      </c>
    </row>
    <row r="905" spans="1:12" ht="16" x14ac:dyDescent="0.2">
      <c r="A905" s="1">
        <v>904</v>
      </c>
      <c r="B905" s="1" t="s">
        <v>2482</v>
      </c>
      <c r="C905" s="1" t="s">
        <v>2728</v>
      </c>
      <c r="D905" s="1" t="str">
        <f t="shared" si="42"/>
        <v>Haderslev Kommune Ørby 6</v>
      </c>
      <c r="E905" s="1" t="s">
        <v>2729</v>
      </c>
      <c r="F905" s="1" t="s">
        <v>2730</v>
      </c>
      <c r="G905" s="1">
        <v>1994</v>
      </c>
      <c r="H905" s="1" t="s">
        <v>15</v>
      </c>
      <c r="I905" s="6" cm="1">
        <f t="array" ref="I905">GetLatitude(D905)</f>
        <v>553018009</v>
      </c>
      <c r="J905" s="1" cm="1">
        <f t="array" ref="J905">GetLongitude(D905)</f>
        <v>96249857</v>
      </c>
      <c r="K905" s="1">
        <f t="shared" si="43"/>
        <v>55.301800900000003</v>
      </c>
      <c r="L905" s="1">
        <f t="shared" si="44"/>
        <v>9.6249856999999999</v>
      </c>
    </row>
    <row r="906" spans="1:12" ht="16" x14ac:dyDescent="0.2">
      <c r="A906" s="1">
        <v>905</v>
      </c>
      <c r="B906" s="1" t="s">
        <v>2482</v>
      </c>
      <c r="C906" s="1" t="s">
        <v>2731</v>
      </c>
      <c r="D906" s="1" t="str">
        <f t="shared" si="42"/>
        <v>Haderslev Kommune Øsby Nedergade 20</v>
      </c>
      <c r="E906" s="1" t="s">
        <v>2732</v>
      </c>
      <c r="F906" s="1" t="s">
        <v>2733</v>
      </c>
      <c r="G906" s="1">
        <v>1954</v>
      </c>
      <c r="H906" s="1" t="s">
        <v>15</v>
      </c>
      <c r="I906" s="6" cm="1">
        <f t="array" ref="I906">GetLatitude(D906)</f>
        <v>552512965</v>
      </c>
      <c r="J906" s="1" cm="1">
        <f t="array" ref="J906">GetLongitude(D906)</f>
        <v>96390497</v>
      </c>
      <c r="K906" s="1">
        <f t="shared" si="43"/>
        <v>55.251296500000002</v>
      </c>
      <c r="L906" s="1">
        <f t="shared" si="44"/>
        <v>9.6390496999999993</v>
      </c>
    </row>
    <row r="907" spans="1:12" ht="16" x14ac:dyDescent="0.2">
      <c r="A907" s="1">
        <v>906</v>
      </c>
      <c r="B907" s="1" t="s">
        <v>2482</v>
      </c>
      <c r="C907" s="1" t="s">
        <v>2734</v>
      </c>
      <c r="D907" s="1" t="str">
        <f t="shared" si="42"/>
        <v>Haderslev Kommune Aarø 145</v>
      </c>
      <c r="E907" s="1" t="s">
        <v>2735</v>
      </c>
      <c r="F907" s="1" t="s">
        <v>2736</v>
      </c>
      <c r="G907" s="1">
        <v>1989</v>
      </c>
      <c r="H907" s="1" t="s">
        <v>11382</v>
      </c>
      <c r="I907" s="6" cm="1">
        <f t="array" ref="I907">GetLatitude(D907)</f>
        <v>552603497</v>
      </c>
      <c r="J907" s="1" cm="1">
        <f t="array" ref="J907">GetLongitude(D907)</f>
        <v>97376007</v>
      </c>
      <c r="K907" s="1">
        <f t="shared" si="43"/>
        <v>55.260349699999999</v>
      </c>
      <c r="L907" s="1">
        <f t="shared" si="44"/>
        <v>9.7376006999999998</v>
      </c>
    </row>
    <row r="908" spans="1:12" ht="16" x14ac:dyDescent="0.2">
      <c r="A908" s="1">
        <v>907</v>
      </c>
      <c r="B908" s="1" t="s">
        <v>2482</v>
      </c>
      <c r="C908" s="1" t="s">
        <v>2737</v>
      </c>
      <c r="D908" s="1" t="str">
        <f t="shared" si="42"/>
        <v>Haderslev Kommune Aastrup Allé 15</v>
      </c>
      <c r="E908" s="1" t="s">
        <v>2738</v>
      </c>
      <c r="F908" s="1" t="s">
        <v>2739</v>
      </c>
      <c r="G908" s="1">
        <v>1954</v>
      </c>
      <c r="H908" s="1" t="s">
        <v>11</v>
      </c>
      <c r="I908" s="6" cm="1">
        <f t="array" ref="I908">GetLatitude(D908)</f>
        <v>552593813</v>
      </c>
      <c r="J908" s="1" cm="1">
        <f t="array" ref="J908">GetLongitude(D908)</f>
        <v>95418313</v>
      </c>
      <c r="K908" s="1">
        <f t="shared" si="43"/>
        <v>55.259381300000001</v>
      </c>
      <c r="L908" s="1">
        <f t="shared" si="44"/>
        <v>9.5418313000000001</v>
      </c>
    </row>
    <row r="909" spans="1:12" ht="16" x14ac:dyDescent="0.2">
      <c r="A909" s="1">
        <v>908</v>
      </c>
      <c r="B909" s="1" t="s">
        <v>2482</v>
      </c>
      <c r="C909" s="1" t="s">
        <v>2740</v>
      </c>
      <c r="D909" s="1" t="str">
        <f t="shared" si="42"/>
        <v>Haderslev Kommune Aastrupvej 11B (tidl nr 13)</v>
      </c>
      <c r="E909" s="1" t="s">
        <v>2741</v>
      </c>
      <c r="F909" s="1" t="s">
        <v>2742</v>
      </c>
      <c r="G909" s="1">
        <v>1950</v>
      </c>
      <c r="H909" s="1" t="s">
        <v>11</v>
      </c>
      <c r="I909" s="6" cm="1">
        <f t="array" ref="I909">GetLatitude(D909)</f>
        <v>552540857</v>
      </c>
      <c r="J909" s="1" cm="1">
        <f t="array" ref="J909">GetLongitude(D909)</f>
        <v>94916813</v>
      </c>
      <c r="K909" s="1">
        <f t="shared" si="43"/>
        <v>55.254085699999997</v>
      </c>
      <c r="L909" s="1">
        <f t="shared" si="44"/>
        <v>9.4916812999999998</v>
      </c>
    </row>
    <row r="910" spans="1:12" ht="16" x14ac:dyDescent="0.2">
      <c r="A910" s="1">
        <v>909</v>
      </c>
      <c r="B910" s="1" t="s">
        <v>2743</v>
      </c>
      <c r="C910" s="1" t="s">
        <v>2744</v>
      </c>
      <c r="D910" s="1" t="str">
        <f t="shared" si="42"/>
        <v>Halsnæs KommuneAmtsvejen 280 A og C</v>
      </c>
      <c r="E910" s="1" t="s">
        <v>2745</v>
      </c>
      <c r="F910" s="1" t="s">
        <v>2746</v>
      </c>
      <c r="G910" s="1">
        <v>1988</v>
      </c>
      <c r="H910" s="1" t="s">
        <v>11</v>
      </c>
      <c r="I910" s="6" cm="1">
        <f t="array" ref="I910">GetLatitude(D910)</f>
        <v>559548740</v>
      </c>
      <c r="J910" s="1" cm="1">
        <f t="array" ref="J910">GetLongitude(D910)</f>
        <v>119210770</v>
      </c>
      <c r="K910" s="1">
        <f t="shared" si="43"/>
        <v>55.954873999999997</v>
      </c>
      <c r="L910" s="1">
        <f t="shared" si="44"/>
        <v>11.921077</v>
      </c>
    </row>
    <row r="911" spans="1:12" ht="16" x14ac:dyDescent="0.2">
      <c r="A911" s="1">
        <v>910</v>
      </c>
      <c r="B911" s="1" t="s">
        <v>2743</v>
      </c>
      <c r="C911" s="1" t="s">
        <v>2747</v>
      </c>
      <c r="D911" s="1" t="str">
        <f t="shared" si="42"/>
        <v>Halsnæs KommuneArresødalvej 65</v>
      </c>
      <c r="E911" s="1" t="s">
        <v>2748</v>
      </c>
      <c r="F911" s="1" t="s">
        <v>2749</v>
      </c>
      <c r="G911" s="1">
        <v>1950</v>
      </c>
      <c r="H911" s="1" t="s">
        <v>15</v>
      </c>
      <c r="I911" s="6" cm="1">
        <f t="array" ref="I911">GetLatitude(D911)</f>
        <v>559838630</v>
      </c>
      <c r="J911" s="1" cm="1">
        <f t="array" ref="J911">GetLongitude(D911)</f>
        <v>120226990</v>
      </c>
      <c r="K911" s="1">
        <f t="shared" si="43"/>
        <v>55.983862999999999</v>
      </c>
      <c r="L911" s="1">
        <f t="shared" si="44"/>
        <v>12.022698999999999</v>
      </c>
    </row>
    <row r="912" spans="1:12" ht="16" x14ac:dyDescent="0.2">
      <c r="A912" s="1">
        <v>911</v>
      </c>
      <c r="B912" s="1" t="s">
        <v>2743</v>
      </c>
      <c r="C912" s="1" t="s">
        <v>2750</v>
      </c>
      <c r="D912" s="1" t="str">
        <f t="shared" si="42"/>
        <v>Halsnæs KommuneArresødalvej 99 A-D</v>
      </c>
      <c r="E912" s="1" t="s">
        <v>2751</v>
      </c>
      <c r="F912" s="1" t="s">
        <v>2752</v>
      </c>
      <c r="G912" s="1">
        <v>1950</v>
      </c>
      <c r="H912" s="1" t="s">
        <v>15</v>
      </c>
      <c r="I912" s="6" cm="1">
        <f t="array" ref="I912">GetLatitude(D912)</f>
        <v>559758826</v>
      </c>
      <c r="J912" s="1" cm="1">
        <f t="array" ref="J912">GetLongitude(D912)</f>
        <v>120330057</v>
      </c>
      <c r="K912" s="1">
        <f t="shared" si="43"/>
        <v>55.975882599999998</v>
      </c>
      <c r="L912" s="1">
        <f t="shared" si="44"/>
        <v>12.0330057</v>
      </c>
    </row>
    <row r="913" spans="1:12" ht="16" x14ac:dyDescent="0.2">
      <c r="A913" s="1">
        <v>912</v>
      </c>
      <c r="B913" s="1" t="s">
        <v>2743</v>
      </c>
      <c r="C913" s="1" t="s">
        <v>2753</v>
      </c>
      <c r="D913" s="1" t="str">
        <f t="shared" si="42"/>
        <v>Halsnæs KommuneHillerødvej 115</v>
      </c>
      <c r="E913" s="1" t="s">
        <v>2754</v>
      </c>
      <c r="F913" s="1" t="s">
        <v>2755</v>
      </c>
      <c r="G913" s="1">
        <v>1982</v>
      </c>
      <c r="H913" s="1" t="s">
        <v>11</v>
      </c>
      <c r="I913" s="6" cm="1">
        <f t="array" ref="I913">GetLatitude(D913)</f>
        <v>559446145</v>
      </c>
      <c r="J913" s="1" cm="1">
        <f t="array" ref="J913">GetLongitude(D913)</f>
        <v>120521527</v>
      </c>
      <c r="K913" s="1">
        <f t="shared" si="43"/>
        <v>55.9446145</v>
      </c>
      <c r="L913" s="1">
        <f t="shared" si="44"/>
        <v>12.052152700000001</v>
      </c>
    </row>
    <row r="914" spans="1:12" ht="16" x14ac:dyDescent="0.2">
      <c r="A914" s="1">
        <v>913</v>
      </c>
      <c r="B914" s="1" t="s">
        <v>2743</v>
      </c>
      <c r="C914" s="1" t="s">
        <v>511</v>
      </c>
      <c r="D914" s="1" t="str">
        <f t="shared" si="42"/>
        <v>Halsnæs KommuneStrandgade 12</v>
      </c>
      <c r="E914" s="1" t="s">
        <v>512</v>
      </c>
      <c r="F914" s="1" t="s">
        <v>2756</v>
      </c>
      <c r="G914" s="1">
        <v>1984</v>
      </c>
      <c r="H914" s="1" t="s">
        <v>11</v>
      </c>
      <c r="I914" s="6" cm="1">
        <f t="array" ref="I914">GetLatitude(D914)</f>
        <v>559725521</v>
      </c>
      <c r="J914" s="1" cm="1">
        <f t="array" ref="J914">GetLongitude(D914)</f>
        <v>120182875</v>
      </c>
      <c r="K914" s="1">
        <f t="shared" si="43"/>
        <v>55.972552100000001</v>
      </c>
      <c r="L914" s="1">
        <f t="shared" si="44"/>
        <v>12.0182875</v>
      </c>
    </row>
    <row r="915" spans="1:12" ht="16" x14ac:dyDescent="0.2">
      <c r="A915" s="1">
        <v>914</v>
      </c>
      <c r="B915" s="1" t="s">
        <v>2743</v>
      </c>
      <c r="C915" s="1" t="s">
        <v>2757</v>
      </c>
      <c r="D915" s="1" t="str">
        <f t="shared" si="42"/>
        <v>Halsnæs KommuneStrandgade 20</v>
      </c>
      <c r="E915" s="1" t="s">
        <v>2758</v>
      </c>
      <c r="F915" s="1" t="s">
        <v>2759</v>
      </c>
      <c r="G915" s="1">
        <v>1985</v>
      </c>
      <c r="H915" s="1" t="s">
        <v>11</v>
      </c>
      <c r="I915" s="6" cm="1">
        <f t="array" ref="I915">GetLatitude(D915)</f>
        <v>559723175</v>
      </c>
      <c r="J915" s="1" cm="1">
        <f t="array" ref="J915">GetLongitude(D915)</f>
        <v>120167493</v>
      </c>
      <c r="K915" s="1">
        <f t="shared" si="43"/>
        <v>55.972317500000003</v>
      </c>
      <c r="L915" s="1">
        <f t="shared" si="44"/>
        <v>12.016749300000001</v>
      </c>
    </row>
    <row r="916" spans="1:12" ht="16" x14ac:dyDescent="0.2">
      <c r="A916" s="1">
        <v>915</v>
      </c>
      <c r="B916" s="1" t="s">
        <v>2743</v>
      </c>
      <c r="C916" s="1" t="s">
        <v>2760</v>
      </c>
      <c r="D916" s="1" t="str">
        <f t="shared" si="42"/>
        <v>Halsnæs KommuneStrandgade 22</v>
      </c>
      <c r="E916" s="1" t="s">
        <v>2761</v>
      </c>
      <c r="F916" s="1" t="s">
        <v>2759</v>
      </c>
      <c r="G916" s="1">
        <v>1985</v>
      </c>
      <c r="H916" s="1" t="s">
        <v>11</v>
      </c>
      <c r="I916" s="6" cm="1">
        <f t="array" ref="I916">GetLatitude(D916)</f>
        <v>559722998</v>
      </c>
      <c r="J916" s="1" cm="1">
        <f t="array" ref="J916">GetLongitude(D916)</f>
        <v>120165932</v>
      </c>
      <c r="K916" s="1">
        <f t="shared" si="43"/>
        <v>55.972299800000002</v>
      </c>
      <c r="L916" s="1">
        <f t="shared" si="44"/>
        <v>12.016593200000001</v>
      </c>
    </row>
    <row r="917" spans="1:12" ht="16" x14ac:dyDescent="0.2">
      <c r="A917" s="1">
        <v>916</v>
      </c>
      <c r="B917" s="1" t="s">
        <v>2743</v>
      </c>
      <c r="C917" s="1" t="s">
        <v>2762</v>
      </c>
      <c r="D917" s="1" t="str">
        <f t="shared" si="42"/>
        <v>Halsnæs KommuneTollerupvej 2</v>
      </c>
      <c r="E917" s="1" t="s">
        <v>2763</v>
      </c>
      <c r="F917" s="1" t="s">
        <v>2764</v>
      </c>
      <c r="G917" s="1">
        <v>1964</v>
      </c>
      <c r="H917" s="1" t="s">
        <v>15</v>
      </c>
      <c r="I917" s="6" cm="1">
        <f t="array" ref="I917">GetLatitude(D917)</f>
        <v>559956515</v>
      </c>
      <c r="J917" s="1" cm="1">
        <f t="array" ref="J917">GetLongitude(D917)</f>
        <v>119691019</v>
      </c>
      <c r="K917" s="1">
        <f t="shared" si="43"/>
        <v>55.995651500000001</v>
      </c>
      <c r="L917" s="1">
        <f t="shared" si="44"/>
        <v>11.9691019</v>
      </c>
    </row>
    <row r="918" spans="1:12" ht="16" x14ac:dyDescent="0.2">
      <c r="A918" s="1">
        <v>917</v>
      </c>
      <c r="B918" s="1" t="s">
        <v>2743</v>
      </c>
      <c r="C918" s="1" t="s">
        <v>2765</v>
      </c>
      <c r="D918" s="1" t="str">
        <f t="shared" si="42"/>
        <v>Halsnæs Kommune Torvet 1</v>
      </c>
      <c r="E918" s="1" t="s">
        <v>965</v>
      </c>
      <c r="F918" s="1" t="s">
        <v>1871</v>
      </c>
      <c r="G918" s="1">
        <v>1919</v>
      </c>
      <c r="H918" s="1" t="s">
        <v>11</v>
      </c>
      <c r="I918" s="6" cm="1">
        <f t="array" ref="I918">GetLatitude(D918)</f>
        <v>559875414</v>
      </c>
      <c r="J918" s="1" cm="1">
        <f t="array" ref="J918">GetLongitude(D918)</f>
        <v>120081778</v>
      </c>
      <c r="K918" s="1">
        <f t="shared" si="43"/>
        <v>55.987541399999998</v>
      </c>
      <c r="L918" s="1">
        <f t="shared" si="44"/>
        <v>12.0081778</v>
      </c>
    </row>
    <row r="919" spans="1:12" ht="16" x14ac:dyDescent="0.2">
      <c r="A919" s="1">
        <v>918</v>
      </c>
      <c r="B919" s="1" t="s">
        <v>2743</v>
      </c>
      <c r="C919" s="1" t="s">
        <v>2766</v>
      </c>
      <c r="D919" s="1" t="str">
        <f t="shared" si="42"/>
        <v>Halsnæs KommuneTorvet 6</v>
      </c>
      <c r="E919" s="1" t="s">
        <v>2767</v>
      </c>
      <c r="F919" s="1" t="s">
        <v>2768</v>
      </c>
      <c r="G919" s="1">
        <v>1919</v>
      </c>
      <c r="H919" s="1" t="s">
        <v>11</v>
      </c>
      <c r="I919" s="6" cm="1">
        <f t="array" ref="I919">GetLatitude(D919)</f>
        <v>559875414</v>
      </c>
      <c r="J919" s="1" cm="1">
        <f t="array" ref="J919">GetLongitude(D919)</f>
        <v>120081778</v>
      </c>
      <c r="K919" s="1">
        <f t="shared" si="43"/>
        <v>55.987541399999998</v>
      </c>
      <c r="L919" s="1">
        <f t="shared" si="44"/>
        <v>12.0081778</v>
      </c>
    </row>
    <row r="920" spans="1:12" ht="16" x14ac:dyDescent="0.2">
      <c r="A920" s="1">
        <v>919</v>
      </c>
      <c r="B920" s="1" t="s">
        <v>2769</v>
      </c>
      <c r="C920" s="1" t="s">
        <v>2770</v>
      </c>
      <c r="D920" s="1" t="str">
        <f t="shared" si="42"/>
        <v>Hedensted Kommune Bjerrevej 353</v>
      </c>
      <c r="E920" s="1" t="s">
        <v>2771</v>
      </c>
      <c r="F920" s="1" t="s">
        <v>2772</v>
      </c>
      <c r="G920" s="1">
        <v>1995</v>
      </c>
      <c r="H920" s="1" t="s">
        <v>11</v>
      </c>
      <c r="I920" s="6" cm="1">
        <f t="array" ref="I920">GetLatitude(D920)</f>
        <v>557852468</v>
      </c>
      <c r="J920" s="1" cm="1">
        <f t="array" ref="J920">GetLongitude(D920)</f>
        <v>98535722</v>
      </c>
      <c r="K920" s="1">
        <f t="shared" si="43"/>
        <v>55.785246800000003</v>
      </c>
      <c r="L920" s="1">
        <f t="shared" si="44"/>
        <v>9.8535722000000003</v>
      </c>
    </row>
    <row r="921" spans="1:12" ht="16" x14ac:dyDescent="0.2">
      <c r="A921" s="1">
        <v>920</v>
      </c>
      <c r="B921" s="1" t="s">
        <v>2769</v>
      </c>
      <c r="C921" s="1" t="s">
        <v>2773</v>
      </c>
      <c r="D921" s="1" t="str">
        <f t="shared" si="42"/>
        <v>Hedensted Kommune Bjerrevej 388</v>
      </c>
      <c r="E921" s="1" t="s">
        <v>2774</v>
      </c>
      <c r="F921" s="1" t="s">
        <v>2775</v>
      </c>
      <c r="G921" s="1">
        <v>1990</v>
      </c>
      <c r="H921" s="1" t="s">
        <v>15</v>
      </c>
      <c r="I921" s="6" cm="1">
        <f t="array" ref="I921">GetLatitude(D921)</f>
        <v>557433124</v>
      </c>
      <c r="J921" s="1" cm="1">
        <f t="array" ref="J921">GetLongitude(D921)</f>
        <v>99352315</v>
      </c>
      <c r="K921" s="1">
        <f t="shared" si="43"/>
        <v>55.743312400000001</v>
      </c>
      <c r="L921" s="1">
        <f t="shared" si="44"/>
        <v>9.9352315000000004</v>
      </c>
    </row>
    <row r="922" spans="1:12" ht="16" x14ac:dyDescent="0.2">
      <c r="A922" s="1">
        <v>921</v>
      </c>
      <c r="B922" s="1" t="s">
        <v>2769</v>
      </c>
      <c r="C922" s="1" t="s">
        <v>2776</v>
      </c>
      <c r="D922" s="1" t="str">
        <f t="shared" si="42"/>
        <v>Hedensted Kommune Bjerrevej 412</v>
      </c>
      <c r="E922" s="1" t="s">
        <v>2777</v>
      </c>
      <c r="F922" s="1" t="s">
        <v>2778</v>
      </c>
      <c r="G922" s="1">
        <v>1996</v>
      </c>
      <c r="H922" s="1" t="s">
        <v>15</v>
      </c>
      <c r="I922" s="6" cm="1">
        <f t="array" ref="I922">GetLatitude(D922)</f>
        <v>557231464</v>
      </c>
      <c r="J922" s="1" cm="1">
        <f t="array" ref="J922">GetLongitude(D922)</f>
        <v>99304178</v>
      </c>
      <c r="K922" s="1">
        <f t="shared" si="43"/>
        <v>55.723146399999997</v>
      </c>
      <c r="L922" s="1">
        <f t="shared" si="44"/>
        <v>9.9304178000000007</v>
      </c>
    </row>
    <row r="923" spans="1:12" ht="16" x14ac:dyDescent="0.2">
      <c r="A923" s="1">
        <v>922</v>
      </c>
      <c r="B923" s="1" t="s">
        <v>2769</v>
      </c>
      <c r="C923" s="1" t="s">
        <v>2779</v>
      </c>
      <c r="D923" s="1" t="str">
        <f t="shared" si="42"/>
        <v>Hedensted Kommune Fruensvej 15-17</v>
      </c>
      <c r="E923" s="1" t="s">
        <v>2780</v>
      </c>
      <c r="F923" s="1" t="s">
        <v>2781</v>
      </c>
      <c r="G923" s="1">
        <v>1988</v>
      </c>
      <c r="H923" s="1" t="s">
        <v>11</v>
      </c>
      <c r="I923" s="6" cm="1">
        <f t="array" ref="I923">GetLatitude(D923)</f>
        <v>558819479</v>
      </c>
      <c r="J923" s="1" cm="1">
        <f t="array" ref="J923">GetLongitude(D923)</f>
        <v>95974074</v>
      </c>
      <c r="K923" s="1">
        <f t="shared" si="43"/>
        <v>55.8819479</v>
      </c>
      <c r="L923" s="1">
        <f t="shared" si="44"/>
        <v>9.5974073999999998</v>
      </c>
    </row>
    <row r="924" spans="1:12" ht="16" x14ac:dyDescent="0.2">
      <c r="A924" s="1">
        <v>923</v>
      </c>
      <c r="B924" s="1" t="s">
        <v>2769</v>
      </c>
      <c r="C924" s="1" t="s">
        <v>2782</v>
      </c>
      <c r="D924" s="1" t="str">
        <f t="shared" si="42"/>
        <v>Hedensted Kommune Gammel Vejlevej 2</v>
      </c>
      <c r="E924" s="1" t="s">
        <v>2783</v>
      </c>
      <c r="F924" s="1" t="s">
        <v>2784</v>
      </c>
      <c r="G924" s="1">
        <v>1918</v>
      </c>
      <c r="H924" s="1" t="s">
        <v>15</v>
      </c>
      <c r="I924" s="6" cm="1">
        <f t="array" ref="I924">GetLatitude(D924)</f>
        <v>557344496</v>
      </c>
      <c r="J924" s="1" cm="1">
        <f t="array" ref="J924">GetLongitude(D924)</f>
        <v>97175245</v>
      </c>
      <c r="K924" s="1">
        <f t="shared" si="43"/>
        <v>55.734449599999998</v>
      </c>
      <c r="L924" s="1">
        <f t="shared" si="44"/>
        <v>9.7175244999999997</v>
      </c>
    </row>
    <row r="925" spans="1:12" ht="16" x14ac:dyDescent="0.2">
      <c r="A925" s="1">
        <v>924</v>
      </c>
      <c r="B925" s="1" t="s">
        <v>2769</v>
      </c>
      <c r="C925" s="1" t="s">
        <v>2785</v>
      </c>
      <c r="D925" s="1" t="str">
        <f t="shared" si="42"/>
        <v>Hedensted Kommune Jensgårdvej 11</v>
      </c>
      <c r="E925" s="1" t="s">
        <v>2786</v>
      </c>
      <c r="F925" s="1" t="s">
        <v>2787</v>
      </c>
      <c r="G925" s="1">
        <v>1986</v>
      </c>
      <c r="H925" s="1" t="s">
        <v>11</v>
      </c>
      <c r="I925" s="6" cm="1">
        <f t="array" ref="I925">GetLatitude(D925)</f>
        <v>558029400</v>
      </c>
      <c r="J925" s="1" cm="1">
        <f t="array" ref="J925">GetLongitude(D925)</f>
        <v>100309650</v>
      </c>
      <c r="K925" s="1">
        <f t="shared" si="43"/>
        <v>55.80294</v>
      </c>
      <c r="L925" s="1">
        <f t="shared" si="44"/>
        <v>10.030965</v>
      </c>
    </row>
    <row r="926" spans="1:12" ht="16" x14ac:dyDescent="0.2">
      <c r="A926" s="1">
        <v>925</v>
      </c>
      <c r="B926" s="1" t="s">
        <v>2769</v>
      </c>
      <c r="C926" s="1" t="s">
        <v>2788</v>
      </c>
      <c r="D926" s="1" t="str">
        <f t="shared" si="42"/>
        <v>Hedensted Kommune Lhombrevej 4</v>
      </c>
      <c r="E926" s="1" t="s">
        <v>2789</v>
      </c>
      <c r="F926" s="1" t="s">
        <v>2790</v>
      </c>
      <c r="G926" s="1">
        <v>1945</v>
      </c>
      <c r="H926" s="1" t="s">
        <v>15</v>
      </c>
      <c r="I926" s="6" cm="1">
        <f t="array" ref="I926">GetLatitude(D926)</f>
        <v>557421710</v>
      </c>
      <c r="J926" s="1" cm="1">
        <f t="array" ref="J926">GetLongitude(D926)</f>
        <v>98754420</v>
      </c>
      <c r="K926" s="1">
        <f t="shared" si="43"/>
        <v>55.742170999999999</v>
      </c>
      <c r="L926" s="1">
        <f t="shared" si="44"/>
        <v>9.8754419999999996</v>
      </c>
    </row>
    <row r="927" spans="1:12" ht="16" x14ac:dyDescent="0.2">
      <c r="A927" s="1">
        <v>926</v>
      </c>
      <c r="B927" s="1" t="s">
        <v>2769</v>
      </c>
      <c r="C927" s="1" t="s">
        <v>2791</v>
      </c>
      <c r="D927" s="1" t="str">
        <f t="shared" si="42"/>
        <v>Hedensted Kommune Palsgaardvej 2</v>
      </c>
      <c r="E927" s="1" t="s">
        <v>2792</v>
      </c>
      <c r="F927" s="1" t="s">
        <v>2793</v>
      </c>
      <c r="G927" s="1">
        <v>1939</v>
      </c>
      <c r="H927" s="1" t="s">
        <v>11</v>
      </c>
      <c r="I927" s="6" cm="1">
        <f t="array" ref="I927">GetLatitude(D927)</f>
        <v>557470436</v>
      </c>
      <c r="J927" s="1" cm="1">
        <f t="array" ref="J927">GetLongitude(D927)</f>
        <v>100247576</v>
      </c>
      <c r="K927" s="1">
        <f t="shared" si="43"/>
        <v>55.747043599999998</v>
      </c>
      <c r="L927" s="1">
        <f t="shared" si="44"/>
        <v>10.024757599999999</v>
      </c>
    </row>
    <row r="928" spans="1:12" ht="16" x14ac:dyDescent="0.2">
      <c r="A928" s="1">
        <v>927</v>
      </c>
      <c r="B928" s="1" t="s">
        <v>2769</v>
      </c>
      <c r="C928" s="1" t="s">
        <v>2794</v>
      </c>
      <c r="D928" s="1" t="str">
        <f t="shared" si="42"/>
        <v>Hedensted Kommune Rosenvoldvej 21</v>
      </c>
      <c r="E928" s="1" t="s">
        <v>2795</v>
      </c>
      <c r="F928" s="1" t="s">
        <v>2796</v>
      </c>
      <c r="G928" s="1">
        <v>1918</v>
      </c>
      <c r="H928" s="1" t="s">
        <v>15</v>
      </c>
      <c r="I928" s="6" cm="1">
        <f t="array" ref="I928">GetLatitude(D928)</f>
        <v>556720469</v>
      </c>
      <c r="J928" s="1" cm="1">
        <f t="array" ref="J928">GetLongitude(D928)</f>
        <v>98229511</v>
      </c>
      <c r="K928" s="1">
        <f t="shared" si="43"/>
        <v>55.672046899999998</v>
      </c>
      <c r="L928" s="1">
        <f t="shared" si="44"/>
        <v>9.8229510999999992</v>
      </c>
    </row>
    <row r="929" spans="1:12" ht="16" x14ac:dyDescent="0.2">
      <c r="A929" s="1">
        <v>928</v>
      </c>
      <c r="B929" s="1" t="s">
        <v>2769</v>
      </c>
      <c r="C929" s="1" t="s">
        <v>2797</v>
      </c>
      <c r="D929" s="1" t="str">
        <f t="shared" si="42"/>
        <v>Hedensted Kommune Tønballevej 1</v>
      </c>
      <c r="E929" s="1" t="s">
        <v>2798</v>
      </c>
      <c r="F929" s="1" t="s">
        <v>2799</v>
      </c>
      <c r="G929" s="1">
        <v>1987</v>
      </c>
      <c r="H929" s="1" t="s">
        <v>701</v>
      </c>
      <c r="I929" s="6" cm="1">
        <f t="array" ref="I929">GetLatitude(D929)</f>
        <v>558118967</v>
      </c>
      <c r="J929" s="1" cm="1">
        <f t="array" ref="J929">GetLongitude(D929)</f>
        <v>100521223</v>
      </c>
      <c r="K929" s="1">
        <f t="shared" si="43"/>
        <v>55.811896699999998</v>
      </c>
      <c r="L929" s="1">
        <f t="shared" si="44"/>
        <v>10.052122300000001</v>
      </c>
    </row>
    <row r="930" spans="1:12" ht="16" x14ac:dyDescent="0.2">
      <c r="A930" s="1">
        <v>929</v>
      </c>
      <c r="B930" s="1" t="s">
        <v>2769</v>
      </c>
      <c r="C930" s="1" t="s">
        <v>2800</v>
      </c>
      <c r="D930" s="1" t="str">
        <f t="shared" si="42"/>
        <v>Hedensted Kommune Aale Bygade 28</v>
      </c>
      <c r="E930" s="1" t="s">
        <v>2801</v>
      </c>
      <c r="F930" s="1" t="s">
        <v>2802</v>
      </c>
      <c r="G930" s="1">
        <v>1974</v>
      </c>
      <c r="H930" s="1" t="s">
        <v>11</v>
      </c>
      <c r="I930" s="6" cm="1">
        <f t="array" ref="I930">GetLatitude(D930)</f>
        <v>558871812</v>
      </c>
      <c r="J930" s="1" cm="1">
        <f t="array" ref="J930">GetLongitude(D930)</f>
        <v>95642344</v>
      </c>
      <c r="K930" s="1">
        <f t="shared" si="43"/>
        <v>55.887181200000001</v>
      </c>
      <c r="L930" s="1">
        <f t="shared" si="44"/>
        <v>9.5642344000000001</v>
      </c>
    </row>
    <row r="931" spans="1:12" ht="16" x14ac:dyDescent="0.2">
      <c r="A931" s="1">
        <v>930</v>
      </c>
      <c r="B931" s="1" t="s">
        <v>2803</v>
      </c>
      <c r="C931" s="1" t="s">
        <v>2804</v>
      </c>
      <c r="D931" s="1" t="str">
        <f t="shared" si="42"/>
        <v>Helsingør KommuneAnna Queens Stræde 2, tidl Gyldenstræde 2</v>
      </c>
      <c r="E931" s="1" t="s">
        <v>2805</v>
      </c>
      <c r="F931" s="1" t="s">
        <v>2806</v>
      </c>
      <c r="G931" s="1">
        <v>1919</v>
      </c>
      <c r="H931" s="1" t="s">
        <v>11</v>
      </c>
      <c r="I931" s="6" cm="1">
        <f t="array" ref="I931">GetLatitude(D931)</f>
        <v>560323685</v>
      </c>
      <c r="J931" s="1" cm="1">
        <f t="array" ref="J931">GetLongitude(D931)</f>
        <v>126096824</v>
      </c>
      <c r="K931" s="1">
        <f t="shared" si="43"/>
        <v>56.032368499999997</v>
      </c>
      <c r="L931" s="1">
        <f t="shared" si="44"/>
        <v>12.609682400000001</v>
      </c>
    </row>
    <row r="932" spans="1:12" ht="16" x14ac:dyDescent="0.2">
      <c r="A932" s="1">
        <v>931</v>
      </c>
      <c r="B932" s="1" t="s">
        <v>2803</v>
      </c>
      <c r="C932" s="1" t="s">
        <v>2807</v>
      </c>
      <c r="D932" s="1" t="str">
        <f t="shared" si="42"/>
        <v>Helsingør KommuneBaggesensvej 1-5 og 2-8</v>
      </c>
      <c r="E932" s="1" t="s">
        <v>2808</v>
      </c>
      <c r="F932" s="1" t="s">
        <v>2809</v>
      </c>
      <c r="G932" s="1">
        <v>1987</v>
      </c>
      <c r="H932" s="1" t="s">
        <v>2810</v>
      </c>
      <c r="I932" s="6" cm="1">
        <f t="array" ref="I932">GetLatitude(D932)</f>
        <v>560316794</v>
      </c>
      <c r="J932" s="1" cm="1">
        <f t="array" ref="J932">GetLongitude(D932)</f>
        <v>125801058</v>
      </c>
      <c r="K932" s="1">
        <f t="shared" si="43"/>
        <v>56.031679400000002</v>
      </c>
      <c r="L932" s="1">
        <f t="shared" si="44"/>
        <v>12.5801058</v>
      </c>
    </row>
    <row r="933" spans="1:12" ht="16" x14ac:dyDescent="0.2">
      <c r="A933" s="1">
        <v>932</v>
      </c>
      <c r="B933" s="1" t="s">
        <v>2803</v>
      </c>
      <c r="C933" s="1" t="s">
        <v>2811</v>
      </c>
      <c r="D933" s="1" t="str">
        <f t="shared" si="42"/>
        <v>Helsingør KommuneBjergegade 11, hj af Sankt Olaigade</v>
      </c>
      <c r="E933" s="1" t="s">
        <v>2812</v>
      </c>
      <c r="F933" s="1" t="s">
        <v>2813</v>
      </c>
      <c r="G933" s="1">
        <v>1945</v>
      </c>
      <c r="H933" s="1" t="s">
        <v>11</v>
      </c>
      <c r="I933" s="6" cm="1">
        <f t="array" ref="I933">GetLatitude(D933)</f>
        <v>560354065</v>
      </c>
      <c r="J933" s="1" cm="1">
        <f t="array" ref="J933">GetLongitude(D933)</f>
        <v>126115483</v>
      </c>
      <c r="K933" s="1">
        <f t="shared" si="43"/>
        <v>56.035406500000001</v>
      </c>
      <c r="L933" s="1">
        <f t="shared" si="44"/>
        <v>12.611548300000001</v>
      </c>
    </row>
    <row r="934" spans="1:12" ht="16" x14ac:dyDescent="0.2">
      <c r="A934" s="1">
        <v>933</v>
      </c>
      <c r="B934" s="1" t="s">
        <v>2803</v>
      </c>
      <c r="C934" s="1" t="s">
        <v>2814</v>
      </c>
      <c r="D934" s="1" t="str">
        <f t="shared" si="42"/>
        <v>Helsingør KommuneBjergegade 30 A og C</v>
      </c>
      <c r="E934" s="1" t="s">
        <v>2815</v>
      </c>
      <c r="F934" s="1" t="s">
        <v>2816</v>
      </c>
      <c r="G934" s="1">
        <v>1919</v>
      </c>
      <c r="H934" s="1" t="s">
        <v>11</v>
      </c>
      <c r="I934" s="6" cm="1">
        <f t="array" ref="I934">GetLatitude(D934)</f>
        <v>560370980</v>
      </c>
      <c r="J934" s="1" cm="1">
        <f t="array" ref="J934">GetLongitude(D934)</f>
        <v>126102570</v>
      </c>
      <c r="K934" s="1">
        <f t="shared" si="43"/>
        <v>56.037098</v>
      </c>
      <c r="L934" s="1">
        <f t="shared" si="44"/>
        <v>12.610257000000001</v>
      </c>
    </row>
    <row r="935" spans="1:12" ht="16" x14ac:dyDescent="0.2">
      <c r="A935" s="1">
        <v>934</v>
      </c>
      <c r="B935" s="1" t="s">
        <v>2803</v>
      </c>
      <c r="C935" s="1" t="s">
        <v>2817</v>
      </c>
      <c r="D935" s="1" t="str">
        <f t="shared" si="42"/>
        <v>Helsingør KommuneBjergegade 32</v>
      </c>
      <c r="E935" s="1" t="s">
        <v>2818</v>
      </c>
      <c r="F935" s="1" t="s">
        <v>1276</v>
      </c>
      <c r="G935" s="1">
        <v>1932</v>
      </c>
      <c r="H935" s="1" t="s">
        <v>11</v>
      </c>
      <c r="I935" s="6" cm="1">
        <f t="array" ref="I935">GetLatitude(D935)</f>
        <v>560372633</v>
      </c>
      <c r="J935" s="1" cm="1">
        <f t="array" ref="J935">GetLongitude(D935)</f>
        <v>126101869</v>
      </c>
      <c r="K935" s="1">
        <f t="shared" si="43"/>
        <v>56.037263299999999</v>
      </c>
      <c r="L935" s="1">
        <f t="shared" si="44"/>
        <v>12.6101869</v>
      </c>
    </row>
    <row r="936" spans="1:12" ht="16" x14ac:dyDescent="0.2">
      <c r="A936" s="1">
        <v>935</v>
      </c>
      <c r="B936" s="1" t="s">
        <v>2803</v>
      </c>
      <c r="C936" s="1" t="s">
        <v>2819</v>
      </c>
      <c r="D936" s="1" t="str">
        <f t="shared" si="42"/>
        <v>Helsingør KommuneBragesvej 1-79</v>
      </c>
      <c r="E936" s="1" t="s">
        <v>2820</v>
      </c>
      <c r="F936" s="1" t="s">
        <v>2821</v>
      </c>
      <c r="G936" s="1">
        <v>1995</v>
      </c>
      <c r="H936" s="2" t="s">
        <v>11</v>
      </c>
      <c r="I936" s="6" cm="1">
        <f t="array" ref="I936">GetLatitude(D936)</f>
        <v>560364580</v>
      </c>
      <c r="J936" s="1" cm="1">
        <f t="array" ref="J936">GetLongitude(D936)</f>
        <v>125967442</v>
      </c>
      <c r="K936" s="1">
        <f t="shared" si="43"/>
        <v>56.036458000000003</v>
      </c>
      <c r="L936" s="1">
        <f t="shared" si="44"/>
        <v>12.5967442</v>
      </c>
    </row>
    <row r="937" spans="1:12" ht="16" x14ac:dyDescent="0.2">
      <c r="A937" s="1">
        <v>936</v>
      </c>
      <c r="B937" s="1" t="s">
        <v>2803</v>
      </c>
      <c r="C937" s="1" t="s">
        <v>2822</v>
      </c>
      <c r="D937" s="1" t="str">
        <f t="shared" si="42"/>
        <v>Helsingør KommuneBøssemagergade 19</v>
      </c>
      <c r="E937" s="1" t="s">
        <v>2823</v>
      </c>
      <c r="F937" s="1" t="s">
        <v>2824</v>
      </c>
      <c r="G937" s="1">
        <v>1959</v>
      </c>
      <c r="H937" s="1" t="s">
        <v>15</v>
      </c>
      <c r="I937" s="6" cm="1">
        <f t="array" ref="I937">GetLatitude(D937)</f>
        <v>560692723</v>
      </c>
      <c r="J937" s="1" cm="1">
        <f t="array" ref="J937">GetLongitude(D937)</f>
        <v>125556519</v>
      </c>
      <c r="K937" s="1">
        <f t="shared" si="43"/>
        <v>56.069272300000002</v>
      </c>
      <c r="L937" s="1">
        <f t="shared" si="44"/>
        <v>12.555651900000001</v>
      </c>
    </row>
    <row r="938" spans="1:12" ht="16" x14ac:dyDescent="0.2">
      <c r="A938" s="1">
        <v>937</v>
      </c>
      <c r="B938" s="1" t="s">
        <v>2803</v>
      </c>
      <c r="C938" s="1" t="s">
        <v>2825</v>
      </c>
      <c r="D938" s="1" t="str">
        <f t="shared" si="42"/>
        <v>Helsingør Kommune Bøssemagergade 21</v>
      </c>
      <c r="E938" s="1" t="s">
        <v>2826</v>
      </c>
      <c r="F938" s="1" t="s">
        <v>2827</v>
      </c>
      <c r="G938" s="1">
        <v>1960</v>
      </c>
      <c r="H938" s="1" t="s">
        <v>15</v>
      </c>
      <c r="I938" s="6" cm="1">
        <f t="array" ref="I938">GetLatitude(D938)</f>
        <v>560651775</v>
      </c>
      <c r="J938" s="1" cm="1">
        <f t="array" ref="J938">GetLongitude(D938)</f>
        <v>125539758</v>
      </c>
      <c r="K938" s="1">
        <f t="shared" si="43"/>
        <v>56.065177499999997</v>
      </c>
      <c r="L938" s="1">
        <f t="shared" si="44"/>
        <v>12.5539758</v>
      </c>
    </row>
    <row r="939" spans="1:12" ht="16" x14ac:dyDescent="0.2">
      <c r="A939" s="1">
        <v>938</v>
      </c>
      <c r="B939" s="1" t="s">
        <v>2803</v>
      </c>
      <c r="C939" s="1" t="s">
        <v>2828</v>
      </c>
      <c r="D939" s="1" t="str">
        <f t="shared" si="42"/>
        <v>Helsingør KommuneBøssemagergade 24-28</v>
      </c>
      <c r="E939" s="1" t="s">
        <v>2829</v>
      </c>
      <c r="F939" s="1" t="s">
        <v>2830</v>
      </c>
      <c r="G939" s="1">
        <v>1950</v>
      </c>
      <c r="H939" s="1" t="s">
        <v>11</v>
      </c>
      <c r="I939" s="6" cm="1">
        <f t="array" ref="I939">GetLatitude(D939)</f>
        <v>560687899</v>
      </c>
      <c r="J939" s="1" cm="1">
        <f t="array" ref="J939">GetLongitude(D939)</f>
        <v>125545817</v>
      </c>
      <c r="K939" s="1">
        <f t="shared" si="43"/>
        <v>56.068789899999999</v>
      </c>
      <c r="L939" s="1">
        <f t="shared" si="44"/>
        <v>12.5545817</v>
      </c>
    </row>
    <row r="940" spans="1:12" ht="16" x14ac:dyDescent="0.2">
      <c r="A940" s="1">
        <v>939</v>
      </c>
      <c r="B940" s="1" t="s">
        <v>2803</v>
      </c>
      <c r="C940" s="1" t="s">
        <v>2831</v>
      </c>
      <c r="D940" s="1" t="str">
        <f t="shared" si="42"/>
        <v>Helsingør KommuneBøssemagergade 30 A-B og 32 A-B</v>
      </c>
      <c r="E940" s="1" t="s">
        <v>2832</v>
      </c>
      <c r="F940" s="1" t="s">
        <v>2833</v>
      </c>
      <c r="G940" s="1">
        <v>1950</v>
      </c>
      <c r="H940" s="1" t="s">
        <v>11</v>
      </c>
      <c r="I940" s="6" cm="1">
        <f t="array" ref="I940">GetLatitude(D940)</f>
        <v>560684061</v>
      </c>
      <c r="J940" s="1" cm="1">
        <f t="array" ref="J940">GetLongitude(D940)</f>
        <v>125542055</v>
      </c>
      <c r="K940" s="1">
        <f t="shared" si="43"/>
        <v>56.068406099999997</v>
      </c>
      <c r="L940" s="1">
        <f t="shared" si="44"/>
        <v>12.5542055</v>
      </c>
    </row>
    <row r="941" spans="1:12" ht="16" x14ac:dyDescent="0.2">
      <c r="A941" s="1">
        <v>940</v>
      </c>
      <c r="B941" s="1" t="s">
        <v>2803</v>
      </c>
      <c r="C941" s="1" t="s">
        <v>2834</v>
      </c>
      <c r="D941" s="1" t="str">
        <f t="shared" si="42"/>
        <v>Helsingør KommuneBøssemagergade 34 A-B og 36 A-B</v>
      </c>
      <c r="E941" s="1" t="s">
        <v>2835</v>
      </c>
      <c r="F941" s="1" t="s">
        <v>2833</v>
      </c>
      <c r="G941" s="1">
        <v>1950</v>
      </c>
      <c r="H941" s="1" t="s">
        <v>11</v>
      </c>
      <c r="I941" s="6" cm="1">
        <f t="array" ref="I941">GetLatitude(D941)</f>
        <v>560681209</v>
      </c>
      <c r="J941" s="1" cm="1">
        <f t="array" ref="J941">GetLongitude(D941)</f>
        <v>125537765</v>
      </c>
      <c r="K941" s="1">
        <f t="shared" si="43"/>
        <v>56.068120899999997</v>
      </c>
      <c r="L941" s="1">
        <f t="shared" si="44"/>
        <v>12.5537765</v>
      </c>
    </row>
    <row r="942" spans="1:12" ht="16" x14ac:dyDescent="0.2">
      <c r="A942" s="1">
        <v>941</v>
      </c>
      <c r="B942" s="1" t="s">
        <v>2803</v>
      </c>
      <c r="C942" s="1" t="s">
        <v>2836</v>
      </c>
      <c r="D942" s="1" t="str">
        <f t="shared" si="42"/>
        <v>Helsingør KommuneBøssemagergade 38-54</v>
      </c>
      <c r="E942" s="1" t="s">
        <v>2837</v>
      </c>
      <c r="F942" s="1" t="s">
        <v>2838</v>
      </c>
      <c r="G942" s="1">
        <v>1950</v>
      </c>
      <c r="H942" s="1" t="s">
        <v>11</v>
      </c>
      <c r="I942" s="6" cm="1">
        <f t="array" ref="I942">GetLatitude(D942)</f>
        <v>560678008</v>
      </c>
      <c r="J942" s="1" cm="1">
        <f t="array" ref="J942">GetLongitude(D942)</f>
        <v>125535210</v>
      </c>
      <c r="K942" s="1">
        <f t="shared" si="43"/>
        <v>56.067800800000001</v>
      </c>
      <c r="L942" s="1">
        <f t="shared" si="44"/>
        <v>12.553521</v>
      </c>
    </row>
    <row r="943" spans="1:12" ht="16" x14ac:dyDescent="0.2">
      <c r="A943" s="1">
        <v>942</v>
      </c>
      <c r="B943" s="1" t="s">
        <v>2803</v>
      </c>
      <c r="C943" s="1" t="s">
        <v>2839</v>
      </c>
      <c r="D943" s="1" t="str">
        <f t="shared" si="42"/>
        <v>Helsingør KommuneBøssemagergade 56 A-C</v>
      </c>
      <c r="E943" s="1" t="s">
        <v>2840</v>
      </c>
      <c r="F943" s="1" t="s">
        <v>416</v>
      </c>
      <c r="G943" s="1">
        <v>1950</v>
      </c>
      <c r="H943" s="1" t="s">
        <v>11</v>
      </c>
      <c r="I943" s="6" cm="1">
        <f t="array" ref="I943">GetLatitude(D943)</f>
        <v>560668597</v>
      </c>
      <c r="J943" s="1" cm="1">
        <f t="array" ref="J943">GetLongitude(D943)</f>
        <v>125527181</v>
      </c>
      <c r="K943" s="1">
        <f t="shared" si="43"/>
        <v>56.066859700000002</v>
      </c>
      <c r="L943" s="1">
        <f t="shared" si="44"/>
        <v>12.5527181</v>
      </c>
    </row>
    <row r="944" spans="1:12" ht="16" x14ac:dyDescent="0.2">
      <c r="A944" s="1">
        <v>943</v>
      </c>
      <c r="B944" s="1" t="s">
        <v>2803</v>
      </c>
      <c r="C944" s="1" t="s">
        <v>2841</v>
      </c>
      <c r="D944" s="1" t="str">
        <f t="shared" si="42"/>
        <v>Helsingør KommuneBøssemagergade 58 A-C</v>
      </c>
      <c r="E944" s="1" t="s">
        <v>2842</v>
      </c>
      <c r="F944" s="1" t="s">
        <v>416</v>
      </c>
      <c r="G944" s="1">
        <v>1950</v>
      </c>
      <c r="H944" s="1" t="s">
        <v>11</v>
      </c>
      <c r="I944" s="6" cm="1">
        <f t="array" ref="I944">GetLatitude(D944)</f>
        <v>560664796</v>
      </c>
      <c r="J944" s="1" cm="1">
        <f t="array" ref="J944">GetLongitude(D944)</f>
        <v>125521901</v>
      </c>
      <c r="K944" s="1">
        <f t="shared" si="43"/>
        <v>56.066479600000001</v>
      </c>
      <c r="L944" s="1">
        <f t="shared" si="44"/>
        <v>12.552190100000001</v>
      </c>
    </row>
    <row r="945" spans="1:12" ht="16" x14ac:dyDescent="0.2">
      <c r="A945" s="1">
        <v>944</v>
      </c>
      <c r="B945" s="1" t="s">
        <v>2803</v>
      </c>
      <c r="C945" s="1" t="s">
        <v>2843</v>
      </c>
      <c r="D945" s="1" t="str">
        <f t="shared" si="42"/>
        <v>Helsingør KommuneBøssemagergade 60</v>
      </c>
      <c r="E945" s="1" t="s">
        <v>2844</v>
      </c>
      <c r="F945" s="1" t="s">
        <v>2845</v>
      </c>
      <c r="G945" s="1">
        <v>2017</v>
      </c>
      <c r="H945" s="1" t="s">
        <v>11</v>
      </c>
      <c r="I945" s="6" cm="1">
        <f t="array" ref="I945">GetLatitude(D945)</f>
        <v>560654324</v>
      </c>
      <c r="J945" s="1" cm="1">
        <f t="array" ref="J945">GetLongitude(D945)</f>
        <v>125515038</v>
      </c>
      <c r="K945" s="1">
        <f t="shared" si="43"/>
        <v>56.065432399999999</v>
      </c>
      <c r="L945" s="1">
        <f t="shared" si="44"/>
        <v>12.551503800000001</v>
      </c>
    </row>
    <row r="946" spans="1:12" ht="16" x14ac:dyDescent="0.2">
      <c r="A946" s="1">
        <v>945</v>
      </c>
      <c r="B946" s="1" t="s">
        <v>2803</v>
      </c>
      <c r="C946" s="1" t="s">
        <v>2846</v>
      </c>
      <c r="D946" s="1" t="str">
        <f t="shared" si="42"/>
        <v>Helsingør KommuneCarl Plougsvej, Kingosvej, Gurrevej</v>
      </c>
      <c r="E946" s="1" t="s">
        <v>2847</v>
      </c>
      <c r="F946" s="1" t="s">
        <v>2848</v>
      </c>
      <c r="G946" s="1">
        <v>1987</v>
      </c>
      <c r="H946" s="1" t="s">
        <v>15</v>
      </c>
      <c r="I946" s="6" cm="1">
        <f t="array" ref="I946">GetLatitude(D946)</f>
        <v>560306649</v>
      </c>
      <c r="J946" s="1" cm="1">
        <f t="array" ref="J946">GetLongitude(D946)</f>
        <v>125775690</v>
      </c>
      <c r="K946" s="1">
        <f t="shared" si="43"/>
        <v>56.030664899999998</v>
      </c>
      <c r="L946" s="1">
        <f t="shared" si="44"/>
        <v>12.577569</v>
      </c>
    </row>
    <row r="947" spans="1:12" ht="16" x14ac:dyDescent="0.2">
      <c r="A947" s="1">
        <v>946</v>
      </c>
      <c r="B947" s="1" t="s">
        <v>2803</v>
      </c>
      <c r="C947" s="1" t="s">
        <v>2849</v>
      </c>
      <c r="D947" s="1" t="str">
        <f t="shared" si="42"/>
        <v>Helsingør KommuneCarl Plougsvej 11-59</v>
      </c>
      <c r="E947" s="1" t="s">
        <v>2850</v>
      </c>
      <c r="F947" s="1" t="s">
        <v>2851</v>
      </c>
      <c r="G947" s="1">
        <v>1987</v>
      </c>
      <c r="H947" s="1" t="s">
        <v>2852</v>
      </c>
      <c r="I947" s="6" cm="1">
        <f t="array" ref="I947">GetLatitude(D947)</f>
        <v>558629483</v>
      </c>
      <c r="J947" s="1" cm="1">
        <f t="array" ref="J947">GetLongitude(D947)</f>
        <v>124535100</v>
      </c>
      <c r="K947" s="1">
        <f t="shared" si="43"/>
        <v>55.862948299999999</v>
      </c>
      <c r="L947" s="1">
        <f t="shared" si="44"/>
        <v>12.45351</v>
      </c>
    </row>
    <row r="948" spans="1:12" ht="16" x14ac:dyDescent="0.2">
      <c r="A948" s="1">
        <v>947</v>
      </c>
      <c r="B948" s="1" t="s">
        <v>2803</v>
      </c>
      <c r="C948" s="1" t="s">
        <v>2853</v>
      </c>
      <c r="D948" s="1" t="str">
        <f t="shared" si="42"/>
        <v>Helsingør KommuneCaroline Mathildesvej 1</v>
      </c>
      <c r="E948" s="1" t="s">
        <v>2854</v>
      </c>
      <c r="F948" s="1" t="s">
        <v>2855</v>
      </c>
      <c r="G948" s="1">
        <v>1987</v>
      </c>
      <c r="H948" s="1" t="s">
        <v>15</v>
      </c>
      <c r="I948" s="6" cm="1">
        <f t="array" ref="I948">GetLatitude(D948)</f>
        <v>560073397</v>
      </c>
      <c r="J948" s="1" cm="1">
        <f t="array" ref="J948">GetLongitude(D948)</f>
        <v>125793981</v>
      </c>
      <c r="K948" s="1">
        <f t="shared" si="43"/>
        <v>56.007339700000003</v>
      </c>
      <c r="L948" s="1">
        <f t="shared" si="44"/>
        <v>12.579398100000001</v>
      </c>
    </row>
    <row r="949" spans="1:12" ht="16" x14ac:dyDescent="0.2">
      <c r="A949" s="1">
        <v>948</v>
      </c>
      <c r="B949" s="1" t="s">
        <v>2803</v>
      </c>
      <c r="C949" s="1" t="s">
        <v>2856</v>
      </c>
      <c r="D949" s="1" t="str">
        <f t="shared" si="42"/>
        <v>Helsingør KommuneCaroline Mathildesvej 2</v>
      </c>
      <c r="E949" s="1" t="s">
        <v>2857</v>
      </c>
      <c r="F949" s="1" t="s">
        <v>2858</v>
      </c>
      <c r="G949" s="1">
        <v>1950</v>
      </c>
      <c r="H949" s="1" t="s">
        <v>2859</v>
      </c>
      <c r="I949" s="6" cm="1">
        <f t="array" ref="I949">GetLatitude(D949)</f>
        <v>560076544</v>
      </c>
      <c r="J949" s="1" cm="1">
        <f t="array" ref="J949">GetLongitude(D949)</f>
        <v>125790885</v>
      </c>
      <c r="K949" s="1">
        <f t="shared" si="43"/>
        <v>56.0076544</v>
      </c>
      <c r="L949" s="1">
        <f t="shared" si="44"/>
        <v>12.579088499999999</v>
      </c>
    </row>
    <row r="950" spans="1:12" ht="16" x14ac:dyDescent="0.2">
      <c r="A950" s="1">
        <v>949</v>
      </c>
      <c r="B950" s="1" t="s">
        <v>2803</v>
      </c>
      <c r="C950" s="1" t="s">
        <v>2860</v>
      </c>
      <c r="D950" s="1" t="str">
        <f t="shared" si="42"/>
        <v>Helsingør KommuneGammel Strandvej 410 B</v>
      </c>
      <c r="E950" s="1" t="s">
        <v>2861</v>
      </c>
      <c r="F950" s="1" t="s">
        <v>1361</v>
      </c>
      <c r="G950" s="1">
        <v>1950</v>
      </c>
      <c r="H950" s="1" t="s">
        <v>11</v>
      </c>
      <c r="I950" s="6" cm="1">
        <f t="array" ref="I950">GetLatitude(D950)</f>
        <v>559850205</v>
      </c>
      <c r="J950" s="1" cm="1">
        <f t="array" ref="J950">GetLongitude(D950)</f>
        <v>125519398</v>
      </c>
      <c r="K950" s="1">
        <f t="shared" si="43"/>
        <v>55.985020499999997</v>
      </c>
      <c r="L950" s="1">
        <f t="shared" si="44"/>
        <v>12.5519398</v>
      </c>
    </row>
    <row r="951" spans="1:12" ht="16" x14ac:dyDescent="0.2">
      <c r="A951" s="1">
        <v>950</v>
      </c>
      <c r="B951" s="1" t="s">
        <v>2803</v>
      </c>
      <c r="C951" s="1" t="s">
        <v>2862</v>
      </c>
      <c r="D951" s="1" t="str">
        <f t="shared" si="42"/>
        <v>Helsingør KommuneGl Hellebækvej 70</v>
      </c>
      <c r="E951" s="1" t="s">
        <v>2863</v>
      </c>
      <c r="F951" s="1" t="s">
        <v>2864</v>
      </c>
      <c r="G951" s="1">
        <v>2011</v>
      </c>
      <c r="H951" s="1" t="s">
        <v>15</v>
      </c>
      <c r="I951" s="6" cm="1">
        <f t="array" ref="I951">GetLatitude(D951)</f>
        <v>560510597</v>
      </c>
      <c r="J951" s="1" cm="1">
        <f t="array" ref="J951">GetLongitude(D951)</f>
        <v>125848279</v>
      </c>
      <c r="K951" s="1">
        <f t="shared" si="43"/>
        <v>56.051059700000003</v>
      </c>
      <c r="L951" s="1">
        <f t="shared" si="44"/>
        <v>12.584827900000001</v>
      </c>
    </row>
    <row r="952" spans="1:12" ht="16" x14ac:dyDescent="0.2">
      <c r="A952" s="1">
        <v>951</v>
      </c>
      <c r="B952" s="1" t="s">
        <v>2803</v>
      </c>
      <c r="C952" s="1" t="s">
        <v>2865</v>
      </c>
      <c r="D952" s="1" t="str">
        <f t="shared" si="42"/>
        <v>Helsingør KommuneGurreholmvej 6</v>
      </c>
      <c r="E952" s="1" t="s">
        <v>2866</v>
      </c>
      <c r="F952" s="1" t="s">
        <v>2867</v>
      </c>
      <c r="G952" s="1">
        <v>1959</v>
      </c>
      <c r="H952" s="1" t="s">
        <v>11</v>
      </c>
      <c r="I952" s="6" cm="1">
        <f t="array" ref="I952">GetLatitude(D952)</f>
        <v>560052677</v>
      </c>
      <c r="J952" s="1" cm="1">
        <f t="array" ref="J952">GetLongitude(D952)</f>
        <v>125128571</v>
      </c>
      <c r="K952" s="1">
        <f t="shared" si="43"/>
        <v>56.005267699999997</v>
      </c>
      <c r="L952" s="1">
        <f t="shared" si="44"/>
        <v>12.5128571</v>
      </c>
    </row>
    <row r="953" spans="1:12" ht="16" x14ac:dyDescent="0.2">
      <c r="A953" s="1">
        <v>952</v>
      </c>
      <c r="B953" s="1" t="s">
        <v>2803</v>
      </c>
      <c r="C953" s="1" t="s">
        <v>2868</v>
      </c>
      <c r="D953" s="1" t="str">
        <f t="shared" si="42"/>
        <v>Helsingør KommuneGurrevej 447</v>
      </c>
      <c r="E953" s="1" t="s">
        <v>2869</v>
      </c>
      <c r="F953" s="1" t="s">
        <v>2870</v>
      </c>
      <c r="G953" s="1">
        <v>1982</v>
      </c>
      <c r="H953" s="1" t="s">
        <v>11</v>
      </c>
      <c r="I953" s="6" cm="1">
        <f t="array" ref="I953">GetLatitude(D953)</f>
        <v>560189718</v>
      </c>
      <c r="J953" s="1" cm="1">
        <f t="array" ref="J953">GetLongitude(D953)</f>
        <v>124963365</v>
      </c>
      <c r="K953" s="1">
        <f t="shared" si="43"/>
        <v>56.018971800000003</v>
      </c>
      <c r="L953" s="1">
        <f t="shared" si="44"/>
        <v>12.4963365</v>
      </c>
    </row>
    <row r="954" spans="1:12" ht="16" x14ac:dyDescent="0.2">
      <c r="A954" s="1">
        <v>953</v>
      </c>
      <c r="B954" s="1" t="s">
        <v>2803</v>
      </c>
      <c r="C954" s="1" t="s">
        <v>2871</v>
      </c>
      <c r="D954" s="1" t="str">
        <f t="shared" si="42"/>
        <v>Helsingør KommuneHauchsvej 2-6 og 9-15</v>
      </c>
      <c r="E954" s="1" t="s">
        <v>2872</v>
      </c>
      <c r="F954" s="1" t="s">
        <v>2873</v>
      </c>
      <c r="G954" s="1">
        <v>1987</v>
      </c>
      <c r="H954" s="1" t="s">
        <v>2874</v>
      </c>
      <c r="I954" s="6" cm="1">
        <f t="array" ref="I954">GetLatitude(D954)</f>
        <v>560315237</v>
      </c>
      <c r="J954" s="1" cm="1">
        <f t="array" ref="J954">GetLongitude(D954)</f>
        <v>125784019</v>
      </c>
      <c r="K954" s="1">
        <f t="shared" si="43"/>
        <v>56.031523700000001</v>
      </c>
      <c r="L954" s="1">
        <f t="shared" si="44"/>
        <v>12.578401899999999</v>
      </c>
    </row>
    <row r="955" spans="1:12" ht="16" x14ac:dyDescent="0.2">
      <c r="A955" s="1">
        <v>954</v>
      </c>
      <c r="B955" s="1" t="s">
        <v>2803</v>
      </c>
      <c r="C955" s="1" t="s">
        <v>2875</v>
      </c>
      <c r="D955" s="1" t="str">
        <f t="shared" si="42"/>
        <v>Helsingør KommuneHavnegade /Kongekajen</v>
      </c>
      <c r="E955" s="1" t="s">
        <v>2876</v>
      </c>
      <c r="F955" s="1" t="s">
        <v>2877</v>
      </c>
      <c r="G955" s="1">
        <v>2013</v>
      </c>
      <c r="H955" s="1" t="s">
        <v>15</v>
      </c>
      <c r="I955" s="6" cm="1">
        <f t="array" ref="I955">GetLatitude(D955)</f>
        <v>560409220</v>
      </c>
      <c r="J955" s="1" cm="1">
        <f t="array" ref="J955">GetLongitude(D955)</f>
        <v>124900683</v>
      </c>
      <c r="K955" s="1">
        <f t="shared" si="43"/>
        <v>56.040922000000002</v>
      </c>
      <c r="L955" s="1">
        <f t="shared" si="44"/>
        <v>12.490068300000001</v>
      </c>
    </row>
    <row r="956" spans="1:12" ht="16" x14ac:dyDescent="0.2">
      <c r="A956" s="1">
        <v>955</v>
      </c>
      <c r="B956" s="1" t="s">
        <v>2803</v>
      </c>
      <c r="C956" s="1" t="s">
        <v>2878</v>
      </c>
      <c r="D956" s="1" t="str">
        <f t="shared" si="42"/>
        <v>Helsingør KommuneHavnepladsen 1 og Strandgade 72</v>
      </c>
      <c r="E956" s="1" t="s">
        <v>2879</v>
      </c>
      <c r="F956" s="1" t="s">
        <v>2880</v>
      </c>
      <c r="G956" s="1">
        <v>1979</v>
      </c>
      <c r="H956" s="1" t="s">
        <v>2881</v>
      </c>
      <c r="I956" s="6" cm="1">
        <f t="array" ref="I956">GetLatitude(D956)</f>
        <v>560319021</v>
      </c>
      <c r="J956" s="1" cm="1">
        <f t="array" ref="J956">GetLongitude(D956)</f>
        <v>126090581</v>
      </c>
      <c r="K956" s="1">
        <f t="shared" si="43"/>
        <v>56.031902100000003</v>
      </c>
      <c r="L956" s="1">
        <f t="shared" si="44"/>
        <v>12.6090581</v>
      </c>
    </row>
    <row r="957" spans="1:12" ht="16" x14ac:dyDescent="0.2">
      <c r="A957" s="1">
        <v>956</v>
      </c>
      <c r="B957" s="1" t="s">
        <v>2803</v>
      </c>
      <c r="C957" s="1" t="s">
        <v>2882</v>
      </c>
      <c r="D957" s="1" t="str">
        <f t="shared" si="42"/>
        <v>Helsingør KommuneHestemøllestræde 2 B-C</v>
      </c>
      <c r="E957" s="1" t="s">
        <v>2883</v>
      </c>
      <c r="F957" s="1" t="s">
        <v>2884</v>
      </c>
      <c r="G957" s="1">
        <v>1981</v>
      </c>
      <c r="H957" s="1" t="s">
        <v>11</v>
      </c>
      <c r="I957" s="6" cm="1">
        <f t="array" ref="I957">GetLatitude(D957)</f>
        <v>560362343</v>
      </c>
      <c r="J957" s="1" cm="1">
        <f t="array" ref="J957">GetLongitude(D957)</f>
        <v>126128366</v>
      </c>
      <c r="K957" s="1">
        <f t="shared" si="43"/>
        <v>56.036234299999997</v>
      </c>
      <c r="L957" s="1">
        <f t="shared" si="44"/>
        <v>12.6128366</v>
      </c>
    </row>
    <row r="958" spans="1:12" ht="16" x14ac:dyDescent="0.2">
      <c r="A958" s="1">
        <v>957</v>
      </c>
      <c r="B958" s="1" t="s">
        <v>2803</v>
      </c>
      <c r="C958" s="1" t="s">
        <v>2885</v>
      </c>
      <c r="D958" s="1" t="str">
        <f t="shared" si="42"/>
        <v>Helsingør KommuneHestemøllestræde 3 A-C</v>
      </c>
      <c r="E958" s="1" t="s">
        <v>2886</v>
      </c>
      <c r="F958" s="1" t="s">
        <v>2887</v>
      </c>
      <c r="G958" s="1">
        <v>1950</v>
      </c>
      <c r="H958" s="1" t="s">
        <v>2888</v>
      </c>
      <c r="I958" s="6" cm="1">
        <f t="array" ref="I958">GetLatitude(D958)</f>
        <v>556764926</v>
      </c>
      <c r="J958" s="1" cm="1">
        <f t="array" ref="J958">GetLongitude(D958)</f>
        <v>125730568</v>
      </c>
      <c r="K958" s="1">
        <f t="shared" si="43"/>
        <v>55.676492600000003</v>
      </c>
      <c r="L958" s="1">
        <f t="shared" si="44"/>
        <v>12.5730568</v>
      </c>
    </row>
    <row r="959" spans="1:12" ht="16" x14ac:dyDescent="0.2">
      <c r="A959" s="1">
        <v>958</v>
      </c>
      <c r="B959" s="1" t="s">
        <v>2803</v>
      </c>
      <c r="C959" s="1" t="s">
        <v>2889</v>
      </c>
      <c r="D959" s="1" t="str">
        <f t="shared" si="42"/>
        <v>Helsingør KommuneHolger Drachmannsvej 2-14 og 1-11</v>
      </c>
      <c r="E959" s="1" t="s">
        <v>2890</v>
      </c>
      <c r="F959" s="1" t="s">
        <v>2891</v>
      </c>
      <c r="G959" s="1">
        <v>1987</v>
      </c>
      <c r="H959" s="1" t="s">
        <v>2892</v>
      </c>
      <c r="I959" s="6" cm="1">
        <f t="array" ref="I959">GetLatitude(D959)</f>
        <v>560313791</v>
      </c>
      <c r="J959" s="1" cm="1">
        <f t="array" ref="J959">GetLongitude(D959)</f>
        <v>125794792</v>
      </c>
      <c r="K959" s="1">
        <f t="shared" si="43"/>
        <v>56.031379100000002</v>
      </c>
      <c r="L959" s="1">
        <f t="shared" si="44"/>
        <v>12.5794792</v>
      </c>
    </row>
    <row r="960" spans="1:12" ht="16" x14ac:dyDescent="0.2">
      <c r="A960" s="1">
        <v>959</v>
      </c>
      <c r="B960" s="1" t="s">
        <v>2803</v>
      </c>
      <c r="C960" s="1" t="s">
        <v>2893</v>
      </c>
      <c r="D960" s="1" t="str">
        <f t="shared" si="42"/>
        <v>Helsingør KommuneJernbanevej 7</v>
      </c>
      <c r="E960" s="1" t="s">
        <v>2894</v>
      </c>
      <c r="F960" s="1" t="s">
        <v>2895</v>
      </c>
      <c r="G960" s="1">
        <v>1990</v>
      </c>
      <c r="H960" s="1" t="s">
        <v>11</v>
      </c>
      <c r="I960" s="6" cm="1">
        <f t="array" ref="I960">GetLatitude(D960)</f>
        <v>560331493</v>
      </c>
      <c r="J960" s="1" cm="1">
        <f t="array" ref="J960">GetLongitude(D960)</f>
        <v>126132524</v>
      </c>
      <c r="K960" s="1">
        <f t="shared" si="43"/>
        <v>56.033149299999998</v>
      </c>
      <c r="L960" s="1">
        <f t="shared" si="44"/>
        <v>12.6132524</v>
      </c>
    </row>
    <row r="961" spans="1:12" ht="16" x14ac:dyDescent="0.2">
      <c r="A961" s="1">
        <v>960</v>
      </c>
      <c r="B961" s="1" t="s">
        <v>2803</v>
      </c>
      <c r="C961" s="1" t="s">
        <v>2896</v>
      </c>
      <c r="D961" s="1" t="str">
        <f t="shared" si="42"/>
        <v>Helsingør KommuneJernbanevej 9 (tidl 11)</v>
      </c>
      <c r="E961" s="1" t="s">
        <v>2897</v>
      </c>
      <c r="F961" s="1" t="s">
        <v>2898</v>
      </c>
      <c r="G961" s="1">
        <v>1990</v>
      </c>
      <c r="H961" s="1" t="s">
        <v>11</v>
      </c>
      <c r="I961" s="6" cm="1">
        <f t="array" ref="I961">GetLatitude(D961)</f>
        <v>560307870</v>
      </c>
      <c r="J961" s="1" cm="1">
        <f t="array" ref="J961">GetLongitude(D961)</f>
        <v>125921270</v>
      </c>
      <c r="K961" s="1">
        <f t="shared" si="43"/>
        <v>56.030786999999997</v>
      </c>
      <c r="L961" s="1">
        <f t="shared" si="44"/>
        <v>12.592127</v>
      </c>
    </row>
    <row r="962" spans="1:12" ht="16" x14ac:dyDescent="0.2">
      <c r="A962" s="1">
        <v>961</v>
      </c>
      <c r="B962" s="1" t="s">
        <v>2803</v>
      </c>
      <c r="C962" s="1" t="s">
        <v>2899</v>
      </c>
      <c r="D962" s="1" t="str">
        <f t="shared" si="42"/>
        <v>Helsingør KommuneKingosvej 85-99</v>
      </c>
      <c r="E962" s="1" t="s">
        <v>2900</v>
      </c>
      <c r="F962" s="1" t="s">
        <v>2873</v>
      </c>
      <c r="G962" s="1">
        <v>1987</v>
      </c>
      <c r="H962" s="1" t="s">
        <v>15</v>
      </c>
      <c r="I962" s="6" cm="1">
        <f t="array" ref="I962">GetLatitude(D962)</f>
        <v>560331536</v>
      </c>
      <c r="J962" s="1" cm="1">
        <f t="array" ref="J962">GetLongitude(D962)</f>
        <v>125771922</v>
      </c>
      <c r="K962" s="1">
        <f t="shared" si="43"/>
        <v>56.033153599999999</v>
      </c>
      <c r="L962" s="1">
        <f t="shared" si="44"/>
        <v>12.577192200000001</v>
      </c>
    </row>
    <row r="963" spans="1:12" ht="16" x14ac:dyDescent="0.2">
      <c r="A963" s="1">
        <v>962</v>
      </c>
      <c r="B963" s="1" t="s">
        <v>2803</v>
      </c>
      <c r="C963" s="1" t="s">
        <v>2901</v>
      </c>
      <c r="D963" s="1" t="str">
        <f t="shared" ref="D963:D1026" si="45">B963&amp;C963</f>
        <v>Helsingør KommuneKongensgade 12 B</v>
      </c>
      <c r="E963" s="1" t="s">
        <v>2511</v>
      </c>
      <c r="F963" s="1" t="s">
        <v>2902</v>
      </c>
      <c r="G963" s="1">
        <v>1970</v>
      </c>
      <c r="H963" s="1" t="s">
        <v>11</v>
      </c>
      <c r="I963" s="6" cm="1">
        <f t="array" ref="I963">GetLatitude(D963)</f>
        <v>560409220</v>
      </c>
      <c r="J963" s="1" cm="1">
        <f t="array" ref="J963">GetLongitude(D963)</f>
        <v>124900683</v>
      </c>
      <c r="K963" s="1">
        <f t="shared" si="43"/>
        <v>56.040922000000002</v>
      </c>
      <c r="L963" s="1">
        <f t="shared" si="44"/>
        <v>12.490068300000001</v>
      </c>
    </row>
    <row r="964" spans="1:12" ht="16" x14ac:dyDescent="0.2">
      <c r="A964" s="1">
        <v>963</v>
      </c>
      <c r="B964" s="1" t="s">
        <v>2803</v>
      </c>
      <c r="C964" s="1" t="s">
        <v>2903</v>
      </c>
      <c r="D964" s="1" t="str">
        <f t="shared" si="45"/>
        <v>Helsingør KommuneKongensgade 2 B, C og D</v>
      </c>
      <c r="E964" s="1" t="s">
        <v>2904</v>
      </c>
      <c r="F964" s="1" t="s">
        <v>2905</v>
      </c>
      <c r="G964" s="1">
        <v>1919</v>
      </c>
      <c r="H964" s="1" t="s">
        <v>701</v>
      </c>
      <c r="I964" s="6" cm="1">
        <f t="array" ref="I964">GetLatitude(D964)</f>
        <v>560369811</v>
      </c>
      <c r="J964" s="1" cm="1">
        <f t="array" ref="J964">GetLongitude(D964)</f>
        <v>126091196</v>
      </c>
      <c r="K964" s="1">
        <f t="shared" ref="K964:K1027" si="46">I964/10000000</f>
        <v>56.036981099999998</v>
      </c>
      <c r="L964" s="1">
        <f t="shared" ref="L964:L1027" si="47">J964/10000000</f>
        <v>12.6091196</v>
      </c>
    </row>
    <row r="965" spans="1:12" ht="16" x14ac:dyDescent="0.2">
      <c r="A965" s="1">
        <v>964</v>
      </c>
      <c r="B965" s="1" t="s">
        <v>2803</v>
      </c>
      <c r="C965" s="1" t="s">
        <v>2906</v>
      </c>
      <c r="D965" s="1" t="str">
        <f t="shared" si="45"/>
        <v>Helsingør KommuneKronborg 1</v>
      </c>
      <c r="E965" s="1" t="s">
        <v>2907</v>
      </c>
      <c r="F965" s="1" t="s">
        <v>2908</v>
      </c>
      <c r="G965" s="1">
        <v>1918</v>
      </c>
      <c r="H965" s="1" t="s">
        <v>15</v>
      </c>
      <c r="I965" s="6" cm="1">
        <f t="array" ref="I965">GetLatitude(D965)</f>
        <v>560307870</v>
      </c>
      <c r="J965" s="1" cm="1">
        <f t="array" ref="J965">GetLongitude(D965)</f>
        <v>125921270</v>
      </c>
      <c r="K965" s="1">
        <f t="shared" si="46"/>
        <v>56.030786999999997</v>
      </c>
      <c r="L965" s="1">
        <f t="shared" si="47"/>
        <v>12.592127</v>
      </c>
    </row>
    <row r="966" spans="1:12" ht="16" x14ac:dyDescent="0.2">
      <c r="A966" s="1">
        <v>965</v>
      </c>
      <c r="B966" s="1" t="s">
        <v>2803</v>
      </c>
      <c r="C966" s="1" t="s">
        <v>2909</v>
      </c>
      <c r="D966" s="1" t="str">
        <f t="shared" si="45"/>
        <v>Helsingør KommuneLappen 1</v>
      </c>
      <c r="E966" s="1" t="s">
        <v>2910</v>
      </c>
      <c r="F966" s="1" t="s">
        <v>1871</v>
      </c>
      <c r="G966" s="1">
        <v>1954</v>
      </c>
      <c r="H966" s="1" t="s">
        <v>11</v>
      </c>
      <c r="I966" s="6" cm="1">
        <f t="array" ref="I966">GetLatitude(D966)</f>
        <v>560414154</v>
      </c>
      <c r="J966" s="1" cm="1">
        <f t="array" ref="J966">GetLongitude(D966)</f>
        <v>126047191</v>
      </c>
      <c r="K966" s="1">
        <f t="shared" si="46"/>
        <v>56.041415399999998</v>
      </c>
      <c r="L966" s="1">
        <f t="shared" si="47"/>
        <v>12.604719100000001</v>
      </c>
    </row>
    <row r="967" spans="1:12" ht="16" x14ac:dyDescent="0.2">
      <c r="A967" s="1">
        <v>966</v>
      </c>
      <c r="B967" s="1" t="s">
        <v>2803</v>
      </c>
      <c r="C967" s="1" t="s">
        <v>2911</v>
      </c>
      <c r="D967" s="1" t="str">
        <f t="shared" si="45"/>
        <v>Helsingør KommuneLappen 10 A-B</v>
      </c>
      <c r="E967" s="1" t="s">
        <v>2912</v>
      </c>
      <c r="F967" s="1" t="s">
        <v>2913</v>
      </c>
      <c r="G967" s="1">
        <v>1973</v>
      </c>
      <c r="H967" s="1" t="s">
        <v>11</v>
      </c>
      <c r="I967" s="6" cm="1">
        <f t="array" ref="I967">GetLatitude(D967)</f>
        <v>560421049</v>
      </c>
      <c r="J967" s="1" cm="1">
        <f t="array" ref="J967">GetLongitude(D967)</f>
        <v>126040699</v>
      </c>
      <c r="K967" s="1">
        <f t="shared" si="46"/>
        <v>56.042104899999998</v>
      </c>
      <c r="L967" s="1">
        <f t="shared" si="47"/>
        <v>12.604069900000001</v>
      </c>
    </row>
    <row r="968" spans="1:12" ht="16" x14ac:dyDescent="0.2">
      <c r="A968" s="1">
        <v>967</v>
      </c>
      <c r="B968" s="1" t="s">
        <v>2803</v>
      </c>
      <c r="C968" s="1" t="s">
        <v>2914</v>
      </c>
      <c r="D968" s="1" t="str">
        <f t="shared" si="45"/>
        <v>Helsingør KommuneLappen 12</v>
      </c>
      <c r="E968" s="1" t="s">
        <v>2915</v>
      </c>
      <c r="F968" s="1" t="s">
        <v>2916</v>
      </c>
      <c r="G968" s="1">
        <v>1970</v>
      </c>
      <c r="H968" s="1" t="s">
        <v>15</v>
      </c>
      <c r="I968" s="6" cm="1">
        <f t="array" ref="I968">GetLatitude(D968)</f>
        <v>560423023</v>
      </c>
      <c r="J968" s="1" cm="1">
        <f t="array" ref="J968">GetLongitude(D968)</f>
        <v>126038497</v>
      </c>
      <c r="K968" s="1">
        <f t="shared" si="46"/>
        <v>56.042302300000003</v>
      </c>
      <c r="L968" s="1">
        <f t="shared" si="47"/>
        <v>12.6038497</v>
      </c>
    </row>
    <row r="969" spans="1:12" ht="16" x14ac:dyDescent="0.2">
      <c r="A969" s="1">
        <v>968</v>
      </c>
      <c r="B969" s="1" t="s">
        <v>2803</v>
      </c>
      <c r="C969" s="1" t="s">
        <v>2917</v>
      </c>
      <c r="D969" s="1" t="str">
        <f t="shared" si="45"/>
        <v>Helsingør KommuneLappen 14</v>
      </c>
      <c r="E969" s="1" t="s">
        <v>2918</v>
      </c>
      <c r="F969" s="1" t="s">
        <v>2919</v>
      </c>
      <c r="G969" s="1">
        <v>1973</v>
      </c>
      <c r="H969" s="1" t="s">
        <v>15</v>
      </c>
      <c r="I969" s="6" cm="1">
        <f t="array" ref="I969">GetLatitude(D969)</f>
        <v>560423632</v>
      </c>
      <c r="J969" s="1" cm="1">
        <f t="array" ref="J969">GetLongitude(D969)</f>
        <v>126037959</v>
      </c>
      <c r="K969" s="1">
        <f t="shared" si="46"/>
        <v>56.042363199999997</v>
      </c>
      <c r="L969" s="1">
        <f t="shared" si="47"/>
        <v>12.6037959</v>
      </c>
    </row>
    <row r="970" spans="1:12" ht="16" x14ac:dyDescent="0.2">
      <c r="A970" s="1">
        <v>969</v>
      </c>
      <c r="B970" s="1" t="s">
        <v>2803</v>
      </c>
      <c r="C970" s="1" t="s">
        <v>2920</v>
      </c>
      <c r="D970" s="1" t="str">
        <f t="shared" si="45"/>
        <v>Helsingør KommuneLappen 16</v>
      </c>
      <c r="E970" s="1" t="s">
        <v>2921</v>
      </c>
      <c r="F970" s="1" t="s">
        <v>2922</v>
      </c>
      <c r="G970" s="1">
        <v>1974</v>
      </c>
      <c r="H970" s="1" t="s">
        <v>11</v>
      </c>
      <c r="I970" s="6" cm="1">
        <f t="array" ref="I970">GetLatitude(D970)</f>
        <v>560424180</v>
      </c>
      <c r="J970" s="1" cm="1">
        <f t="array" ref="J970">GetLongitude(D970)</f>
        <v>126036320</v>
      </c>
      <c r="K970" s="1">
        <f t="shared" si="46"/>
        <v>56.042417999999998</v>
      </c>
      <c r="L970" s="1">
        <f t="shared" si="47"/>
        <v>12.603631999999999</v>
      </c>
    </row>
    <row r="971" spans="1:12" ht="16" x14ac:dyDescent="0.2">
      <c r="A971" s="1">
        <v>970</v>
      </c>
      <c r="B971" s="1" t="s">
        <v>2803</v>
      </c>
      <c r="C971" s="1" t="s">
        <v>2923</v>
      </c>
      <c r="D971" s="1" t="str">
        <f t="shared" si="45"/>
        <v>Helsingør KommuneLappen 18</v>
      </c>
      <c r="E971" s="1" t="s">
        <v>2924</v>
      </c>
      <c r="F971" s="1" t="s">
        <v>2925</v>
      </c>
      <c r="G971" s="1">
        <v>1970</v>
      </c>
      <c r="H971" s="1" t="s">
        <v>11</v>
      </c>
      <c r="I971" s="6" cm="1">
        <f t="array" ref="I971">GetLatitude(D971)</f>
        <v>560424446</v>
      </c>
      <c r="J971" s="1" cm="1">
        <f t="array" ref="J971">GetLongitude(D971)</f>
        <v>126036181</v>
      </c>
      <c r="K971" s="1">
        <f t="shared" si="46"/>
        <v>56.042444600000003</v>
      </c>
      <c r="L971" s="1">
        <f t="shared" si="47"/>
        <v>12.6036181</v>
      </c>
    </row>
    <row r="972" spans="1:12" ht="16" x14ac:dyDescent="0.2">
      <c r="A972" s="1">
        <v>971</v>
      </c>
      <c r="B972" s="1" t="s">
        <v>2803</v>
      </c>
      <c r="C972" s="1" t="s">
        <v>2926</v>
      </c>
      <c r="D972" s="1" t="str">
        <f t="shared" si="45"/>
        <v>Helsingør KommuneLappen 22</v>
      </c>
      <c r="E972" s="1" t="s">
        <v>2927</v>
      </c>
      <c r="F972" s="1" t="s">
        <v>2928</v>
      </c>
      <c r="G972" s="1">
        <v>1972</v>
      </c>
      <c r="H972" s="1" t="s">
        <v>15</v>
      </c>
      <c r="I972" s="6" cm="1">
        <f t="array" ref="I972">GetLatitude(D972)</f>
        <v>560426631</v>
      </c>
      <c r="J972" s="1" cm="1">
        <f t="array" ref="J972">GetLongitude(D972)</f>
        <v>126033585</v>
      </c>
      <c r="K972" s="1">
        <f t="shared" si="46"/>
        <v>56.042663099999999</v>
      </c>
      <c r="L972" s="1">
        <f t="shared" si="47"/>
        <v>12.603358500000001</v>
      </c>
    </row>
    <row r="973" spans="1:12" ht="16" x14ac:dyDescent="0.2">
      <c r="A973" s="1">
        <v>972</v>
      </c>
      <c r="B973" s="1" t="s">
        <v>2803</v>
      </c>
      <c r="C973" s="1" t="s">
        <v>2929</v>
      </c>
      <c r="D973" s="1" t="str">
        <f t="shared" si="45"/>
        <v>Helsingør KommuneLappen 24</v>
      </c>
      <c r="E973" s="1" t="s">
        <v>2930</v>
      </c>
      <c r="F973" s="1" t="s">
        <v>2931</v>
      </c>
      <c r="G973" s="1">
        <v>1972</v>
      </c>
      <c r="H973" s="1" t="s">
        <v>11</v>
      </c>
      <c r="I973" s="6" cm="1">
        <f t="array" ref="I973">GetLatitude(D973)</f>
        <v>560426907</v>
      </c>
      <c r="J973" s="1" cm="1">
        <f t="array" ref="J973">GetLongitude(D973)</f>
        <v>126033053</v>
      </c>
      <c r="K973" s="1">
        <f t="shared" si="46"/>
        <v>56.042690700000001</v>
      </c>
      <c r="L973" s="1">
        <f t="shared" si="47"/>
        <v>12.603305300000001</v>
      </c>
    </row>
    <row r="974" spans="1:12" ht="16" x14ac:dyDescent="0.2">
      <c r="A974" s="1">
        <v>973</v>
      </c>
      <c r="B974" s="1" t="s">
        <v>2803</v>
      </c>
      <c r="C974" s="1" t="s">
        <v>2932</v>
      </c>
      <c r="D974" s="1" t="str">
        <f t="shared" si="45"/>
        <v>Helsingør KommuneLappen 26</v>
      </c>
      <c r="E974" s="1" t="s">
        <v>2933</v>
      </c>
      <c r="F974" s="1" t="s">
        <v>2934</v>
      </c>
      <c r="G974" s="1">
        <v>1972</v>
      </c>
      <c r="H974" s="1" t="s">
        <v>11</v>
      </c>
      <c r="I974" s="6" cm="1">
        <f t="array" ref="I974">GetLatitude(D974)</f>
        <v>560427427</v>
      </c>
      <c r="J974" s="1" cm="1">
        <f t="array" ref="J974">GetLongitude(D974)</f>
        <v>126032306</v>
      </c>
      <c r="K974" s="1">
        <f t="shared" si="46"/>
        <v>56.042742699999998</v>
      </c>
      <c r="L974" s="1">
        <f t="shared" si="47"/>
        <v>12.6032306</v>
      </c>
    </row>
    <row r="975" spans="1:12" ht="16" x14ac:dyDescent="0.2">
      <c r="A975" s="1">
        <v>974</v>
      </c>
      <c r="B975" s="1" t="s">
        <v>2803</v>
      </c>
      <c r="C975" s="1" t="s">
        <v>2935</v>
      </c>
      <c r="D975" s="1" t="str">
        <f t="shared" si="45"/>
        <v>Helsingør KommuneLappen 30</v>
      </c>
      <c r="E975" s="1" t="s">
        <v>2936</v>
      </c>
      <c r="F975" s="1" t="s">
        <v>2937</v>
      </c>
      <c r="G975" s="1">
        <v>1972</v>
      </c>
      <c r="H975" s="1" t="s">
        <v>11</v>
      </c>
      <c r="I975" s="6" cm="1">
        <f t="array" ref="I975">GetLatitude(D975)</f>
        <v>560428410</v>
      </c>
      <c r="J975" s="1" cm="1">
        <f t="array" ref="J975">GetLongitude(D975)</f>
        <v>126030120</v>
      </c>
      <c r="K975" s="1">
        <f t="shared" si="46"/>
        <v>56.042841000000003</v>
      </c>
      <c r="L975" s="1">
        <f t="shared" si="47"/>
        <v>12.603012</v>
      </c>
    </row>
    <row r="976" spans="1:12" ht="16" x14ac:dyDescent="0.2">
      <c r="A976" s="1">
        <v>975</v>
      </c>
      <c r="B976" s="1" t="s">
        <v>2803</v>
      </c>
      <c r="C976" s="1" t="s">
        <v>2938</v>
      </c>
      <c r="D976" s="1" t="str">
        <f t="shared" si="45"/>
        <v>Helsingør KommuneLappen 32</v>
      </c>
      <c r="E976" s="1" t="s">
        <v>2939</v>
      </c>
      <c r="F976" s="1" t="s">
        <v>2940</v>
      </c>
      <c r="G976" s="1">
        <v>1972</v>
      </c>
      <c r="H976" s="1" t="s">
        <v>11</v>
      </c>
      <c r="I976" s="6" cm="1">
        <f t="array" ref="I976">GetLatitude(D976)</f>
        <v>560428574</v>
      </c>
      <c r="J976" s="1" cm="1">
        <f t="array" ref="J976">GetLongitude(D976)</f>
        <v>126030010</v>
      </c>
      <c r="K976" s="1">
        <f t="shared" si="46"/>
        <v>56.042857400000003</v>
      </c>
      <c r="L976" s="1">
        <f t="shared" si="47"/>
        <v>12.603001000000001</v>
      </c>
    </row>
    <row r="977" spans="1:12" ht="16" x14ac:dyDescent="0.2">
      <c r="A977" s="1">
        <v>976</v>
      </c>
      <c r="B977" s="1" t="s">
        <v>2803</v>
      </c>
      <c r="C977" s="1" t="s">
        <v>2941</v>
      </c>
      <c r="D977" s="1" t="str">
        <f t="shared" si="45"/>
        <v>Helsingør KommuneLappen 36</v>
      </c>
      <c r="E977" s="1" t="s">
        <v>2942</v>
      </c>
      <c r="F977" s="1" t="s">
        <v>2943</v>
      </c>
      <c r="G977" s="1">
        <v>1972</v>
      </c>
      <c r="H977" s="1" t="s">
        <v>15</v>
      </c>
      <c r="I977" s="6" cm="1">
        <f t="array" ref="I977">GetLatitude(D977)</f>
        <v>560429595</v>
      </c>
      <c r="J977" s="1" cm="1">
        <f t="array" ref="J977">GetLongitude(D977)</f>
        <v>126028166</v>
      </c>
      <c r="K977" s="1">
        <f t="shared" si="46"/>
        <v>56.042959500000002</v>
      </c>
      <c r="L977" s="1">
        <f t="shared" si="47"/>
        <v>12.602816600000001</v>
      </c>
    </row>
    <row r="978" spans="1:12" ht="16" x14ac:dyDescent="0.2">
      <c r="A978" s="1">
        <v>977</v>
      </c>
      <c r="B978" s="1" t="s">
        <v>2803</v>
      </c>
      <c r="C978" s="1" t="s">
        <v>2944</v>
      </c>
      <c r="D978" s="1" t="str">
        <f t="shared" si="45"/>
        <v>Helsingør KommuneLappen 6</v>
      </c>
      <c r="E978" s="1" t="s">
        <v>2945</v>
      </c>
      <c r="F978" s="1" t="s">
        <v>2946</v>
      </c>
      <c r="G978" s="1">
        <v>1973</v>
      </c>
      <c r="H978" s="1" t="s">
        <v>11</v>
      </c>
      <c r="I978" s="6" cm="1">
        <f t="array" ref="I978">GetLatitude(D978)</f>
        <v>560418497</v>
      </c>
      <c r="J978" s="1" cm="1">
        <f t="array" ref="J978">GetLongitude(D978)</f>
        <v>126044796</v>
      </c>
      <c r="K978" s="1">
        <f t="shared" si="46"/>
        <v>56.0418497</v>
      </c>
      <c r="L978" s="1">
        <f t="shared" si="47"/>
        <v>12.604479599999999</v>
      </c>
    </row>
    <row r="979" spans="1:12" ht="16" x14ac:dyDescent="0.2">
      <c r="A979" s="1">
        <v>978</v>
      </c>
      <c r="B979" s="1" t="s">
        <v>2803</v>
      </c>
      <c r="C979" s="1" t="s">
        <v>2947</v>
      </c>
      <c r="D979" s="1" t="str">
        <f t="shared" si="45"/>
        <v>Helsingør KommuneLappen 8</v>
      </c>
      <c r="E979" s="1" t="s">
        <v>2948</v>
      </c>
      <c r="F979" s="1" t="s">
        <v>2949</v>
      </c>
      <c r="G979" s="1">
        <v>1973</v>
      </c>
      <c r="H979" s="1" t="s">
        <v>11</v>
      </c>
      <c r="I979" s="6" cm="1">
        <f t="array" ref="I979">GetLatitude(D979)</f>
        <v>560420024</v>
      </c>
      <c r="J979" s="1" cm="1">
        <f t="array" ref="J979">GetLongitude(D979)</f>
        <v>126042872</v>
      </c>
      <c r="K979" s="1">
        <f t="shared" si="46"/>
        <v>56.042002400000001</v>
      </c>
      <c r="L979" s="1">
        <f t="shared" si="47"/>
        <v>12.6042872</v>
      </c>
    </row>
    <row r="980" spans="1:12" ht="16" x14ac:dyDescent="0.2">
      <c r="A980" s="1">
        <v>979</v>
      </c>
      <c r="B980" s="1" t="s">
        <v>2803</v>
      </c>
      <c r="C980" s="1" t="s">
        <v>2950</v>
      </c>
      <c r="D980" s="1" t="str">
        <f t="shared" si="45"/>
        <v>Helsingør KommuneMarienlyst Allé 32</v>
      </c>
      <c r="E980" s="1" t="s">
        <v>2951</v>
      </c>
      <c r="F980" s="1" t="s">
        <v>2952</v>
      </c>
      <c r="G980" s="1">
        <v>1918</v>
      </c>
      <c r="H980" s="1" t="s">
        <v>2953</v>
      </c>
      <c r="I980" s="6" cm="1">
        <f t="array" ref="I980">GetLatitude(D980)</f>
        <v>560420213</v>
      </c>
      <c r="J980" s="1" cm="1">
        <f t="array" ref="J980">GetLongitude(D980)</f>
        <v>126019677</v>
      </c>
      <c r="K980" s="1">
        <f t="shared" si="46"/>
        <v>56.042021300000002</v>
      </c>
      <c r="L980" s="1">
        <f t="shared" si="47"/>
        <v>12.601967699999999</v>
      </c>
    </row>
    <row r="981" spans="1:12" ht="16" x14ac:dyDescent="0.2">
      <c r="A981" s="1">
        <v>980</v>
      </c>
      <c r="B981" s="1" t="s">
        <v>2803</v>
      </c>
      <c r="C981" s="1" t="s">
        <v>2954</v>
      </c>
      <c r="D981" s="1" t="str">
        <f t="shared" si="45"/>
        <v>Helsingør KommuneMarienlyst Allé 7</v>
      </c>
      <c r="E981" s="1" t="s">
        <v>2955</v>
      </c>
      <c r="F981" s="1" t="s">
        <v>2956</v>
      </c>
      <c r="G981" s="1">
        <v>1996</v>
      </c>
      <c r="H981" s="1" t="s">
        <v>11</v>
      </c>
      <c r="I981" s="6" cm="1">
        <f t="array" ref="I981">GetLatitude(D981)</f>
        <v>560385318</v>
      </c>
      <c r="J981" s="1" cm="1">
        <f t="array" ref="J981">GetLongitude(D981)</f>
        <v>126057391</v>
      </c>
      <c r="K981" s="1">
        <f t="shared" si="46"/>
        <v>56.038531800000001</v>
      </c>
      <c r="L981" s="1">
        <f t="shared" si="47"/>
        <v>12.605739099999999</v>
      </c>
    </row>
    <row r="982" spans="1:12" ht="16" x14ac:dyDescent="0.2">
      <c r="A982" s="1">
        <v>981</v>
      </c>
      <c r="B982" s="1" t="s">
        <v>2803</v>
      </c>
      <c r="C982" s="1" t="s">
        <v>2957</v>
      </c>
      <c r="D982" s="1" t="str">
        <f t="shared" si="45"/>
        <v>Helsingør KommuneMurergade 7 (tidl Trækbanen 2)</v>
      </c>
      <c r="E982" s="1" t="s">
        <v>2958</v>
      </c>
      <c r="F982" s="1" t="s">
        <v>2959</v>
      </c>
      <c r="G982" s="1">
        <v>1999</v>
      </c>
      <c r="H982" s="1" t="s">
        <v>15</v>
      </c>
      <c r="I982" s="6" cm="1">
        <f t="array" ref="I982">GetLatitude(D982)</f>
        <v>560330300</v>
      </c>
      <c r="J982" s="1" cm="1">
        <f t="array" ref="J982">GetLongitude(D982)</f>
        <v>126058633</v>
      </c>
      <c r="K982" s="1">
        <f t="shared" si="46"/>
        <v>56.033029999999997</v>
      </c>
      <c r="L982" s="1">
        <f t="shared" si="47"/>
        <v>12.605863299999999</v>
      </c>
    </row>
    <row r="983" spans="1:12" ht="16" x14ac:dyDescent="0.2">
      <c r="A983" s="1">
        <v>982</v>
      </c>
      <c r="B983" s="1" t="s">
        <v>2803</v>
      </c>
      <c r="C983" s="1" t="s">
        <v>2960</v>
      </c>
      <c r="D983" s="1" t="str">
        <f t="shared" si="45"/>
        <v>Helsingør KommuneNordre Strandvej 129</v>
      </c>
      <c r="E983" s="1" t="s">
        <v>2961</v>
      </c>
      <c r="F983" s="1" t="s">
        <v>2962</v>
      </c>
      <c r="G983" s="1">
        <v>1918</v>
      </c>
      <c r="H983" s="1" t="s">
        <v>11</v>
      </c>
      <c r="I983" s="6" cm="1">
        <f t="array" ref="I983">GetLatitude(D983)</f>
        <v>560711767</v>
      </c>
      <c r="J983" s="1" cm="1">
        <f t="array" ref="J983">GetLongitude(D983)</f>
        <v>125533339</v>
      </c>
      <c r="K983" s="1">
        <f t="shared" si="46"/>
        <v>56.071176700000002</v>
      </c>
      <c r="L983" s="1">
        <f t="shared" si="47"/>
        <v>12.5533339</v>
      </c>
    </row>
    <row r="984" spans="1:12" ht="16" x14ac:dyDescent="0.2">
      <c r="A984" s="1">
        <v>983</v>
      </c>
      <c r="B984" s="1" t="s">
        <v>2803</v>
      </c>
      <c r="C984" s="1" t="s">
        <v>2963</v>
      </c>
      <c r="D984" s="1" t="str">
        <f t="shared" si="45"/>
        <v>Helsingør KommuneNordre Strandvej 140</v>
      </c>
      <c r="E984" s="1" t="s">
        <v>2964</v>
      </c>
      <c r="F984" s="1" t="s">
        <v>2965</v>
      </c>
      <c r="G984" s="1">
        <v>1986</v>
      </c>
      <c r="H984" s="1" t="s">
        <v>15</v>
      </c>
      <c r="I984" s="6" cm="1">
        <f t="array" ref="I984">GetLatitude(D984)</f>
        <v>560749694</v>
      </c>
      <c r="J984" s="1" cm="1">
        <f t="array" ref="J984">GetLongitude(D984)</f>
        <v>125482727</v>
      </c>
      <c r="K984" s="1">
        <f t="shared" si="46"/>
        <v>56.074969400000001</v>
      </c>
      <c r="L984" s="1">
        <f t="shared" si="47"/>
        <v>12.5482727</v>
      </c>
    </row>
    <row r="985" spans="1:12" ht="16" x14ac:dyDescent="0.2">
      <c r="A985" s="1">
        <v>984</v>
      </c>
      <c r="B985" s="1" t="s">
        <v>2803</v>
      </c>
      <c r="C985" s="1" t="s">
        <v>2966</v>
      </c>
      <c r="D985" s="1" t="str">
        <f t="shared" si="45"/>
        <v>Helsingør KommuneNordre Strandvej 230 A</v>
      </c>
      <c r="E985" s="1" t="s">
        <v>2967</v>
      </c>
      <c r="F985" s="1" t="s">
        <v>2968</v>
      </c>
      <c r="G985" s="1">
        <v>1997</v>
      </c>
      <c r="H985" s="1" t="s">
        <v>11</v>
      </c>
      <c r="I985" s="6" cm="1">
        <f t="array" ref="I985">GetLatitude(D985)</f>
        <v>560823826</v>
      </c>
      <c r="J985" s="1" cm="1">
        <f t="array" ref="J985">GetLongitude(D985)</f>
        <v>125291229</v>
      </c>
      <c r="K985" s="1">
        <f t="shared" si="46"/>
        <v>56.082382600000003</v>
      </c>
      <c r="L985" s="1">
        <f t="shared" si="47"/>
        <v>12.529122900000001</v>
      </c>
    </row>
    <row r="986" spans="1:12" ht="16" x14ac:dyDescent="0.2">
      <c r="A986" s="1">
        <v>985</v>
      </c>
      <c r="B986" s="1" t="s">
        <v>2803</v>
      </c>
      <c r="C986" s="1" t="s">
        <v>2969</v>
      </c>
      <c r="D986" s="1" t="str">
        <f t="shared" si="45"/>
        <v>Helsingør KommuneSankt Annagade 11</v>
      </c>
      <c r="E986" s="1" t="s">
        <v>2970</v>
      </c>
      <c r="F986" s="1" t="s">
        <v>2971</v>
      </c>
      <c r="G986" s="1">
        <v>1919</v>
      </c>
      <c r="H986" s="1" t="s">
        <v>11</v>
      </c>
      <c r="I986" s="6" cm="1">
        <f t="array" ref="I986">GetLatitude(D986)</f>
        <v>560358333</v>
      </c>
      <c r="J986" s="1" cm="1">
        <f t="array" ref="J986">GetLongitude(D986)</f>
        <v>126128888</v>
      </c>
      <c r="K986" s="1">
        <f t="shared" si="46"/>
        <v>56.0358333</v>
      </c>
      <c r="L986" s="1">
        <f t="shared" si="47"/>
        <v>12.6128888</v>
      </c>
    </row>
    <row r="987" spans="1:12" ht="16" x14ac:dyDescent="0.2">
      <c r="A987" s="1">
        <v>986</v>
      </c>
      <c r="B987" s="1" t="s">
        <v>2803</v>
      </c>
      <c r="C987" s="1" t="s">
        <v>2972</v>
      </c>
      <c r="D987" s="1" t="str">
        <f t="shared" si="45"/>
        <v>Helsingør KommuneSankt Annagade 27</v>
      </c>
      <c r="E987" s="1" t="s">
        <v>2973</v>
      </c>
      <c r="F987" s="1" t="s">
        <v>2974</v>
      </c>
      <c r="G987" s="1">
        <v>1971</v>
      </c>
      <c r="H987" s="1" t="s">
        <v>11</v>
      </c>
      <c r="I987" s="6" cm="1">
        <f t="array" ref="I987">GetLatitude(D987)</f>
        <v>560366147</v>
      </c>
      <c r="J987" s="1" cm="1">
        <f t="array" ref="J987">GetLongitude(D987)</f>
        <v>126121739</v>
      </c>
      <c r="K987" s="1">
        <f t="shared" si="46"/>
        <v>56.036614700000001</v>
      </c>
      <c r="L987" s="1">
        <f t="shared" si="47"/>
        <v>12.6121739</v>
      </c>
    </row>
    <row r="988" spans="1:12" ht="16" x14ac:dyDescent="0.2">
      <c r="A988" s="1">
        <v>987</v>
      </c>
      <c r="B988" s="1" t="s">
        <v>2803</v>
      </c>
      <c r="C988" s="1" t="s">
        <v>2975</v>
      </c>
      <c r="D988" s="1" t="str">
        <f t="shared" si="45"/>
        <v>Helsingør KommuneSankt Annagade 36, hj af Hestemøllestræde</v>
      </c>
      <c r="E988" s="1" t="s">
        <v>2976</v>
      </c>
      <c r="F988" s="1" t="s">
        <v>2977</v>
      </c>
      <c r="G988" s="1">
        <v>1918</v>
      </c>
      <c r="H988" s="1" t="s">
        <v>1746</v>
      </c>
      <c r="I988" s="6" cm="1">
        <f t="array" ref="I988">GetLatitude(D988)</f>
        <v>560363885</v>
      </c>
      <c r="J988" s="1" cm="1">
        <f t="array" ref="J988">GetLongitude(D988)</f>
        <v>126125958</v>
      </c>
      <c r="K988" s="1">
        <f t="shared" si="46"/>
        <v>56.036388500000001</v>
      </c>
      <c r="L988" s="1">
        <f t="shared" si="47"/>
        <v>12.612595799999999</v>
      </c>
    </row>
    <row r="989" spans="1:12" ht="16" x14ac:dyDescent="0.2">
      <c r="A989" s="1">
        <v>988</v>
      </c>
      <c r="B989" s="1" t="s">
        <v>2803</v>
      </c>
      <c r="C989" s="1" t="s">
        <v>2978</v>
      </c>
      <c r="D989" s="1" t="str">
        <f t="shared" si="45"/>
        <v>Helsingør KommuneSankt Annagade 38</v>
      </c>
      <c r="E989" s="1" t="s">
        <v>2979</v>
      </c>
      <c r="F989" s="1" t="s">
        <v>2980</v>
      </c>
      <c r="G989" s="1">
        <v>1985</v>
      </c>
      <c r="H989" s="1" t="s">
        <v>15</v>
      </c>
      <c r="I989" s="6" cm="1">
        <f t="array" ref="I989">GetLatitude(D989)</f>
        <v>560367591</v>
      </c>
      <c r="J989" s="1" cm="1">
        <f t="array" ref="J989">GetLongitude(D989)</f>
        <v>126132326</v>
      </c>
      <c r="K989" s="1">
        <f t="shared" si="46"/>
        <v>56.036759099999998</v>
      </c>
      <c r="L989" s="1">
        <f t="shared" si="47"/>
        <v>12.6132326</v>
      </c>
    </row>
    <row r="990" spans="1:12" ht="16" x14ac:dyDescent="0.2">
      <c r="A990" s="1">
        <v>989</v>
      </c>
      <c r="B990" s="1" t="s">
        <v>2803</v>
      </c>
      <c r="C990" s="1" t="s">
        <v>2981</v>
      </c>
      <c r="D990" s="1" t="str">
        <f t="shared" si="45"/>
        <v>Helsingør KommuneSankt Annagade 40 A-B</v>
      </c>
      <c r="E990" s="1" t="s">
        <v>2982</v>
      </c>
      <c r="F990" s="1" t="s">
        <v>2983</v>
      </c>
      <c r="G990" s="1">
        <v>1985</v>
      </c>
      <c r="H990" s="1" t="s">
        <v>15</v>
      </c>
      <c r="I990" s="6" cm="1">
        <f t="array" ref="I990">GetLatitude(D990)</f>
        <v>560373392</v>
      </c>
      <c r="J990" s="1" cm="1">
        <f t="array" ref="J990">GetLongitude(D990)</f>
        <v>126125480</v>
      </c>
      <c r="K990" s="1">
        <f t="shared" si="46"/>
        <v>56.037339199999998</v>
      </c>
      <c r="L990" s="1">
        <f t="shared" si="47"/>
        <v>12.612548</v>
      </c>
    </row>
    <row r="991" spans="1:12" ht="16" x14ac:dyDescent="0.2">
      <c r="A991" s="1">
        <v>990</v>
      </c>
      <c r="B991" s="1" t="s">
        <v>2803</v>
      </c>
      <c r="C991" s="1" t="s">
        <v>2984</v>
      </c>
      <c r="D991" s="1" t="str">
        <f t="shared" si="45"/>
        <v>Helsingør KommuneSankt Annagade 41</v>
      </c>
      <c r="E991" s="1" t="s">
        <v>2985</v>
      </c>
      <c r="F991" s="1" t="s">
        <v>2986</v>
      </c>
      <c r="G991" s="1">
        <v>1993</v>
      </c>
      <c r="H991" s="1" t="s">
        <v>11</v>
      </c>
      <c r="I991" s="6" cm="1">
        <f t="array" ref="I991">GetLatitude(D991)</f>
        <v>560374457</v>
      </c>
      <c r="J991" s="1" cm="1">
        <f t="array" ref="J991">GetLongitude(D991)</f>
        <v>126114551</v>
      </c>
      <c r="K991" s="1">
        <f t="shared" si="46"/>
        <v>56.037445699999999</v>
      </c>
      <c r="L991" s="1">
        <f t="shared" si="47"/>
        <v>12.611455100000001</v>
      </c>
    </row>
    <row r="992" spans="1:12" ht="16" x14ac:dyDescent="0.2">
      <c r="A992" s="1">
        <v>991</v>
      </c>
      <c r="B992" s="1" t="s">
        <v>2803</v>
      </c>
      <c r="C992" s="1" t="s">
        <v>2987</v>
      </c>
      <c r="D992" s="1" t="str">
        <f t="shared" si="45"/>
        <v>Helsingør KommuneSankt Anna Gade 6 A</v>
      </c>
      <c r="E992" s="1" t="s">
        <v>2988</v>
      </c>
      <c r="F992" s="1" t="s">
        <v>2989</v>
      </c>
      <c r="G992" s="1">
        <v>1950</v>
      </c>
      <c r="H992" s="1" t="s">
        <v>11</v>
      </c>
      <c r="I992" s="6" cm="1">
        <f t="array" ref="I992">GetLatitude(D992)</f>
        <v>560353595</v>
      </c>
      <c r="J992" s="1" cm="1">
        <f t="array" ref="J992">GetLongitude(D992)</f>
        <v>126135600</v>
      </c>
      <c r="K992" s="1">
        <f t="shared" si="46"/>
        <v>56.035359499999998</v>
      </c>
      <c r="L992" s="1">
        <f t="shared" si="47"/>
        <v>12.61356</v>
      </c>
    </row>
    <row r="993" spans="1:12" ht="16" x14ac:dyDescent="0.2">
      <c r="A993" s="1">
        <v>992</v>
      </c>
      <c r="B993" s="1" t="s">
        <v>2803</v>
      </c>
      <c r="C993" s="1" t="s">
        <v>2990</v>
      </c>
      <c r="D993" s="1" t="str">
        <f t="shared" si="45"/>
        <v>Helsingør KommuneSankt Annagade 8</v>
      </c>
      <c r="E993" s="1" t="s">
        <v>2991</v>
      </c>
      <c r="F993" s="1" t="s">
        <v>1276</v>
      </c>
      <c r="G993" s="1">
        <v>1950</v>
      </c>
      <c r="H993" s="1" t="s">
        <v>11</v>
      </c>
      <c r="I993" s="6" cm="1">
        <f t="array" ref="I993">GetLatitude(D993)</f>
        <v>560354690</v>
      </c>
      <c r="J993" s="1" cm="1">
        <f t="array" ref="J993">GetLongitude(D993)</f>
        <v>126135077</v>
      </c>
      <c r="K993" s="1">
        <f t="shared" si="46"/>
        <v>56.035468999999999</v>
      </c>
      <c r="L993" s="1">
        <f t="shared" si="47"/>
        <v>12.6135077</v>
      </c>
    </row>
    <row r="994" spans="1:12" ht="16" x14ac:dyDescent="0.2">
      <c r="A994" s="1">
        <v>993</v>
      </c>
      <c r="B994" s="1" t="s">
        <v>2803</v>
      </c>
      <c r="C994" s="1" t="s">
        <v>2992</v>
      </c>
      <c r="D994" s="1" t="str">
        <f t="shared" si="45"/>
        <v>Helsingør KommuneSankt Olai Gade 12-14</v>
      </c>
      <c r="E994" s="1" t="s">
        <v>2993</v>
      </c>
      <c r="F994" s="1" t="s">
        <v>2994</v>
      </c>
      <c r="G994" s="1">
        <v>1975</v>
      </c>
      <c r="H994" s="1" t="s">
        <v>11</v>
      </c>
      <c r="I994" s="6" cm="1">
        <f t="array" ref="I994">GetLatitude(D994)</f>
        <v>560345130</v>
      </c>
      <c r="J994" s="1" cm="1">
        <f t="array" ref="J994">GetLongitude(D994)</f>
        <v>126099194</v>
      </c>
      <c r="K994" s="1">
        <f t="shared" si="46"/>
        <v>56.034512999999997</v>
      </c>
      <c r="L994" s="1">
        <f t="shared" si="47"/>
        <v>12.609919400000001</v>
      </c>
    </row>
    <row r="995" spans="1:12" ht="16" x14ac:dyDescent="0.2">
      <c r="A995" s="1">
        <v>994</v>
      </c>
      <c r="B995" s="1" t="s">
        <v>2803</v>
      </c>
      <c r="C995" s="1" t="s">
        <v>2995</v>
      </c>
      <c r="D995" s="1" t="str">
        <f t="shared" si="45"/>
        <v>Helsingør KommuneSankt Olaigade 49</v>
      </c>
      <c r="E995" s="1" t="s">
        <v>2996</v>
      </c>
      <c r="F995" s="1" t="s">
        <v>2997</v>
      </c>
      <c r="G995" s="1">
        <v>1919</v>
      </c>
      <c r="H995" s="1" t="s">
        <v>11</v>
      </c>
      <c r="I995" s="6" cm="1">
        <f t="array" ref="I995">GetLatitude(D995)</f>
        <v>560360498</v>
      </c>
      <c r="J995" s="1" cm="1">
        <f t="array" ref="J995">GetLongitude(D995)</f>
        <v>126134556</v>
      </c>
      <c r="K995" s="1">
        <f t="shared" si="46"/>
        <v>56.036049800000001</v>
      </c>
      <c r="L995" s="1">
        <f t="shared" si="47"/>
        <v>12.6134556</v>
      </c>
    </row>
    <row r="996" spans="1:12" ht="16" x14ac:dyDescent="0.2">
      <c r="A996" s="1">
        <v>995</v>
      </c>
      <c r="B996" s="1" t="s">
        <v>2803</v>
      </c>
      <c r="C996" s="1" t="s">
        <v>2998</v>
      </c>
      <c r="D996" s="1" t="str">
        <f t="shared" si="45"/>
        <v>Helsingør KommuneSankt Olaigade 51-53</v>
      </c>
      <c r="E996" s="1" t="s">
        <v>2999</v>
      </c>
      <c r="F996" s="1" t="s">
        <v>3000</v>
      </c>
      <c r="G996" s="1">
        <v>1932</v>
      </c>
      <c r="H996" s="1" t="s">
        <v>15</v>
      </c>
      <c r="I996" s="6" cm="1">
        <f t="array" ref="I996">GetLatitude(D996)</f>
        <v>560361470</v>
      </c>
      <c r="J996" s="1" cm="1">
        <f t="array" ref="J996">GetLongitude(D996)</f>
        <v>126136140</v>
      </c>
      <c r="K996" s="1">
        <f t="shared" si="46"/>
        <v>56.036147</v>
      </c>
      <c r="L996" s="1">
        <f t="shared" si="47"/>
        <v>12.613614</v>
      </c>
    </row>
    <row r="997" spans="1:12" ht="16" x14ac:dyDescent="0.2">
      <c r="A997" s="1">
        <v>996</v>
      </c>
      <c r="B997" s="1" t="s">
        <v>2803</v>
      </c>
      <c r="C997" s="1" t="s">
        <v>3001</v>
      </c>
      <c r="D997" s="1" t="str">
        <f t="shared" si="45"/>
        <v>Helsingør KommuneSankt Olaigade 55, hj af Sophie Brahes Gade</v>
      </c>
      <c r="E997" s="1" t="s">
        <v>3002</v>
      </c>
      <c r="F997" s="1" t="s">
        <v>3003</v>
      </c>
      <c r="G997" s="1">
        <v>1945</v>
      </c>
      <c r="H997" s="1" t="s">
        <v>11</v>
      </c>
      <c r="I997" s="6" cm="1">
        <f t="array" ref="I997">GetLatitude(D997)</f>
        <v>560363345</v>
      </c>
      <c r="J997" s="1" cm="1">
        <f t="array" ref="J997">GetLongitude(D997)</f>
        <v>126141254</v>
      </c>
      <c r="K997" s="1">
        <f t="shared" si="46"/>
        <v>56.036334500000002</v>
      </c>
      <c r="L997" s="1">
        <f t="shared" si="47"/>
        <v>12.614125400000001</v>
      </c>
    </row>
    <row r="998" spans="1:12" ht="16" x14ac:dyDescent="0.2">
      <c r="A998" s="1">
        <v>997</v>
      </c>
      <c r="B998" s="1" t="s">
        <v>2803</v>
      </c>
      <c r="C998" s="1" t="s">
        <v>3004</v>
      </c>
      <c r="D998" s="1" t="str">
        <f t="shared" si="45"/>
        <v>Helsingør KommuneSankt Olaigade 9</v>
      </c>
      <c r="E998" s="1" t="s">
        <v>3005</v>
      </c>
      <c r="F998" s="1" t="s">
        <v>3006</v>
      </c>
      <c r="G998" s="1">
        <v>1945</v>
      </c>
      <c r="H998" s="1" t="s">
        <v>99</v>
      </c>
      <c r="I998" s="6" cm="1">
        <f t="array" ref="I998">GetLatitude(D998)</f>
        <v>560344135</v>
      </c>
      <c r="J998" s="1" cm="1">
        <f t="array" ref="J998">GetLongitude(D998)</f>
        <v>126093823</v>
      </c>
      <c r="K998" s="1">
        <f t="shared" si="46"/>
        <v>56.034413499999999</v>
      </c>
      <c r="L998" s="1">
        <f t="shared" si="47"/>
        <v>12.6093823</v>
      </c>
    </row>
    <row r="999" spans="1:12" ht="16" x14ac:dyDescent="0.2">
      <c r="A999" s="1">
        <v>998</v>
      </c>
      <c r="B999" s="1" t="s">
        <v>2803</v>
      </c>
      <c r="C999" s="1" t="s">
        <v>3007</v>
      </c>
      <c r="D999" s="1" t="str">
        <f t="shared" si="45"/>
        <v>Helsingør KommuneSophie Brahesgade 2, hj af Stengade</v>
      </c>
      <c r="E999" s="1" t="s">
        <v>3008</v>
      </c>
      <c r="F999" s="1" t="s">
        <v>3009</v>
      </c>
      <c r="G999" s="1">
        <v>1932</v>
      </c>
      <c r="H999" s="1" t="s">
        <v>15</v>
      </c>
      <c r="I999" s="6" cm="1">
        <f t="array" ref="I999">GetLatitude(D999)</f>
        <v>560357326</v>
      </c>
      <c r="J999" s="1" cm="1">
        <f t="array" ref="J999">GetLongitude(D999)</f>
        <v>126152039</v>
      </c>
      <c r="K999" s="1">
        <f t="shared" si="46"/>
        <v>56.035732600000003</v>
      </c>
      <c r="L999" s="1">
        <f t="shared" si="47"/>
        <v>12.615203899999999</v>
      </c>
    </row>
    <row r="1000" spans="1:12" ht="16" x14ac:dyDescent="0.2">
      <c r="A1000" s="1">
        <v>999</v>
      </c>
      <c r="B1000" s="1" t="s">
        <v>2803</v>
      </c>
      <c r="C1000" s="1" t="s">
        <v>3010</v>
      </c>
      <c r="D1000" s="1" t="str">
        <f t="shared" si="45"/>
        <v>Helsingør KommuneSophie Brahesgade 5 A-B, hj af Stengade</v>
      </c>
      <c r="E1000" s="1" t="s">
        <v>3011</v>
      </c>
      <c r="F1000" s="1" t="s">
        <v>3012</v>
      </c>
      <c r="G1000" s="1">
        <v>1945</v>
      </c>
      <c r="H1000" s="1" t="s">
        <v>11</v>
      </c>
      <c r="I1000" s="6" cm="1">
        <f t="array" ref="I1000">GetLatitude(D1000)</f>
        <v>560356093</v>
      </c>
      <c r="J1000" s="1" cm="1">
        <f t="array" ref="J1000">GetLongitude(D1000)</f>
        <v>126151817</v>
      </c>
      <c r="K1000" s="1">
        <f t="shared" si="46"/>
        <v>56.035609299999997</v>
      </c>
      <c r="L1000" s="1">
        <f t="shared" si="47"/>
        <v>12.615181700000001</v>
      </c>
    </row>
    <row r="1001" spans="1:12" ht="16" x14ac:dyDescent="0.2">
      <c r="A1001" s="1">
        <v>1000</v>
      </c>
      <c r="B1001" s="1" t="s">
        <v>2803</v>
      </c>
      <c r="C1001" s="1" t="s">
        <v>3013</v>
      </c>
      <c r="D1001" s="1" t="str">
        <f t="shared" si="45"/>
        <v>Helsingør KommuneSophie Brahesgade 6</v>
      </c>
      <c r="E1001" s="1" t="s">
        <v>3014</v>
      </c>
      <c r="F1001" s="1" t="s">
        <v>3015</v>
      </c>
      <c r="G1001" s="1">
        <v>1919</v>
      </c>
      <c r="H1001" s="1" t="s">
        <v>11</v>
      </c>
      <c r="I1001" s="6" cm="1">
        <f t="array" ref="I1001">GetLatitude(D1001)</f>
        <v>560359856</v>
      </c>
      <c r="J1001" s="1" cm="1">
        <f t="array" ref="J1001">GetLongitude(D1001)</f>
        <v>126148866</v>
      </c>
      <c r="K1001" s="1">
        <f t="shared" si="46"/>
        <v>56.035985599999997</v>
      </c>
      <c r="L1001" s="1">
        <f t="shared" si="47"/>
        <v>12.6148866</v>
      </c>
    </row>
    <row r="1002" spans="1:12" ht="16" x14ac:dyDescent="0.2">
      <c r="A1002" s="1">
        <v>1001</v>
      </c>
      <c r="B1002" s="1" t="s">
        <v>2803</v>
      </c>
      <c r="C1002" s="1" t="s">
        <v>3016</v>
      </c>
      <c r="D1002" s="1" t="str">
        <f t="shared" si="45"/>
        <v>Helsingør KommuneStationspladsen 1, tidl Jernbanevej 1</v>
      </c>
      <c r="E1002" s="1" t="s">
        <v>3017</v>
      </c>
      <c r="F1002" s="1" t="s">
        <v>3018</v>
      </c>
      <c r="G1002" s="1">
        <v>1990</v>
      </c>
      <c r="H1002" s="1" t="s">
        <v>11</v>
      </c>
      <c r="I1002" s="6" cm="1">
        <f t="array" ref="I1002">GetLatitude(D1002)</f>
        <v>560333634</v>
      </c>
      <c r="J1002" s="1" cm="1">
        <f t="array" ref="J1002">GetLongitude(D1002)</f>
        <v>126133433</v>
      </c>
      <c r="K1002" s="1">
        <f t="shared" si="46"/>
        <v>56.033363399999999</v>
      </c>
      <c r="L1002" s="1">
        <f t="shared" si="47"/>
        <v>12.6133433</v>
      </c>
    </row>
    <row r="1003" spans="1:12" ht="16" x14ac:dyDescent="0.2">
      <c r="A1003" s="1">
        <v>1002</v>
      </c>
      <c r="B1003" s="1" t="s">
        <v>2803</v>
      </c>
      <c r="C1003" s="1" t="s">
        <v>3019</v>
      </c>
      <c r="D1003" s="1" t="str">
        <f t="shared" si="45"/>
        <v>Helsingør KommuneStengade 20 og Skyttenstræde 12</v>
      </c>
      <c r="E1003" s="1" t="s">
        <v>3020</v>
      </c>
      <c r="F1003" s="1" t="s">
        <v>3021</v>
      </c>
      <c r="G1003" s="1">
        <v>1919</v>
      </c>
      <c r="H1003" s="1" t="s">
        <v>11</v>
      </c>
      <c r="I1003" s="6" cm="1">
        <f t="array" ref="I1003">GetLatitude(D1003)</f>
        <v>560331661</v>
      </c>
      <c r="J1003" s="1" cm="1">
        <f t="array" ref="J1003">GetLongitude(D1003)</f>
        <v>126097575</v>
      </c>
      <c r="K1003" s="1">
        <f t="shared" si="46"/>
        <v>56.033166100000003</v>
      </c>
      <c r="L1003" s="1">
        <f t="shared" si="47"/>
        <v>12.609757500000001</v>
      </c>
    </row>
    <row r="1004" spans="1:12" ht="16" x14ac:dyDescent="0.2">
      <c r="A1004" s="1">
        <v>1003</v>
      </c>
      <c r="B1004" s="1" t="s">
        <v>2803</v>
      </c>
      <c r="C1004" s="1" t="s">
        <v>3022</v>
      </c>
      <c r="D1004" s="1" t="str">
        <f t="shared" si="45"/>
        <v>Helsingør KommuneStengade 22 A</v>
      </c>
      <c r="E1004" s="1" t="s">
        <v>3023</v>
      </c>
      <c r="F1004" s="1" t="s">
        <v>3024</v>
      </c>
      <c r="G1004" s="1">
        <v>1919</v>
      </c>
      <c r="H1004" s="1" t="s">
        <v>11</v>
      </c>
      <c r="I1004" s="6" cm="1">
        <f t="array" ref="I1004">GetLatitude(D1004)</f>
        <v>560330299</v>
      </c>
      <c r="J1004" s="1" cm="1">
        <f t="array" ref="J1004">GetLongitude(D1004)</f>
        <v>126101347</v>
      </c>
      <c r="K1004" s="1">
        <f t="shared" si="46"/>
        <v>56.033029900000002</v>
      </c>
      <c r="L1004" s="1">
        <f t="shared" si="47"/>
        <v>12.6101347</v>
      </c>
    </row>
    <row r="1005" spans="1:12" ht="16" x14ac:dyDescent="0.2">
      <c r="A1005" s="1">
        <v>1004</v>
      </c>
      <c r="B1005" s="1" t="s">
        <v>2803</v>
      </c>
      <c r="C1005" s="1" t="s">
        <v>3025</v>
      </c>
      <c r="D1005" s="1" t="str">
        <f t="shared" si="45"/>
        <v>Helsingør KommuneStengade 26</v>
      </c>
      <c r="E1005" s="1" t="s">
        <v>3026</v>
      </c>
      <c r="F1005" s="1" t="s">
        <v>3027</v>
      </c>
      <c r="G1005" s="1">
        <v>1919</v>
      </c>
      <c r="H1005" s="1" t="s">
        <v>11</v>
      </c>
      <c r="I1005" s="6" cm="1">
        <f t="array" ref="I1005">GetLatitude(D1005)</f>
        <v>560333238</v>
      </c>
      <c r="J1005" s="1" cm="1">
        <f t="array" ref="J1005">GetLongitude(D1005)</f>
        <v>126100883</v>
      </c>
      <c r="K1005" s="1">
        <f t="shared" si="46"/>
        <v>56.033323799999998</v>
      </c>
      <c r="L1005" s="1">
        <f t="shared" si="47"/>
        <v>12.610088299999999</v>
      </c>
    </row>
    <row r="1006" spans="1:12" ht="16" x14ac:dyDescent="0.2">
      <c r="A1006" s="1">
        <v>1005</v>
      </c>
      <c r="B1006" s="1" t="s">
        <v>2803</v>
      </c>
      <c r="C1006" s="1" t="s">
        <v>3028</v>
      </c>
      <c r="D1006" s="1" t="str">
        <f t="shared" si="45"/>
        <v>Helsingør KommuneStengade 29 A</v>
      </c>
      <c r="E1006" s="1" t="s">
        <v>3029</v>
      </c>
      <c r="F1006" s="1" t="s">
        <v>3030</v>
      </c>
      <c r="G1006" s="1">
        <v>1919</v>
      </c>
      <c r="H1006" s="1" t="s">
        <v>11</v>
      </c>
      <c r="I1006" s="6" cm="1">
        <f t="array" ref="I1006">GetLatitude(D1006)</f>
        <v>560335821</v>
      </c>
      <c r="J1006" s="1" cm="1">
        <f t="array" ref="J1006">GetLongitude(D1006)</f>
        <v>126102128</v>
      </c>
      <c r="K1006" s="1">
        <f t="shared" si="46"/>
        <v>56.033582099999997</v>
      </c>
      <c r="L1006" s="1">
        <f t="shared" si="47"/>
        <v>12.610212799999999</v>
      </c>
    </row>
    <row r="1007" spans="1:12" ht="16" x14ac:dyDescent="0.2">
      <c r="A1007" s="1">
        <v>1006</v>
      </c>
      <c r="B1007" s="1" t="s">
        <v>2803</v>
      </c>
      <c r="C1007" s="1" t="s">
        <v>3031</v>
      </c>
      <c r="D1007" s="1" t="str">
        <f t="shared" si="45"/>
        <v>Helsingør KommuneStengade 31 A og D</v>
      </c>
      <c r="E1007" s="1" t="s">
        <v>3032</v>
      </c>
      <c r="F1007" s="1" t="s">
        <v>3033</v>
      </c>
      <c r="G1007" s="1">
        <v>1945</v>
      </c>
      <c r="H1007" s="1" t="s">
        <v>11</v>
      </c>
      <c r="I1007" s="6" cm="1">
        <f t="array" ref="I1007">GetLatitude(D1007)</f>
        <v>560336502</v>
      </c>
      <c r="J1007" s="1" cm="1">
        <f t="array" ref="J1007">GetLongitude(D1007)</f>
        <v>126103644</v>
      </c>
      <c r="K1007" s="1">
        <f t="shared" si="46"/>
        <v>56.033650199999997</v>
      </c>
      <c r="L1007" s="1">
        <f t="shared" si="47"/>
        <v>12.6103644</v>
      </c>
    </row>
    <row r="1008" spans="1:12" ht="16" x14ac:dyDescent="0.2">
      <c r="A1008" s="1">
        <v>1007</v>
      </c>
      <c r="B1008" s="1" t="s">
        <v>2803</v>
      </c>
      <c r="C1008" s="1" t="s">
        <v>3034</v>
      </c>
      <c r="D1008" s="1" t="str">
        <f t="shared" si="45"/>
        <v>Helsingør KommuneStengade 40 og Strandgade 49</v>
      </c>
      <c r="E1008" s="1" t="s">
        <v>3035</v>
      </c>
      <c r="F1008" s="1" t="s">
        <v>3036</v>
      </c>
      <c r="G1008" s="1">
        <v>1919</v>
      </c>
      <c r="H1008" s="1" t="s">
        <v>15</v>
      </c>
      <c r="I1008" s="6" cm="1">
        <f t="array" ref="I1008">GetLatitude(D1008)</f>
        <v>560328948</v>
      </c>
      <c r="J1008" s="1" cm="1">
        <f t="array" ref="J1008">GetLongitude(D1008)</f>
        <v>126111172</v>
      </c>
      <c r="K1008" s="1">
        <f t="shared" si="46"/>
        <v>56.032894800000001</v>
      </c>
      <c r="L1008" s="1">
        <f t="shared" si="47"/>
        <v>12.611117200000001</v>
      </c>
    </row>
    <row r="1009" spans="1:12" ht="16" x14ac:dyDescent="0.2">
      <c r="A1009" s="1">
        <v>1008</v>
      </c>
      <c r="B1009" s="1" t="s">
        <v>2803</v>
      </c>
      <c r="C1009" s="1" t="s">
        <v>3037</v>
      </c>
      <c r="D1009" s="1" t="str">
        <f t="shared" si="45"/>
        <v>Helsingør KommuneStengade 46 A</v>
      </c>
      <c r="E1009" s="1" t="s">
        <v>3038</v>
      </c>
      <c r="F1009" s="1" t="s">
        <v>3039</v>
      </c>
      <c r="G1009" s="1">
        <v>1918</v>
      </c>
      <c r="H1009" s="1" t="s">
        <v>11</v>
      </c>
      <c r="I1009" s="6" cm="1">
        <f t="array" ref="I1009">GetLatitude(D1009)</f>
        <v>560341420</v>
      </c>
      <c r="J1009" s="1" cm="1">
        <f t="array" ref="J1009">GetLongitude(D1009)</f>
        <v>126117570</v>
      </c>
      <c r="K1009" s="1">
        <f t="shared" si="46"/>
        <v>56.034142000000003</v>
      </c>
      <c r="L1009" s="1">
        <f t="shared" si="47"/>
        <v>12.611757000000001</v>
      </c>
    </row>
    <row r="1010" spans="1:12" ht="16" x14ac:dyDescent="0.2">
      <c r="A1010" s="1">
        <v>1009</v>
      </c>
      <c r="B1010" s="1" t="s">
        <v>2803</v>
      </c>
      <c r="C1010" s="1" t="s">
        <v>3040</v>
      </c>
      <c r="D1010" s="1" t="str">
        <f t="shared" si="45"/>
        <v>Helsingør KommuneStengade 48-50</v>
      </c>
      <c r="E1010" s="1" t="s">
        <v>3041</v>
      </c>
      <c r="F1010" s="1" t="s">
        <v>3042</v>
      </c>
      <c r="G1010" s="1">
        <v>1919</v>
      </c>
      <c r="H1010" s="1" t="s">
        <v>3043</v>
      </c>
      <c r="I1010" s="6" cm="1">
        <f t="array" ref="I1010">GetLatitude(D1010)</f>
        <v>560342657</v>
      </c>
      <c r="J1010" s="1" cm="1">
        <f t="array" ref="J1010">GetLongitude(D1010)</f>
        <v>126120277</v>
      </c>
      <c r="K1010" s="1">
        <f t="shared" si="46"/>
        <v>56.034265699999999</v>
      </c>
      <c r="L1010" s="1">
        <f t="shared" si="47"/>
        <v>12.612027700000001</v>
      </c>
    </row>
    <row r="1011" spans="1:12" ht="16" x14ac:dyDescent="0.2">
      <c r="A1011" s="1">
        <v>1010</v>
      </c>
      <c r="B1011" s="1" t="s">
        <v>2803</v>
      </c>
      <c r="C1011" s="1" t="s">
        <v>3044</v>
      </c>
      <c r="D1011" s="1" t="str">
        <f t="shared" si="45"/>
        <v>Helsingør KommuneStengade 54 og Bramstræde 4 A</v>
      </c>
      <c r="E1011" s="1" t="s">
        <v>3045</v>
      </c>
      <c r="F1011" s="1" t="s">
        <v>3046</v>
      </c>
      <c r="G1011" s="1">
        <v>1919</v>
      </c>
      <c r="H1011" s="1" t="s">
        <v>15</v>
      </c>
      <c r="I1011" s="6" cm="1">
        <f t="array" ref="I1011">GetLatitude(D1011)</f>
        <v>560344835</v>
      </c>
      <c r="J1011" s="1" cm="1">
        <f t="array" ref="J1011">GetLongitude(D1011)</f>
        <v>126127657</v>
      </c>
      <c r="K1011" s="1">
        <f t="shared" si="46"/>
        <v>56.0344835</v>
      </c>
      <c r="L1011" s="1">
        <f t="shared" si="47"/>
        <v>12.612765700000001</v>
      </c>
    </row>
    <row r="1012" spans="1:12" ht="16" x14ac:dyDescent="0.2">
      <c r="A1012" s="1">
        <v>1011</v>
      </c>
      <c r="B1012" s="1" t="s">
        <v>2803</v>
      </c>
      <c r="C1012" s="1" t="s">
        <v>3047</v>
      </c>
      <c r="D1012" s="1" t="str">
        <f t="shared" si="45"/>
        <v>Helsingør KommuneStengade 56</v>
      </c>
      <c r="E1012" s="1" t="s">
        <v>3048</v>
      </c>
      <c r="F1012" s="1" t="s">
        <v>3049</v>
      </c>
      <c r="G1012" s="1">
        <v>1999</v>
      </c>
      <c r="H1012" s="1" t="s">
        <v>11</v>
      </c>
      <c r="I1012" s="6" cm="1">
        <f t="array" ref="I1012">GetLatitude(D1012)</f>
        <v>560346096</v>
      </c>
      <c r="J1012" s="1" cm="1">
        <f t="array" ref="J1012">GetLongitude(D1012)</f>
        <v>126128620</v>
      </c>
      <c r="K1012" s="1">
        <f t="shared" si="46"/>
        <v>56.034609600000003</v>
      </c>
      <c r="L1012" s="1">
        <f t="shared" si="47"/>
        <v>12.612862</v>
      </c>
    </row>
    <row r="1013" spans="1:12" ht="16" x14ac:dyDescent="0.2">
      <c r="A1013" s="1">
        <v>1012</v>
      </c>
      <c r="B1013" s="1" t="s">
        <v>2803</v>
      </c>
      <c r="C1013" s="1" t="s">
        <v>3050</v>
      </c>
      <c r="D1013" s="1" t="str">
        <f t="shared" si="45"/>
        <v>Helsingør KommuneStengade 58 A-C</v>
      </c>
      <c r="E1013" s="1" t="s">
        <v>3051</v>
      </c>
      <c r="F1013" s="1" t="s">
        <v>3052</v>
      </c>
      <c r="G1013" s="1">
        <v>2011</v>
      </c>
      <c r="H1013" s="1" t="s">
        <v>15</v>
      </c>
      <c r="I1013" s="6" cm="1">
        <f t="array" ref="I1013">GetLatitude(D1013)</f>
        <v>560346970</v>
      </c>
      <c r="J1013" s="1" cm="1">
        <f t="array" ref="J1013">GetLongitude(D1013)</f>
        <v>126132680</v>
      </c>
      <c r="K1013" s="1">
        <f t="shared" si="46"/>
        <v>56.034697000000001</v>
      </c>
      <c r="L1013" s="1">
        <f t="shared" si="47"/>
        <v>12.613268</v>
      </c>
    </row>
    <row r="1014" spans="1:12" ht="16" x14ac:dyDescent="0.2">
      <c r="A1014" s="1">
        <v>1013</v>
      </c>
      <c r="B1014" s="1" t="s">
        <v>2803</v>
      </c>
      <c r="C1014" s="1" t="s">
        <v>3053</v>
      </c>
      <c r="D1014" s="1" t="str">
        <f t="shared" si="45"/>
        <v>Helsingør KommuneStengade 64</v>
      </c>
      <c r="E1014" s="1" t="s">
        <v>3054</v>
      </c>
      <c r="F1014" s="1" t="s">
        <v>3055</v>
      </c>
      <c r="G1014" s="1">
        <v>1918</v>
      </c>
      <c r="H1014" s="1" t="s">
        <v>11</v>
      </c>
      <c r="I1014" s="6" cm="1">
        <f t="array" ref="I1014">GetLatitude(D1014)</f>
        <v>560348855</v>
      </c>
      <c r="J1014" s="1" cm="1">
        <f t="array" ref="J1014">GetLongitude(D1014)</f>
        <v>126135628</v>
      </c>
      <c r="K1014" s="1">
        <f t="shared" si="46"/>
        <v>56.034885500000001</v>
      </c>
      <c r="L1014" s="1">
        <f t="shared" si="47"/>
        <v>12.6135628</v>
      </c>
    </row>
    <row r="1015" spans="1:12" ht="16" x14ac:dyDescent="0.2">
      <c r="A1015" s="1">
        <v>1014</v>
      </c>
      <c r="B1015" s="1" t="s">
        <v>2803</v>
      </c>
      <c r="C1015" s="1" t="s">
        <v>3056</v>
      </c>
      <c r="D1015" s="1" t="str">
        <f t="shared" si="45"/>
        <v>Helsingør KommuneStengade 66 og Gammel Færgestræde 5 A</v>
      </c>
      <c r="E1015" s="1" t="s">
        <v>3057</v>
      </c>
      <c r="F1015" s="1" t="s">
        <v>3058</v>
      </c>
      <c r="G1015" s="1">
        <v>1918</v>
      </c>
      <c r="H1015" s="1" t="s">
        <v>11</v>
      </c>
      <c r="I1015" s="6" cm="1">
        <f t="array" ref="I1015">GetLatitude(D1015)</f>
        <v>560349171</v>
      </c>
      <c r="J1015" s="1" cm="1">
        <f t="array" ref="J1015">GetLongitude(D1015)</f>
        <v>126137069</v>
      </c>
      <c r="K1015" s="1">
        <f t="shared" si="46"/>
        <v>56.034917100000001</v>
      </c>
      <c r="L1015" s="1">
        <f t="shared" si="47"/>
        <v>12.6137069</v>
      </c>
    </row>
    <row r="1016" spans="1:12" ht="16" x14ac:dyDescent="0.2">
      <c r="A1016" s="1">
        <v>1015</v>
      </c>
      <c r="B1016" s="1" t="s">
        <v>2803</v>
      </c>
      <c r="C1016" s="1" t="s">
        <v>3059</v>
      </c>
      <c r="D1016" s="1" t="str">
        <f t="shared" si="45"/>
        <v>Helsingør KommuneStengade 68</v>
      </c>
      <c r="E1016" s="1" t="s">
        <v>3060</v>
      </c>
      <c r="F1016" s="1" t="s">
        <v>3061</v>
      </c>
      <c r="G1016" s="1">
        <v>1919</v>
      </c>
      <c r="H1016" s="1" t="s">
        <v>11</v>
      </c>
      <c r="I1016" s="6" cm="1">
        <f t="array" ref="I1016">GetLatitude(D1016)</f>
        <v>560350159</v>
      </c>
      <c r="J1016" s="1" cm="1">
        <f t="array" ref="J1016">GetLongitude(D1016)</f>
        <v>126139008</v>
      </c>
      <c r="K1016" s="1">
        <f t="shared" si="46"/>
        <v>56.035015899999998</v>
      </c>
      <c r="L1016" s="1">
        <f t="shared" si="47"/>
        <v>12.6139008</v>
      </c>
    </row>
    <row r="1017" spans="1:12" ht="16" x14ac:dyDescent="0.2">
      <c r="A1017" s="1">
        <v>1016</v>
      </c>
      <c r="B1017" s="1" t="s">
        <v>2803</v>
      </c>
      <c r="C1017" s="1" t="s">
        <v>3062</v>
      </c>
      <c r="D1017" s="1" t="str">
        <f t="shared" si="45"/>
        <v>Helsingør KommuneStengade 70</v>
      </c>
      <c r="E1017" s="1" t="s">
        <v>3063</v>
      </c>
      <c r="F1017" s="1" t="s">
        <v>3064</v>
      </c>
      <c r="G1017" s="1">
        <v>1919</v>
      </c>
      <c r="H1017" s="1" t="s">
        <v>11</v>
      </c>
      <c r="I1017" s="6" cm="1">
        <f t="array" ref="I1017">GetLatitude(D1017)</f>
        <v>560349465</v>
      </c>
      <c r="J1017" s="1" cm="1">
        <f t="array" ref="J1017">GetLongitude(D1017)</f>
        <v>126141702</v>
      </c>
      <c r="K1017" s="1">
        <f t="shared" si="46"/>
        <v>56.034946499999997</v>
      </c>
      <c r="L1017" s="1">
        <f t="shared" si="47"/>
        <v>12.6141702</v>
      </c>
    </row>
    <row r="1018" spans="1:12" ht="16" x14ac:dyDescent="0.2">
      <c r="A1018" s="1">
        <v>1017</v>
      </c>
      <c r="B1018" s="1" t="s">
        <v>2803</v>
      </c>
      <c r="C1018" s="1" t="s">
        <v>3065</v>
      </c>
      <c r="D1018" s="1" t="str">
        <f t="shared" si="45"/>
        <v>Helsingør KommuneStengade 72-74</v>
      </c>
      <c r="E1018" s="1" t="s">
        <v>3066</v>
      </c>
      <c r="F1018" s="1" t="s">
        <v>3067</v>
      </c>
      <c r="G1018" s="1">
        <v>1918</v>
      </c>
      <c r="H1018" s="1" t="s">
        <v>15</v>
      </c>
      <c r="I1018" s="6" cm="1">
        <f t="array" ref="I1018">GetLatitude(D1018)</f>
        <v>560351317</v>
      </c>
      <c r="J1018" s="1" cm="1">
        <f t="array" ref="J1018">GetLongitude(D1018)</f>
        <v>126142484</v>
      </c>
      <c r="K1018" s="1">
        <f t="shared" si="46"/>
        <v>56.035131700000001</v>
      </c>
      <c r="L1018" s="1">
        <f t="shared" si="47"/>
        <v>12.614248399999999</v>
      </c>
    </row>
    <row r="1019" spans="1:12" ht="16" x14ac:dyDescent="0.2">
      <c r="A1019" s="1">
        <v>1018</v>
      </c>
      <c r="B1019" s="1" t="s">
        <v>2803</v>
      </c>
      <c r="C1019" s="1" t="s">
        <v>3068</v>
      </c>
      <c r="D1019" s="1" t="str">
        <f t="shared" si="45"/>
        <v>Helsingør KommuneStengade 76</v>
      </c>
      <c r="E1019" s="1" t="s">
        <v>3069</v>
      </c>
      <c r="F1019" s="1" t="s">
        <v>3070</v>
      </c>
      <c r="G1019" s="1">
        <v>1918</v>
      </c>
      <c r="H1019" s="1" t="s">
        <v>11</v>
      </c>
      <c r="I1019" s="6" cm="1">
        <f t="array" ref="I1019">GetLatitude(D1019)</f>
        <v>560351465</v>
      </c>
      <c r="J1019" s="1" cm="1">
        <f t="array" ref="J1019">GetLongitude(D1019)</f>
        <v>126144830</v>
      </c>
      <c r="K1019" s="1">
        <f t="shared" si="46"/>
        <v>56.035146500000003</v>
      </c>
      <c r="L1019" s="1">
        <f t="shared" si="47"/>
        <v>12.614483</v>
      </c>
    </row>
    <row r="1020" spans="1:12" ht="16" x14ac:dyDescent="0.2">
      <c r="A1020" s="1">
        <v>1019</v>
      </c>
      <c r="B1020" s="1" t="s">
        <v>2803</v>
      </c>
      <c r="C1020" s="1" t="s">
        <v>3071</v>
      </c>
      <c r="D1020" s="1" t="str">
        <f t="shared" si="45"/>
        <v>Helsingør KommuneStengade 78</v>
      </c>
      <c r="E1020" s="1" t="s">
        <v>3072</v>
      </c>
      <c r="F1020" s="1" t="s">
        <v>3073</v>
      </c>
      <c r="G1020" s="1">
        <v>1945</v>
      </c>
      <c r="H1020" s="1" t="s">
        <v>11</v>
      </c>
      <c r="I1020" s="6" cm="1">
        <f t="array" ref="I1020">GetLatitude(D1020)</f>
        <v>560352773</v>
      </c>
      <c r="J1020" s="1" cm="1">
        <f t="array" ref="J1020">GetLongitude(D1020)</f>
        <v>126146346</v>
      </c>
      <c r="K1020" s="1">
        <f t="shared" si="46"/>
        <v>56.035277299999997</v>
      </c>
      <c r="L1020" s="1">
        <f t="shared" si="47"/>
        <v>12.6146346</v>
      </c>
    </row>
    <row r="1021" spans="1:12" ht="16" x14ac:dyDescent="0.2">
      <c r="A1021" s="1">
        <v>1020</v>
      </c>
      <c r="B1021" s="1" t="s">
        <v>2803</v>
      </c>
      <c r="C1021" s="1" t="s">
        <v>3074</v>
      </c>
      <c r="D1021" s="1" t="str">
        <f t="shared" si="45"/>
        <v>Helsingør KommuneStengade 81 A</v>
      </c>
      <c r="E1021" s="1" t="s">
        <v>3075</v>
      </c>
      <c r="F1021" s="1" t="s">
        <v>3076</v>
      </c>
      <c r="G1021" s="1">
        <v>1919</v>
      </c>
      <c r="H1021" s="1" t="s">
        <v>11</v>
      </c>
      <c r="I1021" s="6" cm="1">
        <f t="array" ref="I1021">GetLatitude(D1021)</f>
        <v>560357609</v>
      </c>
      <c r="J1021" s="1" cm="1">
        <f t="array" ref="J1021">GetLongitude(D1021)</f>
        <v>126154718</v>
      </c>
      <c r="K1021" s="1">
        <f t="shared" si="46"/>
        <v>56.0357609</v>
      </c>
      <c r="L1021" s="1">
        <f t="shared" si="47"/>
        <v>12.6154718</v>
      </c>
    </row>
    <row r="1022" spans="1:12" ht="16" x14ac:dyDescent="0.2">
      <c r="A1022" s="1">
        <v>1021</v>
      </c>
      <c r="B1022" s="1" t="s">
        <v>2803</v>
      </c>
      <c r="C1022" s="1" t="s">
        <v>3077</v>
      </c>
      <c r="D1022" s="1" t="str">
        <f t="shared" si="45"/>
        <v>Helsingør KommuneStengade 82 A</v>
      </c>
      <c r="E1022" s="1" t="s">
        <v>3078</v>
      </c>
      <c r="F1022" s="1" t="s">
        <v>416</v>
      </c>
      <c r="G1022" s="1">
        <v>1945</v>
      </c>
      <c r="H1022" s="1" t="s">
        <v>99</v>
      </c>
      <c r="I1022" s="6" cm="1">
        <f t="array" ref="I1022">GetLatitude(D1022)</f>
        <v>560353810</v>
      </c>
      <c r="J1022" s="1" cm="1">
        <f t="array" ref="J1022">GetLongitude(D1022)</f>
        <v>126148671</v>
      </c>
      <c r="K1022" s="1">
        <f t="shared" si="46"/>
        <v>56.035381000000001</v>
      </c>
      <c r="L1022" s="1">
        <f t="shared" si="47"/>
        <v>12.6148671</v>
      </c>
    </row>
    <row r="1023" spans="1:12" ht="16" x14ac:dyDescent="0.2">
      <c r="A1023" s="1">
        <v>1022</v>
      </c>
      <c r="B1023" s="1" t="s">
        <v>2803</v>
      </c>
      <c r="C1023" s="1" t="s">
        <v>3079</v>
      </c>
      <c r="D1023" s="1" t="str">
        <f t="shared" si="45"/>
        <v>Helsingør KommuneStengade 83 A</v>
      </c>
      <c r="E1023" s="1" t="s">
        <v>3080</v>
      </c>
      <c r="F1023" s="1" t="s">
        <v>3081</v>
      </c>
      <c r="G1023" s="1">
        <v>1918</v>
      </c>
      <c r="H1023" s="1" t="s">
        <v>11</v>
      </c>
      <c r="I1023" s="6" cm="1">
        <f t="array" ref="I1023">GetLatitude(D1023)</f>
        <v>560358460</v>
      </c>
      <c r="J1023" s="1" cm="1">
        <f t="array" ref="J1023">GetLongitude(D1023)</f>
        <v>126156718</v>
      </c>
      <c r="K1023" s="1">
        <f t="shared" si="46"/>
        <v>56.035845999999999</v>
      </c>
      <c r="L1023" s="1">
        <f t="shared" si="47"/>
        <v>12.615671799999999</v>
      </c>
    </row>
    <row r="1024" spans="1:12" ht="16" x14ac:dyDescent="0.2">
      <c r="A1024" s="1">
        <v>1023</v>
      </c>
      <c r="B1024" s="1" t="s">
        <v>2803</v>
      </c>
      <c r="C1024" s="1" t="s">
        <v>3082</v>
      </c>
      <c r="D1024" s="1" t="str">
        <f t="shared" si="45"/>
        <v>Helsingør KommuneStengade 84 og Sophie Brahes Gade 3 A</v>
      </c>
      <c r="E1024" s="1" t="s">
        <v>3083</v>
      </c>
      <c r="F1024" s="1" t="s">
        <v>3084</v>
      </c>
      <c r="G1024" s="1">
        <v>1919</v>
      </c>
      <c r="H1024" s="1" t="s">
        <v>11</v>
      </c>
      <c r="I1024" s="6" cm="1">
        <f t="array" ref="I1024">GetLatitude(D1024)</f>
        <v>560365915</v>
      </c>
      <c r="J1024" s="1" cm="1">
        <f t="array" ref="J1024">GetLongitude(D1024)</f>
        <v>126139682</v>
      </c>
      <c r="K1024" s="1">
        <f t="shared" si="46"/>
        <v>56.0365915</v>
      </c>
      <c r="L1024" s="1">
        <f t="shared" si="47"/>
        <v>12.6139682</v>
      </c>
    </row>
    <row r="1025" spans="1:12" ht="16" x14ac:dyDescent="0.2">
      <c r="A1025" s="1">
        <v>1024</v>
      </c>
      <c r="B1025" s="1" t="s">
        <v>2803</v>
      </c>
      <c r="C1025" s="1" t="s">
        <v>3085</v>
      </c>
      <c r="D1025" s="1" t="str">
        <f t="shared" si="45"/>
        <v>Helsingør KommuneStjernegade 31, hj af J.L.  Tvedes Vej</v>
      </c>
      <c r="E1025" s="1" t="s">
        <v>3086</v>
      </c>
      <c r="F1025" s="1" t="s">
        <v>3087</v>
      </c>
      <c r="G1025" s="1">
        <v>1945</v>
      </c>
      <c r="H1025" s="1" t="s">
        <v>11</v>
      </c>
      <c r="I1025" s="6" cm="1">
        <f t="array" ref="I1025">GetLatitude(D1025)</f>
        <v>560367071</v>
      </c>
      <c r="J1025" s="1" cm="1">
        <f t="array" ref="J1025">GetLongitude(D1025)</f>
        <v>126087398</v>
      </c>
      <c r="K1025" s="1">
        <f t="shared" si="46"/>
        <v>56.036707100000001</v>
      </c>
      <c r="L1025" s="1">
        <f t="shared" si="47"/>
        <v>12.6087398</v>
      </c>
    </row>
    <row r="1026" spans="1:12" ht="16" x14ac:dyDescent="0.2">
      <c r="A1026" s="1">
        <v>1025</v>
      </c>
      <c r="B1026" s="1" t="s">
        <v>2803</v>
      </c>
      <c r="C1026" s="1" t="s">
        <v>1734</v>
      </c>
      <c r="D1026" s="1" t="str">
        <f t="shared" si="45"/>
        <v>Helsingør KommuneStrandgade 1</v>
      </c>
      <c r="E1026" s="1" t="s">
        <v>3088</v>
      </c>
      <c r="F1026" s="1" t="s">
        <v>416</v>
      </c>
      <c r="G1026" s="1">
        <v>1945</v>
      </c>
      <c r="H1026" s="1" t="s">
        <v>99</v>
      </c>
      <c r="I1026" s="6" cm="1">
        <f t="array" ref="I1026">GetLatitude(D1026)</f>
        <v>560409220</v>
      </c>
      <c r="J1026" s="1" cm="1">
        <f t="array" ref="J1026">GetLongitude(D1026)</f>
        <v>124900683</v>
      </c>
      <c r="K1026" s="1">
        <f t="shared" si="46"/>
        <v>56.040922000000002</v>
      </c>
      <c r="L1026" s="1">
        <f t="shared" si="47"/>
        <v>12.490068300000001</v>
      </c>
    </row>
    <row r="1027" spans="1:12" ht="16" x14ac:dyDescent="0.2">
      <c r="A1027" s="1">
        <v>1026</v>
      </c>
      <c r="B1027" s="1" t="s">
        <v>2803</v>
      </c>
      <c r="C1027" s="1" t="s">
        <v>3089</v>
      </c>
      <c r="D1027" s="1" t="str">
        <f t="shared" ref="D1027:D1090" si="48">B1027&amp;C1027</f>
        <v>Helsingør KommuneStrandgade 27</v>
      </c>
      <c r="E1027" s="1" t="s">
        <v>3090</v>
      </c>
      <c r="F1027" s="1" t="s">
        <v>3091</v>
      </c>
      <c r="G1027" s="1">
        <v>1950</v>
      </c>
      <c r="H1027" s="1" t="s">
        <v>11</v>
      </c>
      <c r="I1027" s="6" cm="1">
        <f t="array" ref="I1027">GetLatitude(D1027)</f>
        <v>560327250</v>
      </c>
      <c r="J1027" s="1" cm="1">
        <f t="array" ref="J1027">GetLongitude(D1027)</f>
        <v>126104040</v>
      </c>
      <c r="K1027" s="1">
        <f t="shared" si="46"/>
        <v>56.032724999999999</v>
      </c>
      <c r="L1027" s="1">
        <f t="shared" si="47"/>
        <v>12.610404000000001</v>
      </c>
    </row>
    <row r="1028" spans="1:12" ht="16" x14ac:dyDescent="0.2">
      <c r="A1028" s="1">
        <v>1027</v>
      </c>
      <c r="B1028" s="1" t="s">
        <v>2803</v>
      </c>
      <c r="C1028" s="1" t="s">
        <v>3092</v>
      </c>
      <c r="D1028" s="1" t="str">
        <f t="shared" si="48"/>
        <v>Helsingør KommuneStrandgade 29</v>
      </c>
      <c r="E1028" s="1" t="s">
        <v>3093</v>
      </c>
      <c r="F1028" s="1" t="s">
        <v>3094</v>
      </c>
      <c r="G1028" s="1">
        <v>1950</v>
      </c>
      <c r="H1028" s="1" t="s">
        <v>701</v>
      </c>
      <c r="I1028" s="6" cm="1">
        <f t="array" ref="I1028">GetLatitude(D1028)</f>
        <v>556756599</v>
      </c>
      <c r="J1028" s="1" cm="1">
        <f t="array" ref="J1028">GetLongitude(D1028)</f>
        <v>125922770</v>
      </c>
      <c r="K1028" s="1">
        <f t="shared" ref="K1028:K1091" si="49">I1028/10000000</f>
        <v>55.675659899999999</v>
      </c>
      <c r="L1028" s="1">
        <f t="shared" ref="L1028:L1091" si="50">J1028/10000000</f>
        <v>12.592276999999999</v>
      </c>
    </row>
    <row r="1029" spans="1:12" ht="16" x14ac:dyDescent="0.2">
      <c r="A1029" s="1">
        <v>1028</v>
      </c>
      <c r="B1029" s="1" t="s">
        <v>2803</v>
      </c>
      <c r="C1029" s="1" t="s">
        <v>3095</v>
      </c>
      <c r="D1029" s="1" t="str">
        <f t="shared" si="48"/>
        <v>Helsingør KommuneStrandgade 31</v>
      </c>
      <c r="E1029" s="1" t="s">
        <v>3096</v>
      </c>
      <c r="F1029" s="1" t="s">
        <v>3097</v>
      </c>
      <c r="G1029" s="1">
        <v>1950</v>
      </c>
      <c r="H1029" s="1" t="s">
        <v>11</v>
      </c>
      <c r="I1029" s="6" cm="1">
        <f t="array" ref="I1029">GetLatitude(D1029)</f>
        <v>560328360</v>
      </c>
      <c r="J1029" s="1" cm="1">
        <f t="array" ref="J1029">GetLongitude(D1029)</f>
        <v>126107165</v>
      </c>
      <c r="K1029" s="1">
        <f t="shared" si="49"/>
        <v>56.032836000000003</v>
      </c>
      <c r="L1029" s="1">
        <f t="shared" si="50"/>
        <v>12.610716500000001</v>
      </c>
    </row>
    <row r="1030" spans="1:12" ht="16" x14ac:dyDescent="0.2">
      <c r="A1030" s="1">
        <v>1029</v>
      </c>
      <c r="B1030" s="1" t="s">
        <v>2803</v>
      </c>
      <c r="C1030" s="1" t="s">
        <v>3098</v>
      </c>
      <c r="D1030" s="1" t="str">
        <f t="shared" si="48"/>
        <v>Helsingør KommuneStrandgade 43</v>
      </c>
      <c r="E1030" s="1" t="s">
        <v>3099</v>
      </c>
      <c r="F1030" s="1" t="s">
        <v>3100</v>
      </c>
      <c r="G1030" s="1">
        <v>1964</v>
      </c>
      <c r="H1030" s="1" t="s">
        <v>11</v>
      </c>
      <c r="I1030" s="6" cm="1">
        <f t="array" ref="I1030">GetLatitude(D1030)</f>
        <v>560332077</v>
      </c>
      <c r="J1030" s="1" cm="1">
        <f t="array" ref="J1030">GetLongitude(D1030)</f>
        <v>126113015</v>
      </c>
      <c r="K1030" s="1">
        <f t="shared" si="49"/>
        <v>56.033207699999998</v>
      </c>
      <c r="L1030" s="1">
        <f t="shared" si="50"/>
        <v>12.6113015</v>
      </c>
    </row>
    <row r="1031" spans="1:12" ht="16" x14ac:dyDescent="0.2">
      <c r="A1031" s="1">
        <v>1030</v>
      </c>
      <c r="B1031" s="1" t="s">
        <v>2803</v>
      </c>
      <c r="C1031" s="1" t="s">
        <v>3101</v>
      </c>
      <c r="D1031" s="1" t="str">
        <f t="shared" si="48"/>
        <v>Helsingør KommuneStrandgade 45</v>
      </c>
      <c r="E1031" s="1" t="s">
        <v>3102</v>
      </c>
      <c r="F1031" s="1" t="s">
        <v>3103</v>
      </c>
      <c r="G1031" s="1">
        <v>1932</v>
      </c>
      <c r="H1031" s="1" t="s">
        <v>11</v>
      </c>
      <c r="I1031" s="6" cm="1">
        <f t="array" ref="I1031">GetLatitude(D1031)</f>
        <v>560332184</v>
      </c>
      <c r="J1031" s="1" cm="1">
        <f t="array" ref="J1031">GetLongitude(D1031)</f>
        <v>126118388</v>
      </c>
      <c r="K1031" s="1">
        <f t="shared" si="49"/>
        <v>56.033218400000003</v>
      </c>
      <c r="L1031" s="1">
        <f t="shared" si="50"/>
        <v>12.611838799999999</v>
      </c>
    </row>
    <row r="1032" spans="1:12" ht="16" x14ac:dyDescent="0.2">
      <c r="A1032" s="1">
        <v>1031</v>
      </c>
      <c r="B1032" s="1" t="s">
        <v>2803</v>
      </c>
      <c r="C1032" s="1" t="s">
        <v>3104</v>
      </c>
      <c r="D1032" s="1" t="str">
        <f t="shared" si="48"/>
        <v>Helsingør KommuneStrandgade 52 og Jernbanevej 10 B</v>
      </c>
      <c r="E1032" s="1" t="s">
        <v>3105</v>
      </c>
      <c r="F1032" s="1" t="s">
        <v>3106</v>
      </c>
      <c r="G1032" s="1">
        <v>1919</v>
      </c>
      <c r="H1032" s="1" t="s">
        <v>11</v>
      </c>
      <c r="I1032" s="6" cm="1">
        <f t="array" ref="I1032">GetLatitude(D1032)</f>
        <v>556642433</v>
      </c>
      <c r="J1032" s="1" cm="1">
        <f t="array" ref="J1032">GetLongitude(D1032)</f>
        <v>123964753</v>
      </c>
      <c r="K1032" s="1">
        <f t="shared" si="49"/>
        <v>55.664243300000003</v>
      </c>
      <c r="L1032" s="1">
        <f t="shared" si="50"/>
        <v>12.396475300000001</v>
      </c>
    </row>
    <row r="1033" spans="1:12" ht="16" x14ac:dyDescent="0.2">
      <c r="A1033" s="1">
        <v>1032</v>
      </c>
      <c r="B1033" s="1" t="s">
        <v>2803</v>
      </c>
      <c r="C1033" s="1" t="s">
        <v>3107</v>
      </c>
      <c r="D1033" s="1" t="str">
        <f t="shared" si="48"/>
        <v>Helsingør KommuneStrandgade 53</v>
      </c>
      <c r="E1033" s="1" t="s">
        <v>3108</v>
      </c>
      <c r="F1033" s="1" t="s">
        <v>3109</v>
      </c>
      <c r="G1033" s="1">
        <v>1932</v>
      </c>
      <c r="H1033" s="1" t="s">
        <v>11</v>
      </c>
      <c r="I1033" s="6" cm="1">
        <f t="array" ref="I1033">GetLatitude(D1033)</f>
        <v>560337433</v>
      </c>
      <c r="J1033" s="1" cm="1">
        <f t="array" ref="J1033">GetLongitude(D1033)</f>
        <v>126123951</v>
      </c>
      <c r="K1033" s="1">
        <f t="shared" si="49"/>
        <v>56.033743299999998</v>
      </c>
      <c r="L1033" s="1">
        <f t="shared" si="50"/>
        <v>12.612395100000001</v>
      </c>
    </row>
    <row r="1034" spans="1:12" ht="16" x14ac:dyDescent="0.2">
      <c r="A1034" s="1">
        <v>1033</v>
      </c>
      <c r="B1034" s="1" t="s">
        <v>2803</v>
      </c>
      <c r="C1034" s="1" t="s">
        <v>3110</v>
      </c>
      <c r="D1034" s="1" t="str">
        <f t="shared" si="48"/>
        <v>Helsingør KommuneStrandgade 55 A-B</v>
      </c>
      <c r="E1034" s="1" t="s">
        <v>3111</v>
      </c>
      <c r="F1034" s="1" t="s">
        <v>3112</v>
      </c>
      <c r="G1034" s="1">
        <v>1918</v>
      </c>
      <c r="H1034" s="1" t="s">
        <v>11</v>
      </c>
      <c r="I1034" s="6" cm="1">
        <f t="array" ref="I1034">GetLatitude(D1034)</f>
        <v>560409220</v>
      </c>
      <c r="J1034" s="1" cm="1">
        <f t="array" ref="J1034">GetLongitude(D1034)</f>
        <v>124900683</v>
      </c>
      <c r="K1034" s="1">
        <f t="shared" si="49"/>
        <v>56.040922000000002</v>
      </c>
      <c r="L1034" s="1">
        <f t="shared" si="50"/>
        <v>12.490068300000001</v>
      </c>
    </row>
    <row r="1035" spans="1:12" ht="16" x14ac:dyDescent="0.2">
      <c r="A1035" s="1">
        <v>1034</v>
      </c>
      <c r="B1035" s="1" t="s">
        <v>2803</v>
      </c>
      <c r="C1035" s="1" t="s">
        <v>3113</v>
      </c>
      <c r="D1035" s="1" t="str">
        <f t="shared" si="48"/>
        <v>Helsingør KommuneStrandgade 70</v>
      </c>
      <c r="E1035" s="1" t="s">
        <v>3114</v>
      </c>
      <c r="F1035" s="1" t="s">
        <v>3115</v>
      </c>
      <c r="G1035" s="1">
        <v>1919</v>
      </c>
      <c r="H1035" s="1" t="s">
        <v>11</v>
      </c>
      <c r="I1035" s="6" cm="1">
        <f t="array" ref="I1035">GetLatitude(D1035)</f>
        <v>560337986</v>
      </c>
      <c r="J1035" s="1" cm="1">
        <f t="array" ref="J1035">GetLongitude(D1035)</f>
        <v>126129672</v>
      </c>
      <c r="K1035" s="1">
        <f t="shared" si="49"/>
        <v>56.033798599999997</v>
      </c>
      <c r="L1035" s="1">
        <f t="shared" si="50"/>
        <v>12.6129672</v>
      </c>
    </row>
    <row r="1036" spans="1:12" ht="16" x14ac:dyDescent="0.2">
      <c r="A1036" s="1">
        <v>1035</v>
      </c>
      <c r="B1036" s="1" t="s">
        <v>2803</v>
      </c>
      <c r="C1036" s="1" t="s">
        <v>3116</v>
      </c>
      <c r="D1036" s="1" t="str">
        <f t="shared" si="48"/>
        <v>Helsingør KommuneStrandgade 71</v>
      </c>
      <c r="E1036" s="1" t="s">
        <v>3117</v>
      </c>
      <c r="F1036" s="1" t="s">
        <v>3118</v>
      </c>
      <c r="G1036" s="1">
        <v>1983</v>
      </c>
      <c r="H1036" s="1" t="s">
        <v>11</v>
      </c>
      <c r="I1036" s="6" cm="1">
        <f t="array" ref="I1036">GetLatitude(D1036)</f>
        <v>560409220</v>
      </c>
      <c r="J1036" s="1" cm="1">
        <f t="array" ref="J1036">GetLongitude(D1036)</f>
        <v>124900683</v>
      </c>
      <c r="K1036" s="1">
        <f t="shared" si="49"/>
        <v>56.040922000000002</v>
      </c>
      <c r="L1036" s="1">
        <f t="shared" si="50"/>
        <v>12.490068300000001</v>
      </c>
    </row>
    <row r="1037" spans="1:12" ht="16" x14ac:dyDescent="0.2">
      <c r="A1037" s="1">
        <v>1036</v>
      </c>
      <c r="B1037" s="1" t="s">
        <v>2803</v>
      </c>
      <c r="C1037" s="1" t="s">
        <v>3119</v>
      </c>
      <c r="D1037" s="1" t="str">
        <f t="shared" si="48"/>
        <v>Helsingør KommuneStrandgade 75</v>
      </c>
      <c r="E1037" s="1" t="s">
        <v>3120</v>
      </c>
      <c r="F1037" s="1" t="s">
        <v>3121</v>
      </c>
      <c r="G1037" s="1">
        <v>1918</v>
      </c>
      <c r="H1037" s="1" t="s">
        <v>11</v>
      </c>
      <c r="I1037" s="6" cm="1">
        <f t="array" ref="I1037">GetLatitude(D1037)</f>
        <v>560343459</v>
      </c>
      <c r="J1037" s="1" cm="1">
        <f t="array" ref="J1037">GetLongitude(D1037)</f>
        <v>126139925</v>
      </c>
      <c r="K1037" s="1">
        <f t="shared" si="49"/>
        <v>56.034345899999998</v>
      </c>
      <c r="L1037" s="1">
        <f t="shared" si="50"/>
        <v>12.6139925</v>
      </c>
    </row>
    <row r="1038" spans="1:12" ht="16" x14ac:dyDescent="0.2">
      <c r="A1038" s="1">
        <v>1037</v>
      </c>
      <c r="B1038" s="1" t="s">
        <v>2803</v>
      </c>
      <c r="C1038" s="1" t="s">
        <v>3122</v>
      </c>
      <c r="D1038" s="1" t="str">
        <f t="shared" si="48"/>
        <v>Helsingør KommuneStrandgade 77</v>
      </c>
      <c r="E1038" s="1" t="s">
        <v>3123</v>
      </c>
      <c r="F1038" s="1" t="s">
        <v>3124</v>
      </c>
      <c r="G1038" s="1">
        <v>1918</v>
      </c>
      <c r="H1038" s="1" t="s">
        <v>11</v>
      </c>
      <c r="I1038" s="6" cm="1">
        <f t="array" ref="I1038">GetLatitude(D1038)</f>
        <v>560345010</v>
      </c>
      <c r="J1038" s="1" cm="1">
        <f t="array" ref="J1038">GetLongitude(D1038)</f>
        <v>126143043</v>
      </c>
      <c r="K1038" s="1">
        <f t="shared" si="49"/>
        <v>56.034500999999999</v>
      </c>
      <c r="L1038" s="1">
        <f t="shared" si="50"/>
        <v>12.614304300000001</v>
      </c>
    </row>
    <row r="1039" spans="1:12" ht="16" x14ac:dyDescent="0.2">
      <c r="A1039" s="1">
        <v>1038</v>
      </c>
      <c r="B1039" s="1" t="s">
        <v>2803</v>
      </c>
      <c r="C1039" s="1" t="s">
        <v>3125</v>
      </c>
      <c r="D1039" s="1" t="str">
        <f t="shared" si="48"/>
        <v>Helsingør KommuneStrandgade 81-83</v>
      </c>
      <c r="E1039" s="1" t="s">
        <v>3126</v>
      </c>
      <c r="F1039" s="1" t="s">
        <v>3127</v>
      </c>
      <c r="G1039" s="1">
        <v>1919</v>
      </c>
      <c r="H1039" s="1" t="s">
        <v>11</v>
      </c>
      <c r="I1039" s="6" cm="1">
        <f t="array" ref="I1039">GetLatitude(D1039)</f>
        <v>560345600</v>
      </c>
      <c r="J1039" s="1" cm="1">
        <f t="array" ref="J1039">GetLongitude(D1039)</f>
        <v>126144825</v>
      </c>
      <c r="K1039" s="1">
        <f t="shared" si="49"/>
        <v>56.034559999999999</v>
      </c>
      <c r="L1039" s="1">
        <f t="shared" si="50"/>
        <v>12.614482499999999</v>
      </c>
    </row>
    <row r="1040" spans="1:12" ht="16" x14ac:dyDescent="0.2">
      <c r="A1040" s="1">
        <v>1039</v>
      </c>
      <c r="B1040" s="1" t="s">
        <v>2803</v>
      </c>
      <c r="C1040" s="1" t="s">
        <v>3128</v>
      </c>
      <c r="D1040" s="1" t="str">
        <f t="shared" si="48"/>
        <v>Helsingør KommuneStrandgade 85-87</v>
      </c>
      <c r="E1040" s="1" t="s">
        <v>3129</v>
      </c>
      <c r="F1040" s="1" t="s">
        <v>3130</v>
      </c>
      <c r="G1040" s="1">
        <v>1918</v>
      </c>
      <c r="H1040" s="1" t="s">
        <v>11</v>
      </c>
      <c r="I1040" s="6" cm="1">
        <f t="array" ref="I1040">GetLatitude(D1040)</f>
        <v>556773593</v>
      </c>
      <c r="J1040" s="1" cm="1">
        <f t="array" ref="J1040">GetLongitude(D1040)</f>
        <v>125953377</v>
      </c>
      <c r="K1040" s="1">
        <f t="shared" si="49"/>
        <v>55.677359299999999</v>
      </c>
      <c r="L1040" s="1">
        <f t="shared" si="50"/>
        <v>12.5953377</v>
      </c>
    </row>
    <row r="1041" spans="1:12" ht="16" x14ac:dyDescent="0.2">
      <c r="A1041" s="1">
        <v>1040</v>
      </c>
      <c r="B1041" s="1" t="s">
        <v>2803</v>
      </c>
      <c r="C1041" s="1" t="s">
        <v>3131</v>
      </c>
      <c r="D1041" s="1" t="str">
        <f t="shared" si="48"/>
        <v>Helsingør KommuneStrandgade 91 A-C</v>
      </c>
      <c r="E1041" s="1" t="s">
        <v>3132</v>
      </c>
      <c r="F1041" s="1" t="s">
        <v>3133</v>
      </c>
      <c r="G1041" s="1">
        <v>1918</v>
      </c>
      <c r="H1041" s="1" t="s">
        <v>11</v>
      </c>
      <c r="I1041" s="6" cm="1">
        <f t="array" ref="I1041">GetLatitude(D1041)</f>
        <v>556776768</v>
      </c>
      <c r="J1041" s="1" cm="1">
        <f t="array" ref="J1041">GetLongitude(D1041)</f>
        <v>125966212</v>
      </c>
      <c r="K1041" s="1">
        <f t="shared" si="49"/>
        <v>55.6776768</v>
      </c>
      <c r="L1041" s="1">
        <f t="shared" si="50"/>
        <v>12.5966212</v>
      </c>
    </row>
    <row r="1042" spans="1:12" ht="16" x14ac:dyDescent="0.2">
      <c r="A1042" s="1">
        <v>1041</v>
      </c>
      <c r="B1042" s="1" t="s">
        <v>2803</v>
      </c>
      <c r="C1042" s="1" t="s">
        <v>3134</v>
      </c>
      <c r="D1042" s="1" t="str">
        <f t="shared" si="48"/>
        <v>Helsingør KommuneStrandgade 93 A-D</v>
      </c>
      <c r="E1042" s="1" t="s">
        <v>3135</v>
      </c>
      <c r="F1042" s="1" t="s">
        <v>3136</v>
      </c>
      <c r="G1042" s="1">
        <v>1918</v>
      </c>
      <c r="H1042" s="1" t="s">
        <v>11</v>
      </c>
      <c r="I1042" s="6" cm="1">
        <f t="array" ref="I1042">GetLatitude(D1042)</f>
        <v>556778218</v>
      </c>
      <c r="J1042" s="1" cm="1">
        <f t="array" ref="J1042">GetLongitude(D1042)</f>
        <v>125963071</v>
      </c>
      <c r="K1042" s="1">
        <f t="shared" si="49"/>
        <v>55.677821799999997</v>
      </c>
      <c r="L1042" s="1">
        <f t="shared" si="50"/>
        <v>12.596307100000001</v>
      </c>
    </row>
    <row r="1043" spans="1:12" ht="16" x14ac:dyDescent="0.2">
      <c r="A1043" s="1">
        <v>1042</v>
      </c>
      <c r="B1043" s="1" t="s">
        <v>2803</v>
      </c>
      <c r="C1043" s="1" t="s">
        <v>3137</v>
      </c>
      <c r="D1043" s="1" t="str">
        <f t="shared" si="48"/>
        <v>Helsingør KommuneStrandgade 95 A og Sophie Brahesgade 1 C</v>
      </c>
      <c r="E1043" s="1" t="s">
        <v>3138</v>
      </c>
      <c r="F1043" s="1" t="s">
        <v>3139</v>
      </c>
      <c r="G1043" s="1">
        <v>1919</v>
      </c>
      <c r="H1043" s="1" t="s">
        <v>11</v>
      </c>
      <c r="I1043" s="6" cm="1">
        <f t="array" ref="I1043">GetLatitude(D1043)</f>
        <v>560365915</v>
      </c>
      <c r="J1043" s="1" cm="1">
        <f t="array" ref="J1043">GetLongitude(D1043)</f>
        <v>126139682</v>
      </c>
      <c r="K1043" s="1">
        <f t="shared" si="49"/>
        <v>56.0365915</v>
      </c>
      <c r="L1043" s="1">
        <f t="shared" si="50"/>
        <v>12.6139682</v>
      </c>
    </row>
    <row r="1044" spans="1:12" ht="16" x14ac:dyDescent="0.2">
      <c r="A1044" s="1">
        <v>1043</v>
      </c>
      <c r="B1044" s="1" t="s">
        <v>2803</v>
      </c>
      <c r="C1044" s="1" t="s">
        <v>3140</v>
      </c>
      <c r="D1044" s="1" t="str">
        <f t="shared" si="48"/>
        <v>Helsingør KommuneSveasvej 21</v>
      </c>
      <c r="E1044" s="1" t="s">
        <v>3141</v>
      </c>
      <c r="F1044" s="1" t="s">
        <v>3142</v>
      </c>
      <c r="G1044" s="1">
        <v>2005</v>
      </c>
      <c r="H1044" s="1" t="s">
        <v>15</v>
      </c>
      <c r="I1044" s="6" cm="1">
        <f t="array" ref="I1044">GetLatitude(D1044)</f>
        <v>560619622</v>
      </c>
      <c r="J1044" s="1" cm="1">
        <f t="array" ref="J1044">GetLongitude(D1044)</f>
        <v>125606793</v>
      </c>
      <c r="K1044" s="1">
        <f t="shared" si="49"/>
        <v>56.061962200000004</v>
      </c>
      <c r="L1044" s="1">
        <f t="shared" si="50"/>
        <v>12.5606793</v>
      </c>
    </row>
    <row r="1045" spans="1:12" ht="16" x14ac:dyDescent="0.2">
      <c r="A1045" s="1">
        <v>1044</v>
      </c>
      <c r="B1045" s="1" t="s">
        <v>2803</v>
      </c>
      <c r="C1045" s="1" t="s">
        <v>3143</v>
      </c>
      <c r="D1045" s="1" t="str">
        <f t="shared" si="48"/>
        <v>Helsingør KommuneSvingelport 7 A-B</v>
      </c>
      <c r="E1045" s="1" t="s">
        <v>3144</v>
      </c>
      <c r="F1045" s="1" t="s">
        <v>3145</v>
      </c>
      <c r="G1045" s="1">
        <v>1919</v>
      </c>
      <c r="H1045" s="1" t="s">
        <v>15</v>
      </c>
      <c r="I1045" s="6" cm="1">
        <f t="array" ref="I1045">GetLatitude(D1045)</f>
        <v>560315254</v>
      </c>
      <c r="J1045" s="1" cm="1">
        <f t="array" ref="J1045">GetLongitude(D1045)</f>
        <v>126087125</v>
      </c>
      <c r="K1045" s="1">
        <f t="shared" si="49"/>
        <v>56.0315254</v>
      </c>
      <c r="L1045" s="1">
        <f t="shared" si="50"/>
        <v>12.608712499999999</v>
      </c>
    </row>
    <row r="1046" spans="1:12" ht="16" x14ac:dyDescent="0.2">
      <c r="A1046" s="1">
        <v>1045</v>
      </c>
      <c r="B1046" s="1" t="s">
        <v>2803</v>
      </c>
      <c r="C1046" s="1" t="s">
        <v>3146</v>
      </c>
      <c r="D1046" s="1" t="str">
        <f t="shared" si="48"/>
        <v>Helsingør KommuneSvingelport 8 A</v>
      </c>
      <c r="E1046" s="1" t="s">
        <v>3147</v>
      </c>
      <c r="F1046" s="1" t="s">
        <v>3148</v>
      </c>
      <c r="G1046" s="1">
        <v>1945</v>
      </c>
      <c r="H1046" s="1" t="s">
        <v>15</v>
      </c>
      <c r="I1046" s="6" cm="1">
        <f t="array" ref="I1046">GetLatitude(D1046)</f>
        <v>560310120</v>
      </c>
      <c r="J1046" s="1" cm="1">
        <f t="array" ref="J1046">GetLongitude(D1046)</f>
        <v>126081080</v>
      </c>
      <c r="K1046" s="1">
        <f t="shared" si="49"/>
        <v>56.031011999999997</v>
      </c>
      <c r="L1046" s="1">
        <f t="shared" si="50"/>
        <v>12.608108</v>
      </c>
    </row>
    <row r="1047" spans="1:12" ht="16" x14ac:dyDescent="0.2">
      <c r="A1047" s="1">
        <v>1046</v>
      </c>
      <c r="B1047" s="1" t="s">
        <v>2803</v>
      </c>
      <c r="C1047" s="1" t="s">
        <v>3149</v>
      </c>
      <c r="D1047" s="1" t="str">
        <f t="shared" si="48"/>
        <v>Helsingør KommuneValnøddevænget 10</v>
      </c>
      <c r="E1047" s="1" t="s">
        <v>3149</v>
      </c>
      <c r="F1047" s="1" t="s">
        <v>3150</v>
      </c>
      <c r="G1047" s="1">
        <v>1988</v>
      </c>
      <c r="H1047" s="1" t="s">
        <v>11</v>
      </c>
      <c r="I1047" s="6" cm="1">
        <f t="array" ref="I1047">GetLatitude(D1047)</f>
        <v>560197584</v>
      </c>
      <c r="J1047" s="1" cm="1">
        <f t="array" ref="J1047">GetLongitude(D1047)</f>
        <v>125916969</v>
      </c>
      <c r="K1047" s="1">
        <f t="shared" si="49"/>
        <v>56.019758400000001</v>
      </c>
      <c r="L1047" s="1">
        <f t="shared" si="50"/>
        <v>12.591696900000001</v>
      </c>
    </row>
    <row r="1048" spans="1:12" ht="16" x14ac:dyDescent="0.2">
      <c r="A1048" s="1">
        <v>1047</v>
      </c>
      <c r="B1048" s="1" t="s">
        <v>3151</v>
      </c>
      <c r="C1048" s="1" t="s">
        <v>3152</v>
      </c>
      <c r="D1048" s="1" t="str">
        <f t="shared" si="48"/>
        <v>Herning KommuneAvlumvej 5</v>
      </c>
      <c r="E1048" s="1" t="s">
        <v>3153</v>
      </c>
      <c r="F1048" s="1" t="s">
        <v>289</v>
      </c>
      <c r="G1048" s="1">
        <v>1996</v>
      </c>
      <c r="H1048" s="1" t="s">
        <v>15</v>
      </c>
      <c r="I1048" s="6" cm="1">
        <f t="array" ref="I1048">GetLatitude(D1048)</f>
        <v>562675842</v>
      </c>
      <c r="J1048" s="1" cm="1">
        <f t="array" ref="J1048">GetLongitude(D1048)</f>
        <v>86984441</v>
      </c>
      <c r="K1048" s="1">
        <f t="shared" si="49"/>
        <v>56.267584200000002</v>
      </c>
      <c r="L1048" s="1">
        <f t="shared" si="50"/>
        <v>8.6984440999999997</v>
      </c>
    </row>
    <row r="1049" spans="1:12" ht="16" x14ac:dyDescent="0.2">
      <c r="A1049" s="1">
        <v>1048</v>
      </c>
      <c r="B1049" s="1" t="s">
        <v>3151</v>
      </c>
      <c r="C1049" s="1" t="s">
        <v>3154</v>
      </c>
      <c r="D1049" s="1" t="str">
        <f t="shared" si="48"/>
        <v>Herning KommuneBirk Centerpark 311</v>
      </c>
      <c r="E1049" s="1" t="s">
        <v>3155</v>
      </c>
      <c r="F1049" s="1" t="s">
        <v>3156</v>
      </c>
      <c r="G1049" s="1">
        <v>2014</v>
      </c>
      <c r="H1049" s="1" t="s">
        <v>15</v>
      </c>
      <c r="I1049" s="6" cm="1">
        <f t="array" ref="I1049">GetLatitude(D1049)</f>
        <v>561313296</v>
      </c>
      <c r="J1049" s="1" cm="1">
        <f t="array" ref="J1049">GetLongitude(D1049)</f>
        <v>90325283</v>
      </c>
      <c r="K1049" s="1">
        <f t="shared" si="49"/>
        <v>56.131329600000001</v>
      </c>
      <c r="L1049" s="1">
        <f t="shared" si="50"/>
        <v>9.0325282999999992</v>
      </c>
    </row>
    <row r="1050" spans="1:12" ht="16" x14ac:dyDescent="0.2">
      <c r="A1050" s="1">
        <v>1049</v>
      </c>
      <c r="B1050" s="1" t="s">
        <v>3151</v>
      </c>
      <c r="C1050" s="1" t="s">
        <v>3157</v>
      </c>
      <c r="D1050" s="1" t="str">
        <f t="shared" si="48"/>
        <v>Herning KommuneHøjskolevej 11</v>
      </c>
      <c r="E1050" s="1" t="s">
        <v>3158</v>
      </c>
      <c r="F1050" s="1" t="s">
        <v>3159</v>
      </c>
      <c r="G1050" s="1">
        <v>2018</v>
      </c>
      <c r="H1050" s="1" t="s">
        <v>11</v>
      </c>
      <c r="I1050" s="6" cm="1">
        <f t="array" ref="I1050">GetLatitude(D1050)</f>
        <v>561333833</v>
      </c>
      <c r="J1050" s="1" cm="1">
        <f t="array" ref="J1050">GetLongitude(D1050)</f>
        <v>90152576</v>
      </c>
      <c r="K1050" s="1">
        <f t="shared" si="49"/>
        <v>56.133383299999998</v>
      </c>
      <c r="L1050" s="1">
        <f t="shared" si="50"/>
        <v>9.0152576</v>
      </c>
    </row>
    <row r="1051" spans="1:12" ht="16" x14ac:dyDescent="0.2">
      <c r="A1051" s="1">
        <v>1050</v>
      </c>
      <c r="B1051" s="1" t="s">
        <v>3151</v>
      </c>
      <c r="C1051" s="1" t="s">
        <v>3160</v>
      </c>
      <c r="D1051" s="1" t="str">
        <f t="shared" si="48"/>
        <v>Herning KommuneMøltrupvej 70 (tidl 50)</v>
      </c>
      <c r="E1051" s="1" t="s">
        <v>3161</v>
      </c>
      <c r="F1051" s="1" t="s">
        <v>3162</v>
      </c>
      <c r="G1051" s="1">
        <v>1939</v>
      </c>
      <c r="H1051" s="1" t="s">
        <v>11</v>
      </c>
      <c r="I1051" s="6" cm="1">
        <f t="array" ref="I1051">GetLatitude(D1051)</f>
        <v>561766548</v>
      </c>
      <c r="J1051" s="1" cm="1">
        <f t="array" ref="J1051">GetLongitude(D1051)</f>
        <v>87601766</v>
      </c>
      <c r="K1051" s="1">
        <f t="shared" si="49"/>
        <v>56.176654800000001</v>
      </c>
      <c r="L1051" s="1">
        <f t="shared" si="50"/>
        <v>8.7601765999999994</v>
      </c>
    </row>
    <row r="1052" spans="1:12" ht="16" x14ac:dyDescent="0.2">
      <c r="A1052" s="1">
        <v>1051</v>
      </c>
      <c r="B1052" s="1" t="s">
        <v>3151</v>
      </c>
      <c r="C1052" s="1" t="s">
        <v>3163</v>
      </c>
      <c r="D1052" s="1" t="str">
        <f t="shared" si="48"/>
        <v>Herning KommuneSindinggårdvej 21</v>
      </c>
      <c r="E1052" s="1" t="s">
        <v>3164</v>
      </c>
      <c r="F1052" s="1" t="s">
        <v>3165</v>
      </c>
      <c r="G1052" s="1">
        <v>1939</v>
      </c>
      <c r="H1052" s="1" t="s">
        <v>11</v>
      </c>
      <c r="I1052" s="6" cm="1">
        <f t="array" ref="I1052">GetLatitude(D1052)</f>
        <v>562090281</v>
      </c>
      <c r="J1052" s="1" cm="1">
        <f t="array" ref="J1052">GetLongitude(D1052)</f>
        <v>88621535</v>
      </c>
      <c r="K1052" s="1">
        <f t="shared" si="49"/>
        <v>56.209028099999998</v>
      </c>
      <c r="L1052" s="1">
        <f t="shared" si="50"/>
        <v>8.8621534999999998</v>
      </c>
    </row>
    <row r="1053" spans="1:12" ht="16" x14ac:dyDescent="0.2">
      <c r="A1053" s="1">
        <v>1052</v>
      </c>
      <c r="B1053" s="1" t="s">
        <v>3151</v>
      </c>
      <c r="C1053" s="1" t="s">
        <v>3166</v>
      </c>
      <c r="D1053" s="1" t="str">
        <f t="shared" si="48"/>
        <v>Herning KommuneUldjydevej 3</v>
      </c>
      <c r="E1053" s="1" t="s">
        <v>3167</v>
      </c>
      <c r="F1053" s="1" t="s">
        <v>3168</v>
      </c>
      <c r="G1053" s="1">
        <v>1995</v>
      </c>
      <c r="H1053" s="1" t="s">
        <v>15</v>
      </c>
      <c r="I1053" s="6" cm="1">
        <f t="array" ref="I1053">GetLatitude(D1053)</f>
        <v>561280475</v>
      </c>
      <c r="J1053" s="1" cm="1">
        <f t="array" ref="J1053">GetLongitude(D1053)</f>
        <v>90409720</v>
      </c>
      <c r="K1053" s="1">
        <f t="shared" si="49"/>
        <v>56.128047500000001</v>
      </c>
      <c r="L1053" s="1">
        <f t="shared" si="50"/>
        <v>9.040972</v>
      </c>
    </row>
    <row r="1054" spans="1:12" ht="16" x14ac:dyDescent="0.2">
      <c r="A1054" s="1">
        <v>1053</v>
      </c>
      <c r="B1054" s="1" t="s">
        <v>3151</v>
      </c>
      <c r="C1054" s="1" t="s">
        <v>3169</v>
      </c>
      <c r="D1054" s="1" t="str">
        <f t="shared" si="48"/>
        <v>Herning KommuneViborgvej 72</v>
      </c>
      <c r="E1054" s="1" t="s">
        <v>3170</v>
      </c>
      <c r="F1054" s="1" t="s">
        <v>3171</v>
      </c>
      <c r="G1054" s="1">
        <v>1918</v>
      </c>
      <c r="H1054" s="1" t="s">
        <v>11</v>
      </c>
      <c r="I1054" s="6" cm="1">
        <f t="array" ref="I1054">GetLatitude(D1054)</f>
        <v>561456510</v>
      </c>
      <c r="J1054" s="1" cm="1">
        <f t="array" ref="J1054">GetLongitude(D1054)</f>
        <v>89988550</v>
      </c>
      <c r="K1054" s="1">
        <f t="shared" si="49"/>
        <v>56.145651000000001</v>
      </c>
      <c r="L1054" s="1">
        <f t="shared" si="50"/>
        <v>8.9988550000000007</v>
      </c>
    </row>
    <row r="1055" spans="1:12" ht="16" x14ac:dyDescent="0.2">
      <c r="A1055" s="1">
        <v>1054</v>
      </c>
      <c r="B1055" s="1" t="s">
        <v>3151</v>
      </c>
      <c r="C1055" s="1" t="s">
        <v>2473</v>
      </c>
      <c r="D1055" s="1" t="str">
        <f t="shared" si="48"/>
        <v>Herning KommuneØstergade 9</v>
      </c>
      <c r="E1055" s="1" t="s">
        <v>3172</v>
      </c>
      <c r="F1055" s="1" t="s">
        <v>3173</v>
      </c>
      <c r="G1055" s="1">
        <v>1982</v>
      </c>
      <c r="H1055" s="1" t="s">
        <v>15</v>
      </c>
      <c r="I1055" s="6" cm="1">
        <f t="array" ref="I1055">GetLatitude(D1055)</f>
        <v>561356579</v>
      </c>
      <c r="J1055" s="1" cm="1">
        <f t="array" ref="J1055">GetLongitude(D1055)</f>
        <v>89801581</v>
      </c>
      <c r="K1055" s="1">
        <f t="shared" si="49"/>
        <v>56.135657899999998</v>
      </c>
      <c r="L1055" s="1">
        <f t="shared" si="50"/>
        <v>8.9801581000000006</v>
      </c>
    </row>
    <row r="1056" spans="1:12" ht="16" x14ac:dyDescent="0.2">
      <c r="A1056" s="1">
        <v>1055</v>
      </c>
      <c r="B1056" s="1" t="s">
        <v>3174</v>
      </c>
      <c r="C1056" s="1" t="s">
        <v>3175</v>
      </c>
      <c r="D1056" s="1" t="str">
        <f t="shared" si="48"/>
        <v>Hillerød KommuneBatzkes Bakke 1</v>
      </c>
      <c r="E1056" s="1" t="s">
        <v>3176</v>
      </c>
      <c r="F1056" s="1" t="s">
        <v>3177</v>
      </c>
      <c r="G1056" s="1">
        <v>1924</v>
      </c>
      <c r="H1056" s="1" t="s">
        <v>11</v>
      </c>
      <c r="I1056" s="6" cm="1">
        <f t="array" ref="I1056">GetLatitude(D1056)</f>
        <v>559362000</v>
      </c>
      <c r="J1056" s="1" cm="1">
        <f t="array" ref="J1056">GetLongitude(D1056)</f>
        <v>123073143</v>
      </c>
      <c r="K1056" s="1">
        <f t="shared" si="49"/>
        <v>55.936199999999999</v>
      </c>
      <c r="L1056" s="1">
        <f t="shared" si="50"/>
        <v>12.3073143</v>
      </c>
    </row>
    <row r="1057" spans="1:12" ht="16" x14ac:dyDescent="0.2">
      <c r="A1057" s="1">
        <v>1056</v>
      </c>
      <c r="B1057" s="1" t="s">
        <v>3174</v>
      </c>
      <c r="C1057" s="1" t="s">
        <v>3178</v>
      </c>
      <c r="D1057" s="1" t="str">
        <f t="shared" si="48"/>
        <v>Hillerød KommuneFrederiksborg Slot 1</v>
      </c>
      <c r="E1057" s="1" t="s">
        <v>3179</v>
      </c>
      <c r="F1057" s="1" t="s">
        <v>3180</v>
      </c>
      <c r="G1057" s="1">
        <v>1918</v>
      </c>
      <c r="H1057" s="1" t="s">
        <v>15</v>
      </c>
      <c r="I1057" s="6" cm="1">
        <f t="array" ref="I1057">GetLatitude(D1057)</f>
        <v>559342090</v>
      </c>
      <c r="J1057" s="1" cm="1">
        <f t="array" ref="J1057">GetLongitude(D1057)</f>
        <v>122995670</v>
      </c>
      <c r="K1057" s="1">
        <f t="shared" si="49"/>
        <v>55.934209000000003</v>
      </c>
      <c r="L1057" s="1">
        <f t="shared" si="50"/>
        <v>12.299567</v>
      </c>
    </row>
    <row r="1058" spans="1:12" ht="16" x14ac:dyDescent="0.2">
      <c r="A1058" s="1">
        <v>1057</v>
      </c>
      <c r="B1058" s="1" t="s">
        <v>3174</v>
      </c>
      <c r="C1058" s="1" t="s">
        <v>3181</v>
      </c>
      <c r="D1058" s="1" t="str">
        <f t="shared" si="48"/>
        <v>Hillerød KommuneFrederiksværksgade 23</v>
      </c>
      <c r="E1058" s="1" t="s">
        <v>3182</v>
      </c>
      <c r="F1058" s="1" t="s">
        <v>3183</v>
      </c>
      <c r="G1058" s="1">
        <v>1919</v>
      </c>
      <c r="H1058" s="1" t="s">
        <v>11</v>
      </c>
      <c r="I1058" s="6" cm="1">
        <f t="array" ref="I1058">GetLatitude(D1058)</f>
        <v>559355433</v>
      </c>
      <c r="J1058" s="1" cm="1">
        <f t="array" ref="J1058">GetLongitude(D1058)</f>
        <v>122935574</v>
      </c>
      <c r="K1058" s="1">
        <f t="shared" si="49"/>
        <v>55.935543299999999</v>
      </c>
      <c r="L1058" s="1">
        <f t="shared" si="50"/>
        <v>12.293557399999999</v>
      </c>
    </row>
    <row r="1059" spans="1:12" ht="16" x14ac:dyDescent="0.2">
      <c r="A1059" s="1">
        <v>1058</v>
      </c>
      <c r="B1059" s="1" t="s">
        <v>3174</v>
      </c>
      <c r="C1059" s="1" t="s">
        <v>3184</v>
      </c>
      <c r="D1059" s="1" t="str">
        <f t="shared" si="48"/>
        <v>Hillerød KommuneFrederiksværksgade 2 A</v>
      </c>
      <c r="E1059" s="1" t="s">
        <v>3185</v>
      </c>
      <c r="F1059" s="1" t="s">
        <v>3186</v>
      </c>
      <c r="G1059" s="1">
        <v>1945</v>
      </c>
      <c r="H1059" s="1" t="s">
        <v>15</v>
      </c>
      <c r="I1059" s="6" cm="1">
        <f t="array" ref="I1059">GetLatitude(D1059)</f>
        <v>559350920</v>
      </c>
      <c r="J1059" s="1" cm="1">
        <f t="array" ref="J1059">GetLongitude(D1059)</f>
        <v>122964870</v>
      </c>
      <c r="K1059" s="1">
        <f t="shared" si="49"/>
        <v>55.935091999999997</v>
      </c>
      <c r="L1059" s="1">
        <f t="shared" si="50"/>
        <v>12.296487000000001</v>
      </c>
    </row>
    <row r="1060" spans="1:12" ht="16" x14ac:dyDescent="0.2">
      <c r="A1060" s="1">
        <v>1059</v>
      </c>
      <c r="B1060" s="1" t="s">
        <v>3174</v>
      </c>
      <c r="C1060" s="1" t="s">
        <v>3187</v>
      </c>
      <c r="D1060" s="1" t="str">
        <f t="shared" si="48"/>
        <v>Hillerød KommuneFrederiksværksgade 39</v>
      </c>
      <c r="E1060" s="1" t="s">
        <v>3188</v>
      </c>
      <c r="F1060" s="1" t="s">
        <v>3189</v>
      </c>
      <c r="G1060" s="1">
        <v>1919</v>
      </c>
      <c r="H1060" s="1" t="s">
        <v>701</v>
      </c>
      <c r="I1060" s="6" cm="1">
        <f t="array" ref="I1060">GetLatitude(D1060)</f>
        <v>559362032</v>
      </c>
      <c r="J1060" s="1" cm="1">
        <f t="array" ref="J1060">GetLongitude(D1060)</f>
        <v>122909941</v>
      </c>
      <c r="K1060" s="1">
        <f t="shared" si="49"/>
        <v>55.936203200000001</v>
      </c>
      <c r="L1060" s="1">
        <f t="shared" si="50"/>
        <v>12.290994100000001</v>
      </c>
    </row>
    <row r="1061" spans="1:12" ht="16" x14ac:dyDescent="0.2">
      <c r="A1061" s="1">
        <v>1060</v>
      </c>
      <c r="B1061" s="1" t="s">
        <v>3174</v>
      </c>
      <c r="C1061" s="1" t="s">
        <v>3190</v>
      </c>
      <c r="D1061" s="1" t="str">
        <f t="shared" si="48"/>
        <v>Hillerød KommuneGadevangsvej 109</v>
      </c>
      <c r="E1061" s="1" t="s">
        <v>1595</v>
      </c>
      <c r="F1061" s="1" t="s">
        <v>3191</v>
      </c>
      <c r="G1061" s="1">
        <v>1977</v>
      </c>
      <c r="H1061" s="1" t="s">
        <v>15</v>
      </c>
      <c r="I1061" s="6" cm="1">
        <f t="array" ref="I1061">GetLatitude(D1061)</f>
        <v>559607168</v>
      </c>
      <c r="J1061" s="1" cm="1">
        <f t="array" ref="J1061">GetLongitude(D1061)</f>
        <v>122842405</v>
      </c>
      <c r="K1061" s="1">
        <f t="shared" si="49"/>
        <v>55.9607168</v>
      </c>
      <c r="L1061" s="1">
        <f t="shared" si="50"/>
        <v>12.284240499999999</v>
      </c>
    </row>
    <row r="1062" spans="1:12" ht="16" x14ac:dyDescent="0.2">
      <c r="A1062" s="1">
        <v>1061</v>
      </c>
      <c r="B1062" s="1" t="s">
        <v>3174</v>
      </c>
      <c r="C1062" s="1" t="s">
        <v>3192</v>
      </c>
      <c r="D1062" s="1" t="str">
        <f t="shared" si="48"/>
        <v>Hillerød KommuneKannikegade 2</v>
      </c>
      <c r="E1062" s="1" t="s">
        <v>3193</v>
      </c>
      <c r="F1062" s="1" t="s">
        <v>3194</v>
      </c>
      <c r="G1062" s="1">
        <v>1979</v>
      </c>
      <c r="H1062" s="1" t="s">
        <v>15</v>
      </c>
      <c r="I1062" s="6" cm="1">
        <f t="array" ref="I1062">GetLatitude(D1062)</f>
        <v>559290485</v>
      </c>
      <c r="J1062" s="1" cm="1">
        <f t="array" ref="J1062">GetLongitude(D1062)</f>
        <v>123050740</v>
      </c>
      <c r="K1062" s="1">
        <f t="shared" si="49"/>
        <v>55.9290485</v>
      </c>
      <c r="L1062" s="1">
        <f t="shared" si="50"/>
        <v>12.305073999999999</v>
      </c>
    </row>
    <row r="1063" spans="1:12" ht="16" x14ac:dyDescent="0.2">
      <c r="A1063" s="1">
        <v>1062</v>
      </c>
      <c r="B1063" s="1" t="s">
        <v>3174</v>
      </c>
      <c r="C1063" s="1" t="s">
        <v>3195</v>
      </c>
      <c r="D1063" s="1" t="str">
        <f t="shared" si="48"/>
        <v>Hillerød KommuneKøbenhavnsvej 34 A-B</v>
      </c>
      <c r="E1063" s="1" t="s">
        <v>3196</v>
      </c>
      <c r="F1063" s="1" t="s">
        <v>3197</v>
      </c>
      <c r="G1063" s="1">
        <v>1945</v>
      </c>
      <c r="H1063" s="1" t="s">
        <v>11</v>
      </c>
      <c r="I1063" s="6" cm="1">
        <f t="array" ref="I1063">GetLatitude(D1063)</f>
        <v>559306710</v>
      </c>
      <c r="J1063" s="1" cm="1">
        <f t="array" ref="J1063">GetLongitude(D1063)</f>
        <v>123170897</v>
      </c>
      <c r="K1063" s="1">
        <f t="shared" si="49"/>
        <v>55.930670999999997</v>
      </c>
      <c r="L1063" s="1">
        <f t="shared" si="50"/>
        <v>12.3170897</v>
      </c>
    </row>
    <row r="1064" spans="1:12" ht="16" x14ac:dyDescent="0.2">
      <c r="A1064" s="1">
        <v>1063</v>
      </c>
      <c r="B1064" s="1" t="s">
        <v>3174</v>
      </c>
      <c r="C1064" s="1" t="s">
        <v>3198</v>
      </c>
      <c r="D1064" s="1" t="str">
        <f t="shared" si="48"/>
        <v>Hillerød KommuneMøllestræde 4</v>
      </c>
      <c r="E1064" s="1" t="s">
        <v>3199</v>
      </c>
      <c r="F1064" s="1" t="s">
        <v>3200</v>
      </c>
      <c r="G1064" s="1">
        <v>1950</v>
      </c>
      <c r="H1064" s="1" t="s">
        <v>11</v>
      </c>
      <c r="I1064" s="6" cm="1">
        <f t="array" ref="I1064">GetLatitude(D1064)</f>
        <v>559312639</v>
      </c>
      <c r="J1064" s="1" cm="1">
        <f t="array" ref="J1064">GetLongitude(D1064)</f>
        <v>122984616</v>
      </c>
      <c r="K1064" s="1">
        <f t="shared" si="49"/>
        <v>55.931263899999998</v>
      </c>
      <c r="L1064" s="1">
        <f t="shared" si="50"/>
        <v>12.2984616</v>
      </c>
    </row>
    <row r="1065" spans="1:12" ht="16" x14ac:dyDescent="0.2">
      <c r="A1065" s="1">
        <v>1064</v>
      </c>
      <c r="B1065" s="1" t="s">
        <v>3174</v>
      </c>
      <c r="C1065" s="1" t="s">
        <v>3201</v>
      </c>
      <c r="D1065" s="1" t="str">
        <f t="shared" si="48"/>
        <v>Hillerød KommuneNy Harløsevej 11-13 A-B</v>
      </c>
      <c r="E1065" s="1" t="s">
        <v>3202</v>
      </c>
      <c r="F1065" s="1" t="s">
        <v>3203</v>
      </c>
      <c r="G1065" s="1">
        <v>1971</v>
      </c>
      <c r="H1065" s="1" t="s">
        <v>3204</v>
      </c>
      <c r="I1065" s="6" cm="1">
        <f t="array" ref="I1065">GetLatitude(D1065)</f>
        <v>559270908</v>
      </c>
      <c r="J1065" s="1" cm="1">
        <f t="array" ref="J1065">GetLongitude(D1065)</f>
        <v>122505990</v>
      </c>
      <c r="K1065" s="1">
        <f t="shared" si="49"/>
        <v>55.927090800000002</v>
      </c>
      <c r="L1065" s="1">
        <f t="shared" si="50"/>
        <v>12.250598999999999</v>
      </c>
    </row>
    <row r="1066" spans="1:12" ht="16" x14ac:dyDescent="0.2">
      <c r="A1066" s="1">
        <v>1065</v>
      </c>
      <c r="B1066" s="1" t="s">
        <v>3174</v>
      </c>
      <c r="C1066" s="1" t="s">
        <v>3205</v>
      </c>
      <c r="D1066" s="1" t="str">
        <f t="shared" si="48"/>
        <v>Hillerød KommuneNødebovej 77</v>
      </c>
      <c r="E1066" s="1" t="s">
        <v>3206</v>
      </c>
      <c r="F1066" s="1" t="s">
        <v>3207</v>
      </c>
      <c r="G1066" s="1">
        <v>1950</v>
      </c>
      <c r="H1066" s="1" t="s">
        <v>15</v>
      </c>
      <c r="I1066" s="6" cm="1">
        <f t="array" ref="I1066">GetLatitude(D1066)</f>
        <v>559889927</v>
      </c>
      <c r="J1066" s="1" cm="1">
        <f t="array" ref="J1066">GetLongitude(D1066)</f>
        <v>123471734</v>
      </c>
      <c r="K1066" s="1">
        <f t="shared" si="49"/>
        <v>55.988992699999997</v>
      </c>
      <c r="L1066" s="1">
        <f t="shared" si="50"/>
        <v>12.347173400000001</v>
      </c>
    </row>
    <row r="1067" spans="1:12" ht="16" x14ac:dyDescent="0.2">
      <c r="A1067" s="1">
        <v>1066</v>
      </c>
      <c r="B1067" s="1" t="s">
        <v>3174</v>
      </c>
      <c r="C1067" s="1" t="s">
        <v>3208</v>
      </c>
      <c r="D1067" s="1" t="str">
        <f t="shared" si="48"/>
        <v>Hillerød KommuneRoskildevej 58 A</v>
      </c>
      <c r="E1067" s="1" t="s">
        <v>3209</v>
      </c>
      <c r="F1067" s="1" t="s">
        <v>3210</v>
      </c>
      <c r="G1067" s="1">
        <v>1964</v>
      </c>
      <c r="H1067" s="1" t="s">
        <v>701</v>
      </c>
      <c r="I1067" s="6" cm="1">
        <f t="array" ref="I1067">GetLatitude(D1067)</f>
        <v>559086077</v>
      </c>
      <c r="J1067" s="1" cm="1">
        <f t="array" ref="J1067">GetLongitude(D1067)</f>
        <v>122850886</v>
      </c>
      <c r="K1067" s="1">
        <f t="shared" si="49"/>
        <v>55.908607699999997</v>
      </c>
      <c r="L1067" s="1">
        <f t="shared" si="50"/>
        <v>12.2850886</v>
      </c>
    </row>
    <row r="1068" spans="1:12" ht="16" x14ac:dyDescent="0.2">
      <c r="A1068" s="1">
        <v>1067</v>
      </c>
      <c r="B1068" s="1" t="s">
        <v>3174</v>
      </c>
      <c r="C1068" s="1" t="s">
        <v>3211</v>
      </c>
      <c r="D1068" s="1" t="str">
        <f t="shared" si="48"/>
        <v>Hillerød KommuneSøndre Jernbanevej 4</v>
      </c>
      <c r="E1068" s="1" t="s">
        <v>3212</v>
      </c>
      <c r="F1068" s="1" t="s">
        <v>3213</v>
      </c>
      <c r="G1068" s="1">
        <v>1945</v>
      </c>
      <c r="H1068" s="1" t="s">
        <v>11</v>
      </c>
      <c r="I1068" s="6" cm="1">
        <f t="array" ref="I1068">GetLatitude(D1068)</f>
        <v>559286470</v>
      </c>
      <c r="J1068" s="1" cm="1">
        <f t="array" ref="J1068">GetLongitude(D1068)</f>
        <v>123049773</v>
      </c>
      <c r="K1068" s="1">
        <f t="shared" si="49"/>
        <v>55.928646999999998</v>
      </c>
      <c r="L1068" s="1">
        <f t="shared" si="50"/>
        <v>12.304977299999999</v>
      </c>
    </row>
    <row r="1069" spans="1:12" ht="16" x14ac:dyDescent="0.2">
      <c r="A1069" s="1">
        <v>1068</v>
      </c>
      <c r="B1069" s="1" t="s">
        <v>3214</v>
      </c>
      <c r="C1069" s="1" t="s">
        <v>3215</v>
      </c>
      <c r="D1069" s="1" t="str">
        <f t="shared" si="48"/>
        <v>Hjørring KommuneAmtmandstoften 1</v>
      </c>
      <c r="E1069" s="1" t="s">
        <v>3216</v>
      </c>
      <c r="F1069" s="1" t="s">
        <v>3217</v>
      </c>
      <c r="G1069" s="1">
        <v>2010</v>
      </c>
      <c r="H1069" s="1" t="s">
        <v>15</v>
      </c>
      <c r="I1069" s="6" cm="1">
        <f t="array" ref="I1069">GetLatitude(D1069)</f>
        <v>574580710</v>
      </c>
      <c r="J1069" s="1" cm="1">
        <f t="array" ref="J1069">GetLongitude(D1069)</f>
        <v>99887380</v>
      </c>
      <c r="K1069" s="1">
        <f t="shared" si="49"/>
        <v>57.458070999999997</v>
      </c>
      <c r="L1069" s="1">
        <f t="shared" si="50"/>
        <v>9.9887379999999997</v>
      </c>
    </row>
    <row r="1070" spans="1:12" ht="16" x14ac:dyDescent="0.2">
      <c r="A1070" s="1">
        <v>1069</v>
      </c>
      <c r="B1070" s="1" t="s">
        <v>3214</v>
      </c>
      <c r="C1070" s="1" t="s">
        <v>3218</v>
      </c>
      <c r="D1070" s="1" t="str">
        <f t="shared" si="48"/>
        <v>Hjørring KommuneBaggesvognvej 499</v>
      </c>
      <c r="E1070" s="1" t="s">
        <v>3219</v>
      </c>
      <c r="F1070" s="1" t="s">
        <v>11383</v>
      </c>
      <c r="G1070" s="1">
        <v>1951</v>
      </c>
      <c r="H1070" s="1" t="s">
        <v>3220</v>
      </c>
      <c r="I1070" s="6" cm="1">
        <f t="array" ref="I1070">GetLatitude(D1070)</f>
        <v>575059121</v>
      </c>
      <c r="J1070" s="1" cm="1">
        <f t="array" ref="J1070">GetLongitude(D1070)</f>
        <v>101462380</v>
      </c>
      <c r="K1070" s="1">
        <f t="shared" si="49"/>
        <v>57.505912100000003</v>
      </c>
      <c r="L1070" s="1">
        <f t="shared" si="50"/>
        <v>10.146238</v>
      </c>
    </row>
    <row r="1071" spans="1:12" ht="16" x14ac:dyDescent="0.2">
      <c r="A1071" s="1">
        <v>1070</v>
      </c>
      <c r="B1071" s="1" t="s">
        <v>3214</v>
      </c>
      <c r="C1071" s="1" t="s">
        <v>3221</v>
      </c>
      <c r="D1071" s="1" t="str">
        <f t="shared" si="48"/>
        <v>Hjørring KommuneBrinck Seidelinsgade 10</v>
      </c>
      <c r="E1071" s="1" t="s">
        <v>3222</v>
      </c>
      <c r="F1071" s="1" t="s">
        <v>3223</v>
      </c>
      <c r="G1071" s="1">
        <v>1988</v>
      </c>
      <c r="H1071" s="1" t="s">
        <v>15</v>
      </c>
      <c r="I1071" s="6" cm="1">
        <f t="array" ref="I1071">GetLatitude(D1071)</f>
        <v>574585103</v>
      </c>
      <c r="J1071" s="1" cm="1">
        <f t="array" ref="J1071">GetLongitude(D1071)</f>
        <v>99882181</v>
      </c>
      <c r="K1071" s="1">
        <f t="shared" si="49"/>
        <v>57.4585103</v>
      </c>
      <c r="L1071" s="1">
        <f t="shared" si="50"/>
        <v>9.9882180999999992</v>
      </c>
    </row>
    <row r="1072" spans="1:12" ht="16" x14ac:dyDescent="0.2">
      <c r="A1072" s="1">
        <v>1071</v>
      </c>
      <c r="B1072" s="1" t="s">
        <v>3214</v>
      </c>
      <c r="C1072" s="1" t="s">
        <v>3224</v>
      </c>
      <c r="D1072" s="1" t="str">
        <f t="shared" si="48"/>
        <v>Hjørring KommuneBøgstedvej 170</v>
      </c>
      <c r="E1072" s="1" t="s">
        <v>3225</v>
      </c>
      <c r="F1072" s="1" t="s">
        <v>3226</v>
      </c>
      <c r="G1072" s="1">
        <v>1918</v>
      </c>
      <c r="H1072" s="1" t="s">
        <v>242</v>
      </c>
      <c r="I1072" s="6" cm="1">
        <f t="array" ref="I1072">GetLatitude(D1072)</f>
        <v>574714850</v>
      </c>
      <c r="J1072" s="1" cm="1">
        <f t="array" ref="J1072">GetLongitude(D1072)</f>
        <v>101034340</v>
      </c>
      <c r="K1072" s="1">
        <f t="shared" si="49"/>
        <v>57.471485000000001</v>
      </c>
      <c r="L1072" s="1">
        <f t="shared" si="50"/>
        <v>10.103434</v>
      </c>
    </row>
    <row r="1073" spans="1:12" ht="16" x14ac:dyDescent="0.2">
      <c r="A1073" s="1">
        <v>1072</v>
      </c>
      <c r="B1073" s="1" t="s">
        <v>3214</v>
      </c>
      <c r="C1073" s="1" t="s">
        <v>3227</v>
      </c>
      <c r="D1073" s="1" t="str">
        <f t="shared" si="48"/>
        <v>Hjørring KommuneBørglum Klostervej 255 A</v>
      </c>
      <c r="E1073" s="1" t="s">
        <v>3228</v>
      </c>
      <c r="F1073" s="1" t="s">
        <v>3229</v>
      </c>
      <c r="G1073" s="1">
        <v>1918</v>
      </c>
      <c r="H1073" s="1" t="s">
        <v>11</v>
      </c>
      <c r="I1073" s="6" cm="1">
        <f t="array" ref="I1073">GetLatitude(D1073)</f>
        <v>573689060</v>
      </c>
      <c r="J1073" s="1" cm="1">
        <f t="array" ref="J1073">GetLongitude(D1073)</f>
        <v>97997979</v>
      </c>
      <c r="K1073" s="1">
        <f t="shared" si="49"/>
        <v>57.368906000000003</v>
      </c>
      <c r="L1073" s="1">
        <f t="shared" si="50"/>
        <v>9.7997978999999997</v>
      </c>
    </row>
    <row r="1074" spans="1:12" ht="16" x14ac:dyDescent="0.2">
      <c r="A1074" s="1">
        <v>1073</v>
      </c>
      <c r="B1074" s="1" t="s">
        <v>3214</v>
      </c>
      <c r="C1074" s="1" t="s">
        <v>3230</v>
      </c>
      <c r="D1074" s="1" t="str">
        <f t="shared" si="48"/>
        <v>Hjørring KommuneFuglsigvej 161</v>
      </c>
      <c r="E1074" s="1" t="s">
        <v>3231</v>
      </c>
      <c r="F1074" s="1" t="s">
        <v>3232</v>
      </c>
      <c r="G1074" s="1">
        <v>1939</v>
      </c>
      <c r="H1074" s="1" t="s">
        <v>794</v>
      </c>
      <c r="I1074" s="6" cm="1">
        <f t="array" ref="I1074">GetLatitude(D1074)</f>
        <v>574306647</v>
      </c>
      <c r="J1074" s="1" cm="1">
        <f t="array" ref="J1074">GetLongitude(D1074)</f>
        <v>100220784</v>
      </c>
      <c r="K1074" s="1">
        <f t="shared" si="49"/>
        <v>57.430664700000001</v>
      </c>
      <c r="L1074" s="1">
        <f t="shared" si="50"/>
        <v>10.0220784</v>
      </c>
    </row>
    <row r="1075" spans="1:12" ht="16" x14ac:dyDescent="0.2">
      <c r="A1075" s="1">
        <v>1074</v>
      </c>
      <c r="B1075" s="1" t="s">
        <v>3214</v>
      </c>
      <c r="C1075" s="1" t="s">
        <v>1881</v>
      </c>
      <c r="D1075" s="1" t="str">
        <f t="shared" si="48"/>
        <v>Hjørring KommuneHavnegade 2</v>
      </c>
      <c r="E1075" s="1" t="s">
        <v>3233</v>
      </c>
      <c r="F1075" s="1" t="s">
        <v>3234</v>
      </c>
      <c r="G1075" s="1">
        <v>1982</v>
      </c>
      <c r="H1075" s="1" t="s">
        <v>15</v>
      </c>
      <c r="I1075" s="6" cm="1">
        <f t="array" ref="I1075">GetLatitude(D1075)</f>
        <v>575909686</v>
      </c>
      <c r="J1075" s="1" cm="1">
        <f t="array" ref="J1075">GetLongitude(D1075)</f>
        <v>99571591</v>
      </c>
      <c r="K1075" s="1">
        <f t="shared" si="49"/>
        <v>57.590968599999997</v>
      </c>
      <c r="L1075" s="1">
        <f t="shared" si="50"/>
        <v>9.9571591000000002</v>
      </c>
    </row>
    <row r="1076" spans="1:12" ht="16" x14ac:dyDescent="0.2">
      <c r="A1076" s="1">
        <v>1075</v>
      </c>
      <c r="B1076" s="1" t="s">
        <v>3214</v>
      </c>
      <c r="C1076" s="1" t="s">
        <v>3235</v>
      </c>
      <c r="D1076" s="1" t="str">
        <f t="shared" si="48"/>
        <v>Hjørring KommuneHørmestedvej 130</v>
      </c>
      <c r="E1076" s="1" t="s">
        <v>3236</v>
      </c>
      <c r="F1076" s="1" t="s">
        <v>3237</v>
      </c>
      <c r="G1076" s="1">
        <v>1988</v>
      </c>
      <c r="H1076" s="1" t="s">
        <v>11</v>
      </c>
      <c r="I1076" s="6" cm="1">
        <f t="array" ref="I1076">GetLatitude(D1076)</f>
        <v>574534020</v>
      </c>
      <c r="J1076" s="1" cm="1">
        <f t="array" ref="J1076">GetLongitude(D1076)</f>
        <v>102249680</v>
      </c>
      <c r="K1076" s="1">
        <f t="shared" si="49"/>
        <v>57.453401999999997</v>
      </c>
      <c r="L1076" s="1">
        <f t="shared" si="50"/>
        <v>10.224968000000001</v>
      </c>
    </row>
    <row r="1077" spans="1:12" ht="16" x14ac:dyDescent="0.2">
      <c r="A1077" s="1">
        <v>1076</v>
      </c>
      <c r="B1077" s="1" t="s">
        <v>3214</v>
      </c>
      <c r="C1077" s="1" t="s">
        <v>3238</v>
      </c>
      <c r="D1077" s="1" t="str">
        <f t="shared" si="48"/>
        <v>Hjørring KommuneJernbanegade 6</v>
      </c>
      <c r="E1077" s="1" t="s">
        <v>3239</v>
      </c>
      <c r="F1077" s="1" t="s">
        <v>3240</v>
      </c>
      <c r="G1077" s="1">
        <v>1997</v>
      </c>
      <c r="H1077" s="1" t="s">
        <v>15</v>
      </c>
      <c r="I1077" s="6" cm="1">
        <f t="array" ref="I1077">GetLatitude(D1077)</f>
        <v>574567788</v>
      </c>
      <c r="J1077" s="1" cm="1">
        <f t="array" ref="J1077">GetLongitude(D1077)</f>
        <v>99957635</v>
      </c>
      <c r="K1077" s="1">
        <f t="shared" si="49"/>
        <v>57.456778800000002</v>
      </c>
      <c r="L1077" s="1">
        <f t="shared" si="50"/>
        <v>9.9957635000000007</v>
      </c>
    </row>
    <row r="1078" spans="1:12" ht="16" x14ac:dyDescent="0.2">
      <c r="A1078" s="1">
        <v>1077</v>
      </c>
      <c r="B1078" s="1" t="s">
        <v>3214</v>
      </c>
      <c r="C1078" s="1" t="s">
        <v>3241</v>
      </c>
      <c r="D1078" s="1" t="str">
        <f t="shared" si="48"/>
        <v>Hjørring KommuneNørregade 12</v>
      </c>
      <c r="E1078" s="1" t="s">
        <v>3242</v>
      </c>
      <c r="F1078" s="1" t="s">
        <v>900</v>
      </c>
      <c r="G1078" s="1">
        <v>1979</v>
      </c>
      <c r="H1078" s="1" t="s">
        <v>11</v>
      </c>
      <c r="I1078" s="6" cm="1">
        <f t="array" ref="I1078">GetLatitude(D1078)</f>
        <v>574567788</v>
      </c>
      <c r="J1078" s="1" cm="1">
        <f t="array" ref="J1078">GetLongitude(D1078)</f>
        <v>99957635</v>
      </c>
      <c r="K1078" s="1">
        <f t="shared" si="49"/>
        <v>57.456778800000002</v>
      </c>
      <c r="L1078" s="1">
        <f t="shared" si="50"/>
        <v>9.9957635000000007</v>
      </c>
    </row>
    <row r="1079" spans="1:12" ht="16" x14ac:dyDescent="0.2">
      <c r="A1079" s="1">
        <v>1078</v>
      </c>
      <c r="B1079" s="1" t="s">
        <v>3214</v>
      </c>
      <c r="C1079" s="1" t="s">
        <v>3243</v>
      </c>
      <c r="D1079" s="1" t="str">
        <f t="shared" si="48"/>
        <v>Hjørring KommuneNørregade 35</v>
      </c>
      <c r="E1079" s="1" t="s">
        <v>3244</v>
      </c>
      <c r="F1079" s="1" t="s">
        <v>3245</v>
      </c>
      <c r="G1079" s="1">
        <v>1965</v>
      </c>
      <c r="H1079" s="1" t="s">
        <v>15</v>
      </c>
      <c r="I1079" s="6" cm="1">
        <f t="array" ref="I1079">GetLatitude(D1079)</f>
        <v>574567788</v>
      </c>
      <c r="J1079" s="1" cm="1">
        <f t="array" ref="J1079">GetLongitude(D1079)</f>
        <v>99957635</v>
      </c>
      <c r="K1079" s="1">
        <f t="shared" si="49"/>
        <v>57.456778800000002</v>
      </c>
      <c r="L1079" s="1">
        <f t="shared" si="50"/>
        <v>9.9957635000000007</v>
      </c>
    </row>
    <row r="1080" spans="1:12" ht="16" x14ac:dyDescent="0.2">
      <c r="A1080" s="1">
        <v>1079</v>
      </c>
      <c r="B1080" s="1" t="s">
        <v>3214</v>
      </c>
      <c r="C1080" s="1" t="s">
        <v>3246</v>
      </c>
      <c r="D1080" s="1" t="str">
        <f t="shared" si="48"/>
        <v>Hjørring KommuneNørretorv 10-15</v>
      </c>
      <c r="E1080" s="1" t="s">
        <v>3247</v>
      </c>
      <c r="F1080" s="1" t="s">
        <v>3248</v>
      </c>
      <c r="G1080" s="1">
        <v>1965</v>
      </c>
      <c r="H1080" s="1" t="s">
        <v>15</v>
      </c>
      <c r="I1080" s="6" cm="1">
        <f t="array" ref="I1080">GetLatitude(D1080)</f>
        <v>574720486</v>
      </c>
      <c r="J1080" s="1" cm="1">
        <f t="array" ref="J1080">GetLongitude(D1080)</f>
        <v>102030428</v>
      </c>
      <c r="K1080" s="1">
        <f t="shared" si="49"/>
        <v>57.472048600000001</v>
      </c>
      <c r="L1080" s="1">
        <f t="shared" si="50"/>
        <v>10.2030428</v>
      </c>
    </row>
    <row r="1081" spans="1:12" ht="16" x14ac:dyDescent="0.2">
      <c r="A1081" s="1">
        <v>1080</v>
      </c>
      <c r="B1081" s="1" t="s">
        <v>3214</v>
      </c>
      <c r="C1081" s="1" t="s">
        <v>3249</v>
      </c>
      <c r="D1081" s="1" t="str">
        <f t="shared" si="48"/>
        <v>Hjørring KommuneOddenvej 31</v>
      </c>
      <c r="E1081" s="1" t="s">
        <v>3250</v>
      </c>
      <c r="F1081" s="1" t="s">
        <v>3251</v>
      </c>
      <c r="G1081" s="1">
        <v>1918</v>
      </c>
      <c r="H1081" s="1" t="s">
        <v>1890</v>
      </c>
      <c r="I1081" s="6" cm="1">
        <f t="array" ref="I1081">GetLatitude(D1081)</f>
        <v>575379432</v>
      </c>
      <c r="J1081" s="1" cm="1">
        <f t="array" ref="J1081">GetLongitude(D1081)</f>
        <v>100938872</v>
      </c>
      <c r="K1081" s="1">
        <f t="shared" si="49"/>
        <v>57.537943200000001</v>
      </c>
      <c r="L1081" s="1">
        <f t="shared" si="50"/>
        <v>10.093887199999999</v>
      </c>
    </row>
    <row r="1082" spans="1:12" ht="16" x14ac:dyDescent="0.2">
      <c r="A1082" s="1">
        <v>1081</v>
      </c>
      <c r="B1082" s="1" t="s">
        <v>3214</v>
      </c>
      <c r="C1082" s="1" t="s">
        <v>3252</v>
      </c>
      <c r="D1082" s="1" t="str">
        <f t="shared" si="48"/>
        <v>Hjørring KommuneSkolegade 8</v>
      </c>
      <c r="E1082" s="1" t="s">
        <v>3253</v>
      </c>
      <c r="F1082" s="1" t="s">
        <v>3254</v>
      </c>
      <c r="G1082" s="1">
        <v>1976</v>
      </c>
      <c r="H1082" s="1" t="s">
        <v>11</v>
      </c>
      <c r="I1082" s="6" cm="1">
        <f t="array" ref="I1082">GetLatitude(D1082)</f>
        <v>574567788</v>
      </c>
      <c r="J1082" s="1" cm="1">
        <f t="array" ref="J1082">GetLongitude(D1082)</f>
        <v>99957635</v>
      </c>
      <c r="K1082" s="1">
        <f t="shared" si="49"/>
        <v>57.456778800000002</v>
      </c>
      <c r="L1082" s="1">
        <f t="shared" si="50"/>
        <v>9.9957635000000007</v>
      </c>
    </row>
    <row r="1083" spans="1:12" ht="16" x14ac:dyDescent="0.2">
      <c r="A1083" s="1">
        <v>1082</v>
      </c>
      <c r="B1083" s="1" t="s">
        <v>3214</v>
      </c>
      <c r="C1083" s="1" t="s">
        <v>3255</v>
      </c>
      <c r="D1083" s="1" t="str">
        <f t="shared" si="48"/>
        <v>Hjørring KommuneStensbæk 2</v>
      </c>
      <c r="E1083" s="1" t="s">
        <v>3256</v>
      </c>
      <c r="F1083" s="1" t="s">
        <v>3257</v>
      </c>
      <c r="G1083" s="1">
        <v>1945</v>
      </c>
      <c r="H1083" s="1" t="s">
        <v>11</v>
      </c>
      <c r="I1083" s="6" cm="1">
        <f t="array" ref="I1083">GetLatitude(D1083)</f>
        <v>574567788</v>
      </c>
      <c r="J1083" s="1" cm="1">
        <f t="array" ref="J1083">GetLongitude(D1083)</f>
        <v>99957635</v>
      </c>
      <c r="K1083" s="1">
        <f t="shared" si="49"/>
        <v>57.456778800000002</v>
      </c>
      <c r="L1083" s="1">
        <f t="shared" si="50"/>
        <v>9.9957635000000007</v>
      </c>
    </row>
    <row r="1084" spans="1:12" ht="16" x14ac:dyDescent="0.2">
      <c r="A1084" s="1">
        <v>1083</v>
      </c>
      <c r="B1084" s="1" t="s">
        <v>3214</v>
      </c>
      <c r="C1084" s="1" t="s">
        <v>3258</v>
      </c>
      <c r="D1084" s="1" t="str">
        <f t="shared" si="48"/>
        <v>Hjørring KommuneSømærkevej</v>
      </c>
      <c r="E1084" s="1" t="s">
        <v>3259</v>
      </c>
      <c r="F1084" s="1" t="s">
        <v>3260</v>
      </c>
      <c r="G1084" s="1">
        <v>1997</v>
      </c>
      <c r="H1084" s="1" t="s">
        <v>15</v>
      </c>
      <c r="I1084" s="6" cm="1">
        <f t="array" ref="I1084">GetLatitude(D1084)</f>
        <v>573692110</v>
      </c>
      <c r="J1084" s="1" cm="1">
        <f t="array" ref="J1084">GetLongitude(D1084)</f>
        <v>97073370</v>
      </c>
      <c r="K1084" s="1">
        <f t="shared" si="49"/>
        <v>57.369211</v>
      </c>
      <c r="L1084" s="1">
        <f t="shared" si="50"/>
        <v>9.7073370000000008</v>
      </c>
    </row>
    <row r="1085" spans="1:12" ht="16" x14ac:dyDescent="0.2">
      <c r="A1085" s="1">
        <v>1084</v>
      </c>
      <c r="B1085" s="1" t="s">
        <v>3214</v>
      </c>
      <c r="C1085" s="1" t="s">
        <v>3261</v>
      </c>
      <c r="D1085" s="1" t="str">
        <f t="shared" si="48"/>
        <v>Hjørring KommuneSøndergade 9</v>
      </c>
      <c r="E1085" s="1" t="s">
        <v>3262</v>
      </c>
      <c r="F1085" s="1" t="s">
        <v>3263</v>
      </c>
      <c r="G1085" s="1">
        <v>1979</v>
      </c>
      <c r="H1085" s="1" t="s">
        <v>15</v>
      </c>
      <c r="I1085" s="6" cm="1">
        <f t="array" ref="I1085">GetLatitude(D1085)</f>
        <v>574567788</v>
      </c>
      <c r="J1085" s="1" cm="1">
        <f t="array" ref="J1085">GetLongitude(D1085)</f>
        <v>99957635</v>
      </c>
      <c r="K1085" s="1">
        <f t="shared" si="49"/>
        <v>57.456778800000002</v>
      </c>
      <c r="L1085" s="1">
        <f t="shared" si="50"/>
        <v>9.9957635000000007</v>
      </c>
    </row>
    <row r="1086" spans="1:12" ht="16" x14ac:dyDescent="0.2">
      <c r="A1086" s="1">
        <v>1085</v>
      </c>
      <c r="B1086" s="1" t="s">
        <v>3214</v>
      </c>
      <c r="C1086" s="1" t="s">
        <v>3264</v>
      </c>
      <c r="D1086" s="1" t="str">
        <f t="shared" si="48"/>
        <v>Hjørring Kommune Torvet 6</v>
      </c>
      <c r="E1086" s="1" t="s">
        <v>3265</v>
      </c>
      <c r="F1086" s="1" t="s">
        <v>3266</v>
      </c>
      <c r="G1086" s="1">
        <v>1945</v>
      </c>
      <c r="H1086" s="1" t="s">
        <v>11</v>
      </c>
      <c r="I1086" s="6" cm="1">
        <f t="array" ref="I1086">GetLatitude(D1086)</f>
        <v>574613700</v>
      </c>
      <c r="J1086" s="1" cm="1">
        <f t="array" ref="J1086">GetLongitude(D1086)</f>
        <v>99837464</v>
      </c>
      <c r="K1086" s="1">
        <f t="shared" si="49"/>
        <v>57.461370000000002</v>
      </c>
      <c r="L1086" s="1">
        <f t="shared" si="50"/>
        <v>9.9837463999999994</v>
      </c>
    </row>
    <row r="1087" spans="1:12" ht="16" x14ac:dyDescent="0.2">
      <c r="A1087" s="1">
        <v>1086</v>
      </c>
      <c r="B1087" s="1" t="s">
        <v>3214</v>
      </c>
      <c r="C1087" s="1" t="s">
        <v>362</v>
      </c>
      <c r="D1087" s="1" t="str">
        <f t="shared" si="48"/>
        <v>Hjørring KommuneVestergade 1</v>
      </c>
      <c r="E1087" s="1" t="s">
        <v>3267</v>
      </c>
      <c r="F1087" s="1" t="s">
        <v>3268</v>
      </c>
      <c r="G1087" s="1">
        <v>1919</v>
      </c>
      <c r="H1087" s="1" t="s">
        <v>3269</v>
      </c>
      <c r="I1087" s="6" cm="1">
        <f t="array" ref="I1087">GetLatitude(D1087)</f>
        <v>574567788</v>
      </c>
      <c r="J1087" s="1" cm="1">
        <f t="array" ref="J1087">GetLongitude(D1087)</f>
        <v>99957635</v>
      </c>
      <c r="K1087" s="1">
        <f t="shared" si="49"/>
        <v>57.456778800000002</v>
      </c>
      <c r="L1087" s="1">
        <f t="shared" si="50"/>
        <v>9.9957635000000007</v>
      </c>
    </row>
    <row r="1088" spans="1:12" ht="16" x14ac:dyDescent="0.2">
      <c r="A1088" s="1">
        <v>1087</v>
      </c>
      <c r="B1088" s="1" t="s">
        <v>3214</v>
      </c>
      <c r="C1088" s="1" t="s">
        <v>2076</v>
      </c>
      <c r="D1088" s="1" t="str">
        <f t="shared" si="48"/>
        <v>Hjørring KommuneVestergade 8</v>
      </c>
      <c r="E1088" s="1" t="s">
        <v>3270</v>
      </c>
      <c r="F1088" s="1" t="s">
        <v>3271</v>
      </c>
      <c r="G1088" s="1">
        <v>1992</v>
      </c>
      <c r="H1088" s="1" t="s">
        <v>11</v>
      </c>
      <c r="I1088" s="6" cm="1">
        <f t="array" ref="I1088">GetLatitude(D1088)</f>
        <v>574686676</v>
      </c>
      <c r="J1088" s="1" cm="1">
        <f t="array" ref="J1088">GetLongitude(D1088)</f>
        <v>100723042</v>
      </c>
      <c r="K1088" s="1">
        <f t="shared" si="49"/>
        <v>57.468667600000003</v>
      </c>
      <c r="L1088" s="1">
        <f t="shared" si="50"/>
        <v>10.0723042</v>
      </c>
    </row>
    <row r="1089" spans="1:12" ht="16" x14ac:dyDescent="0.2">
      <c r="A1089" s="1">
        <v>1088</v>
      </c>
      <c r="B1089" s="1" t="s">
        <v>3214</v>
      </c>
      <c r="C1089" s="1" t="s">
        <v>3272</v>
      </c>
      <c r="D1089" s="1" t="str">
        <f t="shared" si="48"/>
        <v>Hjørring KommuneVrejlev Kloster 3A (tidl Vrejlev Klostervej 805 A, 800 og Hovedgaden 195)</v>
      </c>
      <c r="E1089" s="1" t="s">
        <v>3273</v>
      </c>
      <c r="F1089" s="1" t="s">
        <v>3274</v>
      </c>
      <c r="G1089" s="1">
        <v>1918</v>
      </c>
      <c r="H1089" s="1" t="s">
        <v>794</v>
      </c>
      <c r="I1089" s="6" cm="1">
        <f t="array" ref="I1089">GetLatitude(D1089)</f>
        <v>573614384</v>
      </c>
      <c r="J1089" s="1" cm="1">
        <f t="array" ref="J1089">GetLongitude(D1089)</f>
        <v>100172829</v>
      </c>
      <c r="K1089" s="1">
        <f t="shared" si="49"/>
        <v>57.361438399999997</v>
      </c>
      <c r="L1089" s="1">
        <f t="shared" si="50"/>
        <v>10.0172829</v>
      </c>
    </row>
    <row r="1090" spans="1:12" ht="16" x14ac:dyDescent="0.2">
      <c r="A1090" s="1">
        <v>1089</v>
      </c>
      <c r="B1090" s="1" t="s">
        <v>3275</v>
      </c>
      <c r="C1090" s="1" t="s">
        <v>3276</v>
      </c>
      <c r="D1090" s="1" t="str">
        <f t="shared" si="48"/>
        <v>Holbæk KommuneAggersvoldvej 21</v>
      </c>
      <c r="E1090" s="1" t="s">
        <v>3277</v>
      </c>
      <c r="F1090" s="1" t="s">
        <v>3278</v>
      </c>
      <c r="G1090" s="1">
        <v>1944</v>
      </c>
      <c r="H1090" s="1" t="s">
        <v>15</v>
      </c>
      <c r="I1090" s="6" cm="1">
        <f t="array" ref="I1090">GetLatitude(D1090)</f>
        <v>556890412</v>
      </c>
      <c r="J1090" s="1" cm="1">
        <f t="array" ref="J1090">GetLongitude(D1090)</f>
        <v>114284088</v>
      </c>
      <c r="K1090" s="1">
        <f t="shared" si="49"/>
        <v>55.689041199999998</v>
      </c>
      <c r="L1090" s="1">
        <f t="shared" si="50"/>
        <v>11.4284088</v>
      </c>
    </row>
    <row r="1091" spans="1:12" ht="16" x14ac:dyDescent="0.2">
      <c r="A1091" s="1">
        <v>1090</v>
      </c>
      <c r="B1091" s="1" t="s">
        <v>3275</v>
      </c>
      <c r="C1091" s="1" t="s">
        <v>3279</v>
      </c>
      <c r="D1091" s="1" t="str">
        <f t="shared" ref="D1091:D1154" si="51">B1091&amp;C1091</f>
        <v>Holbæk KommuneAhlgade 32, Bysøstræde 1 og Bagstræde 1</v>
      </c>
      <c r="E1091" s="1" t="s">
        <v>3280</v>
      </c>
      <c r="F1091" s="1" t="s">
        <v>3281</v>
      </c>
      <c r="G1091" s="1">
        <v>1986</v>
      </c>
      <c r="H1091" s="1" t="s">
        <v>11</v>
      </c>
      <c r="I1091" s="6" cm="1">
        <f t="array" ref="I1091">GetLatitude(D1091)</f>
        <v>557171826</v>
      </c>
      <c r="J1091" s="1" cm="1">
        <f t="array" ref="J1091">GetLongitude(D1091)</f>
        <v>117109028</v>
      </c>
      <c r="K1091" s="1">
        <f t="shared" si="49"/>
        <v>55.717182600000001</v>
      </c>
      <c r="L1091" s="1">
        <f t="shared" si="50"/>
        <v>11.7109028</v>
      </c>
    </row>
    <row r="1092" spans="1:12" ht="16" x14ac:dyDescent="0.2">
      <c r="A1092" s="1">
        <v>1091</v>
      </c>
      <c r="B1092" s="1" t="s">
        <v>3275</v>
      </c>
      <c r="C1092" s="1" t="s">
        <v>3282</v>
      </c>
      <c r="D1092" s="1" t="str">
        <f t="shared" si="51"/>
        <v>Holbæk KommuneBakkekammen 23</v>
      </c>
      <c r="E1092" s="1" t="s">
        <v>3283</v>
      </c>
      <c r="F1092" s="1" t="s">
        <v>3284</v>
      </c>
      <c r="G1092" s="1">
        <v>1991</v>
      </c>
      <c r="H1092" s="1" t="s">
        <v>3285</v>
      </c>
      <c r="I1092" s="6" cm="1">
        <f t="array" ref="I1092">GetLatitude(D1092)</f>
        <v>557167486</v>
      </c>
      <c r="J1092" s="1" cm="1">
        <f t="array" ref="J1092">GetLongitude(D1092)</f>
        <v>117348792</v>
      </c>
      <c r="K1092" s="1">
        <f t="shared" ref="K1092:K1155" si="52">I1092/10000000</f>
        <v>55.716748600000003</v>
      </c>
      <c r="L1092" s="1">
        <f t="shared" ref="L1092:L1155" si="53">J1092/10000000</f>
        <v>11.7348792</v>
      </c>
    </row>
    <row r="1093" spans="1:12" ht="16" x14ac:dyDescent="0.2">
      <c r="A1093" s="1">
        <v>1092</v>
      </c>
      <c r="B1093" s="1" t="s">
        <v>3275</v>
      </c>
      <c r="C1093" s="1" t="s">
        <v>3286</v>
      </c>
      <c r="D1093" s="1" t="str">
        <f t="shared" si="51"/>
        <v>Holbæk KommuneBakkekammen 40</v>
      </c>
      <c r="E1093" s="1" t="s">
        <v>3287</v>
      </c>
      <c r="F1093" s="1" t="s">
        <v>3288</v>
      </c>
      <c r="G1093" s="1">
        <v>1993</v>
      </c>
      <c r="H1093" s="1" t="s">
        <v>3289</v>
      </c>
      <c r="I1093" s="6" cm="1">
        <f t="array" ref="I1093">GetLatitude(D1093)</f>
        <v>557179178</v>
      </c>
      <c r="J1093" s="1" cm="1">
        <f t="array" ref="J1093">GetLongitude(D1093)</f>
        <v>117350764</v>
      </c>
      <c r="K1093" s="1">
        <f t="shared" si="52"/>
        <v>55.717917800000002</v>
      </c>
      <c r="L1093" s="1">
        <f t="shared" si="53"/>
        <v>11.735076400000001</v>
      </c>
    </row>
    <row r="1094" spans="1:12" ht="16" x14ac:dyDescent="0.2">
      <c r="A1094" s="1">
        <v>1093</v>
      </c>
      <c r="B1094" s="1" t="s">
        <v>3275</v>
      </c>
      <c r="C1094" s="1" t="s">
        <v>3290</v>
      </c>
      <c r="D1094" s="1" t="str">
        <f t="shared" si="51"/>
        <v>Holbæk KommuneBakkekammen 45</v>
      </c>
      <c r="E1094" s="1" t="s">
        <v>3291</v>
      </c>
      <c r="F1094" s="1" t="s">
        <v>3292</v>
      </c>
      <c r="G1094" s="1">
        <v>2006</v>
      </c>
      <c r="H1094" s="1" t="s">
        <v>11</v>
      </c>
      <c r="I1094" s="6" cm="1">
        <f t="array" ref="I1094">GetLatitude(D1094)</f>
        <v>557181104</v>
      </c>
      <c r="J1094" s="1" cm="1">
        <f t="array" ref="J1094">GetLongitude(D1094)</f>
        <v>117330841</v>
      </c>
      <c r="K1094" s="1">
        <f t="shared" si="52"/>
        <v>55.7181104</v>
      </c>
      <c r="L1094" s="1">
        <f t="shared" si="53"/>
        <v>11.733084099999999</v>
      </c>
    </row>
    <row r="1095" spans="1:12" ht="16" x14ac:dyDescent="0.2">
      <c r="A1095" s="1">
        <v>1094</v>
      </c>
      <c r="B1095" s="1" t="s">
        <v>3275</v>
      </c>
      <c r="C1095" s="1" t="s">
        <v>3293</v>
      </c>
      <c r="D1095" s="1" t="str">
        <f t="shared" si="51"/>
        <v>Holbæk KommuneBukkerupvej 14</v>
      </c>
      <c r="E1095" s="1" t="s">
        <v>3294</v>
      </c>
      <c r="F1095" s="1" t="s">
        <v>3295</v>
      </c>
      <c r="G1095" s="1">
        <v>1964</v>
      </c>
      <c r="H1095" s="1" t="s">
        <v>15</v>
      </c>
      <c r="I1095" s="6" cm="1">
        <f t="array" ref="I1095">GetLatitude(D1095)</f>
        <v>555990782</v>
      </c>
      <c r="J1095" s="1" cm="1">
        <f t="array" ref="J1095">GetLongitude(D1095)</f>
        <v>117973034</v>
      </c>
      <c r="K1095" s="1">
        <f t="shared" si="52"/>
        <v>55.599078200000001</v>
      </c>
      <c r="L1095" s="1">
        <f t="shared" si="53"/>
        <v>11.797303400000001</v>
      </c>
    </row>
    <row r="1096" spans="1:12" ht="16" x14ac:dyDescent="0.2">
      <c r="A1096" s="1">
        <v>1095</v>
      </c>
      <c r="B1096" s="1" t="s">
        <v>3275</v>
      </c>
      <c r="C1096" s="1" t="s">
        <v>3296</v>
      </c>
      <c r="D1096" s="1" t="str">
        <f t="shared" si="51"/>
        <v>Holbæk KommuneDiget 24</v>
      </c>
      <c r="E1096" s="1" t="s">
        <v>3297</v>
      </c>
      <c r="F1096" s="1" t="s">
        <v>3298</v>
      </c>
      <c r="G1096" s="1">
        <v>1991</v>
      </c>
      <c r="H1096" s="1" t="s">
        <v>15</v>
      </c>
      <c r="I1096" s="6" cm="1">
        <f t="array" ref="I1096">GetLatitude(D1096)</f>
        <v>557113512</v>
      </c>
      <c r="J1096" s="1" cm="1">
        <f t="array" ref="J1096">GetLongitude(D1096)</f>
        <v>117192271</v>
      </c>
      <c r="K1096" s="1">
        <f t="shared" si="52"/>
        <v>55.711351200000003</v>
      </c>
      <c r="L1096" s="1">
        <f t="shared" si="53"/>
        <v>11.719227099999999</v>
      </c>
    </row>
    <row r="1097" spans="1:12" ht="16" x14ac:dyDescent="0.2">
      <c r="A1097" s="1">
        <v>1096</v>
      </c>
      <c r="B1097" s="1" t="s">
        <v>3275</v>
      </c>
      <c r="C1097" s="1" t="s">
        <v>3299</v>
      </c>
      <c r="D1097" s="1" t="str">
        <f t="shared" si="51"/>
        <v>Holbæk KommuneEriksholmvej 40</v>
      </c>
      <c r="E1097" s="1" t="s">
        <v>3300</v>
      </c>
      <c r="F1097" s="1" t="s">
        <v>3301</v>
      </c>
      <c r="G1097" s="1">
        <v>1918</v>
      </c>
      <c r="H1097" s="1" t="s">
        <v>15</v>
      </c>
      <c r="I1097" s="6" cm="1">
        <f t="array" ref="I1097">GetLatitude(D1097)</f>
        <v>556818750</v>
      </c>
      <c r="J1097" s="1" cm="1">
        <f t="array" ref="J1097">GetLongitude(D1097)</f>
        <v>117933310</v>
      </c>
      <c r="K1097" s="1">
        <f t="shared" si="52"/>
        <v>55.681874999999998</v>
      </c>
      <c r="L1097" s="1">
        <f t="shared" si="53"/>
        <v>11.793331</v>
      </c>
    </row>
    <row r="1098" spans="1:12" ht="16" x14ac:dyDescent="0.2">
      <c r="A1098" s="1">
        <v>1097</v>
      </c>
      <c r="B1098" s="1" t="s">
        <v>3275</v>
      </c>
      <c r="C1098" s="1" t="s">
        <v>3302</v>
      </c>
      <c r="D1098" s="1" t="str">
        <f t="shared" si="51"/>
        <v>Holbæk KommuneGrydebjergvej 9</v>
      </c>
      <c r="E1098" s="1" t="s">
        <v>3303</v>
      </c>
      <c r="F1098" s="1" t="s">
        <v>3304</v>
      </c>
      <c r="G1098" s="1">
        <v>1990</v>
      </c>
      <c r="H1098" s="1" t="s">
        <v>15</v>
      </c>
      <c r="I1098" s="6" cm="1">
        <f t="array" ref="I1098">GetLatitude(D1098)</f>
        <v>556209801</v>
      </c>
      <c r="J1098" s="1" cm="1">
        <f t="array" ref="J1098">GetLongitude(D1098)</f>
        <v>114882271</v>
      </c>
      <c r="K1098" s="1">
        <f t="shared" si="52"/>
        <v>55.620980099999997</v>
      </c>
      <c r="L1098" s="1">
        <f t="shared" si="53"/>
        <v>11.4882271</v>
      </c>
    </row>
    <row r="1099" spans="1:12" ht="16" x14ac:dyDescent="0.2">
      <c r="A1099" s="1">
        <v>1098</v>
      </c>
      <c r="B1099" s="1" t="s">
        <v>3275</v>
      </c>
      <c r="C1099" s="1" t="s">
        <v>3305</v>
      </c>
      <c r="D1099" s="1" t="str">
        <f t="shared" si="51"/>
        <v>Holbæk KommuneHolbækvej 1</v>
      </c>
      <c r="E1099" s="1" t="s">
        <v>3306</v>
      </c>
      <c r="F1099" s="1" t="s">
        <v>3307</v>
      </c>
      <c r="G1099" s="1">
        <v>1978</v>
      </c>
      <c r="H1099" s="1" t="s">
        <v>15</v>
      </c>
      <c r="I1099" s="6" cm="1">
        <f t="array" ref="I1099">GetLatitude(D1099)</f>
        <v>557146554</v>
      </c>
      <c r="J1099" s="1" cm="1">
        <f t="array" ref="J1099">GetLongitude(D1099)</f>
        <v>117175780</v>
      </c>
      <c r="K1099" s="1">
        <f t="shared" si="52"/>
        <v>55.714655399999998</v>
      </c>
      <c r="L1099" s="1">
        <f t="shared" si="53"/>
        <v>11.717578</v>
      </c>
    </row>
    <row r="1100" spans="1:12" ht="16" x14ac:dyDescent="0.2">
      <c r="A1100" s="1">
        <v>1099</v>
      </c>
      <c r="B1100" s="1" t="s">
        <v>3275</v>
      </c>
      <c r="C1100" s="1" t="s">
        <v>3308</v>
      </c>
      <c r="D1100" s="1" t="str">
        <f t="shared" si="51"/>
        <v>Holbæk KommuneHovedgaden 36</v>
      </c>
      <c r="E1100" s="1" t="s">
        <v>3309</v>
      </c>
      <c r="F1100" s="1" t="s">
        <v>3310</v>
      </c>
      <c r="G1100" s="1">
        <v>1991</v>
      </c>
      <c r="H1100" s="1" t="s">
        <v>15</v>
      </c>
      <c r="I1100" s="6" cm="1">
        <f t="array" ref="I1100">GetLatitude(D1100)</f>
        <v>557231854</v>
      </c>
      <c r="J1100" s="1" cm="1">
        <f t="array" ref="J1100">GetLongitude(D1100)</f>
        <v>114636803</v>
      </c>
      <c r="K1100" s="1">
        <f t="shared" si="52"/>
        <v>55.723185399999998</v>
      </c>
      <c r="L1100" s="1">
        <f t="shared" si="53"/>
        <v>11.4636803</v>
      </c>
    </row>
    <row r="1101" spans="1:12" ht="16" x14ac:dyDescent="0.2">
      <c r="A1101" s="1">
        <v>1100</v>
      </c>
      <c r="B1101" s="1" t="s">
        <v>3275</v>
      </c>
      <c r="C1101" s="1" t="s">
        <v>3311</v>
      </c>
      <c r="D1101" s="1" t="str">
        <f t="shared" si="51"/>
        <v>Holbæk KommuneKalundborgvej 58 B</v>
      </c>
      <c r="E1101" s="1" t="s">
        <v>3312</v>
      </c>
      <c r="F1101" s="1" t="s">
        <v>3313</v>
      </c>
      <c r="G1101" s="1">
        <v>1964</v>
      </c>
      <c r="H1101" s="1" t="s">
        <v>15</v>
      </c>
      <c r="I1101" s="6" cm="1">
        <f t="array" ref="I1101">GetLatitude(D1101)</f>
        <v>557184185</v>
      </c>
      <c r="J1101" s="1" cm="1">
        <f t="array" ref="J1101">GetLongitude(D1101)</f>
        <v>116907317</v>
      </c>
      <c r="K1101" s="1">
        <f t="shared" si="52"/>
        <v>55.718418499999999</v>
      </c>
      <c r="L1101" s="1">
        <f t="shared" si="53"/>
        <v>11.690731700000001</v>
      </c>
    </row>
    <row r="1102" spans="1:12" ht="16" x14ac:dyDescent="0.2">
      <c r="A1102" s="1">
        <v>1101</v>
      </c>
      <c r="B1102" s="1" t="s">
        <v>3275</v>
      </c>
      <c r="C1102" s="1" t="s">
        <v>3314</v>
      </c>
      <c r="D1102" s="1" t="str">
        <f t="shared" si="51"/>
        <v>Holbæk KommuneKasernevej 43 og 77 (tidl Anders Larsensvej 1)</v>
      </c>
      <c r="E1102" s="1" t="s">
        <v>3315</v>
      </c>
      <c r="F1102" s="1" t="s">
        <v>3316</v>
      </c>
      <c r="G1102" s="1">
        <v>2002</v>
      </c>
      <c r="H1102" s="1" t="s">
        <v>15</v>
      </c>
      <c r="I1102" s="6" cm="1">
        <f t="array" ref="I1102">GetLatitude(D1102)</f>
        <v>557146677</v>
      </c>
      <c r="J1102" s="1" cm="1">
        <f t="array" ref="J1102">GetLongitude(D1102)</f>
        <v>117261262</v>
      </c>
      <c r="K1102" s="1">
        <f t="shared" si="52"/>
        <v>55.7146677</v>
      </c>
      <c r="L1102" s="1">
        <f t="shared" si="53"/>
        <v>11.726126199999999</v>
      </c>
    </row>
    <row r="1103" spans="1:12" ht="16" x14ac:dyDescent="0.2">
      <c r="A1103" s="1">
        <v>1102</v>
      </c>
      <c r="B1103" s="1" t="s">
        <v>3275</v>
      </c>
      <c r="C1103" s="1" t="s">
        <v>3317</v>
      </c>
      <c r="D1103" s="1" t="str">
        <f t="shared" si="51"/>
        <v>Holbæk KommuneKirkestræde 2 B</v>
      </c>
      <c r="E1103" s="1" t="s">
        <v>3318</v>
      </c>
      <c r="F1103" s="1" t="s">
        <v>3319</v>
      </c>
      <c r="G1103" s="1">
        <v>1980</v>
      </c>
      <c r="H1103" s="1" t="s">
        <v>15</v>
      </c>
      <c r="I1103" s="6" cm="1">
        <f t="array" ref="I1103">GetLatitude(D1103)</f>
        <v>557163821</v>
      </c>
      <c r="J1103" s="1" cm="1">
        <f t="array" ref="J1103">GetLongitude(D1103)</f>
        <v>117140681</v>
      </c>
      <c r="K1103" s="1">
        <f t="shared" si="52"/>
        <v>55.716382099999997</v>
      </c>
      <c r="L1103" s="1">
        <f t="shared" si="53"/>
        <v>11.7140681</v>
      </c>
    </row>
    <row r="1104" spans="1:12" ht="16" x14ac:dyDescent="0.2">
      <c r="A1104" s="1">
        <v>1103</v>
      </c>
      <c r="B1104" s="1" t="s">
        <v>3275</v>
      </c>
      <c r="C1104" s="1" t="s">
        <v>3320</v>
      </c>
      <c r="D1104" s="1" t="str">
        <f t="shared" si="51"/>
        <v>Holbæk KommuneKlosterstræde 16</v>
      </c>
      <c r="E1104" s="1" t="s">
        <v>3321</v>
      </c>
      <c r="F1104" s="1" t="s">
        <v>3322</v>
      </c>
      <c r="G1104" s="1">
        <v>1918</v>
      </c>
      <c r="H1104" s="1" t="s">
        <v>11</v>
      </c>
      <c r="I1104" s="6" cm="1">
        <f t="array" ref="I1104">GetLatitude(D1104)</f>
        <v>557166556</v>
      </c>
      <c r="J1104" s="1" cm="1">
        <f t="array" ref="J1104">GetLongitude(D1104)</f>
        <v>117127964</v>
      </c>
      <c r="K1104" s="1">
        <f t="shared" si="52"/>
        <v>55.716655600000003</v>
      </c>
      <c r="L1104" s="1">
        <f t="shared" si="53"/>
        <v>11.7127964</v>
      </c>
    </row>
    <row r="1105" spans="1:12" ht="16" x14ac:dyDescent="0.2">
      <c r="A1105" s="1">
        <v>1104</v>
      </c>
      <c r="B1105" s="1" t="s">
        <v>3275</v>
      </c>
      <c r="C1105" s="1" t="s">
        <v>3323</v>
      </c>
      <c r="D1105" s="1" t="str">
        <f t="shared" si="51"/>
        <v>Holbæk KommuneKlosterstræde 18</v>
      </c>
      <c r="E1105" s="1" t="s">
        <v>3324</v>
      </c>
      <c r="F1105" s="1" t="s">
        <v>3325</v>
      </c>
      <c r="G1105" s="1">
        <v>1977</v>
      </c>
      <c r="H1105" s="1" t="s">
        <v>11</v>
      </c>
      <c r="I1105" s="6" cm="1">
        <f t="array" ref="I1105">GetLatitude(D1105)</f>
        <v>557164057</v>
      </c>
      <c r="J1105" s="1" cm="1">
        <f t="array" ref="J1105">GetLongitude(D1105)</f>
        <v>117124556</v>
      </c>
      <c r="K1105" s="1">
        <f t="shared" si="52"/>
        <v>55.716405700000003</v>
      </c>
      <c r="L1105" s="1">
        <f t="shared" si="53"/>
        <v>11.7124556</v>
      </c>
    </row>
    <row r="1106" spans="1:12" ht="16" x14ac:dyDescent="0.2">
      <c r="A1106" s="1">
        <v>1105</v>
      </c>
      <c r="B1106" s="1" t="s">
        <v>3275</v>
      </c>
      <c r="C1106" s="1" t="s">
        <v>3326</v>
      </c>
      <c r="D1106" s="1" t="str">
        <f t="shared" si="51"/>
        <v>Holbæk KommuneKlosterstræde 7</v>
      </c>
      <c r="E1106" s="1" t="s">
        <v>3327</v>
      </c>
      <c r="F1106" s="1" t="s">
        <v>3328</v>
      </c>
      <c r="G1106" s="1">
        <v>1918</v>
      </c>
      <c r="H1106" s="1" t="s">
        <v>1746</v>
      </c>
      <c r="I1106" s="6" cm="1">
        <f t="array" ref="I1106">GetLatitude(D1106)</f>
        <v>557162492</v>
      </c>
      <c r="J1106" s="1" cm="1">
        <f t="array" ref="J1106">GetLongitude(D1106)</f>
        <v>117131649</v>
      </c>
      <c r="K1106" s="1">
        <f t="shared" si="52"/>
        <v>55.7162492</v>
      </c>
      <c r="L1106" s="1">
        <f t="shared" si="53"/>
        <v>11.713164900000001</v>
      </c>
    </row>
    <row r="1107" spans="1:12" ht="16" x14ac:dyDescent="0.2">
      <c r="A1107" s="1">
        <v>1106</v>
      </c>
      <c r="B1107" s="1" t="s">
        <v>3275</v>
      </c>
      <c r="C1107" s="1" t="s">
        <v>3329</v>
      </c>
      <c r="D1107" s="1" t="str">
        <f t="shared" si="51"/>
        <v>Holbæk KommuneKnabstrup Møllebakke 4-6</v>
      </c>
      <c r="E1107" s="1" t="s">
        <v>3330</v>
      </c>
      <c r="F1107" s="1" t="s">
        <v>3331</v>
      </c>
      <c r="G1107" s="1">
        <v>1945</v>
      </c>
      <c r="H1107" s="1" t="s">
        <v>11</v>
      </c>
      <c r="I1107" s="6" cm="1">
        <f t="array" ref="I1107">GetLatitude(D1107)</f>
        <v>556608141</v>
      </c>
      <c r="J1107" s="1" cm="1">
        <f t="array" ref="J1107">GetLongitude(D1107)</f>
        <v>115676524</v>
      </c>
      <c r="K1107" s="1">
        <f t="shared" si="52"/>
        <v>55.660814100000003</v>
      </c>
      <c r="L1107" s="1">
        <f t="shared" si="53"/>
        <v>11.5676524</v>
      </c>
    </row>
    <row r="1108" spans="1:12" ht="16" x14ac:dyDescent="0.2">
      <c r="A1108" s="1">
        <v>1107</v>
      </c>
      <c r="B1108" s="1" t="s">
        <v>3275</v>
      </c>
      <c r="C1108" s="1" t="s">
        <v>3332</v>
      </c>
      <c r="D1108" s="1" t="str">
        <f t="shared" si="51"/>
        <v>Holbæk KommuneKnabstrupvej 51</v>
      </c>
      <c r="E1108" s="1" t="s">
        <v>3333</v>
      </c>
      <c r="F1108" s="1" t="s">
        <v>3334</v>
      </c>
      <c r="G1108" s="1">
        <v>1978</v>
      </c>
      <c r="H1108" s="1" t="s">
        <v>11</v>
      </c>
      <c r="I1108" s="6" cm="1">
        <f t="array" ref="I1108">GetLatitude(D1108)</f>
        <v>556524575</v>
      </c>
      <c r="J1108" s="1" cm="1">
        <f t="array" ref="J1108">GetLongitude(D1108)</f>
        <v>115665339</v>
      </c>
      <c r="K1108" s="1">
        <f t="shared" si="52"/>
        <v>55.652457499999997</v>
      </c>
      <c r="L1108" s="1">
        <f t="shared" si="53"/>
        <v>11.5665339</v>
      </c>
    </row>
    <row r="1109" spans="1:12" ht="16" x14ac:dyDescent="0.2">
      <c r="A1109" s="1">
        <v>1108</v>
      </c>
      <c r="B1109" s="1" t="s">
        <v>3275</v>
      </c>
      <c r="C1109" s="1" t="s">
        <v>3335</v>
      </c>
      <c r="D1109" s="1" t="str">
        <f t="shared" si="51"/>
        <v>Holbæk KommuneLøvenborg Allé 30</v>
      </c>
      <c r="E1109" s="1" t="s">
        <v>3336</v>
      </c>
      <c r="F1109" s="1" t="s">
        <v>3337</v>
      </c>
      <c r="G1109" s="1">
        <v>1918</v>
      </c>
      <c r="H1109" s="1" t="s">
        <v>15</v>
      </c>
      <c r="I1109" s="6" cm="1">
        <f t="array" ref="I1109">GetLatitude(D1109)</f>
        <v>556826084</v>
      </c>
      <c r="J1109" s="1" cm="1">
        <f t="array" ref="J1109">GetLongitude(D1109)</f>
        <v>115881069</v>
      </c>
      <c r="K1109" s="1">
        <f t="shared" si="52"/>
        <v>55.682608399999999</v>
      </c>
      <c r="L1109" s="1">
        <f t="shared" si="53"/>
        <v>11.5881069</v>
      </c>
    </row>
    <row r="1110" spans="1:12" ht="16" x14ac:dyDescent="0.2">
      <c r="A1110" s="1">
        <v>1109</v>
      </c>
      <c r="B1110" s="1" t="s">
        <v>3275</v>
      </c>
      <c r="C1110" s="1" t="s">
        <v>3338</v>
      </c>
      <c r="D1110" s="1" t="str">
        <f t="shared" si="51"/>
        <v>Holbæk KommuneMøllebakken 2</v>
      </c>
      <c r="E1110" s="1" t="s">
        <v>3339</v>
      </c>
      <c r="F1110" s="1" t="s">
        <v>3340</v>
      </c>
      <c r="G1110" s="1">
        <v>1982</v>
      </c>
      <c r="H1110" s="1" t="s">
        <v>15</v>
      </c>
      <c r="I1110" s="6" cm="1">
        <f t="array" ref="I1110">GetLatitude(D1110)</f>
        <v>556726834</v>
      </c>
      <c r="J1110" s="1" cm="1">
        <f t="array" ref="J1110">GetLongitude(D1110)</f>
        <v>116490469</v>
      </c>
      <c r="K1110" s="1">
        <f t="shared" si="52"/>
        <v>55.672683399999997</v>
      </c>
      <c r="L1110" s="1">
        <f t="shared" si="53"/>
        <v>11.6490469</v>
      </c>
    </row>
    <row r="1111" spans="1:12" ht="16" x14ac:dyDescent="0.2">
      <c r="A1111" s="1">
        <v>1110</v>
      </c>
      <c r="B1111" s="1" t="s">
        <v>3275</v>
      </c>
      <c r="C1111" s="1" t="s">
        <v>3341</v>
      </c>
      <c r="D1111" s="1" t="str">
        <f t="shared" si="51"/>
        <v>Holbæk KommuneMørkøvvej 15</v>
      </c>
      <c r="E1111" s="1" t="s">
        <v>3342</v>
      </c>
      <c r="F1111" s="1" t="s">
        <v>3343</v>
      </c>
      <c r="G1111" s="1">
        <v>1918</v>
      </c>
      <c r="H1111" s="1" t="s">
        <v>15</v>
      </c>
      <c r="I1111" s="6" cm="1">
        <f t="array" ref="I1111">GetLatitude(D1111)</f>
        <v>556174425</v>
      </c>
      <c r="J1111" s="1" cm="1">
        <f t="array" ref="J1111">GetLongitude(D1111)</f>
        <v>115513302</v>
      </c>
      <c r="K1111" s="1">
        <f t="shared" si="52"/>
        <v>55.617442500000003</v>
      </c>
      <c r="L1111" s="1">
        <f t="shared" si="53"/>
        <v>11.551330200000001</v>
      </c>
    </row>
    <row r="1112" spans="1:12" ht="16" x14ac:dyDescent="0.2">
      <c r="A1112" s="1">
        <v>1111</v>
      </c>
      <c r="B1112" s="1" t="s">
        <v>3275</v>
      </c>
      <c r="C1112" s="1" t="s">
        <v>3344</v>
      </c>
      <c r="D1112" s="1" t="str">
        <f t="shared" si="51"/>
        <v>Holbæk KommuneNykøbingvej 84 og 84 A-B</v>
      </c>
      <c r="E1112" s="1" t="s">
        <v>3345</v>
      </c>
      <c r="F1112" s="1" t="s">
        <v>3346</v>
      </c>
      <c r="G1112" s="1">
        <v>1918</v>
      </c>
      <c r="H1112" s="1" t="s">
        <v>1493</v>
      </c>
      <c r="I1112" s="6" cm="1">
        <f t="array" ref="I1112">GetLatitude(D1112)</f>
        <v>557146554</v>
      </c>
      <c r="J1112" s="1" cm="1">
        <f t="array" ref="J1112">GetLongitude(D1112)</f>
        <v>117175780</v>
      </c>
      <c r="K1112" s="1">
        <f t="shared" si="52"/>
        <v>55.714655399999998</v>
      </c>
      <c r="L1112" s="1">
        <f t="shared" si="53"/>
        <v>11.717578</v>
      </c>
    </row>
    <row r="1113" spans="1:12" ht="16" x14ac:dyDescent="0.2">
      <c r="A1113" s="1">
        <v>1112</v>
      </c>
      <c r="B1113" s="1" t="s">
        <v>3275</v>
      </c>
      <c r="C1113" s="1" t="s">
        <v>3347</v>
      </c>
      <c r="D1113" s="1" t="str">
        <f t="shared" si="51"/>
        <v>Holbæk KommuneObservator Gyldenkernes Vej 3-15</v>
      </c>
      <c r="E1113" s="1" t="s">
        <v>3348</v>
      </c>
      <c r="F1113" s="1" t="s">
        <v>3349</v>
      </c>
      <c r="G1113" s="1">
        <v>2010</v>
      </c>
      <c r="H1113" s="1" t="s">
        <v>15</v>
      </c>
      <c r="I1113" s="6" cm="1">
        <f t="array" ref="I1113">GetLatitude(D1113)</f>
        <v>556224081</v>
      </c>
      <c r="J1113" s="1" cm="1">
        <f t="array" ref="J1113">GetLongitude(D1113)</f>
        <v>116704952</v>
      </c>
      <c r="K1113" s="1">
        <f t="shared" si="52"/>
        <v>55.622408100000001</v>
      </c>
      <c r="L1113" s="1">
        <f t="shared" si="53"/>
        <v>11.6704952</v>
      </c>
    </row>
    <row r="1114" spans="1:12" ht="16" x14ac:dyDescent="0.2">
      <c r="A1114" s="1">
        <v>1113</v>
      </c>
      <c r="B1114" s="1" t="s">
        <v>3275</v>
      </c>
      <c r="C1114" s="1" t="s">
        <v>3350</v>
      </c>
      <c r="D1114" s="1" t="str">
        <f t="shared" si="51"/>
        <v>Holbæk KommunePræstevænget 2</v>
      </c>
      <c r="E1114" s="1" t="s">
        <v>3351</v>
      </c>
      <c r="F1114" s="1" t="s">
        <v>3352</v>
      </c>
      <c r="G1114" s="1">
        <v>1964</v>
      </c>
      <c r="H1114" s="1" t="s">
        <v>15</v>
      </c>
      <c r="I1114" s="6" cm="1">
        <f t="array" ref="I1114">GetLatitude(D1114)</f>
        <v>556726834</v>
      </c>
      <c r="J1114" s="1" cm="1">
        <f t="array" ref="J1114">GetLongitude(D1114)</f>
        <v>116490469</v>
      </c>
      <c r="K1114" s="1">
        <f t="shared" si="52"/>
        <v>55.672683399999997</v>
      </c>
      <c r="L1114" s="1">
        <f t="shared" si="53"/>
        <v>11.6490469</v>
      </c>
    </row>
    <row r="1115" spans="1:12" ht="16" x14ac:dyDescent="0.2">
      <c r="A1115" s="1">
        <v>1114</v>
      </c>
      <c r="B1115" s="1" t="s">
        <v>3275</v>
      </c>
      <c r="C1115" s="1" t="s">
        <v>3353</v>
      </c>
      <c r="D1115" s="1" t="str">
        <f t="shared" si="51"/>
        <v>Holbæk KommunePræstevænget 4</v>
      </c>
      <c r="E1115" s="1" t="s">
        <v>3354</v>
      </c>
      <c r="F1115" s="1" t="s">
        <v>3355</v>
      </c>
      <c r="G1115" s="1">
        <v>1945</v>
      </c>
      <c r="H1115" s="1" t="s">
        <v>11</v>
      </c>
      <c r="I1115" s="6" cm="1">
        <f t="array" ref="I1115">GetLatitude(D1115)</f>
        <v>556726834</v>
      </c>
      <c r="J1115" s="1" cm="1">
        <f t="array" ref="J1115">GetLongitude(D1115)</f>
        <v>116490469</v>
      </c>
      <c r="K1115" s="1">
        <f t="shared" si="52"/>
        <v>55.672683399999997</v>
      </c>
      <c r="L1115" s="1">
        <f t="shared" si="53"/>
        <v>11.6490469</v>
      </c>
    </row>
    <row r="1116" spans="1:12" ht="16" x14ac:dyDescent="0.2">
      <c r="A1116" s="1">
        <v>1115</v>
      </c>
      <c r="B1116" s="1" t="s">
        <v>3275</v>
      </c>
      <c r="C1116" s="1" t="s">
        <v>3356</v>
      </c>
      <c r="D1116" s="1" t="str">
        <f t="shared" si="51"/>
        <v>Holbæk KommuneRingstedvej 50</v>
      </c>
      <c r="E1116" s="1" t="s">
        <v>3357</v>
      </c>
      <c r="F1116" s="1" t="s">
        <v>3358</v>
      </c>
      <c r="G1116" s="1">
        <v>1918</v>
      </c>
      <c r="H1116" s="1" t="s">
        <v>15</v>
      </c>
      <c r="I1116" s="6" cm="1">
        <f t="array" ref="I1116">GetLatitude(D1116)</f>
        <v>555332582</v>
      </c>
      <c r="J1116" s="1" cm="1">
        <f t="array" ref="J1116">GetLongitude(D1116)</f>
        <v>117160814</v>
      </c>
      <c r="K1116" s="1">
        <f t="shared" si="52"/>
        <v>55.533258199999999</v>
      </c>
      <c r="L1116" s="1">
        <f t="shared" si="53"/>
        <v>11.7160814</v>
      </c>
    </row>
    <row r="1117" spans="1:12" ht="16" x14ac:dyDescent="0.2">
      <c r="A1117" s="1">
        <v>1116</v>
      </c>
      <c r="B1117" s="1" t="s">
        <v>3275</v>
      </c>
      <c r="C1117" s="1" t="s">
        <v>3359</v>
      </c>
      <c r="D1117" s="1" t="str">
        <f t="shared" si="51"/>
        <v>Holbæk KommuneRoskildevej 17 C</v>
      </c>
      <c r="E1117" s="1" t="s">
        <v>3360</v>
      </c>
      <c r="F1117" s="1" t="s">
        <v>3361</v>
      </c>
      <c r="G1117" s="1">
        <v>1991</v>
      </c>
      <c r="H1117" s="1" t="s">
        <v>15</v>
      </c>
      <c r="I1117" s="6" cm="1">
        <f t="array" ref="I1117">GetLatitude(D1117)</f>
        <v>557094570</v>
      </c>
      <c r="J1117" s="1" cm="1">
        <f t="array" ref="J1117">GetLongitude(D1117)</f>
        <v>117198170</v>
      </c>
      <c r="K1117" s="1">
        <f t="shared" si="52"/>
        <v>55.709457</v>
      </c>
      <c r="L1117" s="1">
        <f t="shared" si="53"/>
        <v>11.719817000000001</v>
      </c>
    </row>
    <row r="1118" spans="1:12" ht="16" x14ac:dyDescent="0.2">
      <c r="A1118" s="1">
        <v>1117</v>
      </c>
      <c r="B1118" s="1" t="s">
        <v>3275</v>
      </c>
      <c r="C1118" s="1" t="s">
        <v>3362</v>
      </c>
      <c r="D1118" s="1" t="str">
        <f t="shared" si="51"/>
        <v>Holbæk KommuneRådhuspladsen 1</v>
      </c>
      <c r="E1118" s="1" t="s">
        <v>3363</v>
      </c>
      <c r="F1118" s="1" t="s">
        <v>3364</v>
      </c>
      <c r="G1118" s="1">
        <v>2011</v>
      </c>
      <c r="H1118" s="1" t="s">
        <v>15</v>
      </c>
      <c r="I1118" s="6" cm="1">
        <f t="array" ref="I1118">GetLatitude(D1118)</f>
        <v>556754976</v>
      </c>
      <c r="J1118" s="1" cm="1">
        <f t="array" ref="J1118">GetLongitude(D1118)</f>
        <v>125701154</v>
      </c>
      <c r="K1118" s="1">
        <f t="shared" si="52"/>
        <v>55.6754976</v>
      </c>
      <c r="L1118" s="1">
        <f t="shared" si="53"/>
        <v>12.570115400000001</v>
      </c>
    </row>
    <row r="1119" spans="1:12" ht="16" x14ac:dyDescent="0.2">
      <c r="A1119" s="1">
        <v>1118</v>
      </c>
      <c r="B1119" s="1" t="s">
        <v>3275</v>
      </c>
      <c r="C1119" s="1" t="s">
        <v>3365</v>
      </c>
      <c r="D1119" s="1" t="str">
        <f t="shared" si="51"/>
        <v>Holbæk KommuneSeminarieparken 2 og 9</v>
      </c>
      <c r="E1119" s="1" t="s">
        <v>3366</v>
      </c>
      <c r="F1119" s="1" t="s">
        <v>3367</v>
      </c>
      <c r="G1119" s="1">
        <v>2010</v>
      </c>
      <c r="H1119" s="1" t="s">
        <v>15</v>
      </c>
      <c r="I1119" s="6" cm="1">
        <f t="array" ref="I1119">GetLatitude(D1119)</f>
        <v>557083829</v>
      </c>
      <c r="J1119" s="1" cm="1">
        <f t="array" ref="J1119">GetLongitude(D1119)</f>
        <v>117307749</v>
      </c>
      <c r="K1119" s="1">
        <f t="shared" si="52"/>
        <v>55.708382899999997</v>
      </c>
      <c r="L1119" s="1">
        <f t="shared" si="53"/>
        <v>11.7307749</v>
      </c>
    </row>
    <row r="1120" spans="1:12" ht="16" x14ac:dyDescent="0.2">
      <c r="A1120" s="1">
        <v>1119</v>
      </c>
      <c r="B1120" s="1" t="s">
        <v>3275</v>
      </c>
      <c r="C1120" s="1" t="s">
        <v>3368</v>
      </c>
      <c r="D1120" s="1" t="str">
        <f t="shared" si="51"/>
        <v>Holbæk KommuneTuse Byvej 100 (tidl Kalundborgvej 256)</v>
      </c>
      <c r="E1120" s="1" t="s">
        <v>3369</v>
      </c>
      <c r="F1120" s="1" t="s">
        <v>3370</v>
      </c>
      <c r="G1120" s="1">
        <v>1950</v>
      </c>
      <c r="H1120" s="1" t="s">
        <v>15</v>
      </c>
      <c r="I1120" s="6" cm="1">
        <f t="array" ref="I1120">GetLatitude(D1120)</f>
        <v>557120149</v>
      </c>
      <c r="J1120" s="1" cm="1">
        <f t="array" ref="J1120">GetLongitude(D1120)</f>
        <v>116658390</v>
      </c>
      <c r="K1120" s="1">
        <f t="shared" si="52"/>
        <v>55.7120149</v>
      </c>
      <c r="L1120" s="1">
        <f t="shared" si="53"/>
        <v>11.665839</v>
      </c>
    </row>
    <row r="1121" spans="1:12" ht="16" x14ac:dyDescent="0.2">
      <c r="A1121" s="1">
        <v>1120</v>
      </c>
      <c r="B1121" s="1" t="s">
        <v>3275</v>
      </c>
      <c r="C1121" s="1" t="s">
        <v>3371</v>
      </c>
      <c r="D1121" s="1" t="str">
        <f t="shared" si="51"/>
        <v>Holbæk KommuneTåstrupvej 54</v>
      </c>
      <c r="E1121" s="1" t="s">
        <v>3372</v>
      </c>
      <c r="F1121" s="1" t="s">
        <v>3373</v>
      </c>
      <c r="G1121" s="1">
        <v>1950</v>
      </c>
      <c r="H1121" s="1" t="s">
        <v>15</v>
      </c>
      <c r="I1121" s="6" cm="1">
        <f t="array" ref="I1121">GetLatitude(D1121)</f>
        <v>555530317</v>
      </c>
      <c r="J1121" s="1" cm="1">
        <f t="array" ref="J1121">GetLongitude(D1121)</f>
        <v>117109257</v>
      </c>
      <c r="K1121" s="1">
        <f t="shared" si="52"/>
        <v>55.553031699999998</v>
      </c>
      <c r="L1121" s="1">
        <f t="shared" si="53"/>
        <v>11.710925700000001</v>
      </c>
    </row>
    <row r="1122" spans="1:12" ht="16" x14ac:dyDescent="0.2">
      <c r="A1122" s="1">
        <v>1121</v>
      </c>
      <c r="B1122" s="1" t="s">
        <v>3275</v>
      </c>
      <c r="C1122" s="1" t="s">
        <v>3374</v>
      </c>
      <c r="D1122" s="1" t="str">
        <f t="shared" si="51"/>
        <v>Holbæk KommuneVognserup 3</v>
      </c>
      <c r="E1122" s="1" t="s">
        <v>3375</v>
      </c>
      <c r="F1122" s="1" t="s">
        <v>3376</v>
      </c>
      <c r="G1122" s="1">
        <v>1918</v>
      </c>
      <c r="H1122" s="1" t="s">
        <v>11</v>
      </c>
      <c r="I1122" s="6" cm="1">
        <f t="array" ref="I1122">GetLatitude(D1122)</f>
        <v>557084836</v>
      </c>
      <c r="J1122" s="1" cm="1">
        <f t="array" ref="J1122">GetLongitude(D1122)</f>
        <v>115582234</v>
      </c>
      <c r="K1122" s="1">
        <f t="shared" si="52"/>
        <v>55.708483600000001</v>
      </c>
      <c r="L1122" s="1">
        <f t="shared" si="53"/>
        <v>11.558223399999999</v>
      </c>
    </row>
    <row r="1123" spans="1:12" ht="16" x14ac:dyDescent="0.2">
      <c r="A1123" s="1">
        <v>1122</v>
      </c>
      <c r="B1123" s="1" t="s">
        <v>3377</v>
      </c>
      <c r="C1123" s="1" t="s">
        <v>3378</v>
      </c>
      <c r="D1123" s="1" t="str">
        <f t="shared" si="51"/>
        <v>Holsterbro KommuneBukdalvej 52</v>
      </c>
      <c r="E1123" s="1" t="s">
        <v>3379</v>
      </c>
      <c r="F1123" s="1" t="s">
        <v>3380</v>
      </c>
      <c r="G1123" s="1">
        <v>1945</v>
      </c>
      <c r="H1123" s="1" t="s">
        <v>15</v>
      </c>
      <c r="I1123" s="6" cm="1">
        <f t="array" ref="I1123">GetLatitude(D1123)</f>
        <v>564181881</v>
      </c>
      <c r="J1123" s="1" cm="1">
        <f t="array" ref="J1123">GetLongitude(D1123)</f>
        <v>87525927</v>
      </c>
      <c r="K1123" s="1">
        <f t="shared" si="52"/>
        <v>56.418188100000002</v>
      </c>
      <c r="L1123" s="1">
        <f t="shared" si="53"/>
        <v>8.7525926999999992</v>
      </c>
    </row>
    <row r="1124" spans="1:12" ht="16" x14ac:dyDescent="0.2">
      <c r="A1124" s="1">
        <v>1123</v>
      </c>
      <c r="B1124" s="1" t="s">
        <v>3377</v>
      </c>
      <c r="C1124" s="1" t="s">
        <v>3381</v>
      </c>
      <c r="D1124" s="1" t="str">
        <f t="shared" si="51"/>
        <v>Holsterbro KommuneHandbjerg Hovgårdvej 5</v>
      </c>
      <c r="E1124" s="1" t="s">
        <v>3382</v>
      </c>
      <c r="F1124" s="1" t="s">
        <v>3383</v>
      </c>
      <c r="G1124" s="1">
        <v>1950</v>
      </c>
      <c r="H1124" s="1" t="s">
        <v>2375</v>
      </c>
      <c r="I1124" s="6" cm="1">
        <f t="array" ref="I1124">GetLatitude(D1124)</f>
        <v>564644684</v>
      </c>
      <c r="J1124" s="1" cm="1">
        <f t="array" ref="J1124">GetLongitude(D1124)</f>
        <v>87334225</v>
      </c>
      <c r="K1124" s="1">
        <f t="shared" si="52"/>
        <v>56.464468400000001</v>
      </c>
      <c r="L1124" s="1">
        <f t="shared" si="53"/>
        <v>8.7334224999999996</v>
      </c>
    </row>
    <row r="1125" spans="1:12" ht="16" x14ac:dyDescent="0.2">
      <c r="A1125" s="1">
        <v>1124</v>
      </c>
      <c r="B1125" s="1" t="s">
        <v>3377</v>
      </c>
      <c r="C1125" s="1" t="s">
        <v>3384</v>
      </c>
      <c r="D1125" s="1" t="str">
        <f t="shared" si="51"/>
        <v>Holsterbro KommuneHolstebrovej 38</v>
      </c>
      <c r="E1125" s="1" t="s">
        <v>3385</v>
      </c>
      <c r="F1125" s="1" t="s">
        <v>3386</v>
      </c>
      <c r="G1125" s="1">
        <v>1918</v>
      </c>
      <c r="H1125" s="1" t="s">
        <v>11</v>
      </c>
      <c r="I1125" s="6" cm="1">
        <f t="array" ref="I1125">GetLatitude(D1125)</f>
        <v>564530071</v>
      </c>
      <c r="J1125" s="1" cm="1">
        <f t="array" ref="J1125">GetLongitude(D1125)</f>
        <v>87613815</v>
      </c>
      <c r="K1125" s="1">
        <f t="shared" si="52"/>
        <v>56.453007100000001</v>
      </c>
      <c r="L1125" s="1">
        <f t="shared" si="53"/>
        <v>8.7613815000000006</v>
      </c>
    </row>
    <row r="1126" spans="1:12" ht="16" x14ac:dyDescent="0.2">
      <c r="A1126" s="1">
        <v>1125</v>
      </c>
      <c r="B1126" s="1" t="s">
        <v>3377</v>
      </c>
      <c r="C1126" s="1" t="s">
        <v>3387</v>
      </c>
      <c r="D1126" s="1" t="str">
        <f t="shared" si="51"/>
        <v>Holsterbro KommuneNørregade 25</v>
      </c>
      <c r="E1126" s="1" t="s">
        <v>3388</v>
      </c>
      <c r="F1126" s="1" t="s">
        <v>3389</v>
      </c>
      <c r="G1126" s="1">
        <v>1959</v>
      </c>
      <c r="H1126" s="1" t="s">
        <v>15</v>
      </c>
      <c r="I1126" s="6" cm="1">
        <f t="array" ref="I1126">GetLatitude(D1126)</f>
        <v>563622124</v>
      </c>
      <c r="J1126" s="1" cm="1">
        <f t="array" ref="J1126">GetLongitude(D1126)</f>
        <v>86192321</v>
      </c>
      <c r="K1126" s="1">
        <f t="shared" si="52"/>
        <v>56.362212399999997</v>
      </c>
      <c r="L1126" s="1">
        <f t="shared" si="53"/>
        <v>8.6192320999999996</v>
      </c>
    </row>
    <row r="1127" spans="1:12" ht="16" x14ac:dyDescent="0.2">
      <c r="A1127" s="1">
        <v>1126</v>
      </c>
      <c r="B1127" s="1" t="s">
        <v>3377</v>
      </c>
      <c r="C1127" s="1" t="s">
        <v>3390</v>
      </c>
      <c r="D1127" s="1" t="str">
        <f t="shared" si="51"/>
        <v>Holsterbro KommuneStationsvej 15</v>
      </c>
      <c r="E1127" s="1" t="s">
        <v>3391</v>
      </c>
      <c r="F1127" s="1" t="s">
        <v>3392</v>
      </c>
      <c r="G1127" s="1">
        <v>1992</v>
      </c>
      <c r="H1127" s="1" t="s">
        <v>15</v>
      </c>
      <c r="I1127" s="6" cm="1">
        <f t="array" ref="I1127">GetLatitude(D1127)</f>
        <v>563653785</v>
      </c>
      <c r="J1127" s="1" cm="1">
        <f t="array" ref="J1127">GetLongitude(D1127)</f>
        <v>86207087</v>
      </c>
      <c r="K1127" s="1">
        <f t="shared" si="52"/>
        <v>56.365378499999998</v>
      </c>
      <c r="L1127" s="1">
        <f t="shared" si="53"/>
        <v>8.6207086999999998</v>
      </c>
    </row>
    <row r="1128" spans="1:12" ht="16" x14ac:dyDescent="0.2">
      <c r="A1128" s="1">
        <v>1127</v>
      </c>
      <c r="B1128" s="1" t="s">
        <v>3377</v>
      </c>
      <c r="C1128" s="1" t="s">
        <v>3393</v>
      </c>
      <c r="D1128" s="1" t="str">
        <f t="shared" si="51"/>
        <v>Holsterbro KommuneSønderlandsgade 46</v>
      </c>
      <c r="E1128" s="1" t="s">
        <v>3394</v>
      </c>
      <c r="F1128" s="1" t="s">
        <v>3395</v>
      </c>
      <c r="G1128" s="1">
        <v>1924</v>
      </c>
      <c r="H1128" s="1" t="s">
        <v>15</v>
      </c>
      <c r="I1128" s="6" cm="1">
        <f t="array" ref="I1128">GetLatitude(D1128)</f>
        <v>563542431</v>
      </c>
      <c r="J1128" s="1" cm="1">
        <f t="array" ref="J1128">GetLongitude(D1128)</f>
        <v>86179482</v>
      </c>
      <c r="K1128" s="1">
        <f t="shared" si="52"/>
        <v>56.354243099999998</v>
      </c>
      <c r="L1128" s="1">
        <f t="shared" si="53"/>
        <v>8.6179482000000007</v>
      </c>
    </row>
    <row r="1129" spans="1:12" ht="16" x14ac:dyDescent="0.2">
      <c r="A1129" s="1">
        <v>1128</v>
      </c>
      <c r="B1129" s="1" t="s">
        <v>3377</v>
      </c>
      <c r="C1129" s="1" t="s">
        <v>3396</v>
      </c>
      <c r="D1129" s="1" t="str">
        <f t="shared" si="51"/>
        <v>Holsterbro KommuneUdstrupvej 3</v>
      </c>
      <c r="E1129" s="1" t="s">
        <v>3397</v>
      </c>
      <c r="F1129" s="1" t="s">
        <v>3398</v>
      </c>
      <c r="G1129" s="1">
        <v>1939</v>
      </c>
      <c r="H1129" s="1" t="s">
        <v>11</v>
      </c>
      <c r="I1129" s="6" cm="1">
        <f t="array" ref="I1129">GetLatitude(D1129)</f>
        <v>563038106</v>
      </c>
      <c r="J1129" s="1" cm="1">
        <f t="array" ref="J1129">GetLongitude(D1129)</f>
        <v>82248210</v>
      </c>
      <c r="K1129" s="1">
        <f t="shared" si="52"/>
        <v>56.303810599999998</v>
      </c>
      <c r="L1129" s="1">
        <f t="shared" si="53"/>
        <v>8.2248210000000004</v>
      </c>
    </row>
    <row r="1130" spans="1:12" ht="16" x14ac:dyDescent="0.2">
      <c r="A1130" s="1">
        <v>1129</v>
      </c>
      <c r="B1130" s="1" t="s">
        <v>3377</v>
      </c>
      <c r="C1130" s="1" t="s">
        <v>3399</v>
      </c>
      <c r="D1130" s="1" t="str">
        <f t="shared" si="51"/>
        <v>Holsterbro KommuneVembvej 31-43</v>
      </c>
      <c r="E1130" s="1" t="s">
        <v>3400</v>
      </c>
      <c r="F1130" s="1" t="s">
        <v>3401</v>
      </c>
      <c r="G1130" s="1">
        <v>1918</v>
      </c>
      <c r="H1130" s="1" t="s">
        <v>3402</v>
      </c>
      <c r="I1130" s="6" cm="1">
        <f t="array" ref="I1130">GetLatitude(D1130)</f>
        <v>563675490</v>
      </c>
      <c r="J1130" s="1" cm="1">
        <f t="array" ref="J1130">GetLongitude(D1130)</f>
        <v>84802210</v>
      </c>
      <c r="K1130" s="1">
        <f t="shared" si="52"/>
        <v>56.367548999999997</v>
      </c>
      <c r="L1130" s="1">
        <f t="shared" si="53"/>
        <v>8.4802210000000002</v>
      </c>
    </row>
    <row r="1131" spans="1:12" ht="16" x14ac:dyDescent="0.2">
      <c r="A1131" s="1">
        <v>1130</v>
      </c>
      <c r="B1131" s="1" t="s">
        <v>3377</v>
      </c>
      <c r="C1131" s="1" t="s">
        <v>3403</v>
      </c>
      <c r="D1131" s="1" t="str">
        <f t="shared" si="51"/>
        <v>Holsterbro KommuneØstergade 35-37</v>
      </c>
      <c r="E1131" s="1" t="s">
        <v>3404</v>
      </c>
      <c r="F1131" s="1" t="s">
        <v>3405</v>
      </c>
      <c r="G1131" s="1">
        <v>1964</v>
      </c>
      <c r="H1131" s="1" t="s">
        <v>11</v>
      </c>
      <c r="I1131" s="6" cm="1">
        <f t="array" ref="I1131">GetLatitude(D1131)</f>
        <v>563770326</v>
      </c>
      <c r="J1131" s="1" cm="1">
        <f t="array" ref="J1131">GetLongitude(D1131)</f>
        <v>85818009</v>
      </c>
      <c r="K1131" s="1">
        <f t="shared" si="52"/>
        <v>56.3770326</v>
      </c>
      <c r="L1131" s="1">
        <f t="shared" si="53"/>
        <v>8.5818008999999993</v>
      </c>
    </row>
    <row r="1132" spans="1:12" ht="16" x14ac:dyDescent="0.2">
      <c r="A1132" s="1">
        <v>1131</v>
      </c>
      <c r="B1132" s="1" t="s">
        <v>3406</v>
      </c>
      <c r="C1132" s="1" t="s">
        <v>3407</v>
      </c>
      <c r="D1132" s="1" t="str">
        <f t="shared" si="51"/>
        <v>Horsens KommuneAndreas Flensborgs Gade, Kongensgade og Claus Cortsens Gade</v>
      </c>
      <c r="E1132" s="1" t="s">
        <v>3408</v>
      </c>
      <c r="F1132" s="1" t="s">
        <v>3409</v>
      </c>
      <c r="G1132" s="1">
        <v>2014</v>
      </c>
      <c r="H1132" s="1" t="s">
        <v>15</v>
      </c>
      <c r="I1132" s="6" cm="1">
        <f t="array" ref="I1132">GetLatitude(D1132)</f>
        <v>558624480</v>
      </c>
      <c r="J1132" s="1" cm="1">
        <f t="array" ref="J1132">GetLongitude(D1132)</f>
        <v>98386479</v>
      </c>
      <c r="K1132" s="1">
        <f t="shared" si="52"/>
        <v>55.862448000000001</v>
      </c>
      <c r="L1132" s="1">
        <f t="shared" si="53"/>
        <v>9.8386478999999998</v>
      </c>
    </row>
    <row r="1133" spans="1:12" ht="16" x14ac:dyDescent="0.2">
      <c r="A1133" s="1">
        <v>1132</v>
      </c>
      <c r="B1133" s="1" t="s">
        <v>3406</v>
      </c>
      <c r="C1133" s="1" t="s">
        <v>3410</v>
      </c>
      <c r="D1133" s="1" t="str">
        <f t="shared" si="51"/>
        <v>Horsens KommuneBisgårdsvej 2</v>
      </c>
      <c r="E1133" s="1" t="s">
        <v>3411</v>
      </c>
      <c r="F1133" s="1" t="s">
        <v>3412</v>
      </c>
      <c r="G1133" s="1">
        <v>1973</v>
      </c>
      <c r="H1133" s="1" t="s">
        <v>11</v>
      </c>
      <c r="I1133" s="6" cm="1">
        <f t="array" ref="I1133">GetLatitude(D1133)</f>
        <v>558873536</v>
      </c>
      <c r="J1133" s="1" cm="1">
        <f t="array" ref="J1133">GetLongitude(D1133)</f>
        <v>97371706</v>
      </c>
      <c r="K1133" s="1">
        <f t="shared" si="52"/>
        <v>55.887353599999997</v>
      </c>
      <c r="L1133" s="1">
        <f t="shared" si="53"/>
        <v>9.7371706000000007</v>
      </c>
    </row>
    <row r="1134" spans="1:12" ht="16" x14ac:dyDescent="0.2">
      <c r="A1134" s="1">
        <v>1133</v>
      </c>
      <c r="B1134" s="1" t="s">
        <v>3406</v>
      </c>
      <c r="C1134" s="1" t="s">
        <v>3413</v>
      </c>
      <c r="D1134" s="1" t="str">
        <f t="shared" si="51"/>
        <v>Horsens KommuneBoller Slotsvej 20</v>
      </c>
      <c r="E1134" s="1" t="s">
        <v>3414</v>
      </c>
      <c r="F1134" s="1" t="s">
        <v>3415</v>
      </c>
      <c r="G1134" s="1">
        <v>1918</v>
      </c>
      <c r="H1134" s="1" t="s">
        <v>15</v>
      </c>
      <c r="I1134" s="6" cm="1">
        <f t="array" ref="I1134">GetLatitude(D1134)</f>
        <v>558377983</v>
      </c>
      <c r="J1134" s="1" cm="1">
        <f t="array" ref="J1134">GetLongitude(D1134)</f>
        <v>98967535</v>
      </c>
      <c r="K1134" s="1">
        <f t="shared" si="52"/>
        <v>55.837798300000003</v>
      </c>
      <c r="L1134" s="1">
        <f t="shared" si="53"/>
        <v>9.8967535000000009</v>
      </c>
    </row>
    <row r="1135" spans="1:12" ht="16" x14ac:dyDescent="0.2">
      <c r="A1135" s="1">
        <v>1134</v>
      </c>
      <c r="B1135" s="1" t="s">
        <v>3406</v>
      </c>
      <c r="C1135" s="1" t="s">
        <v>3416</v>
      </c>
      <c r="D1135" s="1" t="str">
        <f t="shared" si="51"/>
        <v>Horsens KommuneBygaden 70</v>
      </c>
      <c r="E1135" s="1" t="s">
        <v>3417</v>
      </c>
      <c r="F1135" s="1" t="s">
        <v>3418</v>
      </c>
      <c r="G1135" s="1">
        <v>1918</v>
      </c>
      <c r="H1135" s="1" t="s">
        <v>15</v>
      </c>
      <c r="I1135" s="6" cm="1">
        <f t="array" ref="I1135">GetLatitude(D1135)</f>
        <v>558720323</v>
      </c>
      <c r="J1135" s="1" cm="1">
        <f t="array" ref="J1135">GetLongitude(D1135)</f>
        <v>99256507</v>
      </c>
      <c r="K1135" s="1">
        <f t="shared" si="52"/>
        <v>55.872032300000001</v>
      </c>
      <c r="L1135" s="1">
        <f t="shared" si="53"/>
        <v>9.9256507000000003</v>
      </c>
    </row>
    <row r="1136" spans="1:12" ht="16" x14ac:dyDescent="0.2">
      <c r="A1136" s="1">
        <v>1135</v>
      </c>
      <c r="B1136" s="1" t="s">
        <v>3406</v>
      </c>
      <c r="C1136" s="1" t="s">
        <v>3419</v>
      </c>
      <c r="D1136" s="1" t="str">
        <f t="shared" si="51"/>
        <v>Horsens KommuneEmil Møllersgade 41</v>
      </c>
      <c r="E1136" s="1" t="s">
        <v>3420</v>
      </c>
      <c r="F1136" s="1" t="s">
        <v>3421</v>
      </c>
      <c r="G1136" s="1">
        <v>1988</v>
      </c>
      <c r="H1136" s="1" t="s">
        <v>11</v>
      </c>
      <c r="I1136" s="6" cm="1">
        <f t="array" ref="I1136">GetLatitude(D1136)</f>
        <v>558659527</v>
      </c>
      <c r="J1136" s="1" cm="1">
        <f t="array" ref="J1136">GetLongitude(D1136)</f>
        <v>98398952</v>
      </c>
      <c r="K1136" s="1">
        <f t="shared" si="52"/>
        <v>55.865952700000001</v>
      </c>
      <c r="L1136" s="1">
        <f t="shared" si="53"/>
        <v>9.8398952000000008</v>
      </c>
    </row>
    <row r="1137" spans="1:12" ht="16" x14ac:dyDescent="0.2">
      <c r="A1137" s="1">
        <v>1136</v>
      </c>
      <c r="B1137" s="1" t="s">
        <v>3406</v>
      </c>
      <c r="C1137" s="1" t="s">
        <v>3422</v>
      </c>
      <c r="D1137" s="1" t="str">
        <f t="shared" si="51"/>
        <v>Horsens KommuneFuglsbjergvej 9</v>
      </c>
      <c r="E1137" s="1" t="s">
        <v>3423</v>
      </c>
      <c r="F1137" s="1" t="s">
        <v>3424</v>
      </c>
      <c r="G1137" s="1">
        <v>1997</v>
      </c>
      <c r="H1137" s="1" t="s">
        <v>11</v>
      </c>
      <c r="I1137" s="6" cm="1">
        <f t="array" ref="I1137">GetLatitude(D1137)</f>
        <v>558883810</v>
      </c>
      <c r="J1137" s="1" cm="1">
        <f t="array" ref="J1137">GetLongitude(D1137)</f>
        <v>99317182</v>
      </c>
      <c r="K1137" s="1">
        <f t="shared" si="52"/>
        <v>55.888381000000003</v>
      </c>
      <c r="L1137" s="1">
        <f t="shared" si="53"/>
        <v>9.9317182000000006</v>
      </c>
    </row>
    <row r="1138" spans="1:12" ht="16" x14ac:dyDescent="0.2">
      <c r="A1138" s="1">
        <v>1137</v>
      </c>
      <c r="B1138" s="1" t="s">
        <v>3406</v>
      </c>
      <c r="C1138" s="1" t="s">
        <v>3425</v>
      </c>
      <c r="D1138" s="1" t="str">
        <f t="shared" si="51"/>
        <v>Horsens KommuneFøvlingvej 14</v>
      </c>
      <c r="E1138" s="1" t="s">
        <v>3426</v>
      </c>
      <c r="F1138" s="1" t="s">
        <v>3427</v>
      </c>
      <c r="G1138" s="1">
        <v>1986</v>
      </c>
      <c r="H1138" s="1" t="s">
        <v>11</v>
      </c>
      <c r="I1138" s="6" cm="1">
        <f t="array" ref="I1138">GetLatitude(D1138)</f>
        <v>559374000</v>
      </c>
      <c r="J1138" s="1" cm="1">
        <f t="array" ref="J1138">GetLongitude(D1138)</f>
        <v>96197158</v>
      </c>
      <c r="K1138" s="1">
        <f t="shared" si="52"/>
        <v>55.937399999999997</v>
      </c>
      <c r="L1138" s="1">
        <f t="shared" si="53"/>
        <v>9.6197157999999998</v>
      </c>
    </row>
    <row r="1139" spans="1:12" ht="16" x14ac:dyDescent="0.2">
      <c r="A1139" s="1">
        <v>1138</v>
      </c>
      <c r="B1139" s="1" t="s">
        <v>3406</v>
      </c>
      <c r="C1139" s="1" t="s">
        <v>3428</v>
      </c>
      <c r="D1139" s="1" t="str">
        <f t="shared" si="51"/>
        <v>Horsens KommuneHavnen 1</v>
      </c>
      <c r="E1139" s="1" t="s">
        <v>3429</v>
      </c>
      <c r="F1139" s="1" t="s">
        <v>3430</v>
      </c>
      <c r="G1139" s="1">
        <v>1995</v>
      </c>
      <c r="H1139" s="1" t="s">
        <v>11</v>
      </c>
      <c r="I1139" s="6" cm="1">
        <f t="array" ref="I1139">GetLatitude(D1139)</f>
        <v>558588434</v>
      </c>
      <c r="J1139" s="1" cm="1">
        <f t="array" ref="J1139">GetLongitude(D1139)</f>
        <v>98594601</v>
      </c>
      <c r="K1139" s="1">
        <f t="shared" si="52"/>
        <v>55.858843399999998</v>
      </c>
      <c r="L1139" s="1">
        <f t="shared" si="53"/>
        <v>9.8594600999999997</v>
      </c>
    </row>
    <row r="1140" spans="1:12" ht="16" x14ac:dyDescent="0.2">
      <c r="A1140" s="1">
        <v>1139</v>
      </c>
      <c r="B1140" s="1" t="s">
        <v>3406</v>
      </c>
      <c r="C1140" s="1" t="s">
        <v>3431</v>
      </c>
      <c r="D1140" s="1" t="str">
        <f t="shared" si="51"/>
        <v>Horsens KommuneHospitalsgade 10</v>
      </c>
      <c r="E1140" s="1" t="s">
        <v>3432</v>
      </c>
      <c r="F1140" s="1" t="s">
        <v>3433</v>
      </c>
      <c r="G1140" s="1">
        <v>1919</v>
      </c>
      <c r="H1140" s="1" t="s">
        <v>11</v>
      </c>
      <c r="I1140" s="6" cm="1">
        <f t="array" ref="I1140">GetLatitude(D1140)</f>
        <v>558613613</v>
      </c>
      <c r="J1140" s="1" cm="1">
        <f t="array" ref="J1140">GetLongitude(D1140)</f>
        <v>98452661</v>
      </c>
      <c r="K1140" s="1">
        <f t="shared" si="52"/>
        <v>55.861361299999999</v>
      </c>
      <c r="L1140" s="1">
        <f t="shared" si="53"/>
        <v>9.8452660999999999</v>
      </c>
    </row>
    <row r="1141" spans="1:12" ht="16" x14ac:dyDescent="0.2">
      <c r="A1141" s="1">
        <v>1140</v>
      </c>
      <c r="B1141" s="1" t="s">
        <v>3406</v>
      </c>
      <c r="C1141" s="1" t="s">
        <v>3434</v>
      </c>
      <c r="D1141" s="1" t="str">
        <f t="shared" si="51"/>
        <v>Horsens KommuneHospitalsgade 6</v>
      </c>
      <c r="E1141" s="1" t="s">
        <v>3435</v>
      </c>
      <c r="F1141" s="1" t="s">
        <v>3436</v>
      </c>
      <c r="G1141" s="1">
        <v>1919</v>
      </c>
      <c r="H1141" s="1" t="s">
        <v>1746</v>
      </c>
      <c r="I1141" s="6" cm="1">
        <f t="array" ref="I1141">GetLatitude(D1141)</f>
        <v>558615793</v>
      </c>
      <c r="J1141" s="1" cm="1">
        <f t="array" ref="J1141">GetLongitude(D1141)</f>
        <v>98452842</v>
      </c>
      <c r="K1141" s="1">
        <f t="shared" si="52"/>
        <v>55.861579300000002</v>
      </c>
      <c r="L1141" s="1">
        <f t="shared" si="53"/>
        <v>9.8452842</v>
      </c>
    </row>
    <row r="1142" spans="1:12" ht="16" x14ac:dyDescent="0.2">
      <c r="A1142" s="1">
        <v>1141</v>
      </c>
      <c r="B1142" s="1" t="s">
        <v>3406</v>
      </c>
      <c r="C1142" s="1" t="s">
        <v>3437</v>
      </c>
      <c r="D1142" s="1" t="str">
        <f t="shared" si="51"/>
        <v>Horsens KommuneJulianelystvej 1 og 1 A</v>
      </c>
      <c r="E1142" s="1" t="s">
        <v>3438</v>
      </c>
      <c r="F1142" s="1" t="s">
        <v>3439</v>
      </c>
      <c r="G1142" s="1">
        <v>1924</v>
      </c>
      <c r="H1142" s="1" t="s">
        <v>15</v>
      </c>
      <c r="I1142" s="6" cm="1">
        <f t="array" ref="I1142">GetLatitude(D1142)</f>
        <v>559431796</v>
      </c>
      <c r="J1142" s="1" cm="1">
        <f t="array" ref="J1142">GetLongitude(D1142)</f>
        <v>97568956</v>
      </c>
      <c r="K1142" s="1">
        <f t="shared" si="52"/>
        <v>55.943179600000001</v>
      </c>
      <c r="L1142" s="1">
        <f t="shared" si="53"/>
        <v>9.7568956</v>
      </c>
    </row>
    <row r="1143" spans="1:12" ht="16" x14ac:dyDescent="0.2">
      <c r="A1143" s="1">
        <v>1142</v>
      </c>
      <c r="B1143" s="1" t="s">
        <v>3406</v>
      </c>
      <c r="C1143" s="1" t="s">
        <v>3440</v>
      </c>
      <c r="D1143" s="1" t="str">
        <f t="shared" si="51"/>
        <v>Horsens KommuneKlostermøllevej 48 A, B og D</v>
      </c>
      <c r="E1143" s="1" t="s">
        <v>3441</v>
      </c>
      <c r="F1143" s="1" t="s">
        <v>3442</v>
      </c>
      <c r="G1143" s="1">
        <v>1989</v>
      </c>
      <c r="H1143" s="1" t="s">
        <v>15</v>
      </c>
      <c r="I1143" s="6" cm="1">
        <f t="array" ref="I1143">GetLatitude(D1143)</f>
        <v>560394750</v>
      </c>
      <c r="J1143" s="1" cm="1">
        <f t="array" ref="J1143">GetLongitude(D1143)</f>
        <v>96937733</v>
      </c>
      <c r="K1143" s="1">
        <f t="shared" si="52"/>
        <v>56.039475000000003</v>
      </c>
      <c r="L1143" s="1">
        <f t="shared" si="53"/>
        <v>9.6937733000000001</v>
      </c>
    </row>
    <row r="1144" spans="1:12" ht="16" x14ac:dyDescent="0.2">
      <c r="A1144" s="1">
        <v>1143</v>
      </c>
      <c r="B1144" s="1" t="s">
        <v>3406</v>
      </c>
      <c r="C1144" s="1" t="s">
        <v>3443</v>
      </c>
      <c r="D1144" s="1" t="str">
        <f t="shared" si="51"/>
        <v>Horsens KommuneMattrupvej 3</v>
      </c>
      <c r="E1144" s="1" t="s">
        <v>3444</v>
      </c>
      <c r="F1144" s="1" t="s">
        <v>3445</v>
      </c>
      <c r="G1144" s="1">
        <v>1918</v>
      </c>
      <c r="H1144" s="1" t="s">
        <v>701</v>
      </c>
      <c r="I1144" s="6" cm="1">
        <f t="array" ref="I1144">GetLatitude(D1144)</f>
        <v>558938045</v>
      </c>
      <c r="J1144" s="1" cm="1">
        <f t="array" ref="J1144">GetLongitude(D1144)</f>
        <v>95513723</v>
      </c>
      <c r="K1144" s="1">
        <f t="shared" si="52"/>
        <v>55.893804500000002</v>
      </c>
      <c r="L1144" s="1">
        <f t="shared" si="53"/>
        <v>9.5513723000000006</v>
      </c>
    </row>
    <row r="1145" spans="1:12" ht="16" x14ac:dyDescent="0.2">
      <c r="A1145" s="1">
        <v>1144</v>
      </c>
      <c r="B1145" s="1" t="s">
        <v>3406</v>
      </c>
      <c r="C1145" s="1" t="s">
        <v>3446</v>
      </c>
      <c r="D1145" s="1" t="str">
        <f t="shared" si="51"/>
        <v>Horsens KommuneNørregade 21 A</v>
      </c>
      <c r="E1145" s="1" t="s">
        <v>3447</v>
      </c>
      <c r="F1145" s="1" t="s">
        <v>3448</v>
      </c>
      <c r="G1145" s="1">
        <v>1919</v>
      </c>
      <c r="H1145" s="1" t="s">
        <v>15</v>
      </c>
      <c r="I1145" s="6" cm="1">
        <f t="array" ref="I1145">GetLatitude(D1145)</f>
        <v>559267709</v>
      </c>
      <c r="J1145" s="1" cm="1">
        <f t="array" ref="J1145">GetLongitude(D1145)</f>
        <v>97844165</v>
      </c>
      <c r="K1145" s="1">
        <f t="shared" si="52"/>
        <v>55.926770900000001</v>
      </c>
      <c r="L1145" s="1">
        <f t="shared" si="53"/>
        <v>9.7844165000000007</v>
      </c>
    </row>
    <row r="1146" spans="1:12" ht="16" x14ac:dyDescent="0.2">
      <c r="A1146" s="1">
        <v>1145</v>
      </c>
      <c r="B1146" s="1" t="s">
        <v>3406</v>
      </c>
      <c r="C1146" s="1" t="s">
        <v>3449</v>
      </c>
      <c r="D1146" s="1" t="str">
        <f t="shared" si="51"/>
        <v>Horsens KommuneNørregade 31</v>
      </c>
      <c r="E1146" s="1" t="s">
        <v>3450</v>
      </c>
      <c r="F1146" s="1" t="s">
        <v>3451</v>
      </c>
      <c r="G1146" s="1">
        <v>1918</v>
      </c>
      <c r="H1146" s="1" t="s">
        <v>99</v>
      </c>
      <c r="I1146" s="6" cm="1">
        <f t="array" ref="I1146">GetLatitude(D1146)</f>
        <v>559267709</v>
      </c>
      <c r="J1146" s="1" cm="1">
        <f t="array" ref="J1146">GetLongitude(D1146)</f>
        <v>97844165</v>
      </c>
      <c r="K1146" s="1">
        <f t="shared" si="52"/>
        <v>55.926770900000001</v>
      </c>
      <c r="L1146" s="1">
        <f t="shared" si="53"/>
        <v>9.7844165000000007</v>
      </c>
    </row>
    <row r="1147" spans="1:12" ht="16" x14ac:dyDescent="0.2">
      <c r="A1147" s="1">
        <v>1146</v>
      </c>
      <c r="B1147" s="1" t="s">
        <v>3406</v>
      </c>
      <c r="C1147" s="1" t="s">
        <v>3452</v>
      </c>
      <c r="D1147" s="1" t="str">
        <f t="shared" si="51"/>
        <v>Horsens KommuneOensvej 1</v>
      </c>
      <c r="E1147" s="1" t="s">
        <v>3453</v>
      </c>
      <c r="F1147" s="1" t="s">
        <v>3454</v>
      </c>
      <c r="G1147" s="1">
        <v>1945</v>
      </c>
      <c r="H1147" s="1" t="s">
        <v>15</v>
      </c>
      <c r="I1147" s="6" cm="1">
        <f t="array" ref="I1147">GetLatitude(D1147)</f>
        <v>558538686</v>
      </c>
      <c r="J1147" s="1" cm="1">
        <f t="array" ref="J1147">GetLongitude(D1147)</f>
        <v>97634768</v>
      </c>
      <c r="K1147" s="1">
        <f t="shared" si="52"/>
        <v>55.853868599999998</v>
      </c>
      <c r="L1147" s="1">
        <f t="shared" si="53"/>
        <v>9.7634767999999994</v>
      </c>
    </row>
    <row r="1148" spans="1:12" ht="16" x14ac:dyDescent="0.2">
      <c r="A1148" s="1">
        <v>1147</v>
      </c>
      <c r="B1148" s="1" t="s">
        <v>3406</v>
      </c>
      <c r="C1148" s="1" t="s">
        <v>3455</v>
      </c>
      <c r="D1148" s="1" t="str">
        <f t="shared" si="51"/>
        <v>Horsens KommuneOverbyvej 5</v>
      </c>
      <c r="E1148" s="1" t="s">
        <v>3456</v>
      </c>
      <c r="F1148" s="1" t="s">
        <v>3457</v>
      </c>
      <c r="G1148" s="1">
        <v>1989</v>
      </c>
      <c r="H1148" s="1" t="s">
        <v>11</v>
      </c>
      <c r="I1148" s="6" cm="1">
        <f t="array" ref="I1148">GetLatitude(D1148)</f>
        <v>559565706</v>
      </c>
      <c r="J1148" s="1" cm="1">
        <f t="array" ref="J1148">GetLongitude(D1148)</f>
        <v>98975813</v>
      </c>
      <c r="K1148" s="1">
        <f t="shared" si="52"/>
        <v>55.956570599999999</v>
      </c>
      <c r="L1148" s="1">
        <f t="shared" si="53"/>
        <v>9.8975813000000006</v>
      </c>
    </row>
    <row r="1149" spans="1:12" ht="16" x14ac:dyDescent="0.2">
      <c r="A1149" s="1">
        <v>1148</v>
      </c>
      <c r="B1149" s="1" t="s">
        <v>3406</v>
      </c>
      <c r="C1149" s="1" t="s">
        <v>3458</v>
      </c>
      <c r="D1149" s="1" t="str">
        <f t="shared" si="51"/>
        <v>Horsens KommuneRådhusgade 3-5</v>
      </c>
      <c r="E1149" s="1" t="s">
        <v>3459</v>
      </c>
      <c r="F1149" s="1" t="s">
        <v>3460</v>
      </c>
      <c r="G1149" s="1">
        <v>2008</v>
      </c>
      <c r="H1149" s="1" t="s">
        <v>701</v>
      </c>
      <c r="I1149" s="6" cm="1">
        <f t="array" ref="I1149">GetLatitude(D1149)</f>
        <v>558611373</v>
      </c>
      <c r="J1149" s="1" cm="1">
        <f t="array" ref="J1149">GetLongitude(D1149)</f>
        <v>98489852</v>
      </c>
      <c r="K1149" s="1">
        <f t="shared" si="52"/>
        <v>55.861137300000003</v>
      </c>
      <c r="L1149" s="1">
        <f t="shared" si="53"/>
        <v>9.8489851999999996</v>
      </c>
    </row>
    <row r="1150" spans="1:12" ht="16" x14ac:dyDescent="0.2">
      <c r="A1150" s="1">
        <v>1149</v>
      </c>
      <c r="B1150" s="1" t="s">
        <v>3406</v>
      </c>
      <c r="C1150" s="1" t="s">
        <v>3461</v>
      </c>
      <c r="D1150" s="1" t="str">
        <f t="shared" si="51"/>
        <v>Horsens KommuneSchüttesvej 4-6</v>
      </c>
      <c r="E1150" s="1" t="s">
        <v>3462</v>
      </c>
      <c r="F1150" s="1" t="s">
        <v>3463</v>
      </c>
      <c r="G1150" s="1">
        <v>1918</v>
      </c>
      <c r="H1150" s="1" t="s">
        <v>11</v>
      </c>
      <c r="I1150" s="6" cm="1">
        <f t="array" ref="I1150">GetLatitude(D1150)</f>
        <v>558581302</v>
      </c>
      <c r="J1150" s="1" cm="1">
        <f t="array" ref="J1150">GetLongitude(D1150)</f>
        <v>98475881</v>
      </c>
      <c r="K1150" s="1">
        <f t="shared" si="52"/>
        <v>55.858130199999998</v>
      </c>
      <c r="L1150" s="1">
        <f t="shared" si="53"/>
        <v>9.8475880999999994</v>
      </c>
    </row>
    <row r="1151" spans="1:12" ht="16" x14ac:dyDescent="0.2">
      <c r="A1151" s="1">
        <v>1150</v>
      </c>
      <c r="B1151" s="1" t="s">
        <v>3406</v>
      </c>
      <c r="C1151" s="1" t="s">
        <v>3464</v>
      </c>
      <c r="D1151" s="1" t="str">
        <f t="shared" si="51"/>
        <v>Horsens KommuneSerridslevgårdvej 25</v>
      </c>
      <c r="E1151" s="1" t="s">
        <v>3465</v>
      </c>
      <c r="F1151" s="1" t="s">
        <v>3466</v>
      </c>
      <c r="G1151" s="1">
        <v>1918</v>
      </c>
      <c r="H1151" s="1" t="s">
        <v>15</v>
      </c>
      <c r="I1151" s="6" cm="1">
        <f t="array" ref="I1151">GetLatitude(D1151)</f>
        <v>559019214</v>
      </c>
      <c r="J1151" s="1" cm="1">
        <f t="array" ref="J1151">GetLongitude(D1151)</f>
        <v>99240042</v>
      </c>
      <c r="K1151" s="1">
        <f t="shared" si="52"/>
        <v>55.901921399999999</v>
      </c>
      <c r="L1151" s="1">
        <f t="shared" si="53"/>
        <v>9.9240042000000006</v>
      </c>
    </row>
    <row r="1152" spans="1:12" ht="16" x14ac:dyDescent="0.2">
      <c r="A1152" s="1">
        <v>1151</v>
      </c>
      <c r="B1152" s="1" t="s">
        <v>3406</v>
      </c>
      <c r="C1152" s="1" t="s">
        <v>3467</v>
      </c>
      <c r="D1152" s="1" t="str">
        <f t="shared" si="51"/>
        <v>Horsens KommuneSmedegade 49 B</v>
      </c>
      <c r="E1152" s="1" t="s">
        <v>3468</v>
      </c>
      <c r="F1152" s="1" t="s">
        <v>3469</v>
      </c>
      <c r="G1152" s="1">
        <v>1991</v>
      </c>
      <c r="H1152" s="1" t="s">
        <v>11</v>
      </c>
      <c r="I1152" s="6" cm="1">
        <f t="array" ref="I1152">GetLatitude(D1152)</f>
        <v>558651879</v>
      </c>
      <c r="J1152" s="1" cm="1">
        <f t="array" ref="J1152">GetLongitude(D1152)</f>
        <v>98472069</v>
      </c>
      <c r="K1152" s="1">
        <f t="shared" si="52"/>
        <v>55.865187900000002</v>
      </c>
      <c r="L1152" s="1">
        <f t="shared" si="53"/>
        <v>9.8472068999999998</v>
      </c>
    </row>
    <row r="1153" spans="1:12" ht="16" x14ac:dyDescent="0.2">
      <c r="A1153" s="1">
        <v>1152</v>
      </c>
      <c r="B1153" s="1" t="s">
        <v>3406</v>
      </c>
      <c r="C1153" s="1" t="s">
        <v>3470</v>
      </c>
      <c r="D1153" s="1" t="str">
        <f t="shared" si="51"/>
        <v>Horsens KommuneSmedegade 91 C</v>
      </c>
      <c r="E1153" s="1" t="s">
        <v>3471</v>
      </c>
      <c r="F1153" s="1" t="s">
        <v>3472</v>
      </c>
      <c r="G1153" s="1">
        <v>1919</v>
      </c>
      <c r="H1153" s="1" t="s">
        <v>11</v>
      </c>
      <c r="I1153" s="6" cm="1">
        <f t="array" ref="I1153">GetLatitude(D1153)</f>
        <v>558678010</v>
      </c>
      <c r="J1153" s="1" cm="1">
        <f t="array" ref="J1153">GetLongitude(D1153)</f>
        <v>98455870</v>
      </c>
      <c r="K1153" s="1">
        <f t="shared" si="52"/>
        <v>55.867801</v>
      </c>
      <c r="L1153" s="1">
        <f t="shared" si="53"/>
        <v>9.8455870000000001</v>
      </c>
    </row>
    <row r="1154" spans="1:12" ht="16" x14ac:dyDescent="0.2">
      <c r="A1154" s="1">
        <v>1153</v>
      </c>
      <c r="B1154" s="1" t="s">
        <v>3406</v>
      </c>
      <c r="C1154" s="1" t="s">
        <v>3473</v>
      </c>
      <c r="D1154" s="1" t="str">
        <f t="shared" si="51"/>
        <v>Horsens KommuneSmedetorvet 1, 2A, 3, 4, 5, 8, 10 (tidl Smedetorvet 2)</v>
      </c>
      <c r="E1154" s="1" t="s">
        <v>3474</v>
      </c>
      <c r="F1154" s="1" t="s">
        <v>3475</v>
      </c>
      <c r="G1154" s="1">
        <v>1919</v>
      </c>
      <c r="H1154" s="1" t="s">
        <v>1493</v>
      </c>
      <c r="I1154" s="6" cm="1">
        <f t="array" ref="I1154">GetLatitude(D1154)</f>
        <v>558661701</v>
      </c>
      <c r="J1154" s="1" cm="1">
        <f t="array" ref="J1154">GetLongitude(D1154)</f>
        <v>98470041</v>
      </c>
      <c r="K1154" s="1">
        <f t="shared" si="52"/>
        <v>55.866170099999998</v>
      </c>
      <c r="L1154" s="1">
        <f t="shared" si="53"/>
        <v>9.8470040999999995</v>
      </c>
    </row>
    <row r="1155" spans="1:12" ht="16" x14ac:dyDescent="0.2">
      <c r="A1155" s="1">
        <v>1154</v>
      </c>
      <c r="B1155" s="1" t="s">
        <v>3406</v>
      </c>
      <c r="C1155" s="1" t="s">
        <v>3476</v>
      </c>
      <c r="D1155" s="1" t="str">
        <f t="shared" ref="D1155:D1218" si="54">B1155&amp;C1155</f>
        <v>Horsens KommuneStenkærvej 7</v>
      </c>
      <c r="E1155" s="1" t="s">
        <v>3477</v>
      </c>
      <c r="F1155" s="1" t="s">
        <v>3478</v>
      </c>
      <c r="G1155" s="1">
        <v>1918</v>
      </c>
      <c r="H1155" s="1" t="s">
        <v>11</v>
      </c>
      <c r="I1155" s="6" cm="1">
        <f t="array" ref="I1155">GetLatitude(D1155)</f>
        <v>559481080</v>
      </c>
      <c r="J1155" s="1" cm="1">
        <f t="array" ref="J1155">GetLongitude(D1155)</f>
        <v>97774454</v>
      </c>
      <c r="K1155" s="1">
        <f t="shared" si="52"/>
        <v>55.948107999999998</v>
      </c>
      <c r="L1155" s="1">
        <f t="shared" si="53"/>
        <v>9.7774453999999995</v>
      </c>
    </row>
    <row r="1156" spans="1:12" ht="16" x14ac:dyDescent="0.2">
      <c r="A1156" s="1">
        <v>1155</v>
      </c>
      <c r="B1156" s="1" t="s">
        <v>3406</v>
      </c>
      <c r="C1156" s="1" t="s">
        <v>335</v>
      </c>
      <c r="D1156" s="1" t="str">
        <f t="shared" si="54"/>
        <v>Horsens KommuneSøndergade 12</v>
      </c>
      <c r="E1156" s="1" t="s">
        <v>3479</v>
      </c>
      <c r="F1156" s="1" t="s">
        <v>3480</v>
      </c>
      <c r="G1156" s="1">
        <v>1918</v>
      </c>
      <c r="H1156" s="1" t="s">
        <v>3481</v>
      </c>
      <c r="I1156" s="6" cm="1">
        <f t="array" ref="I1156">GetLatitude(D1156)</f>
        <v>558617517</v>
      </c>
      <c r="J1156" s="1" cm="1">
        <f t="array" ref="J1156">GetLongitude(D1156)</f>
        <v>98466186</v>
      </c>
      <c r="K1156" s="1">
        <f t="shared" ref="K1156:K1219" si="55">I1156/10000000</f>
        <v>55.861751699999999</v>
      </c>
      <c r="L1156" s="1">
        <f t="shared" ref="L1156:L1219" si="56">J1156/10000000</f>
        <v>9.8466185999999993</v>
      </c>
    </row>
    <row r="1157" spans="1:12" ht="16" x14ac:dyDescent="0.2">
      <c r="A1157" s="1">
        <v>1156</v>
      </c>
      <c r="B1157" s="1" t="s">
        <v>3406</v>
      </c>
      <c r="C1157" s="1" t="s">
        <v>3482</v>
      </c>
      <c r="D1157" s="1" t="str">
        <f t="shared" si="54"/>
        <v>Horsens KommuneSøndergade 17</v>
      </c>
      <c r="E1157" s="1" t="s">
        <v>3483</v>
      </c>
      <c r="F1157" s="1" t="s">
        <v>3484</v>
      </c>
      <c r="G1157" s="1">
        <v>1918</v>
      </c>
      <c r="H1157" s="1" t="s">
        <v>11</v>
      </c>
      <c r="I1157" s="6" cm="1">
        <f t="array" ref="I1157">GetLatitude(D1157)</f>
        <v>558621095</v>
      </c>
      <c r="J1157" s="1" cm="1">
        <f t="array" ref="J1157">GetLongitude(D1157)</f>
        <v>98475443</v>
      </c>
      <c r="K1157" s="1">
        <f t="shared" si="55"/>
        <v>55.862109500000003</v>
      </c>
      <c r="L1157" s="1">
        <f t="shared" si="56"/>
        <v>9.8475442999999991</v>
      </c>
    </row>
    <row r="1158" spans="1:12" ht="16" x14ac:dyDescent="0.2">
      <c r="A1158" s="1">
        <v>1157</v>
      </c>
      <c r="B1158" s="1" t="s">
        <v>3406</v>
      </c>
      <c r="C1158" s="1" t="s">
        <v>3485</v>
      </c>
      <c r="D1158" s="1" t="str">
        <f t="shared" si="54"/>
        <v>Horsens KommuneSøndergade 26</v>
      </c>
      <c r="E1158" s="1" t="s">
        <v>3486</v>
      </c>
      <c r="F1158" s="1" t="s">
        <v>3487</v>
      </c>
      <c r="G1158" s="1">
        <v>1985</v>
      </c>
      <c r="H1158" s="1" t="s">
        <v>15</v>
      </c>
      <c r="I1158" s="6" cm="1">
        <f t="array" ref="I1158">GetLatitude(D1158)</f>
        <v>558617272</v>
      </c>
      <c r="J1158" s="1" cm="1">
        <f t="array" ref="J1158">GetLongitude(D1158)</f>
        <v>98483999</v>
      </c>
      <c r="K1158" s="1">
        <f t="shared" si="55"/>
        <v>55.861727199999997</v>
      </c>
      <c r="L1158" s="1">
        <f t="shared" si="56"/>
        <v>9.8483999000000004</v>
      </c>
    </row>
    <row r="1159" spans="1:12" ht="16" x14ac:dyDescent="0.2">
      <c r="A1159" s="1">
        <v>1158</v>
      </c>
      <c r="B1159" s="1" t="s">
        <v>3406</v>
      </c>
      <c r="C1159" s="1" t="s">
        <v>3488</v>
      </c>
      <c r="D1159" s="1" t="str">
        <f t="shared" si="54"/>
        <v>Horsens Kommune Søndergade 32</v>
      </c>
      <c r="E1159" s="1" t="s">
        <v>3488</v>
      </c>
      <c r="F1159" s="1" t="s">
        <v>3489</v>
      </c>
      <c r="G1159" s="1">
        <v>1919</v>
      </c>
      <c r="H1159" s="1" t="s">
        <v>701</v>
      </c>
      <c r="I1159" s="6" cm="1">
        <f t="array" ref="I1159">GetLatitude(D1159)</f>
        <v>559267709</v>
      </c>
      <c r="J1159" s="1" cm="1">
        <f t="array" ref="J1159">GetLongitude(D1159)</f>
        <v>97844165</v>
      </c>
      <c r="K1159" s="1">
        <f t="shared" si="55"/>
        <v>55.926770900000001</v>
      </c>
      <c r="L1159" s="1">
        <f t="shared" si="56"/>
        <v>9.7844165000000007</v>
      </c>
    </row>
    <row r="1160" spans="1:12" ht="16" x14ac:dyDescent="0.2">
      <c r="A1160" s="1">
        <v>1159</v>
      </c>
      <c r="B1160" s="1" t="s">
        <v>3406</v>
      </c>
      <c r="C1160" s="1" t="s">
        <v>3490</v>
      </c>
      <c r="D1160" s="1" t="str">
        <f t="shared" si="54"/>
        <v>Horsens KommuneSøndergade 41 og 41 A</v>
      </c>
      <c r="E1160" s="1" t="s">
        <v>3491</v>
      </c>
      <c r="F1160" s="1" t="s">
        <v>3492</v>
      </c>
      <c r="G1160" s="1">
        <v>1919</v>
      </c>
      <c r="H1160" s="1" t="s">
        <v>11</v>
      </c>
      <c r="I1160" s="6" cm="1">
        <f t="array" ref="I1160">GetLatitude(D1160)</f>
        <v>558620629</v>
      </c>
      <c r="J1160" s="1" cm="1">
        <f t="array" ref="J1160">GetLongitude(D1160)</f>
        <v>98500276</v>
      </c>
      <c r="K1160" s="1">
        <f t="shared" si="55"/>
        <v>55.862062899999998</v>
      </c>
      <c r="L1160" s="1">
        <f t="shared" si="56"/>
        <v>9.8500276000000007</v>
      </c>
    </row>
    <row r="1161" spans="1:12" ht="16" x14ac:dyDescent="0.2">
      <c r="A1161" s="1">
        <v>1160</v>
      </c>
      <c r="B1161" s="1" t="s">
        <v>3406</v>
      </c>
      <c r="C1161" s="1" t="s">
        <v>3493</v>
      </c>
      <c r="D1161" s="1" t="str">
        <f t="shared" si="54"/>
        <v>Horsens KommuneTyrrestrupvej 41</v>
      </c>
      <c r="E1161" s="1" t="s">
        <v>3494</v>
      </c>
      <c r="F1161" s="1" t="s">
        <v>3495</v>
      </c>
      <c r="G1161" s="1">
        <v>1918</v>
      </c>
      <c r="H1161" s="1" t="s">
        <v>11</v>
      </c>
      <c r="I1161" s="6" cm="1">
        <f t="array" ref="I1161">GetLatitude(D1161)</f>
        <v>558965005</v>
      </c>
      <c r="J1161" s="1" cm="1">
        <f t="array" ref="J1161">GetLongitude(D1161)</f>
        <v>99683382</v>
      </c>
      <c r="K1161" s="1">
        <f t="shared" si="55"/>
        <v>55.896500500000002</v>
      </c>
      <c r="L1161" s="1">
        <f t="shared" si="56"/>
        <v>9.9683381999999998</v>
      </c>
    </row>
    <row r="1162" spans="1:12" ht="16" x14ac:dyDescent="0.2">
      <c r="A1162" s="1">
        <v>1161</v>
      </c>
      <c r="B1162" s="1" t="s">
        <v>3406</v>
      </c>
      <c r="C1162" s="1" t="s">
        <v>3496</v>
      </c>
      <c r="D1162" s="1" t="str">
        <f t="shared" si="54"/>
        <v>Horsens KommuneVesterby 1 (Tidl 3)</v>
      </c>
      <c r="E1162" s="1" t="s">
        <v>3497</v>
      </c>
      <c r="F1162" s="1" t="s">
        <v>3498</v>
      </c>
      <c r="G1162" s="1">
        <v>1985</v>
      </c>
      <c r="H1162" s="1" t="s">
        <v>15</v>
      </c>
      <c r="I1162" s="6" cm="1">
        <f t="array" ref="I1162">GetLatitude(D1162)</f>
        <v>557577652</v>
      </c>
      <c r="J1162" s="1" cm="1">
        <f t="array" ref="J1162">GetLongitude(D1162)</f>
        <v>102721482</v>
      </c>
      <c r="K1162" s="1">
        <f t="shared" si="55"/>
        <v>55.757765200000001</v>
      </c>
      <c r="L1162" s="1">
        <f t="shared" si="56"/>
        <v>10.2721482</v>
      </c>
    </row>
    <row r="1163" spans="1:12" ht="16" x14ac:dyDescent="0.2">
      <c r="A1163" s="1">
        <v>1162</v>
      </c>
      <c r="B1163" s="1" t="s">
        <v>3406</v>
      </c>
      <c r="C1163" s="1" t="s">
        <v>3499</v>
      </c>
      <c r="D1163" s="1" t="str">
        <f t="shared" si="54"/>
        <v>Horsens KommuneÅboulevarden 121</v>
      </c>
      <c r="E1163" s="1" t="s">
        <v>3500</v>
      </c>
      <c r="F1163" s="1" t="s">
        <v>3501</v>
      </c>
      <c r="G1163" s="1">
        <v>1919</v>
      </c>
      <c r="H1163" s="1" t="s">
        <v>3502</v>
      </c>
      <c r="I1163" s="6" cm="1">
        <f t="array" ref="I1163">GetLatitude(D1163)</f>
        <v>558601909</v>
      </c>
      <c r="J1163" s="1" cm="1">
        <f t="array" ref="J1163">GetLongitude(D1163)</f>
        <v>98560186</v>
      </c>
      <c r="K1163" s="1">
        <f t="shared" si="55"/>
        <v>55.860190899999999</v>
      </c>
      <c r="L1163" s="1">
        <f t="shared" si="56"/>
        <v>9.8560186000000005</v>
      </c>
    </row>
    <row r="1164" spans="1:12" ht="16" x14ac:dyDescent="0.2">
      <c r="A1164" s="1">
        <v>1163</v>
      </c>
      <c r="B1164" s="1" t="s">
        <v>3406</v>
      </c>
      <c r="C1164" s="1" t="s">
        <v>3503</v>
      </c>
      <c r="D1164" s="1" t="str">
        <f t="shared" si="54"/>
        <v>Horsens KommuneÅboulevarden 85 A, hj af Badstuestræde</v>
      </c>
      <c r="E1164" s="1" t="s">
        <v>3504</v>
      </c>
      <c r="F1164" s="1" t="s">
        <v>3505</v>
      </c>
      <c r="G1164" s="1">
        <v>1919</v>
      </c>
      <c r="H1164" s="1" t="s">
        <v>11</v>
      </c>
      <c r="I1164" s="6" cm="1">
        <f t="array" ref="I1164">GetLatitude(D1164)</f>
        <v>558607107</v>
      </c>
      <c r="J1164" s="1" cm="1">
        <f t="array" ref="J1164">GetLongitude(D1164)</f>
        <v>98541331</v>
      </c>
      <c r="K1164" s="1">
        <f t="shared" si="55"/>
        <v>55.860710699999998</v>
      </c>
      <c r="L1164" s="1">
        <f t="shared" si="56"/>
        <v>9.8541331000000003</v>
      </c>
    </row>
    <row r="1165" spans="1:12" ht="16" x14ac:dyDescent="0.2">
      <c r="A1165" s="1">
        <v>1164</v>
      </c>
      <c r="B1165" s="1" t="s">
        <v>3506</v>
      </c>
      <c r="C1165" s="1" t="s">
        <v>3507</v>
      </c>
      <c r="D1165" s="1" t="str">
        <f t="shared" si="54"/>
        <v>Hvidovre Kommune Gammel Køge Landevej 580 og 580 A</v>
      </c>
      <c r="E1165" s="1" t="s">
        <v>3508</v>
      </c>
      <c r="F1165" s="1" t="s">
        <v>3509</v>
      </c>
      <c r="G1165" s="1">
        <v>1987</v>
      </c>
      <c r="H1165" s="1" t="s">
        <v>3510</v>
      </c>
      <c r="I1165" s="6" cm="1">
        <f t="array" ref="I1165">GetLatitude(D1165)</f>
        <v>556175577</v>
      </c>
      <c r="J1165" s="1" cm="1">
        <f t="array" ref="J1165">GetLongitude(D1165)</f>
        <v>124413119</v>
      </c>
      <c r="K1165" s="1">
        <f t="shared" si="55"/>
        <v>55.617557699999999</v>
      </c>
      <c r="L1165" s="1">
        <f t="shared" si="56"/>
        <v>12.441311900000001</v>
      </c>
    </row>
    <row r="1166" spans="1:12" ht="16" x14ac:dyDescent="0.2">
      <c r="A1166" s="1">
        <v>1165</v>
      </c>
      <c r="B1166" s="1" t="s">
        <v>3506</v>
      </c>
      <c r="C1166" s="1" t="s">
        <v>3511</v>
      </c>
      <c r="D1166" s="1" t="str">
        <f t="shared" si="54"/>
        <v>Hvidovre Kommune Hvidovre Kirkeplads 1</v>
      </c>
      <c r="E1166" s="1" t="s">
        <v>3512</v>
      </c>
      <c r="F1166" s="1" t="s">
        <v>3513</v>
      </c>
      <c r="G1166" s="1">
        <v>1950</v>
      </c>
      <c r="H1166" s="1" t="s">
        <v>11</v>
      </c>
      <c r="I1166" s="6" cm="1">
        <f t="array" ref="I1166">GetLatitude(D1166)</f>
        <v>556566804</v>
      </c>
      <c r="J1166" s="1" cm="1">
        <f t="array" ref="J1166">GetLongitude(D1166)</f>
        <v>124728083</v>
      </c>
      <c r="K1166" s="1">
        <f t="shared" si="55"/>
        <v>55.656680399999999</v>
      </c>
      <c r="L1166" s="1">
        <f t="shared" si="56"/>
        <v>12.472808300000001</v>
      </c>
    </row>
    <row r="1167" spans="1:12" ht="16" x14ac:dyDescent="0.2">
      <c r="A1167" s="1">
        <v>1166</v>
      </c>
      <c r="B1167" s="1" t="s">
        <v>3514</v>
      </c>
      <c r="C1167" s="1" t="s">
        <v>3515</v>
      </c>
      <c r="D1167" s="1" t="str">
        <f t="shared" si="54"/>
        <v>Hørsholm KommuneDreyersvej 9</v>
      </c>
      <c r="E1167" s="1" t="s">
        <v>3516</v>
      </c>
      <c r="F1167" s="1" t="s">
        <v>3517</v>
      </c>
      <c r="G1167" s="1">
        <v>2006</v>
      </c>
      <c r="H1167" s="1" t="s">
        <v>11</v>
      </c>
      <c r="I1167" s="6" cm="1">
        <f t="array" ref="I1167">GetLatitude(D1167)</f>
        <v>558874306</v>
      </c>
      <c r="J1167" s="1" cm="1">
        <f t="array" ref="J1167">GetLongitude(D1167)</f>
        <v>125401146</v>
      </c>
      <c r="K1167" s="1">
        <f t="shared" si="55"/>
        <v>55.887430600000002</v>
      </c>
      <c r="L1167" s="1">
        <f t="shared" si="56"/>
        <v>12.540114600000001</v>
      </c>
    </row>
    <row r="1168" spans="1:12" ht="16" x14ac:dyDescent="0.2">
      <c r="A1168" s="1">
        <v>1167</v>
      </c>
      <c r="B1168" s="1" t="s">
        <v>3514</v>
      </c>
      <c r="C1168" s="1" t="s">
        <v>3518</v>
      </c>
      <c r="D1168" s="1" t="str">
        <f t="shared" si="54"/>
        <v>Hørsholm KommuneFolehavevej 125 A-B</v>
      </c>
      <c r="E1168" s="1" t="s">
        <v>3519</v>
      </c>
      <c r="F1168" s="1" t="s">
        <v>3520</v>
      </c>
      <c r="G1168" s="1">
        <v>1945</v>
      </c>
      <c r="H1168" s="1" t="s">
        <v>11</v>
      </c>
      <c r="I1168" s="6" cm="1">
        <f t="array" ref="I1168">GetLatitude(D1168)</f>
        <v>558707473</v>
      </c>
      <c r="J1168" s="1" cm="1">
        <f t="array" ref="J1168">GetLongitude(D1168)</f>
        <v>125210401</v>
      </c>
      <c r="K1168" s="1">
        <f t="shared" si="55"/>
        <v>55.870747299999998</v>
      </c>
      <c r="L1168" s="1">
        <f t="shared" si="56"/>
        <v>12.5210401</v>
      </c>
    </row>
    <row r="1169" spans="1:12" ht="16" x14ac:dyDescent="0.2">
      <c r="A1169" s="1">
        <v>1168</v>
      </c>
      <c r="B1169" s="1" t="s">
        <v>3514</v>
      </c>
      <c r="C1169" s="1" t="s">
        <v>3521</v>
      </c>
      <c r="D1169" s="1" t="str">
        <f t="shared" si="54"/>
        <v>Hørsholm KommuneFolehavevej 13 og 17</v>
      </c>
      <c r="E1169" s="1" t="s">
        <v>3522</v>
      </c>
      <c r="F1169" s="1" t="s">
        <v>3523</v>
      </c>
      <c r="G1169" s="1">
        <v>1918</v>
      </c>
      <c r="H1169" s="1" t="s">
        <v>11</v>
      </c>
      <c r="I1169" s="6" cm="1">
        <f t="array" ref="I1169">GetLatitude(D1169)</f>
        <v>558765280</v>
      </c>
      <c r="J1169" s="1" cm="1">
        <f t="array" ref="J1169">GetLongitude(D1169)</f>
        <v>125020390</v>
      </c>
      <c r="K1169" s="1">
        <f t="shared" si="55"/>
        <v>55.876528</v>
      </c>
      <c r="L1169" s="1">
        <f t="shared" si="56"/>
        <v>12.502039</v>
      </c>
    </row>
    <row r="1170" spans="1:12" ht="16" x14ac:dyDescent="0.2">
      <c r="A1170" s="1">
        <v>1169</v>
      </c>
      <c r="B1170" s="1" t="s">
        <v>3514</v>
      </c>
      <c r="C1170" s="1" t="s">
        <v>3524</v>
      </c>
      <c r="D1170" s="1" t="str">
        <f t="shared" si="54"/>
        <v>Hørsholm KommuneFolehavevej 19-23</v>
      </c>
      <c r="E1170" s="1" t="s">
        <v>3525</v>
      </c>
      <c r="F1170" s="1" t="s">
        <v>3526</v>
      </c>
      <c r="G1170" s="1">
        <v>1918</v>
      </c>
      <c r="H1170" s="1" t="s">
        <v>11</v>
      </c>
      <c r="I1170" s="6" cm="1">
        <f t="array" ref="I1170">GetLatitude(D1170)</f>
        <v>558745349</v>
      </c>
      <c r="J1170" s="1" cm="1">
        <f t="array" ref="J1170">GetLongitude(D1170)</f>
        <v>125026896</v>
      </c>
      <c r="K1170" s="1">
        <f t="shared" si="55"/>
        <v>55.8745349</v>
      </c>
      <c r="L1170" s="1">
        <f t="shared" si="56"/>
        <v>12.5026896</v>
      </c>
    </row>
    <row r="1171" spans="1:12" ht="16" x14ac:dyDescent="0.2">
      <c r="A1171" s="1">
        <v>1170</v>
      </c>
      <c r="B1171" s="1" t="s">
        <v>3514</v>
      </c>
      <c r="C1171" s="1" t="s">
        <v>3527</v>
      </c>
      <c r="D1171" s="1" t="str">
        <f t="shared" si="54"/>
        <v>Hørsholm KommuneGammel Hovedgade 2</v>
      </c>
      <c r="E1171" s="1" t="s">
        <v>3528</v>
      </c>
      <c r="F1171" s="1" t="s">
        <v>3529</v>
      </c>
      <c r="G1171" s="1">
        <v>1950</v>
      </c>
      <c r="H1171" s="1" t="s">
        <v>11</v>
      </c>
      <c r="I1171" s="6" cm="1">
        <f t="array" ref="I1171">GetLatitude(D1171)</f>
        <v>558760561</v>
      </c>
      <c r="J1171" s="1" cm="1">
        <f t="array" ref="J1171">GetLongitude(D1171)</f>
        <v>124974591</v>
      </c>
      <c r="K1171" s="1">
        <f t="shared" si="55"/>
        <v>55.8760561</v>
      </c>
      <c r="L1171" s="1">
        <f t="shared" si="56"/>
        <v>12.4974591</v>
      </c>
    </row>
    <row r="1172" spans="1:12" ht="16" x14ac:dyDescent="0.2">
      <c r="A1172" s="1">
        <v>1171</v>
      </c>
      <c r="B1172" s="1" t="s">
        <v>3514</v>
      </c>
      <c r="C1172" s="1" t="s">
        <v>3530</v>
      </c>
      <c r="D1172" s="1" t="str">
        <f t="shared" si="54"/>
        <v>Hørsholm KommuneGammel Hovedgade 5</v>
      </c>
      <c r="E1172" s="1" t="s">
        <v>3531</v>
      </c>
      <c r="F1172" s="1" t="s">
        <v>3532</v>
      </c>
      <c r="G1172" s="1">
        <v>1950</v>
      </c>
      <c r="H1172" s="1" t="s">
        <v>99</v>
      </c>
      <c r="I1172" s="6" cm="1">
        <f t="array" ref="I1172">GetLatitude(D1172)</f>
        <v>558761792</v>
      </c>
      <c r="J1172" s="1" cm="1">
        <f t="array" ref="J1172">GetLongitude(D1172)</f>
        <v>124971214</v>
      </c>
      <c r="K1172" s="1">
        <f t="shared" si="55"/>
        <v>55.876179200000003</v>
      </c>
      <c r="L1172" s="1">
        <f t="shared" si="56"/>
        <v>12.497121399999999</v>
      </c>
    </row>
    <row r="1173" spans="1:12" ht="16" x14ac:dyDescent="0.2">
      <c r="A1173" s="1">
        <v>1172</v>
      </c>
      <c r="B1173" s="1" t="s">
        <v>3514</v>
      </c>
      <c r="C1173" s="1" t="s">
        <v>3533</v>
      </c>
      <c r="D1173" s="1" t="str">
        <f t="shared" si="54"/>
        <v>Hørsholm Kommune Gammel Hovedgade 7</v>
      </c>
      <c r="E1173" s="1" t="s">
        <v>3533</v>
      </c>
      <c r="F1173" s="1" t="s">
        <v>3534</v>
      </c>
      <c r="G1173" s="1">
        <v>1950</v>
      </c>
      <c r="H1173" s="1" t="s">
        <v>11</v>
      </c>
      <c r="I1173" s="6" cm="1">
        <f t="array" ref="I1173">GetLatitude(D1173)</f>
        <v>558763120</v>
      </c>
      <c r="J1173" s="1" cm="1">
        <f t="array" ref="J1173">GetLongitude(D1173)</f>
        <v>124971187</v>
      </c>
      <c r="K1173" s="1">
        <f t="shared" si="55"/>
        <v>55.876311999999999</v>
      </c>
      <c r="L1173" s="1">
        <f t="shared" si="56"/>
        <v>12.4971187</v>
      </c>
    </row>
    <row r="1174" spans="1:12" ht="16" x14ac:dyDescent="0.2">
      <c r="A1174" s="1">
        <v>1173</v>
      </c>
      <c r="B1174" s="1" t="s">
        <v>3514</v>
      </c>
      <c r="C1174" s="1" t="s">
        <v>3535</v>
      </c>
      <c r="D1174" s="1" t="str">
        <f t="shared" si="54"/>
        <v>Hørsholm KommuneLandsbyen 6</v>
      </c>
      <c r="E1174" s="1" t="s">
        <v>3536</v>
      </c>
      <c r="F1174" s="1" t="s">
        <v>3537</v>
      </c>
      <c r="G1174" s="1">
        <v>1988</v>
      </c>
      <c r="H1174" s="1" t="s">
        <v>11</v>
      </c>
      <c r="I1174" s="6" cm="1">
        <f t="array" ref="I1174">GetLatitude(D1174)</f>
        <v>558877778</v>
      </c>
      <c r="J1174" s="1" cm="1">
        <f t="array" ref="J1174">GetLongitude(D1174)</f>
        <v>124932402</v>
      </c>
      <c r="K1174" s="1">
        <f t="shared" si="55"/>
        <v>55.887777800000002</v>
      </c>
      <c r="L1174" s="1">
        <f t="shared" si="56"/>
        <v>12.493240200000001</v>
      </c>
    </row>
    <row r="1175" spans="1:12" ht="16" x14ac:dyDescent="0.2">
      <c r="A1175" s="1">
        <v>1174</v>
      </c>
      <c r="B1175" s="1" t="s">
        <v>3514</v>
      </c>
      <c r="C1175" s="1" t="s">
        <v>3538</v>
      </c>
      <c r="D1175" s="1" t="str">
        <f t="shared" si="54"/>
        <v>Hørsholm KommuneLyngsø Allé 3, tidl Fabriksvej 6</v>
      </c>
      <c r="E1175" s="1" t="s">
        <v>3539</v>
      </c>
      <c r="F1175" s="1" t="s">
        <v>3540</v>
      </c>
      <c r="G1175" s="1">
        <v>1982</v>
      </c>
      <c r="H1175" s="1" t="s">
        <v>3541</v>
      </c>
      <c r="I1175" s="6" cm="1">
        <f t="array" ref="I1175">GetLatitude(D1175)</f>
        <v>558963061</v>
      </c>
      <c r="J1175" s="1" cm="1">
        <f t="array" ref="J1175">GetLongitude(D1175)</f>
        <v>124928451</v>
      </c>
      <c r="K1175" s="1">
        <f t="shared" si="55"/>
        <v>55.896306099999997</v>
      </c>
      <c r="L1175" s="1">
        <f t="shared" si="56"/>
        <v>12.4928451</v>
      </c>
    </row>
    <row r="1176" spans="1:12" ht="16" x14ac:dyDescent="0.2">
      <c r="A1176" s="1">
        <v>1175</v>
      </c>
      <c r="B1176" s="1" t="s">
        <v>3514</v>
      </c>
      <c r="C1176" s="1" t="s">
        <v>3542</v>
      </c>
      <c r="D1176" s="1" t="str">
        <f t="shared" si="54"/>
        <v>Hørsholm KommuneMortenstrupvej 75</v>
      </c>
      <c r="E1176" s="1" t="s">
        <v>3543</v>
      </c>
      <c r="F1176" s="1" t="s">
        <v>3544</v>
      </c>
      <c r="G1176" s="1">
        <v>2010</v>
      </c>
      <c r="H1176" s="1" t="s">
        <v>15</v>
      </c>
      <c r="I1176" s="6" cm="1">
        <f t="array" ref="I1176">GetLatitude(D1176)</f>
        <v>558842353</v>
      </c>
      <c r="J1176" s="1" cm="1">
        <f t="array" ref="J1176">GetLongitude(D1176)</f>
        <v>124845127</v>
      </c>
      <c r="K1176" s="1">
        <f t="shared" si="55"/>
        <v>55.8842353</v>
      </c>
      <c r="L1176" s="1">
        <f t="shared" si="56"/>
        <v>12.4845127</v>
      </c>
    </row>
    <row r="1177" spans="1:12" ht="16" x14ac:dyDescent="0.2">
      <c r="A1177" s="1">
        <v>1176</v>
      </c>
      <c r="B1177" s="1" t="s">
        <v>3514</v>
      </c>
      <c r="C1177" s="1" t="s">
        <v>3545</v>
      </c>
      <c r="D1177" s="1" t="str">
        <f t="shared" si="54"/>
        <v>Hørsholm KommunePiniehøj 20</v>
      </c>
      <c r="E1177" s="1" t="s">
        <v>3546</v>
      </c>
      <c r="F1177" s="1" t="s">
        <v>3547</v>
      </c>
      <c r="G1177" s="1">
        <v>2005</v>
      </c>
      <c r="H1177" s="1" t="s">
        <v>15</v>
      </c>
      <c r="I1177" s="6" cm="1">
        <f t="array" ref="I1177">GetLatitude(D1177)</f>
        <v>558730841</v>
      </c>
      <c r="J1177" s="1" cm="1">
        <f t="array" ref="J1177">GetLongitude(D1177)</f>
        <v>125528138</v>
      </c>
      <c r="K1177" s="1">
        <f t="shared" si="55"/>
        <v>55.8730841</v>
      </c>
      <c r="L1177" s="1">
        <f t="shared" si="56"/>
        <v>12.552813799999999</v>
      </c>
    </row>
    <row r="1178" spans="1:12" ht="16" x14ac:dyDescent="0.2">
      <c r="A1178" s="1">
        <v>1177</v>
      </c>
      <c r="B1178" s="1" t="s">
        <v>3514</v>
      </c>
      <c r="C1178" s="1" t="s">
        <v>3548</v>
      </c>
      <c r="D1178" s="1" t="str">
        <f t="shared" si="54"/>
        <v>Hørsholm KommuneRungsted Strandvej 109 og 111</v>
      </c>
      <c r="E1178" s="1" t="s">
        <v>3549</v>
      </c>
      <c r="F1178" s="1" t="s">
        <v>3550</v>
      </c>
      <c r="G1178" s="1">
        <v>1964</v>
      </c>
      <c r="H1178" s="1" t="s">
        <v>11</v>
      </c>
      <c r="I1178" s="6" cm="1">
        <f t="array" ref="I1178">GetLatitude(D1178)</f>
        <v>558827040</v>
      </c>
      <c r="J1178" s="1" cm="1">
        <f t="array" ref="J1178">GetLongitude(D1178)</f>
        <v>125409587</v>
      </c>
      <c r="K1178" s="1">
        <f t="shared" si="55"/>
        <v>55.882703999999997</v>
      </c>
      <c r="L1178" s="1">
        <f t="shared" si="56"/>
        <v>12.540958699999999</v>
      </c>
    </row>
    <row r="1179" spans="1:12" ht="16" x14ac:dyDescent="0.2">
      <c r="A1179" s="1">
        <v>1178</v>
      </c>
      <c r="B1179" s="1" t="s">
        <v>3514</v>
      </c>
      <c r="C1179" s="1" t="s">
        <v>3551</v>
      </c>
      <c r="D1179" s="1" t="str">
        <f t="shared" si="54"/>
        <v>Hørsholm KommuneRungsted Strandvej 219 og 221</v>
      </c>
      <c r="E1179" s="1" t="s">
        <v>3552</v>
      </c>
      <c r="F1179" s="1" t="s">
        <v>3553</v>
      </c>
      <c r="G1179" s="1">
        <v>1964</v>
      </c>
      <c r="H1179" s="1" t="s">
        <v>3204</v>
      </c>
      <c r="I1179" s="6" cm="1">
        <f t="array" ref="I1179">GetLatitude(D1179)</f>
        <v>558996962</v>
      </c>
      <c r="J1179" s="1" cm="1">
        <f t="array" ref="J1179">GetLongitude(D1179)</f>
        <v>125321641</v>
      </c>
      <c r="K1179" s="1">
        <f t="shared" si="55"/>
        <v>55.899696200000001</v>
      </c>
      <c r="L1179" s="1">
        <f t="shared" si="56"/>
        <v>12.532164099999999</v>
      </c>
    </row>
    <row r="1180" spans="1:12" ht="16" x14ac:dyDescent="0.2">
      <c r="A1180" s="1">
        <v>1179</v>
      </c>
      <c r="B1180" s="1" t="s">
        <v>3514</v>
      </c>
      <c r="C1180" s="1" t="s">
        <v>3554</v>
      </c>
      <c r="D1180" s="1" t="str">
        <f t="shared" si="54"/>
        <v>Hørsholm KommuneRungsted Strandvej 302</v>
      </c>
      <c r="E1180" s="1" t="s">
        <v>3555</v>
      </c>
      <c r="F1180" s="1" t="s">
        <v>3556</v>
      </c>
      <c r="G1180" s="1">
        <v>1989</v>
      </c>
      <c r="H1180" s="1" t="s">
        <v>11</v>
      </c>
      <c r="I1180" s="6" cm="1">
        <f t="array" ref="I1180">GetLatitude(D1180)</f>
        <v>559102833</v>
      </c>
      <c r="J1180" s="1" cm="1">
        <f t="array" ref="J1180">GetLongitude(D1180)</f>
        <v>125256040</v>
      </c>
      <c r="K1180" s="1">
        <f t="shared" si="55"/>
        <v>55.910283300000003</v>
      </c>
      <c r="L1180" s="1">
        <f t="shared" si="56"/>
        <v>12.525604</v>
      </c>
    </row>
    <row r="1181" spans="1:12" ht="16" x14ac:dyDescent="0.2">
      <c r="A1181" s="1">
        <v>1180</v>
      </c>
      <c r="B1181" s="1" t="s">
        <v>3514</v>
      </c>
      <c r="C1181" s="1" t="s">
        <v>3557</v>
      </c>
      <c r="D1181" s="1" t="str">
        <f t="shared" si="54"/>
        <v>Hørsholm KommuneRungsted Strandvej 68</v>
      </c>
      <c r="E1181" s="1" t="s">
        <v>3558</v>
      </c>
      <c r="F1181" s="1" t="s">
        <v>3559</v>
      </c>
      <c r="G1181" s="1">
        <v>1989</v>
      </c>
      <c r="H1181" s="1" t="s">
        <v>11</v>
      </c>
      <c r="I1181" s="6" cm="1">
        <f t="array" ref="I1181">GetLatitude(D1181)</f>
        <v>558757290</v>
      </c>
      <c r="J1181" s="1" cm="1">
        <f t="array" ref="J1181">GetLongitude(D1181)</f>
        <v>125494531</v>
      </c>
      <c r="K1181" s="1">
        <f t="shared" si="55"/>
        <v>55.875729</v>
      </c>
      <c r="L1181" s="1">
        <f t="shared" si="56"/>
        <v>12.549453099999999</v>
      </c>
    </row>
    <row r="1182" spans="1:12" ht="16" x14ac:dyDescent="0.2">
      <c r="A1182" s="1">
        <v>1181</v>
      </c>
      <c r="B1182" s="1" t="s">
        <v>3514</v>
      </c>
      <c r="C1182" s="1" t="s">
        <v>3560</v>
      </c>
      <c r="D1182" s="1" t="str">
        <f t="shared" si="54"/>
        <v>Hørsholm KommuneSdr. Jagtvej</v>
      </c>
      <c r="E1182" s="1" t="s">
        <v>3561</v>
      </c>
      <c r="F1182" s="1" t="s">
        <v>3562</v>
      </c>
      <c r="G1182" s="1">
        <v>1918</v>
      </c>
      <c r="H1182" s="1" t="s">
        <v>15</v>
      </c>
      <c r="I1182" s="6" cm="1">
        <f t="array" ref="I1182">GetLatitude(D1182)</f>
        <v>558766824</v>
      </c>
      <c r="J1182" s="1" cm="1">
        <f t="array" ref="J1182">GetLongitude(D1182)</f>
        <v>125097652</v>
      </c>
      <c r="K1182" s="1">
        <f t="shared" si="55"/>
        <v>55.8766824</v>
      </c>
      <c r="L1182" s="1">
        <f t="shared" si="56"/>
        <v>12.5097652</v>
      </c>
    </row>
    <row r="1183" spans="1:12" ht="16" x14ac:dyDescent="0.2">
      <c r="A1183" s="1">
        <v>1182</v>
      </c>
      <c r="B1183" s="1" t="s">
        <v>3514</v>
      </c>
      <c r="C1183" s="1" t="s">
        <v>3563</v>
      </c>
      <c r="D1183" s="1" t="str">
        <f t="shared" si="54"/>
        <v>Hørsholm KommuneSøndre Jagtvej 1</v>
      </c>
      <c r="E1183" s="1" t="s">
        <v>3564</v>
      </c>
      <c r="F1183" s="1" t="s">
        <v>3565</v>
      </c>
      <c r="G1183" s="1">
        <v>1974</v>
      </c>
      <c r="H1183" s="1" t="s">
        <v>11</v>
      </c>
      <c r="I1183" s="6" cm="1">
        <f t="array" ref="I1183">GetLatitude(D1183)</f>
        <v>558754985</v>
      </c>
      <c r="J1183" s="1" cm="1">
        <f t="array" ref="J1183">GetLongitude(D1183)</f>
        <v>125028751</v>
      </c>
      <c r="K1183" s="1">
        <f t="shared" si="55"/>
        <v>55.875498499999999</v>
      </c>
      <c r="L1183" s="1">
        <f t="shared" si="56"/>
        <v>12.502875100000001</v>
      </c>
    </row>
    <row r="1184" spans="1:12" ht="16" x14ac:dyDescent="0.2">
      <c r="A1184" s="1">
        <v>1183</v>
      </c>
      <c r="B1184" s="1" t="s">
        <v>3514</v>
      </c>
      <c r="C1184" s="1" t="s">
        <v>3566</v>
      </c>
      <c r="D1184" s="1" t="str">
        <f t="shared" si="54"/>
        <v>Hørsholm KommuneSøndre Jagtvej 2</v>
      </c>
      <c r="E1184" s="1" t="s">
        <v>3567</v>
      </c>
      <c r="F1184" s="1" t="s">
        <v>3568</v>
      </c>
      <c r="G1184" s="1">
        <v>1974</v>
      </c>
      <c r="H1184" s="1" t="s">
        <v>15</v>
      </c>
      <c r="I1184" s="6" cm="1">
        <f t="array" ref="I1184">GetLatitude(D1184)</f>
        <v>558751972</v>
      </c>
      <c r="J1184" s="1" cm="1">
        <f t="array" ref="J1184">GetLongitude(D1184)</f>
        <v>125027973</v>
      </c>
      <c r="K1184" s="1">
        <f t="shared" si="55"/>
        <v>55.875197200000002</v>
      </c>
      <c r="L1184" s="1">
        <f t="shared" si="56"/>
        <v>12.502797299999999</v>
      </c>
    </row>
    <row r="1185" spans="1:12" ht="16" x14ac:dyDescent="0.2">
      <c r="A1185" s="1">
        <v>1184</v>
      </c>
      <c r="B1185" s="1" t="s">
        <v>3514</v>
      </c>
      <c r="C1185" s="1" t="s">
        <v>3569</v>
      </c>
      <c r="D1185" s="1" t="str">
        <f t="shared" si="54"/>
        <v>Hørsholm KommuneUsserød Kongevej 120</v>
      </c>
      <c r="E1185" s="1" t="s">
        <v>3570</v>
      </c>
      <c r="F1185" s="1" t="s">
        <v>3571</v>
      </c>
      <c r="G1185" s="1">
        <v>1990</v>
      </c>
      <c r="H1185" s="1" t="s">
        <v>11</v>
      </c>
      <c r="I1185" s="6" cm="1">
        <f t="array" ref="I1185">GetLatitude(D1185)</f>
        <v>558932284</v>
      </c>
      <c r="J1185" s="1" cm="1">
        <f t="array" ref="J1185">GetLongitude(D1185)</f>
        <v>124941559</v>
      </c>
      <c r="K1185" s="1">
        <f t="shared" si="55"/>
        <v>55.893228399999998</v>
      </c>
      <c r="L1185" s="1">
        <f t="shared" si="56"/>
        <v>12.494155900000001</v>
      </c>
    </row>
    <row r="1186" spans="1:12" ht="16" x14ac:dyDescent="0.2">
      <c r="A1186" s="1">
        <v>1185</v>
      </c>
      <c r="B1186" s="1" t="s">
        <v>3572</v>
      </c>
      <c r="C1186" s="1" t="s">
        <v>3573</v>
      </c>
      <c r="D1186" s="1" t="str">
        <f t="shared" si="54"/>
        <v>Ikast-Brande KommuneRemmevej 18</v>
      </c>
      <c r="E1186" s="1" t="s">
        <v>3574</v>
      </c>
      <c r="F1186" s="1" t="s">
        <v>3575</v>
      </c>
      <c r="G1186" s="1">
        <v>1939</v>
      </c>
      <c r="H1186" s="1" t="s">
        <v>15</v>
      </c>
      <c r="I1186" s="6" cm="1">
        <f t="array" ref="I1186">GetLatitude(D1186)</f>
        <v>561383749</v>
      </c>
      <c r="J1186" s="1" cm="1">
        <f t="array" ref="J1186">GetLongitude(D1186)</f>
        <v>91793322</v>
      </c>
      <c r="K1186" s="1">
        <f t="shared" si="55"/>
        <v>56.138374900000002</v>
      </c>
      <c r="L1186" s="1">
        <f t="shared" si="56"/>
        <v>9.1793321999999993</v>
      </c>
    </row>
    <row r="1187" spans="1:12" ht="16" x14ac:dyDescent="0.2">
      <c r="A1187" s="1">
        <v>1186</v>
      </c>
      <c r="B1187" s="1" t="s">
        <v>3572</v>
      </c>
      <c r="C1187" s="1" t="s">
        <v>3576</v>
      </c>
      <c r="D1187" s="1" t="str">
        <f t="shared" si="54"/>
        <v>Ikast-Brande KommuneTarpvej 27</v>
      </c>
      <c r="E1187" s="1" t="s">
        <v>3577</v>
      </c>
      <c r="F1187" s="1" t="s">
        <v>3578</v>
      </c>
      <c r="G1187" s="1">
        <v>1964</v>
      </c>
      <c r="H1187" s="1" t="s">
        <v>15</v>
      </c>
      <c r="I1187" s="6" cm="1">
        <f t="array" ref="I1187">GetLatitude(D1187)</f>
        <v>554112230</v>
      </c>
      <c r="J1187" s="1" cm="1">
        <f t="array" ref="J1187">GetLongitude(D1187)</f>
        <v>103495878</v>
      </c>
      <c r="K1187" s="1">
        <f t="shared" si="55"/>
        <v>55.411223</v>
      </c>
      <c r="L1187" s="1">
        <f t="shared" si="56"/>
        <v>10.3495878</v>
      </c>
    </row>
    <row r="1188" spans="1:12" ht="16" x14ac:dyDescent="0.2">
      <c r="A1188" s="1">
        <v>1187</v>
      </c>
      <c r="B1188" s="1" t="s">
        <v>3579</v>
      </c>
      <c r="C1188" s="1" t="s">
        <v>3580</v>
      </c>
      <c r="D1188" s="1" t="str">
        <f t="shared" si="54"/>
        <v>Ishøj Kommune Allévej 23, 27 og 33</v>
      </c>
      <c r="E1188" s="1" t="s">
        <v>3581</v>
      </c>
      <c r="F1188" s="1" t="s">
        <v>3582</v>
      </c>
      <c r="G1188" s="1">
        <v>2000</v>
      </c>
      <c r="H1188" s="1" t="s">
        <v>15</v>
      </c>
      <c r="I1188" s="6" cm="1">
        <f t="array" ref="I1188">GetLatitude(D1188)</f>
        <v>556228730</v>
      </c>
      <c r="J1188" s="1" cm="1">
        <f t="array" ref="J1188">GetLongitude(D1188)</f>
        <v>122707710</v>
      </c>
      <c r="K1188" s="1">
        <f t="shared" si="55"/>
        <v>55.622872999999998</v>
      </c>
      <c r="L1188" s="1">
        <f t="shared" si="56"/>
        <v>12.270771</v>
      </c>
    </row>
    <row r="1189" spans="1:12" ht="16" x14ac:dyDescent="0.2">
      <c r="A1189" s="1">
        <v>1188</v>
      </c>
      <c r="B1189" s="1" t="s">
        <v>3579</v>
      </c>
      <c r="C1189" s="1" t="s">
        <v>3583</v>
      </c>
      <c r="D1189" s="1" t="str">
        <f t="shared" si="54"/>
        <v>Ishøj Kommune Thorsbrovej 22</v>
      </c>
      <c r="E1189" s="1" t="s">
        <v>3584</v>
      </c>
      <c r="F1189" s="1" t="s">
        <v>3585</v>
      </c>
      <c r="G1189" s="1">
        <v>1978</v>
      </c>
      <c r="H1189" s="1" t="s">
        <v>11</v>
      </c>
      <c r="I1189" s="6" cm="1">
        <f t="array" ref="I1189">GetLatitude(D1189)</f>
        <v>556215027</v>
      </c>
      <c r="J1189" s="1" cm="1">
        <f t="array" ref="J1189">GetLongitude(D1189)</f>
        <v>122226030</v>
      </c>
      <c r="K1189" s="1">
        <f t="shared" si="55"/>
        <v>55.621502700000001</v>
      </c>
      <c r="L1189" s="1">
        <f t="shared" si="56"/>
        <v>12.222602999999999</v>
      </c>
    </row>
    <row r="1190" spans="1:12" ht="16" x14ac:dyDescent="0.2">
      <c r="A1190" s="1">
        <v>1189</v>
      </c>
      <c r="B1190" s="1" t="s">
        <v>3586</v>
      </c>
      <c r="C1190" s="1" t="s">
        <v>3587</v>
      </c>
      <c r="D1190" s="1" t="str">
        <f t="shared" si="54"/>
        <v>Jammerbugt KommuneFredensdal 6-10</v>
      </c>
      <c r="E1190" s="1" t="s">
        <v>3588</v>
      </c>
      <c r="F1190" s="1" t="s">
        <v>3589</v>
      </c>
      <c r="G1190" s="1">
        <v>1918</v>
      </c>
      <c r="H1190" s="1" t="s">
        <v>11</v>
      </c>
      <c r="I1190" s="6" cm="1">
        <f t="array" ref="I1190">GetLatitude(D1190)</f>
        <v>571019490</v>
      </c>
      <c r="J1190" s="1" cm="1">
        <f t="array" ref="J1190">GetLongitude(D1190)</f>
        <v>95207990</v>
      </c>
      <c r="K1190" s="1">
        <f t="shared" si="55"/>
        <v>57.101948999999998</v>
      </c>
      <c r="L1190" s="1">
        <f t="shared" si="56"/>
        <v>9.5207990000000002</v>
      </c>
    </row>
    <row r="1191" spans="1:12" ht="16" x14ac:dyDescent="0.2">
      <c r="A1191" s="1">
        <v>1190</v>
      </c>
      <c r="B1191" s="1" t="s">
        <v>3586</v>
      </c>
      <c r="C1191" s="1" t="s">
        <v>3590</v>
      </c>
      <c r="D1191" s="1" t="str">
        <f t="shared" si="54"/>
        <v>Jammerbugt KommuneGrønnestrandsvej 228</v>
      </c>
      <c r="E1191" s="1" t="s">
        <v>3591</v>
      </c>
      <c r="F1191" s="1" t="s">
        <v>3592</v>
      </c>
      <c r="G1191" s="1">
        <v>1986</v>
      </c>
      <c r="H1191" s="1" t="s">
        <v>15</v>
      </c>
      <c r="I1191" s="6" cm="1">
        <f t="array" ref="I1191">GetLatitude(D1191)</f>
        <v>571407457</v>
      </c>
      <c r="J1191" s="1" cm="1">
        <f t="array" ref="J1191">GetLongitude(D1191)</f>
        <v>92827869</v>
      </c>
      <c r="K1191" s="1">
        <f t="shared" si="55"/>
        <v>57.140745699999997</v>
      </c>
      <c r="L1191" s="1">
        <f t="shared" si="56"/>
        <v>9.2827868999999996</v>
      </c>
    </row>
    <row r="1192" spans="1:12" ht="16" x14ac:dyDescent="0.2">
      <c r="A1192" s="1">
        <v>1191</v>
      </c>
      <c r="B1192" s="1" t="s">
        <v>3586</v>
      </c>
      <c r="C1192" s="1" t="s">
        <v>3593</v>
      </c>
      <c r="D1192" s="1" t="str">
        <f t="shared" si="54"/>
        <v>Jammerbugt KommuneHøkervej 2</v>
      </c>
      <c r="E1192" s="1" t="s">
        <v>3594</v>
      </c>
      <c r="F1192" s="1" t="s">
        <v>3595</v>
      </c>
      <c r="G1192" s="1">
        <v>1959</v>
      </c>
      <c r="H1192" s="1" t="s">
        <v>11</v>
      </c>
      <c r="I1192" s="6" cm="1">
        <f t="array" ref="I1192">GetLatitude(D1192)</f>
        <v>572523070</v>
      </c>
      <c r="J1192" s="1" cm="1">
        <f t="array" ref="J1192">GetLongitude(D1192)</f>
        <v>95831756</v>
      </c>
      <c r="K1192" s="1">
        <f t="shared" si="55"/>
        <v>57.252307000000002</v>
      </c>
      <c r="L1192" s="1">
        <f t="shared" si="56"/>
        <v>9.5831756000000006</v>
      </c>
    </row>
    <row r="1193" spans="1:12" ht="16" x14ac:dyDescent="0.2">
      <c r="A1193" s="1">
        <v>1192</v>
      </c>
      <c r="B1193" s="1" t="s">
        <v>3586</v>
      </c>
      <c r="C1193" s="1" t="s">
        <v>3596</v>
      </c>
      <c r="D1193" s="1" t="str">
        <f t="shared" si="54"/>
        <v>Jammerbugt KommuneKammerherrensvej 62</v>
      </c>
      <c r="E1193" s="1" t="s">
        <v>3597</v>
      </c>
      <c r="F1193" s="1" t="s">
        <v>3598</v>
      </c>
      <c r="G1193" s="1">
        <v>1918</v>
      </c>
      <c r="H1193" s="1" t="s">
        <v>11</v>
      </c>
      <c r="I1193" s="6" cm="1">
        <f t="array" ref="I1193">GetLatitude(D1193)</f>
        <v>571505433</v>
      </c>
      <c r="J1193" s="1" cm="1">
        <f t="array" ref="J1193">GetLongitude(D1193)</f>
        <v>97065666</v>
      </c>
      <c r="K1193" s="1">
        <f t="shared" si="55"/>
        <v>57.150543300000002</v>
      </c>
      <c r="L1193" s="1">
        <f t="shared" si="56"/>
        <v>9.7065666000000004</v>
      </c>
    </row>
    <row r="1194" spans="1:12" ht="16" x14ac:dyDescent="0.2">
      <c r="A1194" s="1">
        <v>1193</v>
      </c>
      <c r="B1194" s="1" t="s">
        <v>3586</v>
      </c>
      <c r="C1194" s="1" t="s">
        <v>3599</v>
      </c>
      <c r="D1194" s="1" t="str">
        <f t="shared" si="54"/>
        <v>Jammerbugt KommuneKlim Strandvej 68</v>
      </c>
      <c r="E1194" s="1" t="s">
        <v>3600</v>
      </c>
      <c r="F1194" s="1" t="s">
        <v>3601</v>
      </c>
      <c r="G1194" s="1">
        <v>1997</v>
      </c>
      <c r="H1194" s="1" t="s">
        <v>11</v>
      </c>
      <c r="I1194" s="6" cm="1">
        <f t="array" ref="I1194">GetLatitude(D1194)</f>
        <v>571037420</v>
      </c>
      <c r="J1194" s="1" cm="1">
        <f t="array" ref="J1194">GetLongitude(D1194)</f>
        <v>91697100</v>
      </c>
      <c r="K1194" s="1">
        <f t="shared" si="55"/>
        <v>57.103741999999997</v>
      </c>
      <c r="L1194" s="1">
        <f t="shared" si="56"/>
        <v>9.1697100000000002</v>
      </c>
    </row>
    <row r="1195" spans="1:12" ht="16" x14ac:dyDescent="0.2">
      <c r="A1195" s="1">
        <v>1194</v>
      </c>
      <c r="B1195" s="1" t="s">
        <v>3586</v>
      </c>
      <c r="C1195" s="1" t="s">
        <v>3602</v>
      </c>
      <c r="D1195" s="1" t="str">
        <f t="shared" si="54"/>
        <v>Jammerbugt KommuneKokkedalsvej 17</v>
      </c>
      <c r="E1195" s="1" t="s">
        <v>3603</v>
      </c>
      <c r="F1195" s="1" t="s">
        <v>3604</v>
      </c>
      <c r="G1195" s="1">
        <v>1918</v>
      </c>
      <c r="H1195" s="1" t="s">
        <v>11</v>
      </c>
      <c r="I1195" s="6" cm="1">
        <f t="array" ref="I1195">GetLatitude(D1195)</f>
        <v>570643716</v>
      </c>
      <c r="J1195" s="1" cm="1">
        <f t="array" ref="J1195">GetLongitude(D1195)</f>
        <v>94796914</v>
      </c>
      <c r="K1195" s="1">
        <f t="shared" si="55"/>
        <v>57.064371600000001</v>
      </c>
      <c r="L1195" s="1">
        <f t="shared" si="56"/>
        <v>9.4796914000000001</v>
      </c>
    </row>
    <row r="1196" spans="1:12" ht="16" x14ac:dyDescent="0.2">
      <c r="A1196" s="1">
        <v>1195</v>
      </c>
      <c r="B1196" s="1" t="s">
        <v>3586</v>
      </c>
      <c r="C1196" s="1" t="s">
        <v>3605</v>
      </c>
      <c r="D1196" s="1" t="str">
        <f t="shared" si="54"/>
        <v>Jammerbugt KommuneSandagervej 49 i Fjerritslev</v>
      </c>
      <c r="E1196" s="1" t="s">
        <v>3606</v>
      </c>
      <c r="F1196" s="1" t="s">
        <v>3607</v>
      </c>
      <c r="G1196" s="1">
        <v>2008</v>
      </c>
      <c r="H1196" s="1" t="s">
        <v>701</v>
      </c>
      <c r="I1196" s="6" cm="1">
        <f t="array" ref="I1196">GetLatitude(D1196)</f>
        <v>570889189</v>
      </c>
      <c r="J1196" s="1" cm="1">
        <f t="array" ref="J1196">GetLongitude(D1196)</f>
        <v>92753577</v>
      </c>
      <c r="K1196" s="1">
        <f t="shared" si="55"/>
        <v>57.088918900000003</v>
      </c>
      <c r="L1196" s="1">
        <f t="shared" si="56"/>
        <v>9.2753577000000007</v>
      </c>
    </row>
    <row r="1197" spans="1:12" ht="16" x14ac:dyDescent="0.2">
      <c r="A1197" s="1">
        <v>1196</v>
      </c>
      <c r="B1197" s="1" t="s">
        <v>3586</v>
      </c>
      <c r="C1197" s="1" t="s">
        <v>3608</v>
      </c>
      <c r="D1197" s="1" t="str">
        <f t="shared" si="54"/>
        <v>Jammerbugt KommuneSandagervej i Fjerritslev</v>
      </c>
      <c r="E1197" s="1" t="s">
        <v>3609</v>
      </c>
      <c r="F1197" s="1" t="s">
        <v>3610</v>
      </c>
      <c r="G1197" s="1">
        <v>2008</v>
      </c>
      <c r="H1197" s="1" t="s">
        <v>15</v>
      </c>
      <c r="I1197" s="6" cm="1">
        <f t="array" ref="I1197">GetLatitude(D1197)</f>
        <v>570898332</v>
      </c>
      <c r="J1197" s="1" cm="1">
        <f t="array" ref="J1197">GetLongitude(D1197)</f>
        <v>92706903</v>
      </c>
      <c r="K1197" s="1">
        <f t="shared" si="55"/>
        <v>57.089833200000001</v>
      </c>
      <c r="L1197" s="1">
        <f t="shared" si="56"/>
        <v>9.2706903000000001</v>
      </c>
    </row>
    <row r="1198" spans="1:12" ht="16" x14ac:dyDescent="0.2">
      <c r="A1198" s="1">
        <v>1197</v>
      </c>
      <c r="B1198" s="1" t="s">
        <v>3586</v>
      </c>
      <c r="C1198" s="1" t="s">
        <v>3611</v>
      </c>
      <c r="D1198" s="1" t="str">
        <f t="shared" si="54"/>
        <v>Jammerbugt KommuneSlettestrandvej 158</v>
      </c>
      <c r="E1198" s="1" t="s">
        <v>3612</v>
      </c>
      <c r="F1198" s="1" t="s">
        <v>3613</v>
      </c>
      <c r="G1198" s="1">
        <v>1995</v>
      </c>
      <c r="H1198" s="1" t="s">
        <v>15</v>
      </c>
      <c r="I1198" s="6" cm="1">
        <f t="array" ref="I1198">GetLatitude(D1198)</f>
        <v>571543692</v>
      </c>
      <c r="J1198" s="1" cm="1">
        <f t="array" ref="J1198">GetLongitude(D1198)</f>
        <v>93645431</v>
      </c>
      <c r="K1198" s="1">
        <f t="shared" si="55"/>
        <v>57.154369199999998</v>
      </c>
      <c r="L1198" s="1">
        <f t="shared" si="56"/>
        <v>9.3645431000000006</v>
      </c>
    </row>
    <row r="1199" spans="1:12" ht="16" x14ac:dyDescent="0.2">
      <c r="A1199" s="1">
        <v>1198</v>
      </c>
      <c r="B1199" s="1" t="s">
        <v>3586</v>
      </c>
      <c r="C1199" s="1" t="s">
        <v>3614</v>
      </c>
      <c r="D1199" s="1" t="str">
        <f t="shared" si="54"/>
        <v>Jammerbugt KommuneStrandvejen 4</v>
      </c>
      <c r="E1199" s="1" t="s">
        <v>3615</v>
      </c>
      <c r="F1199" s="1" t="s">
        <v>3616</v>
      </c>
      <c r="G1199" s="1">
        <v>1930</v>
      </c>
      <c r="H1199" s="1" t="s">
        <v>11</v>
      </c>
      <c r="I1199" s="6" cm="1">
        <f t="array" ref="I1199">GetLatitude(D1199)</f>
        <v>571452815</v>
      </c>
      <c r="J1199" s="1" cm="1">
        <f t="array" ref="J1199">GetLongitude(D1199)</f>
        <v>95415380</v>
      </c>
      <c r="K1199" s="1">
        <f t="shared" si="55"/>
        <v>57.145281500000003</v>
      </c>
      <c r="L1199" s="1">
        <f t="shared" si="56"/>
        <v>9.5415379999999992</v>
      </c>
    </row>
    <row r="1200" spans="1:12" ht="16" x14ac:dyDescent="0.2">
      <c r="A1200" s="1">
        <v>1199</v>
      </c>
      <c r="B1200" s="1" t="s">
        <v>3586</v>
      </c>
      <c r="C1200" s="1" t="s">
        <v>3617</v>
      </c>
      <c r="D1200" s="1" t="str">
        <f t="shared" si="54"/>
        <v>Jammerbugt KommuneSvinkløvvej 547</v>
      </c>
      <c r="E1200" s="1" t="s">
        <v>3618</v>
      </c>
      <c r="F1200" s="1" t="s">
        <v>3619</v>
      </c>
      <c r="G1200" s="1">
        <v>1987</v>
      </c>
      <c r="H1200" s="1" t="s">
        <v>15</v>
      </c>
      <c r="I1200" s="6" cm="1">
        <f t="array" ref="I1200">GetLatitude(D1200)</f>
        <v>571495270</v>
      </c>
      <c r="J1200" s="1" cm="1">
        <f t="array" ref="J1200">GetLongitude(D1200)</f>
        <v>93223060</v>
      </c>
      <c r="K1200" s="1">
        <f t="shared" si="55"/>
        <v>57.149526999999999</v>
      </c>
      <c r="L1200" s="1">
        <f t="shared" si="56"/>
        <v>9.3223059999999993</v>
      </c>
    </row>
    <row r="1201" spans="1:12" ht="16" x14ac:dyDescent="0.2">
      <c r="A1201" s="1">
        <v>1200</v>
      </c>
      <c r="B1201" s="1" t="s">
        <v>3586</v>
      </c>
      <c r="C1201" s="1" t="s">
        <v>3620</v>
      </c>
      <c r="D1201" s="1" t="str">
        <f t="shared" si="54"/>
        <v>Jammerbugt KommuneVestre Skovvej 1</v>
      </c>
      <c r="E1201" s="1" t="s">
        <v>3621</v>
      </c>
      <c r="F1201" s="1" t="s">
        <v>3622</v>
      </c>
      <c r="G1201" s="1">
        <v>1950</v>
      </c>
      <c r="H1201" s="1" t="s">
        <v>15</v>
      </c>
      <c r="I1201" s="6" cm="1">
        <f t="array" ref="I1201">GetLatitude(D1201)</f>
        <v>570629025</v>
      </c>
      <c r="J1201" s="1" cm="1">
        <f t="array" ref="J1201">GetLongitude(D1201)</f>
        <v>95731471</v>
      </c>
      <c r="K1201" s="1">
        <f t="shared" si="55"/>
        <v>57.0629025</v>
      </c>
      <c r="L1201" s="1">
        <f t="shared" si="56"/>
        <v>9.5731470999999999</v>
      </c>
    </row>
    <row r="1202" spans="1:12" ht="16" x14ac:dyDescent="0.2">
      <c r="A1202" s="1">
        <v>1201</v>
      </c>
      <c r="B1202" s="1" t="s">
        <v>3586</v>
      </c>
      <c r="C1202" s="1" t="s">
        <v>3623</v>
      </c>
      <c r="D1202" s="1" t="str">
        <f t="shared" si="54"/>
        <v>Jammerbugt KommuneØsterbyvej 1</v>
      </c>
      <c r="E1202" s="1" t="s">
        <v>3624</v>
      </c>
      <c r="F1202" s="1" t="s">
        <v>3625</v>
      </c>
      <c r="G1202" s="1">
        <v>1992</v>
      </c>
      <c r="H1202" s="1" t="s">
        <v>15</v>
      </c>
      <c r="I1202" s="6" cm="1">
        <f t="array" ref="I1202">GetLatitude(D1202)</f>
        <v>570573377</v>
      </c>
      <c r="J1202" s="1" cm="1">
        <f t="array" ref="J1202">GetLongitude(D1202)</f>
        <v>96090070</v>
      </c>
      <c r="K1202" s="1">
        <f t="shared" si="55"/>
        <v>57.057337699999998</v>
      </c>
      <c r="L1202" s="1">
        <f t="shared" si="56"/>
        <v>9.6090070000000001</v>
      </c>
    </row>
    <row r="1203" spans="1:12" ht="16" x14ac:dyDescent="0.2">
      <c r="A1203" s="1">
        <v>1202</v>
      </c>
      <c r="B1203" s="1" t="s">
        <v>3626</v>
      </c>
      <c r="C1203" s="1" t="s">
        <v>3627</v>
      </c>
      <c r="D1203" s="1" t="str">
        <f t="shared" si="54"/>
        <v>Kalundborg KommuneAdelgade</v>
      </c>
      <c r="E1203" s="1" t="s">
        <v>3628</v>
      </c>
      <c r="F1203" s="1" t="s">
        <v>3629</v>
      </c>
      <c r="G1203" s="1">
        <v>2011</v>
      </c>
      <c r="H1203" s="1" t="s">
        <v>15</v>
      </c>
      <c r="I1203" s="6" cm="1">
        <f t="array" ref="I1203">GetLatitude(D1203)</f>
        <v>556809102</v>
      </c>
      <c r="J1203" s="1" cm="1">
        <f t="array" ref="J1203">GetLongitude(D1203)</f>
        <v>110805505</v>
      </c>
      <c r="K1203" s="1">
        <f t="shared" si="55"/>
        <v>55.6809102</v>
      </c>
      <c r="L1203" s="1">
        <f t="shared" si="56"/>
        <v>11.080550499999999</v>
      </c>
    </row>
    <row r="1204" spans="1:12" ht="16" x14ac:dyDescent="0.2">
      <c r="A1204" s="1">
        <v>1203</v>
      </c>
      <c r="B1204" s="1" t="s">
        <v>3626</v>
      </c>
      <c r="C1204" s="1" t="s">
        <v>3630</v>
      </c>
      <c r="D1204" s="1" t="str">
        <f t="shared" si="54"/>
        <v>Kalundborg KommuneAdelgade 10</v>
      </c>
      <c r="E1204" s="1" t="s">
        <v>3631</v>
      </c>
      <c r="F1204" s="1" t="s">
        <v>416</v>
      </c>
      <c r="G1204" s="1">
        <v>1918</v>
      </c>
      <c r="H1204" s="1" t="s">
        <v>11</v>
      </c>
      <c r="I1204" s="6" cm="1">
        <f t="array" ref="I1204">GetLatitude(D1204)</f>
        <v>556808011</v>
      </c>
      <c r="J1204" s="1" cm="1">
        <f t="array" ref="J1204">GetLongitude(D1204)</f>
        <v>110817134</v>
      </c>
      <c r="K1204" s="1">
        <f t="shared" si="55"/>
        <v>55.680801099999996</v>
      </c>
      <c r="L1204" s="1">
        <f t="shared" si="56"/>
        <v>11.0817134</v>
      </c>
    </row>
    <row r="1205" spans="1:12" ht="16" x14ac:dyDescent="0.2">
      <c r="A1205" s="1">
        <v>1204</v>
      </c>
      <c r="B1205" s="1" t="s">
        <v>3626</v>
      </c>
      <c r="C1205" s="1" t="s">
        <v>3632</v>
      </c>
      <c r="D1205" s="1" t="str">
        <f t="shared" si="54"/>
        <v>Kalundborg KommuneAdelgade 13</v>
      </c>
      <c r="E1205" s="1" t="s">
        <v>3633</v>
      </c>
      <c r="F1205" s="1" t="s">
        <v>3634</v>
      </c>
      <c r="G1205" s="1">
        <v>1918</v>
      </c>
      <c r="H1205" s="1" t="s">
        <v>15</v>
      </c>
      <c r="I1205" s="6" cm="1">
        <f t="array" ref="I1205">GetLatitude(D1205)</f>
        <v>556809102</v>
      </c>
      <c r="J1205" s="1" cm="1">
        <f t="array" ref="J1205">GetLongitude(D1205)</f>
        <v>110805505</v>
      </c>
      <c r="K1205" s="1">
        <f t="shared" si="55"/>
        <v>55.6809102</v>
      </c>
      <c r="L1205" s="1">
        <f t="shared" si="56"/>
        <v>11.080550499999999</v>
      </c>
    </row>
    <row r="1206" spans="1:12" ht="16" x14ac:dyDescent="0.2">
      <c r="A1206" s="1">
        <v>1205</v>
      </c>
      <c r="B1206" s="1" t="s">
        <v>3626</v>
      </c>
      <c r="C1206" s="1" t="s">
        <v>3635</v>
      </c>
      <c r="D1206" s="1" t="str">
        <f t="shared" si="54"/>
        <v>Kalundborg KommuneAdelgade 15</v>
      </c>
      <c r="E1206" s="1" t="s">
        <v>3636</v>
      </c>
      <c r="F1206" s="1" t="s">
        <v>3637</v>
      </c>
      <c r="G1206" s="1">
        <v>1919</v>
      </c>
      <c r="H1206" s="1" t="s">
        <v>11</v>
      </c>
      <c r="I1206" s="6" cm="1">
        <f t="array" ref="I1206">GetLatitude(D1206)</f>
        <v>556804225</v>
      </c>
      <c r="J1206" s="1" cm="1">
        <f t="array" ref="J1206">GetLongitude(D1206)</f>
        <v>110820154</v>
      </c>
      <c r="K1206" s="1">
        <f t="shared" si="55"/>
        <v>55.680422499999999</v>
      </c>
      <c r="L1206" s="1">
        <f t="shared" si="56"/>
        <v>11.0820154</v>
      </c>
    </row>
    <row r="1207" spans="1:12" ht="16" x14ac:dyDescent="0.2">
      <c r="A1207" s="1">
        <v>1206</v>
      </c>
      <c r="B1207" s="1" t="s">
        <v>3626</v>
      </c>
      <c r="C1207" s="1" t="s">
        <v>3638</v>
      </c>
      <c r="D1207" s="1" t="str">
        <f t="shared" si="54"/>
        <v>Kalundborg KommuneAdelgade 17</v>
      </c>
      <c r="E1207" s="1" t="s">
        <v>3639</v>
      </c>
      <c r="F1207" s="1" t="s">
        <v>3640</v>
      </c>
      <c r="G1207" s="1">
        <v>1918</v>
      </c>
      <c r="H1207" s="1" t="s">
        <v>11</v>
      </c>
      <c r="I1207" s="6" cm="1">
        <f t="array" ref="I1207">GetLatitude(D1207)</f>
        <v>556803985</v>
      </c>
      <c r="J1207" s="1" cm="1">
        <f t="array" ref="J1207">GetLongitude(D1207)</f>
        <v>110819131</v>
      </c>
      <c r="K1207" s="1">
        <f t="shared" si="55"/>
        <v>55.680398500000003</v>
      </c>
      <c r="L1207" s="1">
        <f t="shared" si="56"/>
        <v>11.0819131</v>
      </c>
    </row>
    <row r="1208" spans="1:12" ht="16" x14ac:dyDescent="0.2">
      <c r="A1208" s="1">
        <v>1207</v>
      </c>
      <c r="B1208" s="1" t="s">
        <v>3626</v>
      </c>
      <c r="C1208" s="1" t="s">
        <v>3641</v>
      </c>
      <c r="D1208" s="1" t="str">
        <f t="shared" si="54"/>
        <v>Kalundborg KommuneAdelgade 18</v>
      </c>
      <c r="E1208" s="1" t="s">
        <v>3642</v>
      </c>
      <c r="F1208" s="1" t="s">
        <v>3643</v>
      </c>
      <c r="G1208" s="1">
        <v>1981</v>
      </c>
      <c r="H1208" s="1" t="s">
        <v>11</v>
      </c>
      <c r="I1208" s="6" cm="1">
        <f t="array" ref="I1208">GetLatitude(D1208)</f>
        <v>556808998</v>
      </c>
      <c r="J1208" s="1" cm="1">
        <f t="array" ref="J1208">GetLongitude(D1208)</f>
        <v>110811129</v>
      </c>
      <c r="K1208" s="1">
        <f t="shared" si="55"/>
        <v>55.680899799999999</v>
      </c>
      <c r="L1208" s="1">
        <f t="shared" si="56"/>
        <v>11.081112900000001</v>
      </c>
    </row>
    <row r="1209" spans="1:12" ht="16" x14ac:dyDescent="0.2">
      <c r="A1209" s="1">
        <v>1208</v>
      </c>
      <c r="B1209" s="1" t="s">
        <v>3626</v>
      </c>
      <c r="C1209" s="1" t="s">
        <v>3644</v>
      </c>
      <c r="D1209" s="1" t="str">
        <f t="shared" si="54"/>
        <v>Kalundborg KommuneAdelgade 19</v>
      </c>
      <c r="E1209" s="1" t="s">
        <v>3645</v>
      </c>
      <c r="F1209" s="1" t="s">
        <v>3646</v>
      </c>
      <c r="G1209" s="1">
        <v>1918</v>
      </c>
      <c r="H1209" s="1" t="s">
        <v>15</v>
      </c>
      <c r="I1209" s="6" cm="1">
        <f t="array" ref="I1209">GetLatitude(D1209)</f>
        <v>556804034</v>
      </c>
      <c r="J1209" s="1" cm="1">
        <f t="array" ref="J1209">GetLongitude(D1209)</f>
        <v>110817387</v>
      </c>
      <c r="K1209" s="1">
        <f t="shared" si="55"/>
        <v>55.680403400000003</v>
      </c>
      <c r="L1209" s="1">
        <f t="shared" si="56"/>
        <v>11.081738700000001</v>
      </c>
    </row>
    <row r="1210" spans="1:12" ht="16" x14ac:dyDescent="0.2">
      <c r="A1210" s="1">
        <v>1209</v>
      </c>
      <c r="B1210" s="1" t="s">
        <v>3626</v>
      </c>
      <c r="C1210" s="1" t="s">
        <v>2324</v>
      </c>
      <c r="D1210" s="1" t="str">
        <f t="shared" si="54"/>
        <v>Kalundborg KommuneAdelgade 23</v>
      </c>
      <c r="E1210" s="1" t="s">
        <v>3647</v>
      </c>
      <c r="F1210" s="1" t="s">
        <v>3648</v>
      </c>
      <c r="G1210" s="1">
        <v>1918</v>
      </c>
      <c r="H1210" s="1" t="s">
        <v>11</v>
      </c>
      <c r="I1210" s="6" cm="1">
        <f t="array" ref="I1210">GetLatitude(D1210)</f>
        <v>556809102</v>
      </c>
      <c r="J1210" s="1" cm="1">
        <f t="array" ref="J1210">GetLongitude(D1210)</f>
        <v>110805505</v>
      </c>
      <c r="K1210" s="1">
        <f t="shared" si="55"/>
        <v>55.6809102</v>
      </c>
      <c r="L1210" s="1">
        <f t="shared" si="56"/>
        <v>11.080550499999999</v>
      </c>
    </row>
    <row r="1211" spans="1:12" ht="16" x14ac:dyDescent="0.2">
      <c r="A1211" s="1">
        <v>1210</v>
      </c>
      <c r="B1211" s="1" t="s">
        <v>3626</v>
      </c>
      <c r="C1211" s="1" t="s">
        <v>3649</v>
      </c>
      <c r="D1211" s="1" t="str">
        <f t="shared" si="54"/>
        <v>Kalundborg KommuneAdelgade 6</v>
      </c>
      <c r="E1211" s="1" t="s">
        <v>3650</v>
      </c>
      <c r="F1211" s="1" t="s">
        <v>3651</v>
      </c>
      <c r="G1211" s="1">
        <v>1918</v>
      </c>
      <c r="H1211" s="1" t="s">
        <v>11</v>
      </c>
      <c r="I1211" s="6" cm="1">
        <f t="array" ref="I1211">GetLatitude(D1211)</f>
        <v>556221049</v>
      </c>
      <c r="J1211" s="1" cm="1">
        <f t="array" ref="J1211">GetLongitude(D1211)</f>
        <v>112308375</v>
      </c>
      <c r="K1211" s="1">
        <f t="shared" si="55"/>
        <v>55.622104899999997</v>
      </c>
      <c r="L1211" s="1">
        <f t="shared" si="56"/>
        <v>11.2308375</v>
      </c>
    </row>
    <row r="1212" spans="1:12" ht="16" x14ac:dyDescent="0.2">
      <c r="A1212" s="1">
        <v>1211</v>
      </c>
      <c r="B1212" s="1" t="s">
        <v>3626</v>
      </c>
      <c r="C1212" s="1" t="s">
        <v>3652</v>
      </c>
      <c r="D1212" s="1" t="str">
        <f t="shared" si="54"/>
        <v>Kalundborg KommuneAdelgade 8</v>
      </c>
      <c r="E1212" s="1" t="s">
        <v>3653</v>
      </c>
      <c r="F1212" s="1" t="s">
        <v>3654</v>
      </c>
      <c r="G1212" s="1">
        <v>1918</v>
      </c>
      <c r="H1212" s="1" t="s">
        <v>15</v>
      </c>
      <c r="I1212" s="6" cm="1">
        <f t="array" ref="I1212">GetLatitude(D1212)</f>
        <v>556864290</v>
      </c>
      <c r="J1212" s="1" cm="1">
        <f t="array" ref="J1212">GetLongitude(D1212)</f>
        <v>110891880</v>
      </c>
      <c r="K1212" s="1">
        <f t="shared" si="55"/>
        <v>55.686428999999997</v>
      </c>
      <c r="L1212" s="1">
        <f t="shared" si="56"/>
        <v>11.089188</v>
      </c>
    </row>
    <row r="1213" spans="1:12" ht="16" x14ac:dyDescent="0.2">
      <c r="A1213" s="1">
        <v>1212</v>
      </c>
      <c r="B1213" s="1" t="s">
        <v>3626</v>
      </c>
      <c r="C1213" s="1" t="s">
        <v>3655</v>
      </c>
      <c r="D1213" s="1" t="str">
        <f t="shared" si="54"/>
        <v>Kalundborg KommuneAsnæs Skovvej 16, tidl Asnæsvej 16</v>
      </c>
      <c r="E1213" s="1" t="s">
        <v>3656</v>
      </c>
      <c r="F1213" s="1" t="s">
        <v>3657</v>
      </c>
      <c r="G1213" s="1">
        <v>1971</v>
      </c>
      <c r="H1213" s="1" t="s">
        <v>15</v>
      </c>
      <c r="I1213" s="6" cm="1">
        <f t="array" ref="I1213">GetLatitude(D1213)</f>
        <v>556601944</v>
      </c>
      <c r="J1213" s="1" cm="1">
        <f t="array" ref="J1213">GetLongitude(D1213)</f>
        <v>110796253</v>
      </c>
      <c r="K1213" s="1">
        <f t="shared" si="55"/>
        <v>55.660194400000002</v>
      </c>
      <c r="L1213" s="1">
        <f t="shared" si="56"/>
        <v>11.0796253</v>
      </c>
    </row>
    <row r="1214" spans="1:12" ht="16" x14ac:dyDescent="0.2">
      <c r="A1214" s="1">
        <v>1213</v>
      </c>
      <c r="B1214" s="1" t="s">
        <v>3626</v>
      </c>
      <c r="C1214" s="1" t="s">
        <v>3658</v>
      </c>
      <c r="D1214" s="1" t="str">
        <f t="shared" si="54"/>
        <v>Kalundborg KommuneGl.  Røsnæsvej 9</v>
      </c>
      <c r="E1214" s="1" t="s">
        <v>3658</v>
      </c>
      <c r="F1214" s="1" t="s">
        <v>3659</v>
      </c>
      <c r="G1214" s="1">
        <v>2009</v>
      </c>
      <c r="H1214" s="1" t="s">
        <v>15</v>
      </c>
      <c r="I1214" s="6" cm="1">
        <f t="array" ref="I1214">GetLatitude(D1214)</f>
        <v>556846237</v>
      </c>
      <c r="J1214" s="1" cm="1">
        <f t="array" ref="J1214">GetLongitude(D1214)</f>
        <v>110657967</v>
      </c>
      <c r="K1214" s="1">
        <f t="shared" si="55"/>
        <v>55.684623700000003</v>
      </c>
      <c r="L1214" s="1">
        <f t="shared" si="56"/>
        <v>11.0657967</v>
      </c>
    </row>
    <row r="1215" spans="1:12" ht="16" x14ac:dyDescent="0.2">
      <c r="A1215" s="1">
        <v>1214</v>
      </c>
      <c r="B1215" s="1" t="s">
        <v>3626</v>
      </c>
      <c r="C1215" s="1" t="s">
        <v>3660</v>
      </c>
      <c r="D1215" s="1" t="str">
        <f t="shared" si="54"/>
        <v>Kalundborg KommuneHovedgaden 52 A</v>
      </c>
      <c r="E1215" s="1" t="s">
        <v>3661</v>
      </c>
      <c r="F1215" s="1" t="s">
        <v>3662</v>
      </c>
      <c r="G1215" s="1">
        <v>1945</v>
      </c>
      <c r="H1215" s="1" t="s">
        <v>15</v>
      </c>
      <c r="I1215" s="6" cm="1">
        <f t="array" ref="I1215">GetLatitude(D1215)</f>
        <v>556221049</v>
      </c>
      <c r="J1215" s="1" cm="1">
        <f t="array" ref="J1215">GetLongitude(D1215)</f>
        <v>112308375</v>
      </c>
      <c r="K1215" s="1">
        <f t="shared" si="55"/>
        <v>55.622104899999997</v>
      </c>
      <c r="L1215" s="1">
        <f t="shared" si="56"/>
        <v>11.2308375</v>
      </c>
    </row>
    <row r="1216" spans="1:12" ht="16" x14ac:dyDescent="0.2">
      <c r="A1216" s="1">
        <v>1215</v>
      </c>
      <c r="B1216" s="1" t="s">
        <v>3626</v>
      </c>
      <c r="C1216" s="1" t="s">
        <v>3663</v>
      </c>
      <c r="D1216" s="1" t="str">
        <f t="shared" si="54"/>
        <v>Kalundborg KommuneJ. Hagemann-Petersens Allé 11</v>
      </c>
      <c r="E1216" s="1" t="s">
        <v>3664</v>
      </c>
      <c r="F1216" s="1" t="s">
        <v>3665</v>
      </c>
      <c r="G1216" s="1">
        <v>2013</v>
      </c>
      <c r="H1216" s="1" t="s">
        <v>15</v>
      </c>
      <c r="I1216" s="6" cm="1">
        <f t="array" ref="I1216">GetLatitude(D1216)</f>
        <v>556814790</v>
      </c>
      <c r="J1216" s="1" cm="1">
        <f t="array" ref="J1216">GetLongitude(D1216)</f>
        <v>110819520</v>
      </c>
      <c r="K1216" s="1">
        <f t="shared" si="55"/>
        <v>55.681479000000003</v>
      </c>
      <c r="L1216" s="1">
        <f t="shared" si="56"/>
        <v>11.081951999999999</v>
      </c>
    </row>
    <row r="1217" spans="1:12" ht="16" x14ac:dyDescent="0.2">
      <c r="A1217" s="1">
        <v>1216</v>
      </c>
      <c r="B1217" s="1" t="s">
        <v>3626</v>
      </c>
      <c r="C1217" s="1" t="s">
        <v>3666</v>
      </c>
      <c r="D1217" s="1" t="str">
        <f t="shared" si="54"/>
        <v>Kalundborg KommuneKlosterparkvej 7-9</v>
      </c>
      <c r="E1217" s="1" t="s">
        <v>3667</v>
      </c>
      <c r="F1217" s="1" t="s">
        <v>3668</v>
      </c>
      <c r="G1217" s="1">
        <v>1924</v>
      </c>
      <c r="H1217" s="1" t="s">
        <v>15</v>
      </c>
      <c r="I1217" s="6" cm="1">
        <f t="array" ref="I1217">GetLatitude(D1217)</f>
        <v>556816036</v>
      </c>
      <c r="J1217" s="1" cm="1">
        <f t="array" ref="J1217">GetLongitude(D1217)</f>
        <v>110852084</v>
      </c>
      <c r="K1217" s="1">
        <f t="shared" si="55"/>
        <v>55.681603600000003</v>
      </c>
      <c r="L1217" s="1">
        <f t="shared" si="56"/>
        <v>11.085208400000001</v>
      </c>
    </row>
    <row r="1218" spans="1:12" ht="16" x14ac:dyDescent="0.2">
      <c r="A1218" s="1">
        <v>1217</v>
      </c>
      <c r="B1218" s="1" t="s">
        <v>3626</v>
      </c>
      <c r="C1218" s="1" t="s">
        <v>3669</v>
      </c>
      <c r="D1218" s="1" t="str">
        <f t="shared" si="54"/>
        <v>Kalundborg KommuneKnudstrupvej 4 A</v>
      </c>
      <c r="E1218" s="1" t="s">
        <v>3670</v>
      </c>
      <c r="F1218" s="1" t="s">
        <v>3671</v>
      </c>
      <c r="G1218" s="1">
        <v>1978</v>
      </c>
      <c r="H1218" s="1" t="s">
        <v>11</v>
      </c>
      <c r="I1218" s="6" cm="1">
        <f t="array" ref="I1218">GetLatitude(D1218)</f>
        <v>554842310</v>
      </c>
      <c r="J1218" s="1" cm="1">
        <f t="array" ref="J1218">GetLongitude(D1218)</f>
        <v>112920170</v>
      </c>
      <c r="K1218" s="1">
        <f t="shared" si="55"/>
        <v>55.484231000000001</v>
      </c>
      <c r="L1218" s="1">
        <f t="shared" si="56"/>
        <v>11.292017</v>
      </c>
    </row>
    <row r="1219" spans="1:12" ht="16" x14ac:dyDescent="0.2">
      <c r="A1219" s="1">
        <v>1218</v>
      </c>
      <c r="B1219" s="1" t="s">
        <v>3626</v>
      </c>
      <c r="C1219" s="1" t="s">
        <v>3672</v>
      </c>
      <c r="D1219" s="1" t="str">
        <f t="shared" ref="D1219:D1282" si="57">B1219&amp;C1219</f>
        <v>Kalundborg KommuneKordilgade 13</v>
      </c>
      <c r="E1219" s="1" t="s">
        <v>3673</v>
      </c>
      <c r="F1219" s="1" t="s">
        <v>3674</v>
      </c>
      <c r="G1219" s="1">
        <v>1990</v>
      </c>
      <c r="H1219" s="1" t="s">
        <v>11</v>
      </c>
      <c r="I1219" s="6" cm="1">
        <f t="array" ref="I1219">GetLatitude(D1219)</f>
        <v>556805931</v>
      </c>
      <c r="J1219" s="1" cm="1">
        <f t="array" ref="J1219">GetLongitude(D1219)</f>
        <v>110889282</v>
      </c>
      <c r="K1219" s="1">
        <f t="shared" si="55"/>
        <v>55.680593100000003</v>
      </c>
      <c r="L1219" s="1">
        <f t="shared" si="56"/>
        <v>11.0889282</v>
      </c>
    </row>
    <row r="1220" spans="1:12" ht="16" x14ac:dyDescent="0.2">
      <c r="A1220" s="1">
        <v>1219</v>
      </c>
      <c r="B1220" s="1" t="s">
        <v>3626</v>
      </c>
      <c r="C1220" s="1" t="s">
        <v>3675</v>
      </c>
      <c r="D1220" s="1" t="str">
        <f t="shared" si="57"/>
        <v>Kalundborg KommuneKordilgade 1-3</v>
      </c>
      <c r="E1220" s="1" t="s">
        <v>3676</v>
      </c>
      <c r="F1220" s="1" t="s">
        <v>3677</v>
      </c>
      <c r="G1220" s="1">
        <v>1918</v>
      </c>
      <c r="H1220" s="1" t="s">
        <v>11</v>
      </c>
      <c r="I1220" s="6" cm="1">
        <f t="array" ref="I1220">GetLatitude(D1220)</f>
        <v>556809957</v>
      </c>
      <c r="J1220" s="1" cm="1">
        <f t="array" ref="J1220">GetLongitude(D1220)</f>
        <v>110877655</v>
      </c>
      <c r="K1220" s="1">
        <f t="shared" ref="K1220:K1283" si="58">I1220/10000000</f>
        <v>55.680995699999997</v>
      </c>
      <c r="L1220" s="1">
        <f t="shared" ref="L1220:L1283" si="59">J1220/10000000</f>
        <v>11.0877655</v>
      </c>
    </row>
    <row r="1221" spans="1:12" ht="16" x14ac:dyDescent="0.2">
      <c r="A1221" s="1">
        <v>1220</v>
      </c>
      <c r="B1221" s="1" t="s">
        <v>3626</v>
      </c>
      <c r="C1221" s="1" t="s">
        <v>3678</v>
      </c>
      <c r="D1221" s="1" t="str">
        <f t="shared" si="57"/>
        <v>Kalundborg KommuneKordilgade 83</v>
      </c>
      <c r="E1221" s="1" t="s">
        <v>3491</v>
      </c>
      <c r="F1221" s="1" t="s">
        <v>3405</v>
      </c>
      <c r="G1221" s="1">
        <v>1918</v>
      </c>
      <c r="H1221" s="1" t="s">
        <v>11</v>
      </c>
      <c r="I1221" s="6" cm="1">
        <f t="array" ref="I1221">GetLatitude(D1221)</f>
        <v>556800674</v>
      </c>
      <c r="J1221" s="1" cm="1">
        <f t="array" ref="J1221">GetLongitude(D1221)</f>
        <v>110955283</v>
      </c>
      <c r="K1221" s="1">
        <f t="shared" si="58"/>
        <v>55.680067399999999</v>
      </c>
      <c r="L1221" s="1">
        <f t="shared" si="59"/>
        <v>11.0955283</v>
      </c>
    </row>
    <row r="1222" spans="1:12" ht="16" x14ac:dyDescent="0.2">
      <c r="A1222" s="1">
        <v>1221</v>
      </c>
      <c r="B1222" s="1" t="s">
        <v>3626</v>
      </c>
      <c r="C1222" s="1" t="s">
        <v>3679</v>
      </c>
      <c r="D1222" s="1" t="str">
        <f t="shared" si="57"/>
        <v>Kalundborg KommuneKragerupgårdsvej 33</v>
      </c>
      <c r="E1222" s="1" t="s">
        <v>3680</v>
      </c>
      <c r="F1222" s="1" t="s">
        <v>3681</v>
      </c>
      <c r="G1222" s="1">
        <v>1918</v>
      </c>
      <c r="H1222" s="1" t="s">
        <v>15</v>
      </c>
      <c r="I1222" s="6" cm="1">
        <f t="array" ref="I1222">GetLatitude(D1222)</f>
        <v>555102746</v>
      </c>
      <c r="J1222" s="1" cm="1">
        <f t="array" ref="J1222">GetLongitude(D1222)</f>
        <v>113792784</v>
      </c>
      <c r="K1222" s="1">
        <f t="shared" si="58"/>
        <v>55.510274600000002</v>
      </c>
      <c r="L1222" s="1">
        <f t="shared" si="59"/>
        <v>11.3792784</v>
      </c>
    </row>
    <row r="1223" spans="1:12" ht="16" x14ac:dyDescent="0.2">
      <c r="A1223" s="1">
        <v>1222</v>
      </c>
      <c r="B1223" s="1" t="s">
        <v>3626</v>
      </c>
      <c r="C1223" s="1" t="s">
        <v>3682</v>
      </c>
      <c r="D1223" s="1" t="str">
        <f t="shared" si="57"/>
        <v>Kalundborg KommuneLerchenborg 1</v>
      </c>
      <c r="E1223" s="1" t="s">
        <v>3683</v>
      </c>
      <c r="F1223" s="1" t="s">
        <v>3684</v>
      </c>
      <c r="G1223" s="1">
        <v>1918</v>
      </c>
      <c r="H1223" s="1" t="s">
        <v>3685</v>
      </c>
      <c r="I1223" s="6" cm="1">
        <f t="array" ref="I1223">GetLatitude(D1223)</f>
        <v>556536550</v>
      </c>
      <c r="J1223" s="1" cm="1">
        <f t="array" ref="J1223">GetLongitude(D1223)</f>
        <v>110797750</v>
      </c>
      <c r="K1223" s="1">
        <f t="shared" si="58"/>
        <v>55.653655000000001</v>
      </c>
      <c r="L1223" s="1">
        <f t="shared" si="59"/>
        <v>11.079775</v>
      </c>
    </row>
    <row r="1224" spans="1:12" ht="16" x14ac:dyDescent="0.2">
      <c r="A1224" s="1">
        <v>1223</v>
      </c>
      <c r="B1224" s="1" t="s">
        <v>3626</v>
      </c>
      <c r="C1224" s="1" t="s">
        <v>3686</v>
      </c>
      <c r="D1224" s="1" t="str">
        <f t="shared" si="57"/>
        <v>Kalundborg KommuneLindegade 1</v>
      </c>
      <c r="E1224" s="1" t="s">
        <v>3687</v>
      </c>
      <c r="F1224" s="1" t="s">
        <v>3688</v>
      </c>
      <c r="G1224" s="1">
        <v>1918</v>
      </c>
      <c r="H1224" s="1" t="s">
        <v>11</v>
      </c>
      <c r="I1224" s="6" cm="1">
        <f t="array" ref="I1224">GetLatitude(D1224)</f>
        <v>556809350</v>
      </c>
      <c r="J1224" s="1" cm="1">
        <f t="array" ref="J1224">GetLongitude(D1224)</f>
        <v>110870290</v>
      </c>
      <c r="K1224" s="1">
        <f t="shared" si="58"/>
        <v>55.680934999999998</v>
      </c>
      <c r="L1224" s="1">
        <f t="shared" si="59"/>
        <v>11.087028999999999</v>
      </c>
    </row>
    <row r="1225" spans="1:12" ht="16" x14ac:dyDescent="0.2">
      <c r="A1225" s="1">
        <v>1224</v>
      </c>
      <c r="B1225" s="1" t="s">
        <v>3626</v>
      </c>
      <c r="C1225" s="1" t="s">
        <v>3689</v>
      </c>
      <c r="D1225" s="1" t="str">
        <f t="shared" si="57"/>
        <v>Kalundborg KommuneLindegade 3</v>
      </c>
      <c r="E1225" s="1" t="s">
        <v>3690</v>
      </c>
      <c r="F1225" s="1" t="s">
        <v>3691</v>
      </c>
      <c r="G1225" s="1">
        <v>1918</v>
      </c>
      <c r="H1225" s="1" t="s">
        <v>11</v>
      </c>
      <c r="I1225" s="6" cm="1">
        <f t="array" ref="I1225">GetLatitude(D1225)</f>
        <v>556809534</v>
      </c>
      <c r="J1225" s="1" cm="1">
        <f t="array" ref="J1225">GetLongitude(D1225)</f>
        <v>110867847</v>
      </c>
      <c r="K1225" s="1">
        <f t="shared" si="58"/>
        <v>55.6809534</v>
      </c>
      <c r="L1225" s="1">
        <f t="shared" si="59"/>
        <v>11.086784700000001</v>
      </c>
    </row>
    <row r="1226" spans="1:12" ht="16" x14ac:dyDescent="0.2">
      <c r="A1226" s="1">
        <v>1225</v>
      </c>
      <c r="B1226" s="1" t="s">
        <v>3626</v>
      </c>
      <c r="C1226" s="1" t="s">
        <v>3692</v>
      </c>
      <c r="D1226" s="1" t="str">
        <f t="shared" si="57"/>
        <v>Kalundborg KommuneLindegade 6</v>
      </c>
      <c r="E1226" s="1" t="s">
        <v>180</v>
      </c>
      <c r="F1226" s="1" t="s">
        <v>3693</v>
      </c>
      <c r="G1226" s="1">
        <v>1919</v>
      </c>
      <c r="H1226" s="1" t="s">
        <v>11</v>
      </c>
      <c r="I1226" s="6" cm="1">
        <f t="array" ref="I1226">GetLatitude(D1226)</f>
        <v>556811114</v>
      </c>
      <c r="J1226" s="1" cm="1">
        <f t="array" ref="J1226">GetLongitude(D1226)</f>
        <v>110869796</v>
      </c>
      <c r="K1226" s="1">
        <f t="shared" si="58"/>
        <v>55.681111399999999</v>
      </c>
      <c r="L1226" s="1">
        <f t="shared" si="59"/>
        <v>11.086979599999999</v>
      </c>
    </row>
    <row r="1227" spans="1:12" ht="16" x14ac:dyDescent="0.2">
      <c r="A1227" s="1">
        <v>1226</v>
      </c>
      <c r="B1227" s="1" t="s">
        <v>3626</v>
      </c>
      <c r="C1227" s="1" t="s">
        <v>3694</v>
      </c>
      <c r="D1227" s="1" t="str">
        <f t="shared" si="57"/>
        <v>Kalundborg KommuneMastrupvej 4 A</v>
      </c>
      <c r="E1227" s="1" t="s">
        <v>3695</v>
      </c>
      <c r="F1227" s="1" t="s">
        <v>3696</v>
      </c>
      <c r="G1227" s="1">
        <v>1983</v>
      </c>
      <c r="H1227" s="1" t="s">
        <v>15</v>
      </c>
      <c r="I1227" s="6" cm="1">
        <f t="array" ref="I1227">GetLatitude(D1227)</f>
        <v>558818131</v>
      </c>
      <c r="J1227" s="1" cm="1">
        <f t="array" ref="J1227">GetLongitude(D1227)</f>
        <v>111431020</v>
      </c>
      <c r="K1227" s="1">
        <f t="shared" si="58"/>
        <v>55.881813100000002</v>
      </c>
      <c r="L1227" s="1">
        <f t="shared" si="59"/>
        <v>11.143102000000001</v>
      </c>
    </row>
    <row r="1228" spans="1:12" ht="16" x14ac:dyDescent="0.2">
      <c r="A1228" s="1">
        <v>1227</v>
      </c>
      <c r="B1228" s="1" t="s">
        <v>3626</v>
      </c>
      <c r="C1228" s="1" t="s">
        <v>3697</v>
      </c>
      <c r="D1228" s="1" t="str">
        <f t="shared" si="57"/>
        <v>Kalundborg KommuneMøllestræde 2</v>
      </c>
      <c r="E1228" s="1" t="s">
        <v>3698</v>
      </c>
      <c r="F1228" s="1" t="s">
        <v>3699</v>
      </c>
      <c r="G1228" s="1">
        <v>1984</v>
      </c>
      <c r="H1228" s="1" t="s">
        <v>11</v>
      </c>
      <c r="I1228" s="6" cm="1">
        <f t="array" ref="I1228">GetLatitude(D1228)</f>
        <v>556811191</v>
      </c>
      <c r="J1228" s="1" cm="1">
        <f t="array" ref="J1228">GetLongitude(D1228)</f>
        <v>110877372</v>
      </c>
      <c r="K1228" s="1">
        <f t="shared" si="58"/>
        <v>55.681119099999997</v>
      </c>
      <c r="L1228" s="1">
        <f t="shared" si="59"/>
        <v>11.087737199999999</v>
      </c>
    </row>
    <row r="1229" spans="1:12" ht="16" x14ac:dyDescent="0.2">
      <c r="A1229" s="1">
        <v>1228</v>
      </c>
      <c r="B1229" s="1" t="s">
        <v>3626</v>
      </c>
      <c r="C1229" s="1" t="s">
        <v>3700</v>
      </c>
      <c r="D1229" s="1" t="str">
        <f t="shared" si="57"/>
        <v>Kalundborg KommunePræstegade 14</v>
      </c>
      <c r="E1229" s="1" t="s">
        <v>2511</v>
      </c>
      <c r="F1229" s="1" t="s">
        <v>3701</v>
      </c>
      <c r="G1229" s="1">
        <v>1954</v>
      </c>
      <c r="H1229" s="1" t="s">
        <v>11</v>
      </c>
      <c r="I1229" s="6" cm="1">
        <f t="array" ref="I1229">GetLatitude(D1229)</f>
        <v>556802680</v>
      </c>
      <c r="J1229" s="1" cm="1">
        <f t="array" ref="J1229">GetLongitude(D1229)</f>
        <v>110812966</v>
      </c>
      <c r="K1229" s="1">
        <f t="shared" si="58"/>
        <v>55.680267999999998</v>
      </c>
      <c r="L1229" s="1">
        <f t="shared" si="59"/>
        <v>11.0812966</v>
      </c>
    </row>
    <row r="1230" spans="1:12" ht="16" x14ac:dyDescent="0.2">
      <c r="A1230" s="1">
        <v>1229</v>
      </c>
      <c r="B1230" s="1" t="s">
        <v>3626</v>
      </c>
      <c r="C1230" s="1" t="s">
        <v>3702</v>
      </c>
      <c r="D1230" s="1" t="str">
        <f t="shared" si="57"/>
        <v>Kalundborg KommunePræstegade 18</v>
      </c>
      <c r="E1230" s="1" t="s">
        <v>3703</v>
      </c>
      <c r="F1230" s="1" t="s">
        <v>3704</v>
      </c>
      <c r="G1230" s="1">
        <v>1954</v>
      </c>
      <c r="H1230" s="1" t="s">
        <v>11</v>
      </c>
      <c r="I1230" s="6" cm="1">
        <f t="array" ref="I1230">GetLatitude(D1230)</f>
        <v>556803729</v>
      </c>
      <c r="J1230" s="1" cm="1">
        <f t="array" ref="J1230">GetLongitude(D1230)</f>
        <v>110807994</v>
      </c>
      <c r="K1230" s="1">
        <f t="shared" si="58"/>
        <v>55.680372900000002</v>
      </c>
      <c r="L1230" s="1">
        <f t="shared" si="59"/>
        <v>11.0807994</v>
      </c>
    </row>
    <row r="1231" spans="1:12" ht="16" x14ac:dyDescent="0.2">
      <c r="A1231" s="1">
        <v>1230</v>
      </c>
      <c r="B1231" s="1" t="s">
        <v>3626</v>
      </c>
      <c r="C1231" s="1" t="s">
        <v>832</v>
      </c>
      <c r="D1231" s="1" t="str">
        <f t="shared" si="57"/>
        <v>Kalundborg KommunePræstegade 23</v>
      </c>
      <c r="E1231" s="1" t="s">
        <v>3705</v>
      </c>
      <c r="F1231" s="1" t="s">
        <v>3706</v>
      </c>
      <c r="G1231" s="1">
        <v>1918</v>
      </c>
      <c r="H1231" s="1" t="s">
        <v>15</v>
      </c>
      <c r="I1231" s="6" cm="1">
        <f t="array" ref="I1231">GetLatitude(D1231)</f>
        <v>556801852</v>
      </c>
      <c r="J1231" s="1" cm="1">
        <f t="array" ref="J1231">GetLongitude(D1231)</f>
        <v>110815859</v>
      </c>
      <c r="K1231" s="1">
        <f t="shared" si="58"/>
        <v>55.680185199999997</v>
      </c>
      <c r="L1231" s="1">
        <f t="shared" si="59"/>
        <v>11.0815859</v>
      </c>
    </row>
    <row r="1232" spans="1:12" ht="16" x14ac:dyDescent="0.2">
      <c r="A1232" s="1">
        <v>1231</v>
      </c>
      <c r="B1232" s="1" t="s">
        <v>3626</v>
      </c>
      <c r="C1232" s="1" t="s">
        <v>3707</v>
      </c>
      <c r="D1232" s="1" t="str">
        <f t="shared" si="57"/>
        <v>Kalundborg KommuneSankt Jørgensbjerg 1</v>
      </c>
      <c r="E1232" s="1" t="s">
        <v>3708</v>
      </c>
      <c r="F1232" s="1" t="s">
        <v>3709</v>
      </c>
      <c r="G1232" s="1">
        <v>1918</v>
      </c>
      <c r="H1232" s="1" t="s">
        <v>15</v>
      </c>
      <c r="I1232" s="6" cm="1">
        <f t="array" ref="I1232">GetLatitude(D1232)</f>
        <v>556803853</v>
      </c>
      <c r="J1232" s="1" cm="1">
        <f t="array" ref="J1232">GetLongitude(D1232)</f>
        <v>110967377</v>
      </c>
      <c r="K1232" s="1">
        <f t="shared" si="58"/>
        <v>55.680385299999998</v>
      </c>
      <c r="L1232" s="1">
        <f t="shared" si="59"/>
        <v>11.0967377</v>
      </c>
    </row>
    <row r="1233" spans="1:12" ht="16" x14ac:dyDescent="0.2">
      <c r="A1233" s="1">
        <v>1232</v>
      </c>
      <c r="B1233" s="1" t="s">
        <v>3626</v>
      </c>
      <c r="C1233" s="1" t="s">
        <v>3710</v>
      </c>
      <c r="D1233" s="1" t="str">
        <f t="shared" si="57"/>
        <v>Kalundborg KommuneSelchausdalvej 4</v>
      </c>
      <c r="E1233" s="1" t="s">
        <v>3711</v>
      </c>
      <c r="F1233" s="1" t="s">
        <v>3712</v>
      </c>
      <c r="G1233" s="1">
        <v>1978</v>
      </c>
      <c r="H1233" s="1" t="s">
        <v>15</v>
      </c>
      <c r="I1233" s="6" cm="1">
        <f t="array" ref="I1233">GetLatitude(D1233)</f>
        <v>555840747</v>
      </c>
      <c r="J1233" s="1" cm="1">
        <f t="array" ref="J1233">GetLongitude(D1233)</f>
        <v>113270098</v>
      </c>
      <c r="K1233" s="1">
        <f t="shared" si="58"/>
        <v>55.584074700000002</v>
      </c>
      <c r="L1233" s="1">
        <f t="shared" si="59"/>
        <v>11.327009800000001</v>
      </c>
    </row>
    <row r="1234" spans="1:12" ht="16" x14ac:dyDescent="0.2">
      <c r="A1234" s="1">
        <v>1233</v>
      </c>
      <c r="B1234" s="1" t="s">
        <v>3626</v>
      </c>
      <c r="C1234" s="1" t="s">
        <v>3713</v>
      </c>
      <c r="D1234" s="1" t="str">
        <f t="shared" si="57"/>
        <v>Kalundborg KommuneSkansevej 10</v>
      </c>
      <c r="E1234" s="1" t="s">
        <v>3714</v>
      </c>
      <c r="F1234" s="1" t="s">
        <v>3715</v>
      </c>
      <c r="G1234" s="1">
        <v>1987</v>
      </c>
      <c r="H1234" s="1" t="s">
        <v>15</v>
      </c>
      <c r="I1234" s="6" cm="1">
        <f t="array" ref="I1234">GetLatitude(D1234)</f>
        <v>556864290</v>
      </c>
      <c r="J1234" s="1" cm="1">
        <f t="array" ref="J1234">GetLongitude(D1234)</f>
        <v>110891880</v>
      </c>
      <c r="K1234" s="1">
        <f t="shared" si="58"/>
        <v>55.686428999999997</v>
      </c>
      <c r="L1234" s="1">
        <f t="shared" si="59"/>
        <v>11.089188</v>
      </c>
    </row>
    <row r="1235" spans="1:12" ht="16" x14ac:dyDescent="0.2">
      <c r="A1235" s="1">
        <v>1234</v>
      </c>
      <c r="B1235" s="1" t="s">
        <v>3626</v>
      </c>
      <c r="C1235" s="1" t="s">
        <v>3716</v>
      </c>
      <c r="D1235" s="1" t="str">
        <f t="shared" si="57"/>
        <v>Kalundborg KommuneSkansevej 11</v>
      </c>
      <c r="E1235" s="1" t="s">
        <v>3717</v>
      </c>
      <c r="F1235" s="1" t="s">
        <v>3718</v>
      </c>
      <c r="G1235" s="1">
        <v>1982</v>
      </c>
      <c r="H1235" s="1" t="s">
        <v>11</v>
      </c>
      <c r="I1235" s="6" cm="1">
        <f t="array" ref="I1235">GetLatitude(D1235)</f>
        <v>558596800</v>
      </c>
      <c r="J1235" s="1" cm="1">
        <f t="array" ref="J1235">GetLongitude(D1235)</f>
        <v>112118540</v>
      </c>
      <c r="K1235" s="1">
        <f t="shared" si="58"/>
        <v>55.859679999999997</v>
      </c>
      <c r="L1235" s="1">
        <f t="shared" si="59"/>
        <v>11.211854000000001</v>
      </c>
    </row>
    <row r="1236" spans="1:12" ht="16" x14ac:dyDescent="0.2">
      <c r="A1236" s="1">
        <v>1235</v>
      </c>
      <c r="B1236" s="1" t="s">
        <v>3626</v>
      </c>
      <c r="C1236" s="1" t="s">
        <v>3719</v>
      </c>
      <c r="D1236" s="1" t="str">
        <f t="shared" si="57"/>
        <v>Kalundborg KommuneSkansevej 4</v>
      </c>
      <c r="E1236" s="1" t="s">
        <v>3720</v>
      </c>
      <c r="F1236" s="1" t="s">
        <v>3721</v>
      </c>
      <c r="G1236" s="1">
        <v>1950</v>
      </c>
      <c r="H1236" s="1" t="s">
        <v>15</v>
      </c>
      <c r="I1236" s="6" cm="1">
        <f t="array" ref="I1236">GetLatitude(D1236)</f>
        <v>558660290</v>
      </c>
      <c r="J1236" s="1" cm="1">
        <f t="array" ref="J1236">GetLongitude(D1236)</f>
        <v>111927951</v>
      </c>
      <c r="K1236" s="1">
        <f t="shared" si="58"/>
        <v>55.866028999999997</v>
      </c>
      <c r="L1236" s="1">
        <f t="shared" si="59"/>
        <v>11.1927951</v>
      </c>
    </row>
    <row r="1237" spans="1:12" ht="16" x14ac:dyDescent="0.2">
      <c r="A1237" s="1">
        <v>1236</v>
      </c>
      <c r="B1237" s="1" t="s">
        <v>3626</v>
      </c>
      <c r="C1237" s="1" t="s">
        <v>3722</v>
      </c>
      <c r="D1237" s="1" t="str">
        <f t="shared" si="57"/>
        <v>Kalundborg KommuneStrandvejen 38</v>
      </c>
      <c r="E1237" s="1" t="s">
        <v>3723</v>
      </c>
      <c r="F1237" s="1" t="s">
        <v>3724</v>
      </c>
      <c r="G1237" s="1">
        <v>1969</v>
      </c>
      <c r="H1237" s="1" t="s">
        <v>11</v>
      </c>
      <c r="I1237" s="6" cm="1">
        <f t="array" ref="I1237">GetLatitude(D1237)</f>
        <v>555260540</v>
      </c>
      <c r="J1237" s="1" cm="1">
        <f t="array" ref="J1237">GetLongitude(D1237)</f>
        <v>111114580</v>
      </c>
      <c r="K1237" s="1">
        <f t="shared" si="58"/>
        <v>55.526054000000002</v>
      </c>
      <c r="L1237" s="1">
        <f t="shared" si="59"/>
        <v>11.111458000000001</v>
      </c>
    </row>
    <row r="1238" spans="1:12" ht="16" x14ac:dyDescent="0.2">
      <c r="A1238" s="1">
        <v>1237</v>
      </c>
      <c r="B1238" s="1" t="s">
        <v>3626</v>
      </c>
      <c r="C1238" s="1" t="s">
        <v>3725</v>
      </c>
      <c r="D1238" s="1" t="str">
        <f t="shared" si="57"/>
        <v>Kalundborg KommuneStrandvejen 52</v>
      </c>
      <c r="E1238" s="1" t="s">
        <v>3726</v>
      </c>
      <c r="F1238" s="1" t="s">
        <v>3727</v>
      </c>
      <c r="G1238" s="1">
        <v>1983</v>
      </c>
      <c r="H1238" s="1" t="s">
        <v>15</v>
      </c>
      <c r="I1238" s="6" cm="1">
        <f t="array" ref="I1238">GetLatitude(D1238)</f>
        <v>555248835</v>
      </c>
      <c r="J1238" s="1" cm="1">
        <f t="array" ref="J1238">GetLongitude(D1238)</f>
        <v>111102628</v>
      </c>
      <c r="K1238" s="1">
        <f t="shared" si="58"/>
        <v>55.524883500000001</v>
      </c>
      <c r="L1238" s="1">
        <f t="shared" si="59"/>
        <v>11.110262799999999</v>
      </c>
    </row>
    <row r="1239" spans="1:12" ht="16" x14ac:dyDescent="0.2">
      <c r="A1239" s="1">
        <v>1238</v>
      </c>
      <c r="B1239" s="1" t="s">
        <v>3626</v>
      </c>
      <c r="C1239" s="1" t="s">
        <v>3728</v>
      </c>
      <c r="D1239" s="1" t="str">
        <f t="shared" si="57"/>
        <v>Kalundborg Kommune Svallerup Bygade 3A</v>
      </c>
      <c r="E1239" s="1" t="s">
        <v>3729</v>
      </c>
      <c r="F1239" s="1" t="s">
        <v>3730</v>
      </c>
      <c r="G1239" s="1">
        <v>1964</v>
      </c>
      <c r="H1239" s="1" t="s">
        <v>11</v>
      </c>
      <c r="I1239" s="6" cm="1">
        <f t="array" ref="I1239">GetLatitude(D1239)</f>
        <v>556062495</v>
      </c>
      <c r="J1239" s="1" cm="1">
        <f t="array" ref="J1239">GetLongitude(D1239)</f>
        <v>111788184</v>
      </c>
      <c r="K1239" s="1">
        <f t="shared" si="58"/>
        <v>55.606249499999997</v>
      </c>
      <c r="L1239" s="1">
        <f t="shared" si="59"/>
        <v>11.178818400000001</v>
      </c>
    </row>
    <row r="1240" spans="1:12" ht="16" x14ac:dyDescent="0.2">
      <c r="A1240" s="1">
        <v>1239</v>
      </c>
      <c r="B1240" s="1" t="s">
        <v>3626</v>
      </c>
      <c r="C1240" s="1" t="s">
        <v>3731</v>
      </c>
      <c r="D1240" s="1" t="str">
        <f t="shared" si="57"/>
        <v>Kalundborg KommuneTorvet 12</v>
      </c>
      <c r="E1240" s="1" t="s">
        <v>3732</v>
      </c>
      <c r="F1240" s="1" t="s">
        <v>3733</v>
      </c>
      <c r="G1240" s="1">
        <v>1918</v>
      </c>
      <c r="H1240" s="1" t="s">
        <v>3734</v>
      </c>
      <c r="I1240" s="6" cm="1">
        <f t="array" ref="I1240">GetLatitude(D1240)</f>
        <v>556864290</v>
      </c>
      <c r="J1240" s="1" cm="1">
        <f t="array" ref="J1240">GetLongitude(D1240)</f>
        <v>110891880</v>
      </c>
      <c r="K1240" s="1">
        <f t="shared" si="58"/>
        <v>55.686428999999997</v>
      </c>
      <c r="L1240" s="1">
        <f t="shared" si="59"/>
        <v>11.089188</v>
      </c>
    </row>
    <row r="1241" spans="1:12" ht="16" x14ac:dyDescent="0.2">
      <c r="A1241" s="1">
        <v>1240</v>
      </c>
      <c r="B1241" s="1" t="s">
        <v>3626</v>
      </c>
      <c r="C1241" s="1" t="s">
        <v>997</v>
      </c>
      <c r="D1241" s="1" t="str">
        <f t="shared" si="57"/>
        <v>Kalundborg KommuneØstergade 4</v>
      </c>
      <c r="E1241" s="1" t="s">
        <v>3735</v>
      </c>
      <c r="F1241" s="1" t="s">
        <v>3736</v>
      </c>
      <c r="G1241" s="1">
        <v>2012</v>
      </c>
      <c r="H1241" s="1" t="s">
        <v>15</v>
      </c>
      <c r="I1241" s="6" cm="1">
        <f t="array" ref="I1241">GetLatitude(D1241)</f>
        <v>556221049</v>
      </c>
      <c r="J1241" s="1" cm="1">
        <f t="array" ref="J1241">GetLongitude(D1241)</f>
        <v>112308375</v>
      </c>
      <c r="K1241" s="1">
        <f t="shared" si="58"/>
        <v>55.622104899999997</v>
      </c>
      <c r="L1241" s="1">
        <f t="shared" si="59"/>
        <v>11.2308375</v>
      </c>
    </row>
    <row r="1242" spans="1:12" ht="16" x14ac:dyDescent="0.2">
      <c r="A1242" s="1">
        <v>1241</v>
      </c>
      <c r="B1242" s="1" t="s">
        <v>3626</v>
      </c>
      <c r="C1242" s="1" t="s">
        <v>3737</v>
      </c>
      <c r="D1242" s="1" t="str">
        <f t="shared" si="57"/>
        <v>Kalundborg KommuneAagaardsvej 11 og 11 B-C</v>
      </c>
      <c r="E1242" s="1" t="s">
        <v>3738</v>
      </c>
      <c r="F1242" s="1" t="s">
        <v>3739</v>
      </c>
      <c r="G1242" s="1">
        <v>1945</v>
      </c>
      <c r="H1242" s="1" t="s">
        <v>11</v>
      </c>
      <c r="I1242" s="6" cm="1">
        <f t="array" ref="I1242">GetLatitude(D1242)</f>
        <v>555590230</v>
      </c>
      <c r="J1242" s="1" cm="1">
        <f t="array" ref="J1242">GetLongitude(D1242)</f>
        <v>112111960</v>
      </c>
      <c r="K1242" s="1">
        <f t="shared" si="58"/>
        <v>55.559023000000003</v>
      </c>
      <c r="L1242" s="1">
        <f t="shared" si="59"/>
        <v>11.211195999999999</v>
      </c>
    </row>
    <row r="1243" spans="1:12" ht="16" x14ac:dyDescent="0.2">
      <c r="A1243" s="1">
        <v>1242</v>
      </c>
      <c r="B1243" s="1" t="s">
        <v>3740</v>
      </c>
      <c r="C1243" s="1" t="s">
        <v>3741</v>
      </c>
      <c r="D1243" s="1" t="str">
        <f t="shared" si="57"/>
        <v>Kerteminde KommuneBogensøvej 306</v>
      </c>
      <c r="E1243" s="1" t="s">
        <v>3742</v>
      </c>
      <c r="F1243" s="1" t="s">
        <v>3743</v>
      </c>
      <c r="G1243" s="1">
        <v>1990</v>
      </c>
      <c r="H1243" s="1" t="s">
        <v>11</v>
      </c>
      <c r="I1243" s="6" cm="1">
        <f t="array" ref="I1243">GetLatitude(D1243)</f>
        <v>555377853</v>
      </c>
      <c r="J1243" s="1" cm="1">
        <f t="array" ref="J1243">GetLongitude(D1243)</f>
        <v>106321967</v>
      </c>
      <c r="K1243" s="1">
        <f t="shared" si="58"/>
        <v>55.537785300000003</v>
      </c>
      <c r="L1243" s="1">
        <f t="shared" si="59"/>
        <v>10.6321967</v>
      </c>
    </row>
    <row r="1244" spans="1:12" ht="16" x14ac:dyDescent="0.2">
      <c r="A1244" s="1">
        <v>1243</v>
      </c>
      <c r="B1244" s="1" t="s">
        <v>3740</v>
      </c>
      <c r="C1244" s="1" t="s">
        <v>3744</v>
      </c>
      <c r="D1244" s="1" t="str">
        <f t="shared" si="57"/>
        <v>Kerteminde KommuneBøgebjergvej 445</v>
      </c>
      <c r="E1244" s="1" t="s">
        <v>3745</v>
      </c>
      <c r="F1244" s="1" t="s">
        <v>3746</v>
      </c>
      <c r="G1244" s="1">
        <v>1950</v>
      </c>
      <c r="H1244" s="1" t="s">
        <v>15</v>
      </c>
      <c r="I1244" s="6" cm="1">
        <f t="array" ref="I1244">GetLatitude(D1244)</f>
        <v>555429487</v>
      </c>
      <c r="J1244" s="1" cm="1">
        <f t="array" ref="J1244">GetLongitude(D1244)</f>
        <v>106876598</v>
      </c>
      <c r="K1244" s="1">
        <f t="shared" si="58"/>
        <v>55.542948699999997</v>
      </c>
      <c r="L1244" s="1">
        <f t="shared" si="59"/>
        <v>10.6876598</v>
      </c>
    </row>
    <row r="1245" spans="1:12" ht="16" x14ac:dyDescent="0.2">
      <c r="A1245" s="1">
        <v>1244</v>
      </c>
      <c r="B1245" s="1" t="s">
        <v>3740</v>
      </c>
      <c r="C1245" s="1" t="s">
        <v>3747</v>
      </c>
      <c r="D1245" s="1" t="str">
        <f t="shared" si="57"/>
        <v>Kerteminde KommuneFynshovedvej 322</v>
      </c>
      <c r="E1245" s="1" t="s">
        <v>3748</v>
      </c>
      <c r="F1245" s="1" t="s">
        <v>3749</v>
      </c>
      <c r="G1245" s="1">
        <v>1945</v>
      </c>
      <c r="H1245" s="1" t="s">
        <v>15</v>
      </c>
      <c r="I1245" s="6" cm="1">
        <f t="array" ref="I1245">GetLatitude(D1245)</f>
        <v>555187004</v>
      </c>
      <c r="J1245" s="1" cm="1">
        <f t="array" ref="J1245">GetLongitude(D1245)</f>
        <v>106574937</v>
      </c>
      <c r="K1245" s="1">
        <f t="shared" si="58"/>
        <v>55.5187004</v>
      </c>
      <c r="L1245" s="1">
        <f t="shared" si="59"/>
        <v>10.6574937</v>
      </c>
    </row>
    <row r="1246" spans="1:12" ht="16" x14ac:dyDescent="0.2">
      <c r="A1246" s="1">
        <v>1245</v>
      </c>
      <c r="B1246" s="1" t="s">
        <v>3740</v>
      </c>
      <c r="C1246" s="1" t="s">
        <v>3750</v>
      </c>
      <c r="D1246" s="1" t="str">
        <f t="shared" si="57"/>
        <v>Kerteminde KommuneFynshovedvej 417</v>
      </c>
      <c r="E1246" s="1" t="s">
        <v>3751</v>
      </c>
      <c r="F1246" s="1" t="s">
        <v>3752</v>
      </c>
      <c r="G1246" s="1">
        <v>1950</v>
      </c>
      <c r="H1246" s="1" t="s">
        <v>15</v>
      </c>
      <c r="I1246" s="6" cm="1">
        <f t="array" ref="I1246">GetLatitude(D1246)</f>
        <v>555344082</v>
      </c>
      <c r="J1246" s="1" cm="1">
        <f t="array" ref="J1246">GetLongitude(D1246)</f>
        <v>106469831</v>
      </c>
      <c r="K1246" s="1">
        <f t="shared" si="58"/>
        <v>55.534408200000001</v>
      </c>
      <c r="L1246" s="1">
        <f t="shared" si="59"/>
        <v>10.6469831</v>
      </c>
    </row>
    <row r="1247" spans="1:12" ht="16" x14ac:dyDescent="0.2">
      <c r="A1247" s="1">
        <v>1246</v>
      </c>
      <c r="B1247" s="1" t="s">
        <v>3740</v>
      </c>
      <c r="C1247" s="1" t="s">
        <v>3753</v>
      </c>
      <c r="D1247" s="1" t="str">
        <f t="shared" si="57"/>
        <v>Kerteminde KommuneHverringevej 206</v>
      </c>
      <c r="E1247" s="1" t="s">
        <v>3754</v>
      </c>
      <c r="F1247" s="1" t="s">
        <v>3755</v>
      </c>
      <c r="G1247" s="1">
        <v>1918</v>
      </c>
      <c r="H1247" s="1" t="s">
        <v>3756</v>
      </c>
      <c r="I1247" s="6" cm="1">
        <f t="array" ref="I1247">GetLatitude(D1247)</f>
        <v>554798821</v>
      </c>
      <c r="J1247" s="1" cm="1">
        <f t="array" ref="J1247">GetLongitude(D1247)</f>
        <v>106994498</v>
      </c>
      <c r="K1247" s="1">
        <f t="shared" si="58"/>
        <v>55.479882099999998</v>
      </c>
      <c r="L1247" s="1">
        <f t="shared" si="59"/>
        <v>10.6994498</v>
      </c>
    </row>
    <row r="1248" spans="1:12" ht="16" x14ac:dyDescent="0.2">
      <c r="A1248" s="1">
        <v>1247</v>
      </c>
      <c r="B1248" s="1" t="s">
        <v>3740</v>
      </c>
      <c r="C1248" s="1" t="s">
        <v>3757</v>
      </c>
      <c r="D1248" s="1" t="str">
        <f t="shared" si="57"/>
        <v>Kerteminde KommuneKertemindevejen 23</v>
      </c>
      <c r="E1248" s="1" t="s">
        <v>3758</v>
      </c>
      <c r="F1248" s="1" t="s">
        <v>3759</v>
      </c>
      <c r="G1248" s="1">
        <v>1996</v>
      </c>
      <c r="H1248" s="1" t="s">
        <v>15</v>
      </c>
      <c r="I1248" s="6" cm="1">
        <f t="array" ref="I1248">GetLatitude(D1248)</f>
        <v>553928474</v>
      </c>
      <c r="J1248" s="1" cm="1">
        <f t="array" ref="J1248">GetLongitude(D1248)</f>
        <v>105454695</v>
      </c>
      <c r="K1248" s="1">
        <f t="shared" si="58"/>
        <v>55.392847400000001</v>
      </c>
      <c r="L1248" s="1">
        <f t="shared" si="59"/>
        <v>10.545469499999999</v>
      </c>
    </row>
    <row r="1249" spans="1:12" ht="16" x14ac:dyDescent="0.2">
      <c r="A1249" s="1">
        <v>1248</v>
      </c>
      <c r="B1249" s="1" t="s">
        <v>3740</v>
      </c>
      <c r="C1249" s="1" t="s">
        <v>3760</v>
      </c>
      <c r="D1249" s="1" t="str">
        <f t="shared" si="57"/>
        <v>Kerteminde KommuneKølstrup Bygade 25 A og B</v>
      </c>
      <c r="E1249" s="1" t="s">
        <v>3761</v>
      </c>
      <c r="F1249" s="1" t="s">
        <v>3762</v>
      </c>
      <c r="G1249" s="1">
        <v>1945</v>
      </c>
      <c r="H1249" s="1" t="s">
        <v>15</v>
      </c>
      <c r="I1249" s="6" cm="1">
        <f t="array" ref="I1249">GetLatitude(D1249)</f>
        <v>554253290</v>
      </c>
      <c r="J1249" s="1" cm="1">
        <f t="array" ref="J1249">GetLongitude(D1249)</f>
        <v>105835950</v>
      </c>
      <c r="K1249" s="1">
        <f t="shared" si="58"/>
        <v>55.425328999999998</v>
      </c>
      <c r="L1249" s="1">
        <f t="shared" si="59"/>
        <v>10.583595000000001</v>
      </c>
    </row>
    <row r="1250" spans="1:12" ht="16" x14ac:dyDescent="0.2">
      <c r="A1250" s="1">
        <v>1249</v>
      </c>
      <c r="B1250" s="1" t="s">
        <v>3740</v>
      </c>
      <c r="C1250" s="1" t="s">
        <v>3763</v>
      </c>
      <c r="D1250" s="1" t="str">
        <f t="shared" si="57"/>
        <v>Kerteminde KommuneLangegade 12 og Strandgade 9</v>
      </c>
      <c r="E1250" s="1" t="s">
        <v>3764</v>
      </c>
      <c r="F1250" s="1" t="s">
        <v>3765</v>
      </c>
      <c r="G1250" s="1">
        <v>1919</v>
      </c>
      <c r="H1250" s="1" t="s">
        <v>11</v>
      </c>
      <c r="I1250" s="6" cm="1">
        <f t="array" ref="I1250">GetLatitude(D1250)</f>
        <v>554499824</v>
      </c>
      <c r="J1250" s="1" cm="1">
        <f t="array" ref="J1250">GetLongitude(D1250)</f>
        <v>106580096</v>
      </c>
      <c r="K1250" s="1">
        <f t="shared" si="58"/>
        <v>55.449982400000003</v>
      </c>
      <c r="L1250" s="1">
        <f t="shared" si="59"/>
        <v>10.6580096</v>
      </c>
    </row>
    <row r="1251" spans="1:12" ht="16" x14ac:dyDescent="0.2">
      <c r="A1251" s="1">
        <v>1250</v>
      </c>
      <c r="B1251" s="1" t="s">
        <v>3740</v>
      </c>
      <c r="C1251" s="1" t="s">
        <v>3766</v>
      </c>
      <c r="D1251" s="1" t="str">
        <f t="shared" si="57"/>
        <v>Kerteminde KommuneLangegade 5-7, Vestergade 1 A-B, Sønderstræde</v>
      </c>
      <c r="E1251" s="1" t="s">
        <v>3767</v>
      </c>
      <c r="F1251" s="1" t="s">
        <v>3768</v>
      </c>
      <c r="G1251" s="1">
        <v>1985</v>
      </c>
      <c r="H1251" s="1" t="s">
        <v>11</v>
      </c>
      <c r="I1251" s="6" cm="1">
        <f t="array" ref="I1251">GetLatitude(D1251)</f>
        <v>553966505</v>
      </c>
      <c r="J1251" s="1" cm="1">
        <f t="array" ref="J1251">GetLongitude(D1251)</f>
        <v>103891421</v>
      </c>
      <c r="K1251" s="1">
        <f t="shared" si="58"/>
        <v>55.3966505</v>
      </c>
      <c r="L1251" s="1">
        <f t="shared" si="59"/>
        <v>10.389142100000001</v>
      </c>
    </row>
    <row r="1252" spans="1:12" ht="16" x14ac:dyDescent="0.2">
      <c r="A1252" s="1">
        <v>1251</v>
      </c>
      <c r="B1252" s="1" t="s">
        <v>3740</v>
      </c>
      <c r="C1252" s="1" t="s">
        <v>3769</v>
      </c>
      <c r="D1252" s="1" t="str">
        <f t="shared" si="57"/>
        <v>Kerteminde KommuneLangegade 8</v>
      </c>
      <c r="E1252" s="1" t="s">
        <v>3770</v>
      </c>
      <c r="F1252" s="1" t="s">
        <v>3771</v>
      </c>
      <c r="G1252" s="1">
        <v>1918</v>
      </c>
      <c r="H1252" s="1" t="s">
        <v>11</v>
      </c>
      <c r="I1252" s="6" cm="1">
        <f t="array" ref="I1252">GetLatitude(D1252)</f>
        <v>554496567</v>
      </c>
      <c r="J1252" s="1" cm="1">
        <f t="array" ref="J1252">GetLongitude(D1252)</f>
        <v>106579624</v>
      </c>
      <c r="K1252" s="1">
        <f t="shared" si="58"/>
        <v>55.449656699999998</v>
      </c>
      <c r="L1252" s="1">
        <f t="shared" si="59"/>
        <v>10.657962400000001</v>
      </c>
    </row>
    <row r="1253" spans="1:12" ht="16" x14ac:dyDescent="0.2">
      <c r="A1253" s="1">
        <v>1252</v>
      </c>
      <c r="B1253" s="1" t="s">
        <v>3740</v>
      </c>
      <c r="C1253" s="1" t="s">
        <v>3772</v>
      </c>
      <c r="D1253" s="1" t="str">
        <f t="shared" si="57"/>
        <v>Kerteminde KommuneLundsgårdsvej 6</v>
      </c>
      <c r="E1253" s="1" t="s">
        <v>3773</v>
      </c>
      <c r="F1253" s="1" t="s">
        <v>3774</v>
      </c>
      <c r="G1253" s="1">
        <v>1918</v>
      </c>
      <c r="H1253" s="1" t="s">
        <v>15</v>
      </c>
      <c r="I1253" s="6" cm="1">
        <f t="array" ref="I1253">GetLatitude(D1253)</f>
        <v>554406728</v>
      </c>
      <c r="J1253" s="1" cm="1">
        <f t="array" ref="J1253">GetLongitude(D1253)</f>
        <v>106731888</v>
      </c>
      <c r="K1253" s="1">
        <f t="shared" si="58"/>
        <v>55.440672800000002</v>
      </c>
      <c r="L1253" s="1">
        <f t="shared" si="59"/>
        <v>10.6731888</v>
      </c>
    </row>
    <row r="1254" spans="1:12" ht="16" x14ac:dyDescent="0.2">
      <c r="A1254" s="1">
        <v>1253</v>
      </c>
      <c r="B1254" s="1" t="s">
        <v>3740</v>
      </c>
      <c r="C1254" s="1" t="s">
        <v>3775</v>
      </c>
      <c r="D1254" s="1" t="str">
        <f t="shared" si="57"/>
        <v>Kerteminde KommuneMesinge Bygade 57</v>
      </c>
      <c r="E1254" s="1" t="s">
        <v>3776</v>
      </c>
      <c r="F1254" s="1" t="s">
        <v>3777</v>
      </c>
      <c r="G1254" s="1">
        <v>1918</v>
      </c>
      <c r="H1254" s="1" t="s">
        <v>11</v>
      </c>
      <c r="I1254" s="6" cm="1">
        <f t="array" ref="I1254">GetLatitude(D1254)</f>
        <v>555015327</v>
      </c>
      <c r="J1254" s="1" cm="1">
        <f t="array" ref="J1254">GetLongitude(D1254)</f>
        <v>106489895</v>
      </c>
      <c r="K1254" s="1">
        <f t="shared" si="58"/>
        <v>55.501532699999998</v>
      </c>
      <c r="L1254" s="1">
        <f t="shared" si="59"/>
        <v>10.648989500000001</v>
      </c>
    </row>
    <row r="1255" spans="1:12" ht="16" x14ac:dyDescent="0.2">
      <c r="A1255" s="1">
        <v>1254</v>
      </c>
      <c r="B1255" s="1" t="s">
        <v>3740</v>
      </c>
      <c r="C1255" s="1" t="s">
        <v>3778</v>
      </c>
      <c r="D1255" s="1" t="str">
        <f t="shared" si="57"/>
        <v>Kerteminde KommuneMøllebakken 9</v>
      </c>
      <c r="E1255" s="1" t="s">
        <v>3779</v>
      </c>
      <c r="F1255" s="1" t="s">
        <v>3780</v>
      </c>
      <c r="G1255" s="1">
        <v>1959</v>
      </c>
      <c r="H1255" s="1" t="s">
        <v>11</v>
      </c>
      <c r="I1255" s="6" cm="1">
        <f t="array" ref="I1255">GetLatitude(D1255)</f>
        <v>554559680</v>
      </c>
      <c r="J1255" s="1" cm="1">
        <f t="array" ref="J1255">GetLongitude(D1255)</f>
        <v>106607804</v>
      </c>
      <c r="K1255" s="1">
        <f t="shared" si="58"/>
        <v>55.455967999999999</v>
      </c>
      <c r="L1255" s="1">
        <f t="shared" si="59"/>
        <v>10.6607804</v>
      </c>
    </row>
    <row r="1256" spans="1:12" ht="16" x14ac:dyDescent="0.2">
      <c r="A1256" s="1">
        <v>1255</v>
      </c>
      <c r="B1256" s="1" t="s">
        <v>3740</v>
      </c>
      <c r="C1256" s="1" t="s">
        <v>3781</v>
      </c>
      <c r="D1256" s="1" t="str">
        <f t="shared" si="57"/>
        <v>Kerteminde KommuneMåle Bygade 23</v>
      </c>
      <c r="E1256" s="1" t="s">
        <v>3782</v>
      </c>
      <c r="F1256" s="1" t="s">
        <v>3783</v>
      </c>
      <c r="G1256" s="1">
        <v>2003</v>
      </c>
      <c r="H1256" s="1" t="s">
        <v>15</v>
      </c>
      <c r="I1256" s="6" cm="1">
        <f t="array" ref="I1256">GetLatitude(D1256)</f>
        <v>554912267</v>
      </c>
      <c r="J1256" s="1" cm="1">
        <f t="array" ref="J1256">GetLongitude(D1256)</f>
        <v>107192637</v>
      </c>
      <c r="K1256" s="1">
        <f t="shared" si="58"/>
        <v>55.491226699999999</v>
      </c>
      <c r="L1256" s="1">
        <f t="shared" si="59"/>
        <v>10.719263700000001</v>
      </c>
    </row>
    <row r="1257" spans="1:12" ht="16" x14ac:dyDescent="0.2">
      <c r="A1257" s="1">
        <v>1256</v>
      </c>
      <c r="B1257" s="1" t="s">
        <v>3740</v>
      </c>
      <c r="C1257" s="1" t="s">
        <v>3784</v>
      </c>
      <c r="D1257" s="1" t="str">
        <f t="shared" si="57"/>
        <v>Kerteminde KommunePræstegade 5B-C, Muusgården 1-11 (ulige nr) og 2-24 (lige nr)</v>
      </c>
      <c r="E1257" s="1" t="s">
        <v>3785</v>
      </c>
      <c r="F1257" s="1" t="s">
        <v>3786</v>
      </c>
      <c r="G1257" s="1">
        <v>1919</v>
      </c>
      <c r="H1257" s="1" t="s">
        <v>3204</v>
      </c>
      <c r="I1257" s="6" cm="1">
        <f t="array" ref="I1257">GetLatitude(D1257)</f>
        <v>554495773</v>
      </c>
      <c r="J1257" s="1" cm="1">
        <f t="array" ref="J1257">GetLongitude(D1257)</f>
        <v>106560188</v>
      </c>
      <c r="K1257" s="1">
        <f t="shared" si="58"/>
        <v>55.449577300000001</v>
      </c>
      <c r="L1257" s="1">
        <f t="shared" si="59"/>
        <v>10.6560188</v>
      </c>
    </row>
    <row r="1258" spans="1:12" ht="16" x14ac:dyDescent="0.2">
      <c r="A1258" s="1">
        <v>1257</v>
      </c>
      <c r="B1258" s="1" t="s">
        <v>3740</v>
      </c>
      <c r="C1258" s="1" t="s">
        <v>3787</v>
      </c>
      <c r="D1258" s="1" t="str">
        <f t="shared" si="57"/>
        <v>Kerteminde KommuneRevninge Bygade 119</v>
      </c>
      <c r="E1258" s="1" t="s">
        <v>3788</v>
      </c>
      <c r="F1258" s="1" t="s">
        <v>3789</v>
      </c>
      <c r="G1258" s="1">
        <v>1946</v>
      </c>
      <c r="H1258" s="1" t="s">
        <v>99</v>
      </c>
      <c r="I1258" s="6" cm="1">
        <f t="array" ref="I1258">GetLatitude(D1258)</f>
        <v>554160990</v>
      </c>
      <c r="J1258" s="1" cm="1">
        <f t="array" ref="J1258">GetLongitude(D1258)</f>
        <v>106607841</v>
      </c>
      <c r="K1258" s="1">
        <f t="shared" si="58"/>
        <v>55.416099000000003</v>
      </c>
      <c r="L1258" s="1">
        <f t="shared" si="59"/>
        <v>10.660784100000001</v>
      </c>
    </row>
    <row r="1259" spans="1:12" ht="16" x14ac:dyDescent="0.2">
      <c r="A1259" s="1">
        <v>1258</v>
      </c>
      <c r="B1259" s="1" t="s">
        <v>3740</v>
      </c>
      <c r="C1259" s="1" t="s">
        <v>3790</v>
      </c>
      <c r="D1259" s="1" t="str">
        <f t="shared" si="57"/>
        <v>Kerteminde KommuneRødsbækvej 36</v>
      </c>
      <c r="E1259" s="1" t="s">
        <v>3791</v>
      </c>
      <c r="F1259" s="1" t="s">
        <v>3792</v>
      </c>
      <c r="G1259" s="1">
        <v>1959</v>
      </c>
      <c r="H1259" s="1" t="s">
        <v>11</v>
      </c>
      <c r="I1259" s="6" cm="1">
        <f t="array" ref="I1259">GetLatitude(D1259)</f>
        <v>554558820</v>
      </c>
      <c r="J1259" s="1" cm="1">
        <f t="array" ref="J1259">GetLongitude(D1259)</f>
        <v>106549790</v>
      </c>
      <c r="K1259" s="1">
        <f t="shared" si="58"/>
        <v>55.455882000000003</v>
      </c>
      <c r="L1259" s="1">
        <f t="shared" si="59"/>
        <v>10.654979000000001</v>
      </c>
    </row>
    <row r="1260" spans="1:12" ht="16" x14ac:dyDescent="0.2">
      <c r="A1260" s="1">
        <v>1259</v>
      </c>
      <c r="B1260" s="1" t="s">
        <v>3740</v>
      </c>
      <c r="C1260" s="1" t="s">
        <v>3793</v>
      </c>
      <c r="D1260" s="1" t="str">
        <f t="shared" si="57"/>
        <v>Kerteminde KommuneRønninge Bygade 26</v>
      </c>
      <c r="E1260" s="1" t="s">
        <v>3794</v>
      </c>
      <c r="F1260" s="1" t="s">
        <v>3795</v>
      </c>
      <c r="G1260" s="1">
        <v>1990</v>
      </c>
      <c r="H1260" s="1" t="s">
        <v>11</v>
      </c>
      <c r="I1260" s="6" cm="1">
        <f t="array" ref="I1260">GetLatitude(D1260)</f>
        <v>553437266</v>
      </c>
      <c r="J1260" s="1" cm="1">
        <f t="array" ref="J1260">GetLongitude(D1260)</f>
        <v>106074190</v>
      </c>
      <c r="K1260" s="1">
        <f t="shared" si="58"/>
        <v>55.343726599999997</v>
      </c>
      <c r="L1260" s="1">
        <f t="shared" si="59"/>
        <v>10.607419</v>
      </c>
    </row>
    <row r="1261" spans="1:12" ht="16" x14ac:dyDescent="0.2">
      <c r="A1261" s="1">
        <v>1260</v>
      </c>
      <c r="B1261" s="1" t="s">
        <v>3740</v>
      </c>
      <c r="C1261" s="1" t="s">
        <v>3796</v>
      </c>
      <c r="D1261" s="1" t="str">
        <f t="shared" si="57"/>
        <v>Kerteminde KommuneSarumgårdsvej 4 og 6</v>
      </c>
      <c r="E1261" s="1" t="s">
        <v>3797</v>
      </c>
      <c r="F1261" s="1" t="s">
        <v>3798</v>
      </c>
      <c r="G1261" s="1">
        <v>1939</v>
      </c>
      <c r="H1261" s="1" t="s">
        <v>15</v>
      </c>
      <c r="I1261" s="6" cm="1">
        <f t="array" ref="I1261">GetLatitude(D1261)</f>
        <v>554146804</v>
      </c>
      <c r="J1261" s="1" cm="1">
        <f t="array" ref="J1261">GetLongitude(D1261)</f>
        <v>105104773</v>
      </c>
      <c r="K1261" s="1">
        <f t="shared" si="58"/>
        <v>55.414680400000002</v>
      </c>
      <c r="L1261" s="1">
        <f t="shared" si="59"/>
        <v>10.5104773</v>
      </c>
    </row>
    <row r="1262" spans="1:12" ht="16" x14ac:dyDescent="0.2">
      <c r="A1262" s="1">
        <v>1261</v>
      </c>
      <c r="B1262" s="1" t="s">
        <v>3740</v>
      </c>
      <c r="C1262" s="1" t="s">
        <v>3799</v>
      </c>
      <c r="D1262" s="1" t="str">
        <f t="shared" si="57"/>
        <v>Kerteminde KommuneSkovsbovej 155</v>
      </c>
      <c r="E1262" s="1" t="s">
        <v>3800</v>
      </c>
      <c r="F1262" s="1" t="s">
        <v>3801</v>
      </c>
      <c r="G1262" s="1">
        <v>1918</v>
      </c>
      <c r="H1262" s="1" t="s">
        <v>15</v>
      </c>
      <c r="I1262" s="6" cm="1">
        <f t="array" ref="I1262">GetLatitude(D1262)</f>
        <v>553932673</v>
      </c>
      <c r="J1262" s="1" cm="1">
        <f t="array" ref="J1262">GetLongitude(D1262)</f>
        <v>106321096</v>
      </c>
      <c r="K1262" s="1">
        <f t="shared" si="58"/>
        <v>55.393267299999998</v>
      </c>
      <c r="L1262" s="1">
        <f t="shared" si="59"/>
        <v>10.6321096</v>
      </c>
    </row>
    <row r="1263" spans="1:12" ht="16" x14ac:dyDescent="0.2">
      <c r="A1263" s="1">
        <v>1262</v>
      </c>
      <c r="B1263" s="1" t="s">
        <v>3740</v>
      </c>
      <c r="C1263" s="1" t="s">
        <v>3802</v>
      </c>
      <c r="D1263" s="1" t="str">
        <f t="shared" si="57"/>
        <v>Kerteminde KommuneStrandgade 3</v>
      </c>
      <c r="E1263" s="1" t="s">
        <v>3803</v>
      </c>
      <c r="F1263" s="1" t="s">
        <v>3804</v>
      </c>
      <c r="G1263" s="1">
        <v>1919</v>
      </c>
      <c r="H1263" s="1" t="s">
        <v>15</v>
      </c>
      <c r="I1263" s="6" cm="1">
        <f t="array" ref="I1263">GetLatitude(D1263)</f>
        <v>554489498</v>
      </c>
      <c r="J1263" s="1" cm="1">
        <f t="array" ref="J1263">GetLongitude(D1263)</f>
        <v>106584586</v>
      </c>
      <c r="K1263" s="1">
        <f t="shared" si="58"/>
        <v>55.448949800000001</v>
      </c>
      <c r="L1263" s="1">
        <f t="shared" si="59"/>
        <v>10.658458599999999</v>
      </c>
    </row>
    <row r="1264" spans="1:12" ht="16" x14ac:dyDescent="0.2">
      <c r="A1264" s="1">
        <v>1263</v>
      </c>
      <c r="B1264" s="1" t="s">
        <v>3740</v>
      </c>
      <c r="C1264" s="1" t="s">
        <v>3805</v>
      </c>
      <c r="D1264" s="1" t="str">
        <f t="shared" si="57"/>
        <v>Kerteminde KommuneSøgårdsvej 10</v>
      </c>
      <c r="E1264" s="1" t="s">
        <v>3806</v>
      </c>
      <c r="F1264" s="1" t="s">
        <v>3807</v>
      </c>
      <c r="G1264" s="1">
        <v>1918</v>
      </c>
      <c r="H1264" s="1" t="s">
        <v>3808</v>
      </c>
      <c r="I1264" s="6" cm="1">
        <f t="array" ref="I1264">GetLatitude(D1264)</f>
        <v>553379426</v>
      </c>
      <c r="J1264" s="1" cm="1">
        <f t="array" ref="J1264">GetLongitude(D1264)</f>
        <v>106310037</v>
      </c>
      <c r="K1264" s="1">
        <f t="shared" si="58"/>
        <v>55.337942599999998</v>
      </c>
      <c r="L1264" s="1">
        <f t="shared" si="59"/>
        <v>10.631003700000001</v>
      </c>
    </row>
    <row r="1265" spans="1:12" ht="16" x14ac:dyDescent="0.2">
      <c r="A1265" s="1">
        <v>1264</v>
      </c>
      <c r="B1265" s="1" t="s">
        <v>3740</v>
      </c>
      <c r="C1265" s="1" t="s">
        <v>3809</v>
      </c>
      <c r="D1265" s="1" t="str">
        <f t="shared" si="57"/>
        <v>Kerteminde KommuneUlriksholmvej 96</v>
      </c>
      <c r="E1265" s="1" t="s">
        <v>3810</v>
      </c>
      <c r="F1265" s="1" t="s">
        <v>3811</v>
      </c>
      <c r="G1265" s="1">
        <v>1918</v>
      </c>
      <c r="H1265" s="1" t="s">
        <v>15</v>
      </c>
      <c r="I1265" s="6" cm="1">
        <f t="array" ref="I1265">GetLatitude(D1265)</f>
        <v>554230090</v>
      </c>
      <c r="J1265" s="1" cm="1">
        <f t="array" ref="J1265">GetLongitude(D1265)</f>
        <v>105697240</v>
      </c>
      <c r="K1265" s="1">
        <f t="shared" si="58"/>
        <v>55.423009</v>
      </c>
      <c r="L1265" s="1">
        <f t="shared" si="59"/>
        <v>10.569724000000001</v>
      </c>
    </row>
    <row r="1266" spans="1:12" ht="16" x14ac:dyDescent="0.2">
      <c r="A1266" s="1">
        <v>1265</v>
      </c>
      <c r="B1266" s="1" t="s">
        <v>3740</v>
      </c>
      <c r="C1266" s="1" t="s">
        <v>3812</v>
      </c>
      <c r="D1266" s="1" t="str">
        <f t="shared" si="57"/>
        <v>Kerteminde KommuneVestergade 12 A</v>
      </c>
      <c r="E1266" s="1" t="s">
        <v>3813</v>
      </c>
      <c r="F1266" s="1" t="s">
        <v>3814</v>
      </c>
      <c r="G1266" s="1">
        <v>1986</v>
      </c>
      <c r="H1266" s="1" t="s">
        <v>11</v>
      </c>
      <c r="I1266" s="6" cm="1">
        <f t="array" ref="I1266">GetLatitude(D1266)</f>
        <v>554490217</v>
      </c>
      <c r="J1266" s="1" cm="1">
        <f t="array" ref="J1266">GetLongitude(D1266)</f>
        <v>106561461</v>
      </c>
      <c r="K1266" s="1">
        <f t="shared" si="58"/>
        <v>55.449021700000003</v>
      </c>
      <c r="L1266" s="1">
        <f t="shared" si="59"/>
        <v>10.656146100000001</v>
      </c>
    </row>
    <row r="1267" spans="1:12" ht="16" x14ac:dyDescent="0.2">
      <c r="A1267" s="1">
        <v>1266</v>
      </c>
      <c r="B1267" s="1" t="s">
        <v>3740</v>
      </c>
      <c r="C1267" s="1" t="s">
        <v>3815</v>
      </c>
      <c r="D1267" s="1" t="str">
        <f t="shared" si="57"/>
        <v>Kerteminde KommuneViby Bygade 12</v>
      </c>
      <c r="E1267" s="1" t="s">
        <v>3816</v>
      </c>
      <c r="F1267" s="1" t="s">
        <v>3817</v>
      </c>
      <c r="G1267" s="1">
        <v>1990</v>
      </c>
      <c r="H1267" s="1" t="s">
        <v>3818</v>
      </c>
      <c r="I1267" s="6" cm="1">
        <f t="array" ref="I1267">GetLatitude(D1267)</f>
        <v>554976298</v>
      </c>
      <c r="J1267" s="1" cm="1">
        <f t="array" ref="J1267">GetLongitude(D1267)</f>
        <v>106864034</v>
      </c>
      <c r="K1267" s="1">
        <f t="shared" si="58"/>
        <v>55.497629799999999</v>
      </c>
      <c r="L1267" s="1">
        <f t="shared" si="59"/>
        <v>10.6864034</v>
      </c>
    </row>
    <row r="1268" spans="1:12" ht="16" x14ac:dyDescent="0.2">
      <c r="A1268" s="1">
        <v>1267</v>
      </c>
      <c r="B1268" s="1" t="s">
        <v>3740</v>
      </c>
      <c r="C1268" s="1" t="s">
        <v>3819</v>
      </c>
      <c r="D1268" s="1" t="str">
        <f t="shared" si="57"/>
        <v>Kerteminde KommuneViby Bygade 13</v>
      </c>
      <c r="E1268" s="1" t="s">
        <v>3820</v>
      </c>
      <c r="F1268" s="1" t="s">
        <v>3821</v>
      </c>
      <c r="G1268" s="1">
        <v>1989</v>
      </c>
      <c r="H1268" s="1" t="s">
        <v>11</v>
      </c>
      <c r="I1268" s="6" cm="1">
        <f t="array" ref="I1268">GetLatitude(D1268)</f>
        <v>554976534</v>
      </c>
      <c r="J1268" s="1" cm="1">
        <f t="array" ref="J1268">GetLongitude(D1268)</f>
        <v>106859007</v>
      </c>
      <c r="K1268" s="1">
        <f t="shared" si="58"/>
        <v>55.497653399999997</v>
      </c>
      <c r="L1268" s="1">
        <f t="shared" si="59"/>
        <v>10.685900699999999</v>
      </c>
    </row>
    <row r="1269" spans="1:12" ht="16" x14ac:dyDescent="0.2">
      <c r="A1269" s="1">
        <v>1268</v>
      </c>
      <c r="B1269" s="1" t="s">
        <v>3740</v>
      </c>
      <c r="C1269" s="1" t="s">
        <v>3822</v>
      </c>
      <c r="D1269" s="1" t="str">
        <f t="shared" si="57"/>
        <v>Kerteminde KommuneViby Bygade 16</v>
      </c>
      <c r="E1269" s="1" t="s">
        <v>3823</v>
      </c>
      <c r="F1269" s="1" t="s">
        <v>3824</v>
      </c>
      <c r="G1269" s="1">
        <v>1990</v>
      </c>
      <c r="H1269" s="1" t="s">
        <v>3825</v>
      </c>
      <c r="I1269" s="6" cm="1">
        <f t="array" ref="I1269">GetLatitude(D1269)</f>
        <v>554979063</v>
      </c>
      <c r="J1269" s="1" cm="1">
        <f t="array" ref="J1269">GetLongitude(D1269)</f>
        <v>106863724</v>
      </c>
      <c r="K1269" s="1">
        <f t="shared" si="58"/>
        <v>55.497906299999997</v>
      </c>
      <c r="L1269" s="1">
        <f t="shared" si="59"/>
        <v>10.6863724</v>
      </c>
    </row>
    <row r="1270" spans="1:12" ht="16" x14ac:dyDescent="0.2">
      <c r="A1270" s="1">
        <v>1269</v>
      </c>
      <c r="B1270" s="1" t="s">
        <v>3740</v>
      </c>
      <c r="C1270" s="1" t="s">
        <v>3826</v>
      </c>
      <c r="D1270" s="1" t="str">
        <f t="shared" si="57"/>
        <v>Kerteminde KommuneViby Bygade 21</v>
      </c>
      <c r="E1270" s="1" t="s">
        <v>3827</v>
      </c>
      <c r="F1270" s="1" t="s">
        <v>3828</v>
      </c>
      <c r="G1270" s="1">
        <v>1978</v>
      </c>
      <c r="H1270" s="1" t="s">
        <v>11</v>
      </c>
      <c r="I1270" s="6" cm="1">
        <f t="array" ref="I1270">GetLatitude(D1270)</f>
        <v>554982966</v>
      </c>
      <c r="J1270" s="1" cm="1">
        <f t="array" ref="J1270">GetLongitude(D1270)</f>
        <v>106862924</v>
      </c>
      <c r="K1270" s="1">
        <f t="shared" si="58"/>
        <v>55.498296600000003</v>
      </c>
      <c r="L1270" s="1">
        <f t="shared" si="59"/>
        <v>10.686292399999999</v>
      </c>
    </row>
    <row r="1271" spans="1:12" ht="16" x14ac:dyDescent="0.2">
      <c r="A1271" s="1">
        <v>1270</v>
      </c>
      <c r="B1271" s="1" t="s">
        <v>3829</v>
      </c>
      <c r="C1271" s="1" t="s">
        <v>3830</v>
      </c>
      <c r="D1271" s="1" t="str">
        <f t="shared" si="57"/>
        <v>Kolding KommuneAlpedalsvej 107 A og 109</v>
      </c>
      <c r="E1271" s="1" t="s">
        <v>3831</v>
      </c>
      <c r="F1271" s="1" t="s">
        <v>3832</v>
      </c>
      <c r="G1271" s="1">
        <v>2001</v>
      </c>
      <c r="H1271" s="1" t="s">
        <v>15</v>
      </c>
      <c r="I1271" s="6" cm="1">
        <f t="array" ref="I1271">GetLatitude(D1271)</f>
        <v>555024744</v>
      </c>
      <c r="J1271" s="1" cm="1">
        <f t="array" ref="J1271">GetLongitude(D1271)</f>
        <v>94243806</v>
      </c>
      <c r="K1271" s="1">
        <f t="shared" si="58"/>
        <v>55.502474399999997</v>
      </c>
      <c r="L1271" s="1">
        <f t="shared" si="59"/>
        <v>9.4243805999999992</v>
      </c>
    </row>
    <row r="1272" spans="1:12" ht="16" x14ac:dyDescent="0.2">
      <c r="A1272" s="1">
        <v>1271</v>
      </c>
      <c r="B1272" s="1" t="s">
        <v>3829</v>
      </c>
      <c r="C1272" s="1" t="s">
        <v>3833</v>
      </c>
      <c r="D1272" s="1" t="str">
        <f t="shared" si="57"/>
        <v>Kolding KommuneAxeltorv 2 A</v>
      </c>
      <c r="E1272" s="1" t="s">
        <v>3834</v>
      </c>
      <c r="F1272" s="1" t="s">
        <v>3835</v>
      </c>
      <c r="G1272" s="1">
        <v>1918</v>
      </c>
      <c r="H1272" s="1" t="s">
        <v>15</v>
      </c>
      <c r="I1272" s="6" cm="1">
        <f t="array" ref="I1272">GetLatitude(D1272)</f>
        <v>554377799</v>
      </c>
      <c r="J1272" s="1" cm="1">
        <f t="array" ref="J1272">GetLongitude(D1272)</f>
        <v>94460005</v>
      </c>
      <c r="K1272" s="1">
        <f t="shared" si="58"/>
        <v>55.437779900000002</v>
      </c>
      <c r="L1272" s="1">
        <f t="shared" si="59"/>
        <v>9.4460005000000002</v>
      </c>
    </row>
    <row r="1273" spans="1:12" ht="16" x14ac:dyDescent="0.2">
      <c r="A1273" s="1">
        <v>1272</v>
      </c>
      <c r="B1273" s="1" t="s">
        <v>3829</v>
      </c>
      <c r="C1273" s="1" t="s">
        <v>3836</v>
      </c>
      <c r="D1273" s="1" t="str">
        <f t="shared" si="57"/>
        <v>Kolding KommuneBramdrupskovvej 20</v>
      </c>
      <c r="E1273" s="1" t="s">
        <v>3837</v>
      </c>
      <c r="F1273" s="1" t="s">
        <v>3838</v>
      </c>
      <c r="G1273" s="1">
        <v>1950</v>
      </c>
      <c r="H1273" s="1" t="s">
        <v>11</v>
      </c>
      <c r="I1273" s="6" cm="1">
        <f t="array" ref="I1273">GetLatitude(D1273)</f>
        <v>555075097</v>
      </c>
      <c r="J1273" s="1" cm="1">
        <f t="array" ref="J1273">GetLongitude(D1273)</f>
        <v>95028575</v>
      </c>
      <c r="K1273" s="1">
        <f t="shared" si="58"/>
        <v>55.5075097</v>
      </c>
      <c r="L1273" s="1">
        <f t="shared" si="59"/>
        <v>9.5028574999999993</v>
      </c>
    </row>
    <row r="1274" spans="1:12" ht="16" x14ac:dyDescent="0.2">
      <c r="A1274" s="1">
        <v>1273</v>
      </c>
      <c r="B1274" s="1" t="s">
        <v>3829</v>
      </c>
      <c r="C1274" s="1" t="s">
        <v>3839</v>
      </c>
      <c r="D1274" s="1" t="str">
        <f t="shared" si="57"/>
        <v>Kolding KommuneDelken 8</v>
      </c>
      <c r="E1274" s="1" t="s">
        <v>3840</v>
      </c>
      <c r="F1274" s="1" t="s">
        <v>3841</v>
      </c>
      <c r="G1274" s="1">
        <v>1979</v>
      </c>
      <c r="H1274" s="1" t="s">
        <v>15</v>
      </c>
      <c r="I1274" s="6" cm="1">
        <f t="array" ref="I1274">GetLatitude(D1274)</f>
        <v>554551511</v>
      </c>
      <c r="J1274" s="1" cm="1">
        <f t="array" ref="J1274">GetLongitude(D1274)</f>
        <v>94682383</v>
      </c>
      <c r="K1274" s="1">
        <f t="shared" si="58"/>
        <v>55.455151100000002</v>
      </c>
      <c r="L1274" s="1">
        <f t="shared" si="59"/>
        <v>9.4682382999999994</v>
      </c>
    </row>
    <row r="1275" spans="1:12" ht="16" x14ac:dyDescent="0.2">
      <c r="A1275" s="1">
        <v>1274</v>
      </c>
      <c r="B1275" s="1" t="s">
        <v>3829</v>
      </c>
      <c r="C1275" s="1" t="s">
        <v>3842</v>
      </c>
      <c r="D1275" s="1" t="str">
        <f t="shared" si="57"/>
        <v>Kolding KommuneGammel Kongevej 11</v>
      </c>
      <c r="E1275" s="1" t="s">
        <v>2679</v>
      </c>
      <c r="F1275" s="1" t="s">
        <v>3843</v>
      </c>
      <c r="G1275" s="1">
        <v>1920</v>
      </c>
      <c r="H1275" s="1" t="s">
        <v>11</v>
      </c>
      <c r="I1275" s="6" cm="1">
        <f t="array" ref="I1275">GetLatitude(D1275)</f>
        <v>554979730</v>
      </c>
      <c r="J1275" s="1" cm="1">
        <f t="array" ref="J1275">GetLongitude(D1275)</f>
        <v>94930774</v>
      </c>
      <c r="K1275" s="1">
        <f t="shared" si="58"/>
        <v>55.497973000000002</v>
      </c>
      <c r="L1275" s="1">
        <f t="shared" si="59"/>
        <v>9.4930774000000007</v>
      </c>
    </row>
    <row r="1276" spans="1:12" ht="16" x14ac:dyDescent="0.2">
      <c r="A1276" s="1">
        <v>1275</v>
      </c>
      <c r="B1276" s="1" t="s">
        <v>3829</v>
      </c>
      <c r="C1276" s="1" t="s">
        <v>3844</v>
      </c>
      <c r="D1276" s="1" t="str">
        <f t="shared" si="57"/>
        <v>Kolding KommuneGammel Præstegårdsvej 11</v>
      </c>
      <c r="E1276" s="1" t="s">
        <v>3845</v>
      </c>
      <c r="F1276" s="1" t="s">
        <v>3846</v>
      </c>
      <c r="G1276" s="1">
        <v>1920</v>
      </c>
      <c r="H1276" s="1" t="s">
        <v>11</v>
      </c>
      <c r="I1276" s="6" cm="1">
        <f t="array" ref="I1276">GetLatitude(D1276)</f>
        <v>553518495</v>
      </c>
      <c r="J1276" s="1" cm="1">
        <f t="array" ref="J1276">GetLongitude(D1276)</f>
        <v>94705510</v>
      </c>
      <c r="K1276" s="1">
        <f t="shared" si="58"/>
        <v>55.3518495</v>
      </c>
      <c r="L1276" s="1">
        <f t="shared" si="59"/>
        <v>9.4705510000000004</v>
      </c>
    </row>
    <row r="1277" spans="1:12" ht="16" x14ac:dyDescent="0.2">
      <c r="A1277" s="1">
        <v>1276</v>
      </c>
      <c r="B1277" s="1" t="s">
        <v>3829</v>
      </c>
      <c r="C1277" s="1" t="s">
        <v>3847</v>
      </c>
      <c r="D1277" s="1" t="str">
        <f t="shared" si="57"/>
        <v>Kolding KommuneHelligkorsgade 18</v>
      </c>
      <c r="E1277" s="1" t="s">
        <v>3848</v>
      </c>
      <c r="F1277" s="1" t="s">
        <v>3849</v>
      </c>
      <c r="G1277" s="1">
        <v>1918</v>
      </c>
      <c r="H1277" s="1" t="s">
        <v>15</v>
      </c>
      <c r="I1277" s="6" cm="1">
        <f t="array" ref="I1277">GetLatitude(D1277)</f>
        <v>554889453</v>
      </c>
      <c r="J1277" s="1" cm="1">
        <f t="array" ref="J1277">GetLongitude(D1277)</f>
        <v>94745337</v>
      </c>
      <c r="K1277" s="1">
        <f t="shared" si="58"/>
        <v>55.488945299999997</v>
      </c>
      <c r="L1277" s="1">
        <f t="shared" si="59"/>
        <v>9.4745337000000003</v>
      </c>
    </row>
    <row r="1278" spans="1:12" ht="16" x14ac:dyDescent="0.2">
      <c r="A1278" s="1">
        <v>1277</v>
      </c>
      <c r="B1278" s="1" t="s">
        <v>3829</v>
      </c>
      <c r="C1278" s="1" t="s">
        <v>3850</v>
      </c>
      <c r="D1278" s="1" t="str">
        <f t="shared" si="57"/>
        <v>Kolding KommuneHelligkorsgade 20</v>
      </c>
      <c r="E1278" s="1" t="s">
        <v>3851</v>
      </c>
      <c r="F1278" s="1" t="s">
        <v>3852</v>
      </c>
      <c r="G1278" s="1">
        <v>1918</v>
      </c>
      <c r="H1278" s="1" t="s">
        <v>15</v>
      </c>
      <c r="I1278" s="6" cm="1">
        <f t="array" ref="I1278">GetLatitude(D1278)</f>
        <v>554889595</v>
      </c>
      <c r="J1278" s="1" cm="1">
        <f t="array" ref="J1278">GetLongitude(D1278)</f>
        <v>94749118</v>
      </c>
      <c r="K1278" s="1">
        <f t="shared" si="58"/>
        <v>55.4889595</v>
      </c>
      <c r="L1278" s="1">
        <f t="shared" si="59"/>
        <v>9.4749117999999992</v>
      </c>
    </row>
    <row r="1279" spans="1:12" ht="16" x14ac:dyDescent="0.2">
      <c r="A1279" s="1">
        <v>1278</v>
      </c>
      <c r="B1279" s="1" t="s">
        <v>3829</v>
      </c>
      <c r="C1279" s="1" t="s">
        <v>3853</v>
      </c>
      <c r="D1279" s="1" t="str">
        <f t="shared" si="57"/>
        <v>Kolding KommuneHjarup Byvej 7</v>
      </c>
      <c r="E1279" s="1" t="s">
        <v>3854</v>
      </c>
      <c r="F1279" s="1" t="s">
        <v>3855</v>
      </c>
      <c r="G1279" s="1">
        <v>1950</v>
      </c>
      <c r="H1279" s="1" t="s">
        <v>15</v>
      </c>
      <c r="I1279" s="6" cm="1">
        <f t="array" ref="I1279">GetLatitude(D1279)</f>
        <v>554459183</v>
      </c>
      <c r="J1279" s="1" cm="1">
        <f t="array" ref="J1279">GetLongitude(D1279)</f>
        <v>93594202</v>
      </c>
      <c r="K1279" s="1">
        <f t="shared" si="58"/>
        <v>55.445918300000002</v>
      </c>
      <c r="L1279" s="1">
        <f t="shared" si="59"/>
        <v>9.3594202000000006</v>
      </c>
    </row>
    <row r="1280" spans="1:12" ht="16" x14ac:dyDescent="0.2">
      <c r="A1280" s="1">
        <v>1279</v>
      </c>
      <c r="B1280" s="1" t="s">
        <v>3829</v>
      </c>
      <c r="C1280" s="1" t="s">
        <v>3856</v>
      </c>
      <c r="D1280" s="1" t="str">
        <f t="shared" si="57"/>
        <v>Kolding KommuneHjerndrupvej 36</v>
      </c>
      <c r="E1280" s="1" t="s">
        <v>3857</v>
      </c>
      <c r="F1280" s="1" t="s">
        <v>3858</v>
      </c>
      <c r="G1280" s="1">
        <v>1981</v>
      </c>
      <c r="H1280" s="1" t="s">
        <v>15</v>
      </c>
      <c r="I1280" s="6" cm="1">
        <f t="array" ref="I1280">GetLatitude(D1280)</f>
        <v>553358384</v>
      </c>
      <c r="J1280" s="1" cm="1">
        <f t="array" ref="J1280">GetLongitude(D1280)</f>
        <v>94551515</v>
      </c>
      <c r="K1280" s="1">
        <f t="shared" si="58"/>
        <v>55.3358384</v>
      </c>
      <c r="L1280" s="1">
        <f t="shared" si="59"/>
        <v>9.4551514999999995</v>
      </c>
    </row>
    <row r="1281" spans="1:12" ht="16" x14ac:dyDescent="0.2">
      <c r="A1281" s="1">
        <v>1280</v>
      </c>
      <c r="B1281" s="1" t="s">
        <v>3829</v>
      </c>
      <c r="C1281" s="1" t="s">
        <v>3859</v>
      </c>
      <c r="D1281" s="1" t="str">
        <f t="shared" si="57"/>
        <v>Kolding KommuneHoppesvej 15</v>
      </c>
      <c r="E1281" s="1" t="s">
        <v>3860</v>
      </c>
      <c r="F1281" s="1" t="s">
        <v>3861</v>
      </c>
      <c r="G1281" s="1">
        <v>1987</v>
      </c>
      <c r="H1281" s="1" t="s">
        <v>15</v>
      </c>
      <c r="I1281" s="6" cm="1">
        <f t="array" ref="I1281">GetLatitude(D1281)</f>
        <v>554539766</v>
      </c>
      <c r="J1281" s="1" cm="1">
        <f t="array" ref="J1281">GetLongitude(D1281)</f>
        <v>94718239</v>
      </c>
      <c r="K1281" s="1">
        <f t="shared" si="58"/>
        <v>55.453976599999997</v>
      </c>
      <c r="L1281" s="1">
        <f t="shared" si="59"/>
        <v>9.4718239000000004</v>
      </c>
    </row>
    <row r="1282" spans="1:12" ht="16" x14ac:dyDescent="0.2">
      <c r="A1282" s="1">
        <v>1281</v>
      </c>
      <c r="B1282" s="1" t="s">
        <v>3829</v>
      </c>
      <c r="C1282" s="1" t="s">
        <v>3862</v>
      </c>
      <c r="D1282" s="1" t="str">
        <f t="shared" si="57"/>
        <v>Kolding KommuneHospitalsgade 4</v>
      </c>
      <c r="E1282" s="1" t="s">
        <v>3863</v>
      </c>
      <c r="F1282" s="1" t="s">
        <v>3864</v>
      </c>
      <c r="G1282" s="1">
        <v>1919</v>
      </c>
      <c r="H1282" s="1" t="s">
        <v>15</v>
      </c>
      <c r="I1282" s="6" cm="1">
        <f t="array" ref="I1282">GetLatitude(D1282)</f>
        <v>554938790</v>
      </c>
      <c r="J1282" s="1" cm="1">
        <f t="array" ref="J1282">GetLongitude(D1282)</f>
        <v>94698002</v>
      </c>
      <c r="K1282" s="1">
        <f t="shared" si="58"/>
        <v>55.493879</v>
      </c>
      <c r="L1282" s="1">
        <f t="shared" si="59"/>
        <v>9.4698001999999999</v>
      </c>
    </row>
    <row r="1283" spans="1:12" ht="16" x14ac:dyDescent="0.2">
      <c r="A1283" s="1">
        <v>1282</v>
      </c>
      <c r="B1283" s="1" t="s">
        <v>3829</v>
      </c>
      <c r="C1283" s="1" t="s">
        <v>3865</v>
      </c>
      <c r="D1283" s="1" t="str">
        <f t="shared" ref="D1283:D1346" si="60">B1283&amp;C1283</f>
        <v>Kolding KommuneKirkegårds Allé 4</v>
      </c>
      <c r="E1283" s="1" t="s">
        <v>3866</v>
      </c>
      <c r="F1283" s="1" t="s">
        <v>3867</v>
      </c>
      <c r="G1283" s="1">
        <v>1988</v>
      </c>
      <c r="H1283" s="1" t="s">
        <v>15</v>
      </c>
      <c r="I1283" s="6" cm="1">
        <f t="array" ref="I1283">GetLatitude(D1283)</f>
        <v>553561662</v>
      </c>
      <c r="J1283" s="1" cm="1">
        <f t="array" ref="J1283">GetLongitude(D1283)</f>
        <v>94850903</v>
      </c>
      <c r="K1283" s="1">
        <f t="shared" si="58"/>
        <v>55.356166199999997</v>
      </c>
      <c r="L1283" s="1">
        <f t="shared" si="59"/>
        <v>9.4850902999999995</v>
      </c>
    </row>
    <row r="1284" spans="1:12" ht="16" x14ac:dyDescent="0.2">
      <c r="A1284" s="1">
        <v>1283</v>
      </c>
      <c r="B1284" s="1" t="s">
        <v>3829</v>
      </c>
      <c r="C1284" s="1" t="s">
        <v>3868</v>
      </c>
      <c r="D1284" s="1" t="str">
        <f t="shared" si="60"/>
        <v>Kolding KommuneKirkegårds Allé 6</v>
      </c>
      <c r="E1284" s="1" t="s">
        <v>3869</v>
      </c>
      <c r="F1284" s="1" t="s">
        <v>3870</v>
      </c>
      <c r="G1284" s="1">
        <v>1988</v>
      </c>
      <c r="H1284" s="1" t="s">
        <v>15</v>
      </c>
      <c r="I1284" s="6" cm="1">
        <f t="array" ref="I1284">GetLatitude(D1284)</f>
        <v>553564840</v>
      </c>
      <c r="J1284" s="1" cm="1">
        <f t="array" ref="J1284">GetLongitude(D1284)</f>
        <v>94848860</v>
      </c>
      <c r="K1284" s="1">
        <f t="shared" ref="K1284:K1347" si="61">I1284/10000000</f>
        <v>55.356484000000002</v>
      </c>
      <c r="L1284" s="1">
        <f t="shared" ref="L1284:L1347" si="62">J1284/10000000</f>
        <v>9.4848859999999995</v>
      </c>
    </row>
    <row r="1285" spans="1:12" ht="16" x14ac:dyDescent="0.2">
      <c r="A1285" s="1">
        <v>1284</v>
      </c>
      <c r="B1285" s="1" t="s">
        <v>3829</v>
      </c>
      <c r="C1285" s="1" t="s">
        <v>3871</v>
      </c>
      <c r="D1285" s="1" t="str">
        <f t="shared" si="60"/>
        <v>Kolding KommuneKoldinghus 1 og Staldgården 1</v>
      </c>
      <c r="E1285" s="1" t="s">
        <v>3872</v>
      </c>
      <c r="F1285" s="1" t="s">
        <v>3873</v>
      </c>
      <c r="G1285" s="1">
        <v>1918</v>
      </c>
      <c r="H1285" s="1" t="s">
        <v>15</v>
      </c>
      <c r="I1285" s="6" cm="1">
        <f t="array" ref="I1285">GetLatitude(D1285)</f>
        <v>554913282</v>
      </c>
      <c r="J1285" s="1" cm="1">
        <f t="array" ref="J1285">GetLongitude(D1285)</f>
        <v>94767455</v>
      </c>
      <c r="K1285" s="1">
        <f t="shared" si="61"/>
        <v>55.491328199999998</v>
      </c>
      <c r="L1285" s="1">
        <f t="shared" si="62"/>
        <v>9.4767454999999998</v>
      </c>
    </row>
    <row r="1286" spans="1:12" ht="16" x14ac:dyDescent="0.2">
      <c r="A1286" s="1">
        <v>1285</v>
      </c>
      <c r="B1286" s="1" t="s">
        <v>3829</v>
      </c>
      <c r="C1286" s="1" t="s">
        <v>3874</v>
      </c>
      <c r="D1286" s="1" t="str">
        <f t="shared" si="60"/>
        <v>Kolding KommuneKongensgade 11</v>
      </c>
      <c r="E1286" s="1" t="s">
        <v>3875</v>
      </c>
      <c r="F1286" s="1" t="s">
        <v>609</v>
      </c>
      <c r="G1286" s="1">
        <v>1979</v>
      </c>
      <c r="H1286" s="1" t="s">
        <v>15</v>
      </c>
      <c r="I1286" s="6" cm="1">
        <f t="array" ref="I1286">GetLatitude(D1286)</f>
        <v>554377799</v>
      </c>
      <c r="J1286" s="1" cm="1">
        <f t="array" ref="J1286">GetLongitude(D1286)</f>
        <v>94460005</v>
      </c>
      <c r="K1286" s="1">
        <f t="shared" si="61"/>
        <v>55.437779900000002</v>
      </c>
      <c r="L1286" s="1">
        <f t="shared" si="62"/>
        <v>9.4460005000000002</v>
      </c>
    </row>
    <row r="1287" spans="1:12" ht="16" x14ac:dyDescent="0.2">
      <c r="A1287" s="1">
        <v>1286</v>
      </c>
      <c r="B1287" s="1" t="s">
        <v>3829</v>
      </c>
      <c r="C1287" s="1" t="s">
        <v>3876</v>
      </c>
      <c r="D1287" s="1" t="str">
        <f t="shared" si="60"/>
        <v>Kolding KommuneLindegade 10</v>
      </c>
      <c r="E1287" s="1" t="s">
        <v>3877</v>
      </c>
      <c r="F1287" s="1" t="s">
        <v>3878</v>
      </c>
      <c r="G1287" s="1">
        <v>1945</v>
      </c>
      <c r="H1287" s="1" t="s">
        <v>701</v>
      </c>
      <c r="I1287" s="6" cm="1">
        <f t="array" ref="I1287">GetLatitude(D1287)</f>
        <v>553552938</v>
      </c>
      <c r="J1287" s="1" cm="1">
        <f t="array" ref="J1287">GetLongitude(D1287)</f>
        <v>94792299</v>
      </c>
      <c r="K1287" s="1">
        <f t="shared" si="61"/>
        <v>55.355293799999998</v>
      </c>
      <c r="L1287" s="1">
        <f t="shared" si="62"/>
        <v>9.4792299</v>
      </c>
    </row>
    <row r="1288" spans="1:12" ht="16" x14ac:dyDescent="0.2">
      <c r="A1288" s="1">
        <v>1287</v>
      </c>
      <c r="B1288" s="1" t="s">
        <v>3829</v>
      </c>
      <c r="C1288" s="1" t="s">
        <v>3879</v>
      </c>
      <c r="D1288" s="1" t="str">
        <f t="shared" si="60"/>
        <v>Kolding KommuneLindegade 11 (tidl Lindegade 11-13)</v>
      </c>
      <c r="E1288" s="1" t="s">
        <v>3880</v>
      </c>
      <c r="F1288" s="1" t="s">
        <v>3881</v>
      </c>
      <c r="G1288" s="1">
        <v>1945</v>
      </c>
      <c r="H1288" s="1" t="s">
        <v>15</v>
      </c>
      <c r="I1288" s="6" cm="1">
        <f t="array" ref="I1288">GetLatitude(D1288)</f>
        <v>553554954</v>
      </c>
      <c r="J1288" s="1" cm="1">
        <f t="array" ref="J1288">GetLongitude(D1288)</f>
        <v>94801474</v>
      </c>
      <c r="K1288" s="1">
        <f t="shared" si="61"/>
        <v>55.355495400000002</v>
      </c>
      <c r="L1288" s="1">
        <f t="shared" si="62"/>
        <v>9.4801473999999999</v>
      </c>
    </row>
    <row r="1289" spans="1:12" ht="16" x14ac:dyDescent="0.2">
      <c r="A1289" s="1">
        <v>1288</v>
      </c>
      <c r="B1289" s="1" t="s">
        <v>3829</v>
      </c>
      <c r="C1289" s="1" t="s">
        <v>3882</v>
      </c>
      <c r="D1289" s="1" t="str">
        <f t="shared" si="60"/>
        <v>Kolding KommuneLindegade 12 og 12 B</v>
      </c>
      <c r="E1289" s="1" t="s">
        <v>3883</v>
      </c>
      <c r="F1289" s="1" t="s">
        <v>3884</v>
      </c>
      <c r="G1289" s="1">
        <v>1945</v>
      </c>
      <c r="H1289" s="1" t="s">
        <v>11</v>
      </c>
      <c r="I1289" s="6" cm="1">
        <f t="array" ref="I1289">GetLatitude(D1289)</f>
        <v>553553012</v>
      </c>
      <c r="J1289" s="1" cm="1">
        <f t="array" ref="J1289">GetLongitude(D1289)</f>
        <v>94794088</v>
      </c>
      <c r="K1289" s="1">
        <f t="shared" si="61"/>
        <v>55.3553012</v>
      </c>
      <c r="L1289" s="1">
        <f t="shared" si="62"/>
        <v>9.4794087999999999</v>
      </c>
    </row>
    <row r="1290" spans="1:12" ht="16" x14ac:dyDescent="0.2">
      <c r="A1290" s="1">
        <v>1289</v>
      </c>
      <c r="B1290" s="1" t="s">
        <v>3829</v>
      </c>
      <c r="C1290" s="1" t="s">
        <v>3885</v>
      </c>
      <c r="D1290" s="1" t="str">
        <f t="shared" si="60"/>
        <v>Kolding KommuneLindegade 13 (tidl Lindegade 15)</v>
      </c>
      <c r="E1290" s="1" t="s">
        <v>3886</v>
      </c>
      <c r="F1290" s="1" t="s">
        <v>3887</v>
      </c>
      <c r="G1290" s="1">
        <v>1945</v>
      </c>
      <c r="H1290" s="1" t="s">
        <v>15</v>
      </c>
      <c r="I1290" s="6" cm="1">
        <f t="array" ref="I1290">GetLatitude(D1290)</f>
        <v>553554904</v>
      </c>
      <c r="J1290" s="1" cm="1">
        <f t="array" ref="J1290">GetLongitude(D1290)</f>
        <v>94806392</v>
      </c>
      <c r="K1290" s="1">
        <f t="shared" si="61"/>
        <v>55.355490400000001</v>
      </c>
      <c r="L1290" s="1">
        <f t="shared" si="62"/>
        <v>9.4806392000000006</v>
      </c>
    </row>
    <row r="1291" spans="1:12" ht="16" x14ac:dyDescent="0.2">
      <c r="A1291" s="1">
        <v>1290</v>
      </c>
      <c r="B1291" s="1" t="s">
        <v>3829</v>
      </c>
      <c r="C1291" s="1" t="s">
        <v>3888</v>
      </c>
      <c r="D1291" s="1" t="str">
        <f t="shared" si="60"/>
        <v>Kolding KommuneLindegade 14</v>
      </c>
      <c r="E1291" s="1" t="s">
        <v>3889</v>
      </c>
      <c r="F1291" s="1" t="s">
        <v>3890</v>
      </c>
      <c r="G1291" s="1">
        <v>1945</v>
      </c>
      <c r="H1291" s="1" t="s">
        <v>11</v>
      </c>
      <c r="I1291" s="6" cm="1">
        <f t="array" ref="I1291">GetLatitude(D1291)</f>
        <v>553552837</v>
      </c>
      <c r="J1291" s="1" cm="1">
        <f t="array" ref="J1291">GetLongitude(D1291)</f>
        <v>94796369</v>
      </c>
      <c r="K1291" s="1">
        <f t="shared" si="61"/>
        <v>55.355283700000001</v>
      </c>
      <c r="L1291" s="1">
        <f t="shared" si="62"/>
        <v>9.4796368999999991</v>
      </c>
    </row>
    <row r="1292" spans="1:12" ht="16" x14ac:dyDescent="0.2">
      <c r="A1292" s="1">
        <v>1291</v>
      </c>
      <c r="B1292" s="1" t="s">
        <v>3829</v>
      </c>
      <c r="C1292" s="1" t="s">
        <v>3891</v>
      </c>
      <c r="D1292" s="1" t="str">
        <f t="shared" si="60"/>
        <v>Kolding KommuneLindegade 15 (tidl Kirkepladsen)</v>
      </c>
      <c r="E1292" s="1" t="s">
        <v>3892</v>
      </c>
      <c r="F1292" s="1" t="s">
        <v>3893</v>
      </c>
      <c r="G1292" s="1">
        <v>1922</v>
      </c>
      <c r="H1292" s="1" t="s">
        <v>11</v>
      </c>
      <c r="I1292" s="6" cm="1">
        <f t="array" ref="I1292">GetLatitude(D1292)</f>
        <v>553554904</v>
      </c>
      <c r="J1292" s="1" cm="1">
        <f t="array" ref="J1292">GetLongitude(D1292)</f>
        <v>94806392</v>
      </c>
      <c r="K1292" s="1">
        <f t="shared" si="61"/>
        <v>55.355490400000001</v>
      </c>
      <c r="L1292" s="1">
        <f t="shared" si="62"/>
        <v>9.4806392000000006</v>
      </c>
    </row>
    <row r="1293" spans="1:12" ht="16" x14ac:dyDescent="0.2">
      <c r="A1293" s="1">
        <v>1292</v>
      </c>
      <c r="B1293" s="1" t="s">
        <v>3829</v>
      </c>
      <c r="C1293" s="1" t="s">
        <v>3894</v>
      </c>
      <c r="D1293" s="1" t="str">
        <f t="shared" si="60"/>
        <v>Kolding KommuneLindegade 16</v>
      </c>
      <c r="E1293" s="1" t="s">
        <v>3895</v>
      </c>
      <c r="F1293" s="1" t="s">
        <v>3890</v>
      </c>
      <c r="G1293" s="1">
        <v>1945</v>
      </c>
      <c r="H1293" s="1" t="s">
        <v>99</v>
      </c>
      <c r="I1293" s="6" cm="1">
        <f t="array" ref="I1293">GetLatitude(D1293)</f>
        <v>553552696</v>
      </c>
      <c r="J1293" s="1" cm="1">
        <f t="array" ref="J1293">GetLongitude(D1293)</f>
        <v>94798176</v>
      </c>
      <c r="K1293" s="1">
        <f t="shared" si="61"/>
        <v>55.3552696</v>
      </c>
      <c r="L1293" s="1">
        <f t="shared" si="62"/>
        <v>9.4798176000000005</v>
      </c>
    </row>
    <row r="1294" spans="1:12" ht="16" x14ac:dyDescent="0.2">
      <c r="A1294" s="1">
        <v>1293</v>
      </c>
      <c r="B1294" s="1" t="s">
        <v>3829</v>
      </c>
      <c r="C1294" s="1" t="s">
        <v>3896</v>
      </c>
      <c r="D1294" s="1" t="str">
        <f t="shared" si="60"/>
        <v>Kolding KommuneLindegade 17</v>
      </c>
      <c r="E1294" s="1" t="s">
        <v>3897</v>
      </c>
      <c r="F1294" s="1" t="s">
        <v>3898</v>
      </c>
      <c r="G1294" s="1">
        <v>1920</v>
      </c>
      <c r="H1294" s="1" t="s">
        <v>15</v>
      </c>
      <c r="I1294" s="6" cm="1">
        <f t="array" ref="I1294">GetLatitude(D1294)</f>
        <v>553555811</v>
      </c>
      <c r="J1294" s="1" cm="1">
        <f t="array" ref="J1294">GetLongitude(D1294)</f>
        <v>94819717</v>
      </c>
      <c r="K1294" s="1">
        <f t="shared" si="61"/>
        <v>55.355581100000002</v>
      </c>
      <c r="L1294" s="1">
        <f t="shared" si="62"/>
        <v>9.4819717000000008</v>
      </c>
    </row>
    <row r="1295" spans="1:12" ht="16" x14ac:dyDescent="0.2">
      <c r="A1295" s="1">
        <v>1294</v>
      </c>
      <c r="B1295" s="1" t="s">
        <v>3829</v>
      </c>
      <c r="C1295" s="1" t="s">
        <v>3899</v>
      </c>
      <c r="D1295" s="1" t="str">
        <f t="shared" si="60"/>
        <v>Kolding KommuneLindegade 18</v>
      </c>
      <c r="E1295" s="1" t="s">
        <v>3900</v>
      </c>
      <c r="F1295" s="1" t="s">
        <v>3901</v>
      </c>
      <c r="G1295" s="1">
        <v>1945</v>
      </c>
      <c r="H1295" s="1" t="s">
        <v>11</v>
      </c>
      <c r="I1295" s="6" cm="1">
        <f t="array" ref="I1295">GetLatitude(D1295)</f>
        <v>553553348</v>
      </c>
      <c r="J1295" s="1" cm="1">
        <f t="array" ref="J1295">GetLongitude(D1295)</f>
        <v>94801724</v>
      </c>
      <c r="K1295" s="1">
        <f t="shared" si="61"/>
        <v>55.355334800000001</v>
      </c>
      <c r="L1295" s="1">
        <f t="shared" si="62"/>
        <v>9.4801724000000007</v>
      </c>
    </row>
    <row r="1296" spans="1:12" ht="16" x14ac:dyDescent="0.2">
      <c r="A1296" s="1">
        <v>1295</v>
      </c>
      <c r="B1296" s="1" t="s">
        <v>3829</v>
      </c>
      <c r="C1296" s="1" t="s">
        <v>3902</v>
      </c>
      <c r="D1296" s="1" t="str">
        <f t="shared" si="60"/>
        <v>Kolding KommuneLindegade 19</v>
      </c>
      <c r="E1296" s="1" t="s">
        <v>3903</v>
      </c>
      <c r="F1296" s="1" t="s">
        <v>3904</v>
      </c>
      <c r="G1296" s="1">
        <v>1945</v>
      </c>
      <c r="H1296" s="1" t="s">
        <v>11</v>
      </c>
      <c r="I1296" s="6" cm="1">
        <f t="array" ref="I1296">GetLatitude(D1296)</f>
        <v>553555906</v>
      </c>
      <c r="J1296" s="1" cm="1">
        <f t="array" ref="J1296">GetLongitude(D1296)</f>
        <v>94824084</v>
      </c>
      <c r="K1296" s="1">
        <f t="shared" si="61"/>
        <v>55.355590599999999</v>
      </c>
      <c r="L1296" s="1">
        <f t="shared" si="62"/>
        <v>9.4824084000000006</v>
      </c>
    </row>
    <row r="1297" spans="1:12" ht="16" x14ac:dyDescent="0.2">
      <c r="A1297" s="1">
        <v>1296</v>
      </c>
      <c r="B1297" s="1" t="s">
        <v>3829</v>
      </c>
      <c r="C1297" s="1" t="s">
        <v>3905</v>
      </c>
      <c r="D1297" s="1" t="str">
        <f t="shared" si="60"/>
        <v>Kolding KommuneLindegade 2</v>
      </c>
      <c r="E1297" s="1" t="s">
        <v>3906</v>
      </c>
      <c r="F1297" s="1" t="s">
        <v>3907</v>
      </c>
      <c r="G1297" s="1">
        <v>1945</v>
      </c>
      <c r="H1297" s="1" t="s">
        <v>11</v>
      </c>
      <c r="I1297" s="6" cm="1">
        <f t="array" ref="I1297">GetLatitude(D1297)</f>
        <v>553552576</v>
      </c>
      <c r="J1297" s="1" cm="1">
        <f t="array" ref="J1297">GetLongitude(D1297)</f>
        <v>94780662</v>
      </c>
      <c r="K1297" s="1">
        <f t="shared" si="61"/>
        <v>55.355257600000002</v>
      </c>
      <c r="L1297" s="1">
        <f t="shared" si="62"/>
        <v>9.4780662000000007</v>
      </c>
    </row>
    <row r="1298" spans="1:12" ht="16" x14ac:dyDescent="0.2">
      <c r="A1298" s="1">
        <v>1297</v>
      </c>
      <c r="B1298" s="1" t="s">
        <v>3829</v>
      </c>
      <c r="C1298" s="1" t="s">
        <v>3908</v>
      </c>
      <c r="D1298" s="1" t="str">
        <f t="shared" si="60"/>
        <v>Kolding KommuneLindegade 20</v>
      </c>
      <c r="E1298" s="1" t="s">
        <v>3909</v>
      </c>
      <c r="F1298" s="1" t="s">
        <v>3910</v>
      </c>
      <c r="G1298" s="1">
        <v>1945</v>
      </c>
      <c r="H1298" s="1" t="s">
        <v>11</v>
      </c>
      <c r="I1298" s="6" cm="1">
        <f t="array" ref="I1298">GetLatitude(D1298)</f>
        <v>553553430</v>
      </c>
      <c r="J1298" s="1" cm="1">
        <f t="array" ref="J1298">GetLongitude(D1298)</f>
        <v>94804870</v>
      </c>
      <c r="K1298" s="1">
        <f t="shared" si="61"/>
        <v>55.355342999999998</v>
      </c>
      <c r="L1298" s="1">
        <f t="shared" si="62"/>
        <v>9.4804870000000001</v>
      </c>
    </row>
    <row r="1299" spans="1:12" ht="16" x14ac:dyDescent="0.2">
      <c r="A1299" s="1">
        <v>1298</v>
      </c>
      <c r="B1299" s="1" t="s">
        <v>3829</v>
      </c>
      <c r="C1299" s="1" t="s">
        <v>3911</v>
      </c>
      <c r="D1299" s="1" t="str">
        <f t="shared" si="60"/>
        <v>Kolding KommuneLindegade 21</v>
      </c>
      <c r="E1299" s="1" t="s">
        <v>3912</v>
      </c>
      <c r="F1299" s="1" t="s">
        <v>3913</v>
      </c>
      <c r="G1299" s="1">
        <v>1945</v>
      </c>
      <c r="H1299" s="1" t="s">
        <v>11</v>
      </c>
      <c r="I1299" s="6" cm="1">
        <f t="array" ref="I1299">GetLatitude(D1299)</f>
        <v>553556049</v>
      </c>
      <c r="J1299" s="1" cm="1">
        <f t="array" ref="J1299">GetLongitude(D1299)</f>
        <v>94830635</v>
      </c>
      <c r="K1299" s="1">
        <f t="shared" si="61"/>
        <v>55.355604900000003</v>
      </c>
      <c r="L1299" s="1">
        <f t="shared" si="62"/>
        <v>9.4830635000000001</v>
      </c>
    </row>
    <row r="1300" spans="1:12" ht="16" x14ac:dyDescent="0.2">
      <c r="A1300" s="1">
        <v>1299</v>
      </c>
      <c r="B1300" s="1" t="s">
        <v>3829</v>
      </c>
      <c r="C1300" s="1" t="s">
        <v>3914</v>
      </c>
      <c r="D1300" s="1" t="str">
        <f t="shared" si="60"/>
        <v>Kolding KommuneLindegade 22</v>
      </c>
      <c r="E1300" s="1" t="s">
        <v>3915</v>
      </c>
      <c r="F1300" s="1" t="s">
        <v>3916</v>
      </c>
      <c r="G1300" s="1">
        <v>1945</v>
      </c>
      <c r="H1300" s="1" t="s">
        <v>11</v>
      </c>
      <c r="I1300" s="6" cm="1">
        <f t="array" ref="I1300">GetLatitude(D1300)</f>
        <v>553553420</v>
      </c>
      <c r="J1300" s="1" cm="1">
        <f t="array" ref="J1300">GetLongitude(D1300)</f>
        <v>94806610</v>
      </c>
      <c r="K1300" s="1">
        <f t="shared" si="61"/>
        <v>55.355342</v>
      </c>
      <c r="L1300" s="1">
        <f t="shared" si="62"/>
        <v>9.4806609999999996</v>
      </c>
    </row>
    <row r="1301" spans="1:12" ht="16" x14ac:dyDescent="0.2">
      <c r="A1301" s="1">
        <v>1300</v>
      </c>
      <c r="B1301" s="1" t="s">
        <v>3829</v>
      </c>
      <c r="C1301" s="1" t="s">
        <v>3917</v>
      </c>
      <c r="D1301" s="1" t="str">
        <f t="shared" si="60"/>
        <v>Kolding KommuneLindegade 23</v>
      </c>
      <c r="E1301" s="1" t="s">
        <v>3918</v>
      </c>
      <c r="F1301" s="1" t="s">
        <v>3919</v>
      </c>
      <c r="G1301" s="1">
        <v>1979</v>
      </c>
      <c r="H1301" s="1" t="s">
        <v>794</v>
      </c>
      <c r="I1301" s="6" cm="1">
        <f t="array" ref="I1301">GetLatitude(D1301)</f>
        <v>553555930</v>
      </c>
      <c r="J1301" s="1" cm="1">
        <f t="array" ref="J1301">GetLongitude(D1301)</f>
        <v>94830770</v>
      </c>
      <c r="K1301" s="1">
        <f t="shared" si="61"/>
        <v>55.355592999999999</v>
      </c>
      <c r="L1301" s="1">
        <f t="shared" si="62"/>
        <v>9.4830769999999998</v>
      </c>
    </row>
    <row r="1302" spans="1:12" ht="16" x14ac:dyDescent="0.2">
      <c r="A1302" s="1">
        <v>1301</v>
      </c>
      <c r="B1302" s="1" t="s">
        <v>3829</v>
      </c>
      <c r="C1302" s="1" t="s">
        <v>3920</v>
      </c>
      <c r="D1302" s="1" t="str">
        <f t="shared" si="60"/>
        <v>Kolding KommuneLindegade 24</v>
      </c>
      <c r="E1302" s="1" t="s">
        <v>3921</v>
      </c>
      <c r="F1302" s="1" t="s">
        <v>190</v>
      </c>
      <c r="G1302" s="1">
        <v>1945</v>
      </c>
      <c r="H1302" s="1" t="s">
        <v>11</v>
      </c>
      <c r="I1302" s="6" cm="1">
        <f t="array" ref="I1302">GetLatitude(D1302)</f>
        <v>553552533</v>
      </c>
      <c r="J1302" s="1" cm="1">
        <f t="array" ref="J1302">GetLongitude(D1302)</f>
        <v>94810034</v>
      </c>
      <c r="K1302" s="1">
        <f t="shared" si="61"/>
        <v>55.355253300000001</v>
      </c>
      <c r="L1302" s="1">
        <f t="shared" si="62"/>
        <v>9.4810034000000005</v>
      </c>
    </row>
    <row r="1303" spans="1:12" ht="16" x14ac:dyDescent="0.2">
      <c r="A1303" s="1">
        <v>1302</v>
      </c>
      <c r="B1303" s="1" t="s">
        <v>3829</v>
      </c>
      <c r="C1303" s="1" t="s">
        <v>3922</v>
      </c>
      <c r="D1303" s="1" t="str">
        <f t="shared" si="60"/>
        <v>Kolding KommuneLindegade 25, hj af Kongensgade</v>
      </c>
      <c r="E1303" s="1" t="s">
        <v>3923</v>
      </c>
      <c r="F1303" s="1" t="s">
        <v>3924</v>
      </c>
      <c r="G1303" s="1">
        <v>1945</v>
      </c>
      <c r="H1303" s="1" t="s">
        <v>11</v>
      </c>
      <c r="I1303" s="6" cm="1">
        <f t="array" ref="I1303">GetLatitude(D1303)</f>
        <v>553556333</v>
      </c>
      <c r="J1303" s="1" cm="1">
        <f t="array" ref="J1303">GetLongitude(D1303)</f>
        <v>94838165</v>
      </c>
      <c r="K1303" s="1">
        <f t="shared" si="61"/>
        <v>55.355633300000001</v>
      </c>
      <c r="L1303" s="1">
        <f t="shared" si="62"/>
        <v>9.4838164999999996</v>
      </c>
    </row>
    <row r="1304" spans="1:12" ht="16" x14ac:dyDescent="0.2">
      <c r="A1304" s="1">
        <v>1303</v>
      </c>
      <c r="B1304" s="1" t="s">
        <v>3829</v>
      </c>
      <c r="C1304" s="1" t="s">
        <v>3925</v>
      </c>
      <c r="D1304" s="1" t="str">
        <f t="shared" si="60"/>
        <v>Kolding KommuneLindegade 26</v>
      </c>
      <c r="E1304" s="1" t="s">
        <v>3926</v>
      </c>
      <c r="F1304" s="1" t="s">
        <v>3927</v>
      </c>
      <c r="G1304" s="1">
        <v>1920</v>
      </c>
      <c r="H1304" s="1" t="s">
        <v>11</v>
      </c>
      <c r="I1304" s="6" cm="1">
        <f t="array" ref="I1304">GetLatitude(D1304)</f>
        <v>553553217</v>
      </c>
      <c r="J1304" s="1" cm="1">
        <f t="array" ref="J1304">GetLongitude(D1304)</f>
        <v>94813838</v>
      </c>
      <c r="K1304" s="1">
        <f t="shared" si="61"/>
        <v>55.355321699999998</v>
      </c>
      <c r="L1304" s="1">
        <f t="shared" si="62"/>
        <v>9.4813837999999997</v>
      </c>
    </row>
    <row r="1305" spans="1:12" ht="16" x14ac:dyDescent="0.2">
      <c r="A1305" s="1">
        <v>1304</v>
      </c>
      <c r="B1305" s="1" t="s">
        <v>3829</v>
      </c>
      <c r="C1305" s="1" t="s">
        <v>3928</v>
      </c>
      <c r="D1305" s="1" t="str">
        <f t="shared" si="60"/>
        <v>Kolding KommuneLindegade 28</v>
      </c>
      <c r="E1305" s="1" t="s">
        <v>3929</v>
      </c>
      <c r="F1305" s="1" t="s">
        <v>3930</v>
      </c>
      <c r="G1305" s="1">
        <v>1920</v>
      </c>
      <c r="H1305" s="1" t="s">
        <v>11</v>
      </c>
      <c r="I1305" s="6" cm="1">
        <f t="array" ref="I1305">GetLatitude(D1305)</f>
        <v>553553406</v>
      </c>
      <c r="J1305" s="1" cm="1">
        <f t="array" ref="J1305">GetLongitude(D1305)</f>
        <v>94817001</v>
      </c>
      <c r="K1305" s="1">
        <f t="shared" si="61"/>
        <v>55.355340599999998</v>
      </c>
      <c r="L1305" s="1">
        <f t="shared" si="62"/>
        <v>9.4817000999999994</v>
      </c>
    </row>
    <row r="1306" spans="1:12" ht="16" x14ac:dyDescent="0.2">
      <c r="A1306" s="1">
        <v>1305</v>
      </c>
      <c r="B1306" s="1" t="s">
        <v>3829</v>
      </c>
      <c r="C1306" s="1" t="s">
        <v>3931</v>
      </c>
      <c r="D1306" s="1" t="str">
        <f t="shared" si="60"/>
        <v>Kolding KommuneLindegade 34 og Kongensgade 9 og 9 E</v>
      </c>
      <c r="E1306" s="1" t="s">
        <v>3932</v>
      </c>
      <c r="F1306" s="1" t="s">
        <v>3933</v>
      </c>
      <c r="G1306" s="1">
        <v>1945</v>
      </c>
      <c r="H1306" s="1" t="s">
        <v>11</v>
      </c>
      <c r="I1306" s="6" cm="1">
        <f t="array" ref="I1306">GetLatitude(D1306)</f>
        <v>554657963</v>
      </c>
      <c r="J1306" s="1" cm="1">
        <f t="array" ref="J1306">GetLongitude(D1306)</f>
        <v>84528296</v>
      </c>
      <c r="K1306" s="1">
        <f t="shared" si="61"/>
        <v>55.465796300000001</v>
      </c>
      <c r="L1306" s="1">
        <f t="shared" si="62"/>
        <v>8.4528295999999994</v>
      </c>
    </row>
    <row r="1307" spans="1:12" ht="16" x14ac:dyDescent="0.2">
      <c r="A1307" s="1">
        <v>1306</v>
      </c>
      <c r="B1307" s="1" t="s">
        <v>3829</v>
      </c>
      <c r="C1307" s="1" t="s">
        <v>3934</v>
      </c>
      <c r="D1307" s="1" t="str">
        <f t="shared" si="60"/>
        <v>Kolding KommuneLindegade 4</v>
      </c>
      <c r="E1307" s="1" t="s">
        <v>3935</v>
      </c>
      <c r="F1307" s="1" t="s">
        <v>3936</v>
      </c>
      <c r="G1307" s="1">
        <v>1945</v>
      </c>
      <c r="H1307" s="1" t="s">
        <v>11</v>
      </c>
      <c r="I1307" s="6" cm="1">
        <f t="array" ref="I1307">GetLatitude(D1307)</f>
        <v>553552822</v>
      </c>
      <c r="J1307" s="1" cm="1">
        <f t="array" ref="J1307">GetLongitude(D1307)</f>
        <v>94785400</v>
      </c>
      <c r="K1307" s="1">
        <f t="shared" si="61"/>
        <v>55.355282199999998</v>
      </c>
      <c r="L1307" s="1">
        <f t="shared" si="62"/>
        <v>9.4785400000000006</v>
      </c>
    </row>
    <row r="1308" spans="1:12" ht="16" x14ac:dyDescent="0.2">
      <c r="A1308" s="1">
        <v>1307</v>
      </c>
      <c r="B1308" s="1" t="s">
        <v>3829</v>
      </c>
      <c r="C1308" s="1" t="s">
        <v>3692</v>
      </c>
      <c r="D1308" s="1" t="str">
        <f t="shared" si="60"/>
        <v>Kolding KommuneLindegade 6</v>
      </c>
      <c r="E1308" s="1" t="s">
        <v>3937</v>
      </c>
      <c r="F1308" s="1" t="s">
        <v>3938</v>
      </c>
      <c r="G1308" s="1">
        <v>1945</v>
      </c>
      <c r="H1308" s="1" t="s">
        <v>11</v>
      </c>
      <c r="I1308" s="6" cm="1">
        <f t="array" ref="I1308">GetLatitude(D1308)</f>
        <v>553552458</v>
      </c>
      <c r="J1308" s="1" cm="1">
        <f t="array" ref="J1308">GetLongitude(D1308)</f>
        <v>94785866</v>
      </c>
      <c r="K1308" s="1">
        <f t="shared" si="61"/>
        <v>55.355245799999999</v>
      </c>
      <c r="L1308" s="1">
        <f t="shared" si="62"/>
        <v>9.4785865999999999</v>
      </c>
    </row>
    <row r="1309" spans="1:12" ht="16" x14ac:dyDescent="0.2">
      <c r="A1309" s="1">
        <v>1308</v>
      </c>
      <c r="B1309" s="1" t="s">
        <v>3829</v>
      </c>
      <c r="C1309" s="1" t="s">
        <v>3939</v>
      </c>
      <c r="D1309" s="1" t="str">
        <f t="shared" si="60"/>
        <v>Kolding KommuneLindegade 8</v>
      </c>
      <c r="E1309" s="1" t="s">
        <v>3940</v>
      </c>
      <c r="F1309" s="1" t="s">
        <v>3941</v>
      </c>
      <c r="G1309" s="1">
        <v>1945</v>
      </c>
      <c r="H1309" s="1" t="s">
        <v>11</v>
      </c>
      <c r="I1309" s="6" cm="1">
        <f t="array" ref="I1309">GetLatitude(D1309)</f>
        <v>553552506</v>
      </c>
      <c r="J1309" s="1" cm="1">
        <f t="array" ref="J1309">GetLongitude(D1309)</f>
        <v>94789442</v>
      </c>
      <c r="K1309" s="1">
        <f t="shared" si="61"/>
        <v>55.355250599999998</v>
      </c>
      <c r="L1309" s="1">
        <f t="shared" si="62"/>
        <v>9.4789442000000008</v>
      </c>
    </row>
    <row r="1310" spans="1:12" ht="16" x14ac:dyDescent="0.2">
      <c r="A1310" s="1">
        <v>1309</v>
      </c>
      <c r="B1310" s="1" t="s">
        <v>3829</v>
      </c>
      <c r="C1310" s="1" t="s">
        <v>3942</v>
      </c>
      <c r="D1310" s="1" t="str">
        <f t="shared" si="60"/>
        <v>Kolding KommuneLindegade 9</v>
      </c>
      <c r="E1310" s="1" t="s">
        <v>3943</v>
      </c>
      <c r="F1310" s="1" t="s">
        <v>3944</v>
      </c>
      <c r="G1310" s="1">
        <v>1945</v>
      </c>
      <c r="H1310" s="1" t="s">
        <v>15</v>
      </c>
      <c r="I1310" s="6" cm="1">
        <f t="array" ref="I1310">GetLatitude(D1310)</f>
        <v>553554865</v>
      </c>
      <c r="J1310" s="1" cm="1">
        <f t="array" ref="J1310">GetLongitude(D1310)</f>
        <v>94798331</v>
      </c>
      <c r="K1310" s="1">
        <f t="shared" si="61"/>
        <v>55.355486499999998</v>
      </c>
      <c r="L1310" s="1">
        <f t="shared" si="62"/>
        <v>9.4798331000000005</v>
      </c>
    </row>
    <row r="1311" spans="1:12" ht="16" x14ac:dyDescent="0.2">
      <c r="A1311" s="1">
        <v>1310</v>
      </c>
      <c r="B1311" s="1" t="s">
        <v>3829</v>
      </c>
      <c r="C1311" s="1" t="s">
        <v>3945</v>
      </c>
      <c r="D1311" s="1" t="str">
        <f t="shared" si="60"/>
        <v>Kolding KommuneLåsbygade 56</v>
      </c>
      <c r="E1311" s="1" t="s">
        <v>3946</v>
      </c>
      <c r="F1311" s="1" t="s">
        <v>2708</v>
      </c>
      <c r="G1311" s="1">
        <v>1919</v>
      </c>
      <c r="H1311" s="1" t="s">
        <v>15</v>
      </c>
      <c r="I1311" s="6" cm="1">
        <f t="array" ref="I1311">GetLatitude(D1311)</f>
        <v>554931562</v>
      </c>
      <c r="J1311" s="1" cm="1">
        <f t="array" ref="J1311">GetLongitude(D1311)</f>
        <v>94681431</v>
      </c>
      <c r="K1311" s="1">
        <f t="shared" si="61"/>
        <v>55.493156200000001</v>
      </c>
      <c r="L1311" s="1">
        <f t="shared" si="62"/>
        <v>9.4681431000000007</v>
      </c>
    </row>
    <row r="1312" spans="1:12" ht="16" x14ac:dyDescent="0.2">
      <c r="A1312" s="1">
        <v>1311</v>
      </c>
      <c r="B1312" s="1" t="s">
        <v>3829</v>
      </c>
      <c r="C1312" s="1" t="s">
        <v>3947</v>
      </c>
      <c r="D1312" s="1" t="str">
        <f t="shared" si="60"/>
        <v>Kolding KommuneLåsbygade 61-65</v>
      </c>
      <c r="E1312" s="1" t="s">
        <v>3948</v>
      </c>
      <c r="F1312" s="1" t="s">
        <v>3949</v>
      </c>
      <c r="G1312" s="1">
        <v>1983</v>
      </c>
      <c r="H1312" s="1" t="s">
        <v>15</v>
      </c>
      <c r="I1312" s="6" cm="1">
        <f t="array" ref="I1312">GetLatitude(D1312)</f>
        <v>554929155</v>
      </c>
      <c r="J1312" s="1" cm="1">
        <f t="array" ref="J1312">GetLongitude(D1312)</f>
        <v>94686673</v>
      </c>
      <c r="K1312" s="1">
        <f t="shared" si="61"/>
        <v>55.492915500000002</v>
      </c>
      <c r="L1312" s="1">
        <f t="shared" si="62"/>
        <v>9.4686672999999999</v>
      </c>
    </row>
    <row r="1313" spans="1:12" ht="16" x14ac:dyDescent="0.2">
      <c r="A1313" s="1">
        <v>1312</v>
      </c>
      <c r="B1313" s="1" t="s">
        <v>3829</v>
      </c>
      <c r="C1313" s="1" t="s">
        <v>3950</v>
      </c>
      <c r="D1313" s="1" t="str">
        <f t="shared" si="60"/>
        <v>Kolding KommuneNørregade 1</v>
      </c>
      <c r="E1313" s="1" t="s">
        <v>3951</v>
      </c>
      <c r="F1313" s="1" t="s">
        <v>3952</v>
      </c>
      <c r="G1313" s="1">
        <v>1979</v>
      </c>
      <c r="H1313" s="1" t="s">
        <v>11</v>
      </c>
      <c r="I1313" s="6" cm="1">
        <f t="array" ref="I1313">GetLatitude(D1313)</f>
        <v>554947275</v>
      </c>
      <c r="J1313" s="1" cm="1">
        <f t="array" ref="J1313">GetLongitude(D1313)</f>
        <v>94633889</v>
      </c>
      <c r="K1313" s="1">
        <f t="shared" si="61"/>
        <v>55.494727500000003</v>
      </c>
      <c r="L1313" s="1">
        <f t="shared" si="62"/>
        <v>9.4633889</v>
      </c>
    </row>
    <row r="1314" spans="1:12" ht="16" x14ac:dyDescent="0.2">
      <c r="A1314" s="1">
        <v>1313</v>
      </c>
      <c r="B1314" s="1" t="s">
        <v>3829</v>
      </c>
      <c r="C1314" s="1" t="s">
        <v>3241</v>
      </c>
      <c r="D1314" s="1" t="str">
        <f t="shared" si="60"/>
        <v>Kolding KommuneNørregade 12</v>
      </c>
      <c r="E1314" s="1" t="s">
        <v>3953</v>
      </c>
      <c r="F1314" s="1" t="s">
        <v>3954</v>
      </c>
      <c r="G1314" s="1">
        <v>1920</v>
      </c>
      <c r="H1314" s="1" t="s">
        <v>11</v>
      </c>
      <c r="I1314" s="6" cm="1">
        <f t="array" ref="I1314">GetLatitude(D1314)</f>
        <v>554377799</v>
      </c>
      <c r="J1314" s="1" cm="1">
        <f t="array" ref="J1314">GetLongitude(D1314)</f>
        <v>94460005</v>
      </c>
      <c r="K1314" s="1">
        <f t="shared" si="61"/>
        <v>55.437779900000002</v>
      </c>
      <c r="L1314" s="1">
        <f t="shared" si="62"/>
        <v>9.4460005000000002</v>
      </c>
    </row>
    <row r="1315" spans="1:12" ht="16" x14ac:dyDescent="0.2">
      <c r="A1315" s="1">
        <v>1314</v>
      </c>
      <c r="B1315" s="1" t="s">
        <v>3829</v>
      </c>
      <c r="C1315" s="1" t="s">
        <v>3955</v>
      </c>
      <c r="D1315" s="1" t="str">
        <f t="shared" si="60"/>
        <v>Kolding KommuneNørregade 14</v>
      </c>
      <c r="E1315" s="1" t="s">
        <v>3956</v>
      </c>
      <c r="F1315" s="1" t="s">
        <v>3957</v>
      </c>
      <c r="G1315" s="1">
        <v>1920</v>
      </c>
      <c r="H1315" s="1" t="s">
        <v>11</v>
      </c>
      <c r="I1315" s="6" cm="1">
        <f t="array" ref="I1315">GetLatitude(D1315)</f>
        <v>553561704</v>
      </c>
      <c r="J1315" s="1" cm="1">
        <f t="array" ref="J1315">GetLongitude(D1315)</f>
        <v>94814083</v>
      </c>
      <c r="K1315" s="1">
        <f t="shared" si="61"/>
        <v>55.356170400000003</v>
      </c>
      <c r="L1315" s="1">
        <f t="shared" si="62"/>
        <v>9.4814083</v>
      </c>
    </row>
    <row r="1316" spans="1:12" ht="16" x14ac:dyDescent="0.2">
      <c r="A1316" s="1">
        <v>1315</v>
      </c>
      <c r="B1316" s="1" t="s">
        <v>3829</v>
      </c>
      <c r="C1316" s="1" t="s">
        <v>3958</v>
      </c>
      <c r="D1316" s="1" t="str">
        <f t="shared" si="60"/>
        <v>Kolding KommuneNørregade 16 og Birkevej 2</v>
      </c>
      <c r="E1316" s="1" t="s">
        <v>3959</v>
      </c>
      <c r="F1316" s="1" t="s">
        <v>3960</v>
      </c>
      <c r="G1316" s="1">
        <v>1920</v>
      </c>
      <c r="H1316" s="1" t="s">
        <v>11</v>
      </c>
      <c r="I1316" s="6" cm="1">
        <f t="array" ref="I1316">GetLatitude(D1316)</f>
        <v>554377799</v>
      </c>
      <c r="J1316" s="1" cm="1">
        <f t="array" ref="J1316">GetLongitude(D1316)</f>
        <v>94460005</v>
      </c>
      <c r="K1316" s="1">
        <f t="shared" si="61"/>
        <v>55.437779900000002</v>
      </c>
      <c r="L1316" s="1">
        <f t="shared" si="62"/>
        <v>9.4460005000000002</v>
      </c>
    </row>
    <row r="1317" spans="1:12" ht="16" x14ac:dyDescent="0.2">
      <c r="A1317" s="1">
        <v>1316</v>
      </c>
      <c r="B1317" s="1" t="s">
        <v>3829</v>
      </c>
      <c r="C1317" s="1" t="s">
        <v>3961</v>
      </c>
      <c r="D1317" s="1" t="str">
        <f t="shared" si="60"/>
        <v>Kolding KommuneNørregade 3</v>
      </c>
      <c r="E1317" s="1" t="s">
        <v>3962</v>
      </c>
      <c r="F1317" s="1" t="s">
        <v>3963</v>
      </c>
      <c r="G1317" s="1">
        <v>1979</v>
      </c>
      <c r="H1317" s="1" t="s">
        <v>11</v>
      </c>
      <c r="I1317" s="6" cm="1">
        <f t="array" ref="I1317">GetLatitude(D1317)</f>
        <v>554377799</v>
      </c>
      <c r="J1317" s="1" cm="1">
        <f t="array" ref="J1317">GetLongitude(D1317)</f>
        <v>94460005</v>
      </c>
      <c r="K1317" s="1">
        <f t="shared" si="61"/>
        <v>55.437779900000002</v>
      </c>
      <c r="L1317" s="1">
        <f t="shared" si="62"/>
        <v>9.4460005000000002</v>
      </c>
    </row>
    <row r="1318" spans="1:12" ht="16" x14ac:dyDescent="0.2">
      <c r="A1318" s="1">
        <v>1317</v>
      </c>
      <c r="B1318" s="1" t="s">
        <v>3829</v>
      </c>
      <c r="C1318" s="1" t="s">
        <v>3964</v>
      </c>
      <c r="D1318" s="1" t="str">
        <f t="shared" si="60"/>
        <v>Kolding KommuneNørregade 5 og 7, hj af Kirkepladsen</v>
      </c>
      <c r="E1318" s="1" t="s">
        <v>3965</v>
      </c>
      <c r="F1318" s="1" t="s">
        <v>3966</v>
      </c>
      <c r="G1318" s="1">
        <v>1920</v>
      </c>
      <c r="H1318" s="1" t="s">
        <v>11</v>
      </c>
      <c r="I1318" s="6" cm="1">
        <f t="array" ref="I1318">GetLatitude(D1318)</f>
        <v>554377799</v>
      </c>
      <c r="J1318" s="1" cm="1">
        <f t="array" ref="J1318">GetLongitude(D1318)</f>
        <v>94460005</v>
      </c>
      <c r="K1318" s="1">
        <f t="shared" si="61"/>
        <v>55.437779900000002</v>
      </c>
      <c r="L1318" s="1">
        <f t="shared" si="62"/>
        <v>9.4460005000000002</v>
      </c>
    </row>
    <row r="1319" spans="1:12" ht="16" x14ac:dyDescent="0.2">
      <c r="A1319" s="1">
        <v>1318</v>
      </c>
      <c r="B1319" s="1" t="s">
        <v>3829</v>
      </c>
      <c r="C1319" s="1" t="s">
        <v>3967</v>
      </c>
      <c r="D1319" s="1" t="str">
        <f t="shared" si="60"/>
        <v>Kolding KommuneNørregade 9 (tidl Kirkepladsen 1)</v>
      </c>
      <c r="E1319" s="1" t="s">
        <v>3968</v>
      </c>
      <c r="F1319" s="1" t="s">
        <v>3969</v>
      </c>
      <c r="G1319" s="1">
        <v>1920</v>
      </c>
      <c r="H1319" s="1" t="s">
        <v>15</v>
      </c>
      <c r="I1319" s="6" cm="1">
        <f t="array" ref="I1319">GetLatitude(D1319)</f>
        <v>553299330</v>
      </c>
      <c r="J1319" s="1" cm="1">
        <f t="array" ref="J1319">GetLongitude(D1319)</f>
        <v>111360300</v>
      </c>
      <c r="K1319" s="1">
        <f t="shared" si="61"/>
        <v>55.329932999999997</v>
      </c>
      <c r="L1319" s="1">
        <f t="shared" si="62"/>
        <v>11.13603</v>
      </c>
    </row>
    <row r="1320" spans="1:12" ht="16" x14ac:dyDescent="0.2">
      <c r="A1320" s="1">
        <v>1319</v>
      </c>
      <c r="B1320" s="1" t="s">
        <v>3829</v>
      </c>
      <c r="C1320" s="1" t="s">
        <v>892</v>
      </c>
      <c r="D1320" s="1" t="str">
        <f t="shared" si="60"/>
        <v>Kolding KommuneSkolegade 2</v>
      </c>
      <c r="E1320" s="1" t="s">
        <v>3970</v>
      </c>
      <c r="F1320" s="1" t="s">
        <v>3971</v>
      </c>
      <c r="G1320" s="1">
        <v>1988</v>
      </c>
      <c r="H1320" s="1" t="s">
        <v>15</v>
      </c>
      <c r="I1320" s="6" cm="1">
        <f t="array" ref="I1320">GetLatitude(D1320)</f>
        <v>554377799</v>
      </c>
      <c r="J1320" s="1" cm="1">
        <f t="array" ref="J1320">GetLongitude(D1320)</f>
        <v>94460005</v>
      </c>
      <c r="K1320" s="1">
        <f t="shared" si="61"/>
        <v>55.437779900000002</v>
      </c>
      <c r="L1320" s="1">
        <f t="shared" si="62"/>
        <v>9.4460005000000002</v>
      </c>
    </row>
    <row r="1321" spans="1:12" ht="16" x14ac:dyDescent="0.2">
      <c r="A1321" s="1">
        <v>1320</v>
      </c>
      <c r="B1321" s="1" t="s">
        <v>3829</v>
      </c>
      <c r="C1321" s="1" t="s">
        <v>3972</v>
      </c>
      <c r="D1321" s="1" t="str">
        <f t="shared" si="60"/>
        <v>Kolding KommuneStorgaden 54</v>
      </c>
      <c r="E1321" s="1" t="s">
        <v>3973</v>
      </c>
      <c r="F1321" s="1" t="s">
        <v>3974</v>
      </c>
      <c r="G1321" s="1">
        <v>1950</v>
      </c>
      <c r="H1321" s="1" t="s">
        <v>99</v>
      </c>
      <c r="I1321" s="6" cm="1">
        <f t="array" ref="I1321">GetLatitude(D1321)</f>
        <v>555826704</v>
      </c>
      <c r="J1321" s="1" cm="1">
        <f t="array" ref="J1321">GetLongitude(D1321)</f>
        <v>94928346</v>
      </c>
      <c r="K1321" s="1">
        <f t="shared" si="61"/>
        <v>55.582670399999998</v>
      </c>
      <c r="L1321" s="1">
        <f t="shared" si="62"/>
        <v>9.4928346000000001</v>
      </c>
    </row>
    <row r="1322" spans="1:12" ht="16" x14ac:dyDescent="0.2">
      <c r="A1322" s="1">
        <v>1321</v>
      </c>
      <c r="B1322" s="1" t="s">
        <v>3829</v>
      </c>
      <c r="C1322" s="1" t="s">
        <v>3975</v>
      </c>
      <c r="D1322" s="1" t="str">
        <f t="shared" si="60"/>
        <v>Kolding KommuneStubbumgårdvej 23</v>
      </c>
      <c r="E1322" s="1" t="s">
        <v>3976</v>
      </c>
      <c r="F1322" s="1" t="s">
        <v>3977</v>
      </c>
      <c r="G1322" s="1">
        <v>1998</v>
      </c>
      <c r="H1322" s="1" t="s">
        <v>15</v>
      </c>
      <c r="I1322" s="6" cm="1">
        <f t="array" ref="I1322">GetLatitude(D1322)</f>
        <v>553496174</v>
      </c>
      <c r="J1322" s="1" cm="1">
        <f t="array" ref="J1322">GetLongitude(D1322)</f>
        <v>95496944</v>
      </c>
      <c r="K1322" s="1">
        <f t="shared" si="61"/>
        <v>55.3496174</v>
      </c>
      <c r="L1322" s="1">
        <f t="shared" si="62"/>
        <v>9.5496943999999999</v>
      </c>
    </row>
    <row r="1323" spans="1:12" ht="16" x14ac:dyDescent="0.2">
      <c r="A1323" s="1">
        <v>1322</v>
      </c>
      <c r="B1323" s="1" t="s">
        <v>3829</v>
      </c>
      <c r="C1323" s="1" t="s">
        <v>978</v>
      </c>
      <c r="D1323" s="1" t="str">
        <f t="shared" si="60"/>
        <v>Kolding KommuneTorvet 2</v>
      </c>
      <c r="E1323" s="1" t="s">
        <v>3978</v>
      </c>
      <c r="F1323" s="1" t="s">
        <v>3979</v>
      </c>
      <c r="G1323" s="1">
        <v>1992</v>
      </c>
      <c r="H1323" s="1" t="s">
        <v>701</v>
      </c>
      <c r="I1323" s="6" cm="1">
        <f t="array" ref="I1323">GetLatitude(D1323)</f>
        <v>554377799</v>
      </c>
      <c r="J1323" s="1" cm="1">
        <f t="array" ref="J1323">GetLongitude(D1323)</f>
        <v>94460005</v>
      </c>
      <c r="K1323" s="1">
        <f t="shared" si="61"/>
        <v>55.437779900000002</v>
      </c>
      <c r="L1323" s="1">
        <f t="shared" si="62"/>
        <v>9.4460005000000002</v>
      </c>
    </row>
    <row r="1324" spans="1:12" ht="16" x14ac:dyDescent="0.2">
      <c r="A1324" s="1">
        <v>1323</v>
      </c>
      <c r="B1324" s="1" t="s">
        <v>3980</v>
      </c>
      <c r="C1324" s="1" t="s">
        <v>3981</v>
      </c>
      <c r="D1324" s="1" t="str">
        <f t="shared" si="60"/>
        <v>København KommuneAbel Cathrinesgade 13</v>
      </c>
      <c r="E1324" s="1" t="s">
        <v>3982</v>
      </c>
      <c r="F1324" s="1" t="s">
        <v>3983</v>
      </c>
      <c r="G1324" s="1">
        <v>1980</v>
      </c>
      <c r="H1324" s="1" t="s">
        <v>15</v>
      </c>
      <c r="I1324" s="6" cm="1">
        <f t="array" ref="I1324">GetLatitude(D1324)</f>
        <v>556717895</v>
      </c>
      <c r="J1324" s="1" cm="1">
        <f t="array" ref="J1324">GetLongitude(D1324)</f>
        <v>125589104</v>
      </c>
      <c r="K1324" s="1">
        <f t="shared" si="61"/>
        <v>55.671789500000003</v>
      </c>
      <c r="L1324" s="1">
        <f t="shared" si="62"/>
        <v>12.5589104</v>
      </c>
    </row>
    <row r="1325" spans="1:12" ht="16" x14ac:dyDescent="0.2">
      <c r="A1325" s="1">
        <v>1324</v>
      </c>
      <c r="B1325" s="1" t="s">
        <v>3980</v>
      </c>
      <c r="C1325" s="1" t="s">
        <v>3984</v>
      </c>
      <c r="D1325" s="1" t="str">
        <f t="shared" si="60"/>
        <v>København KommuneAbsalonsgade 12 og Istedgade 72-74</v>
      </c>
      <c r="E1325" s="1" t="s">
        <v>3985</v>
      </c>
      <c r="F1325" s="1" t="s">
        <v>3986</v>
      </c>
      <c r="G1325" s="1">
        <v>1982</v>
      </c>
      <c r="H1325" s="1" t="s">
        <v>15</v>
      </c>
      <c r="I1325" s="6" cm="1">
        <f t="array" ref="I1325">GetLatitude(D1325)</f>
        <v>556720235</v>
      </c>
      <c r="J1325" s="1" cm="1">
        <f t="array" ref="J1325">GetLongitude(D1325)</f>
        <v>125619156</v>
      </c>
      <c r="K1325" s="1">
        <f t="shared" si="61"/>
        <v>55.672023500000002</v>
      </c>
      <c r="L1325" s="1">
        <f t="shared" si="62"/>
        <v>12.561915600000001</v>
      </c>
    </row>
    <row r="1326" spans="1:12" ht="16" x14ac:dyDescent="0.2">
      <c r="A1326" s="1">
        <v>1325</v>
      </c>
      <c r="B1326" s="1" t="s">
        <v>3980</v>
      </c>
      <c r="C1326" s="1" t="s">
        <v>3987</v>
      </c>
      <c r="D1326" s="1" t="str">
        <f t="shared" si="60"/>
        <v>København KommuneAdmiralgade 17</v>
      </c>
      <c r="E1326" s="1" t="s">
        <v>3988</v>
      </c>
      <c r="F1326" s="1" t="s">
        <v>3989</v>
      </c>
      <c r="G1326" s="1">
        <v>1945</v>
      </c>
      <c r="H1326" s="1" t="s">
        <v>11</v>
      </c>
      <c r="I1326" s="6" cm="1">
        <f t="array" ref="I1326">GetLatitude(D1326)</f>
        <v>556780498</v>
      </c>
      <c r="J1326" s="1" cm="1">
        <f t="array" ref="J1326">GetLongitude(D1326)</f>
        <v>125819378</v>
      </c>
      <c r="K1326" s="1">
        <f t="shared" si="61"/>
        <v>55.678049799999997</v>
      </c>
      <c r="L1326" s="1">
        <f t="shared" si="62"/>
        <v>12.5819378</v>
      </c>
    </row>
    <row r="1327" spans="1:12" ht="16" x14ac:dyDescent="0.2">
      <c r="A1327" s="1">
        <v>1326</v>
      </c>
      <c r="B1327" s="1" t="s">
        <v>3980</v>
      </c>
      <c r="C1327" s="1" t="s">
        <v>3990</v>
      </c>
      <c r="D1327" s="1" t="str">
        <f t="shared" si="60"/>
        <v>København KommuneAdmiralgade 19</v>
      </c>
      <c r="E1327" s="1" t="s">
        <v>3991</v>
      </c>
      <c r="F1327" s="1" t="s">
        <v>3992</v>
      </c>
      <c r="G1327" s="1">
        <v>1945</v>
      </c>
      <c r="H1327" s="1" t="s">
        <v>15</v>
      </c>
      <c r="I1327" s="6" cm="1">
        <f t="array" ref="I1327">GetLatitude(D1327)</f>
        <v>556779802</v>
      </c>
      <c r="J1327" s="1" cm="1">
        <f t="array" ref="J1327">GetLongitude(D1327)</f>
        <v>125820349</v>
      </c>
      <c r="K1327" s="1">
        <f t="shared" si="61"/>
        <v>55.6779802</v>
      </c>
      <c r="L1327" s="1">
        <f t="shared" si="62"/>
        <v>12.5820349</v>
      </c>
    </row>
    <row r="1328" spans="1:12" ht="16" x14ac:dyDescent="0.2">
      <c r="A1328" s="1">
        <v>1327</v>
      </c>
      <c r="B1328" s="1" t="s">
        <v>3980</v>
      </c>
      <c r="C1328" s="1" t="s">
        <v>3993</v>
      </c>
      <c r="D1328" s="1" t="str">
        <f t="shared" si="60"/>
        <v>København KommuneAdmiralgade 20</v>
      </c>
      <c r="E1328" s="1" t="s">
        <v>3994</v>
      </c>
      <c r="F1328" s="1" t="s">
        <v>3995</v>
      </c>
      <c r="G1328" s="1">
        <v>1959</v>
      </c>
      <c r="H1328" s="1" t="s">
        <v>3996</v>
      </c>
      <c r="I1328" s="6" cm="1">
        <f t="array" ref="I1328">GetLatitude(D1328)</f>
        <v>556779312</v>
      </c>
      <c r="J1328" s="1" cm="1">
        <f t="array" ref="J1328">GetLongitude(D1328)</f>
        <v>125817002</v>
      </c>
      <c r="K1328" s="1">
        <f t="shared" si="61"/>
        <v>55.677931200000003</v>
      </c>
      <c r="L1328" s="1">
        <f t="shared" si="62"/>
        <v>12.5817002</v>
      </c>
    </row>
    <row r="1329" spans="1:12" ht="16" x14ac:dyDescent="0.2">
      <c r="A1329" s="1">
        <v>1328</v>
      </c>
      <c r="B1329" s="1" t="s">
        <v>3980</v>
      </c>
      <c r="C1329" s="1" t="s">
        <v>3997</v>
      </c>
      <c r="D1329" s="1" t="str">
        <f t="shared" si="60"/>
        <v>København KommuneAdmiralgade 21, hj af Dybensgade</v>
      </c>
      <c r="E1329" s="1" t="s">
        <v>3998</v>
      </c>
      <c r="F1329" s="1" t="s">
        <v>3999</v>
      </c>
      <c r="G1329" s="1">
        <v>1945</v>
      </c>
      <c r="H1329" s="1" t="s">
        <v>11</v>
      </c>
      <c r="I1329" s="6" cm="1">
        <f t="array" ref="I1329">GetLatitude(D1329)</f>
        <v>556778921</v>
      </c>
      <c r="J1329" s="1" cm="1">
        <f t="array" ref="J1329">GetLongitude(D1329)</f>
        <v>125820760</v>
      </c>
      <c r="K1329" s="1">
        <f t="shared" si="61"/>
        <v>55.677892100000001</v>
      </c>
      <c r="L1329" s="1">
        <f t="shared" si="62"/>
        <v>12.582076000000001</v>
      </c>
    </row>
    <row r="1330" spans="1:12" ht="16" x14ac:dyDescent="0.2">
      <c r="A1330" s="1">
        <v>1329</v>
      </c>
      <c r="B1330" s="1" t="s">
        <v>3980</v>
      </c>
      <c r="C1330" s="1" t="s">
        <v>4000</v>
      </c>
      <c r="D1330" s="1" t="str">
        <f t="shared" si="60"/>
        <v>København KommuneAdmiralgade 22</v>
      </c>
      <c r="E1330" s="1" t="s">
        <v>4001</v>
      </c>
      <c r="F1330" s="1" t="s">
        <v>4002</v>
      </c>
      <c r="G1330" s="1">
        <v>1959</v>
      </c>
      <c r="H1330" s="1" t="s">
        <v>4003</v>
      </c>
      <c r="I1330" s="6" cm="1">
        <f t="array" ref="I1330">GetLatitude(D1330)</f>
        <v>556778342</v>
      </c>
      <c r="J1330" s="1" cm="1">
        <f t="array" ref="J1330">GetLongitude(D1330)</f>
        <v>125817852</v>
      </c>
      <c r="K1330" s="1">
        <f t="shared" si="61"/>
        <v>55.677834199999999</v>
      </c>
      <c r="L1330" s="1">
        <f t="shared" si="62"/>
        <v>12.581785200000001</v>
      </c>
    </row>
    <row r="1331" spans="1:12" ht="16" x14ac:dyDescent="0.2">
      <c r="A1331" s="1">
        <v>1330</v>
      </c>
      <c r="B1331" s="1" t="s">
        <v>3980</v>
      </c>
      <c r="C1331" s="1" t="s">
        <v>4004</v>
      </c>
      <c r="D1331" s="1" t="str">
        <f t="shared" si="60"/>
        <v>København KommuneAdmiralgade 23, hj af Dybensgade</v>
      </c>
      <c r="E1331" s="1" t="s">
        <v>4005</v>
      </c>
      <c r="F1331" s="1" t="s">
        <v>4006</v>
      </c>
      <c r="G1331" s="1">
        <v>1945</v>
      </c>
      <c r="H1331" s="1" t="s">
        <v>15</v>
      </c>
      <c r="I1331" s="6" cm="1">
        <f t="array" ref="I1331">GetLatitude(D1331)</f>
        <v>556779647</v>
      </c>
      <c r="J1331" s="1" cm="1">
        <f t="array" ref="J1331">GetLongitude(D1331)</f>
        <v>125827194</v>
      </c>
      <c r="K1331" s="1">
        <f t="shared" si="61"/>
        <v>55.677964699999997</v>
      </c>
      <c r="L1331" s="1">
        <f t="shared" si="62"/>
        <v>12.5827194</v>
      </c>
    </row>
    <row r="1332" spans="1:12" ht="16" x14ac:dyDescent="0.2">
      <c r="A1332" s="1">
        <v>1331</v>
      </c>
      <c r="B1332" s="1" t="s">
        <v>3980</v>
      </c>
      <c r="C1332" s="1" t="s">
        <v>4007</v>
      </c>
      <c r="D1332" s="1" t="str">
        <f t="shared" si="60"/>
        <v>København KommuneAdmiralgade 25, hj af Laksegade</v>
      </c>
      <c r="E1332" s="1" t="s">
        <v>4008</v>
      </c>
      <c r="F1332" s="1" t="s">
        <v>4009</v>
      </c>
      <c r="G1332" s="1">
        <v>1939</v>
      </c>
      <c r="H1332" s="1" t="s">
        <v>11</v>
      </c>
      <c r="I1332" s="6" cm="1">
        <f t="array" ref="I1332">GetLatitude(D1332)</f>
        <v>556778693</v>
      </c>
      <c r="J1332" s="1" cm="1">
        <f t="array" ref="J1332">GetLongitude(D1332)</f>
        <v>125837293</v>
      </c>
      <c r="K1332" s="1">
        <f t="shared" si="61"/>
        <v>55.677869299999998</v>
      </c>
      <c r="L1332" s="1">
        <f t="shared" si="62"/>
        <v>12.5837293</v>
      </c>
    </row>
    <row r="1333" spans="1:12" ht="16" x14ac:dyDescent="0.2">
      <c r="A1333" s="1">
        <v>1332</v>
      </c>
      <c r="B1333" s="1" t="s">
        <v>3980</v>
      </c>
      <c r="C1333" s="1" t="s">
        <v>4010</v>
      </c>
      <c r="D1333" s="1" t="str">
        <f t="shared" si="60"/>
        <v>København KommuneAdmiralgade 28, hj af Boldhusgade</v>
      </c>
      <c r="E1333" s="1" t="s">
        <v>4011</v>
      </c>
      <c r="F1333" s="1" t="s">
        <v>4012</v>
      </c>
      <c r="G1333" s="1">
        <v>1950</v>
      </c>
      <c r="H1333" s="1" t="s">
        <v>15</v>
      </c>
      <c r="I1333" s="6" cm="1">
        <f t="array" ref="I1333">GetLatitude(D1333)</f>
        <v>556773281</v>
      </c>
      <c r="J1333" s="1" cm="1">
        <f t="array" ref="J1333">GetLongitude(D1333)</f>
        <v>125823400</v>
      </c>
      <c r="K1333" s="1">
        <f t="shared" si="61"/>
        <v>55.677328099999997</v>
      </c>
      <c r="L1333" s="1">
        <f t="shared" si="62"/>
        <v>12.58234</v>
      </c>
    </row>
    <row r="1334" spans="1:12" ht="16" x14ac:dyDescent="0.2">
      <c r="A1334" s="1">
        <v>1333</v>
      </c>
      <c r="B1334" s="1" t="s">
        <v>3980</v>
      </c>
      <c r="C1334" s="1" t="s">
        <v>4013</v>
      </c>
      <c r="D1334" s="1" t="str">
        <f t="shared" si="60"/>
        <v>København KommuneAhornsgade 15-19</v>
      </c>
      <c r="E1334" s="1" t="s">
        <v>4014</v>
      </c>
      <c r="F1334" s="1" t="s">
        <v>4015</v>
      </c>
      <c r="G1334" s="1">
        <v>1998</v>
      </c>
      <c r="H1334" s="1" t="s">
        <v>15</v>
      </c>
      <c r="I1334" s="6" cm="1">
        <f t="array" ref="I1334">GetLatitude(D1334)</f>
        <v>556913926</v>
      </c>
      <c r="J1334" s="1" cm="1">
        <f t="array" ref="J1334">GetLongitude(D1334)</f>
        <v>125594817</v>
      </c>
      <c r="K1334" s="1">
        <f t="shared" si="61"/>
        <v>55.6913926</v>
      </c>
      <c r="L1334" s="1">
        <f t="shared" si="62"/>
        <v>12.559481699999999</v>
      </c>
    </row>
    <row r="1335" spans="1:12" ht="16" x14ac:dyDescent="0.2">
      <c r="A1335" s="1">
        <v>1334</v>
      </c>
      <c r="B1335" s="1" t="s">
        <v>3980</v>
      </c>
      <c r="C1335" s="1" t="s">
        <v>4016</v>
      </c>
      <c r="D1335" s="1" t="str">
        <f t="shared" si="60"/>
        <v>København KommuneAmager Strandvej 110</v>
      </c>
      <c r="E1335" s="1" t="s">
        <v>4017</v>
      </c>
      <c r="F1335" s="1" t="s">
        <v>4018</v>
      </c>
      <c r="G1335" s="1">
        <v>1984</v>
      </c>
      <c r="H1335" s="1" t="s">
        <v>11</v>
      </c>
      <c r="I1335" s="6" cm="1">
        <f t="array" ref="I1335">GetLatitude(D1335)</f>
        <v>556606277</v>
      </c>
      <c r="J1335" s="1" cm="1">
        <f t="array" ref="J1335">GetLongitude(D1335)</f>
        <v>126326990</v>
      </c>
      <c r="K1335" s="1">
        <f t="shared" si="61"/>
        <v>55.660627699999999</v>
      </c>
      <c r="L1335" s="1">
        <f t="shared" si="62"/>
        <v>12.632699000000001</v>
      </c>
    </row>
    <row r="1336" spans="1:12" ht="16" x14ac:dyDescent="0.2">
      <c r="A1336" s="1">
        <v>1335</v>
      </c>
      <c r="B1336" s="1" t="s">
        <v>3980</v>
      </c>
      <c r="C1336" s="1" t="s">
        <v>4019</v>
      </c>
      <c r="D1336" s="1" t="str">
        <f t="shared" si="60"/>
        <v>København KommuneAmagertorv 1, hj af Højbro Plads og Læderstræde</v>
      </c>
      <c r="E1336" s="1" t="s">
        <v>4020</v>
      </c>
      <c r="F1336" s="1" t="s">
        <v>4021</v>
      </c>
      <c r="G1336" s="1">
        <v>1983</v>
      </c>
      <c r="H1336" s="1" t="s">
        <v>11</v>
      </c>
      <c r="I1336" s="6" cm="1">
        <f t="array" ref="I1336">GetLatitude(D1336)</f>
        <v>556786720</v>
      </c>
      <c r="J1336" s="1" cm="1">
        <f t="array" ref="J1336">GetLongitude(D1336)</f>
        <v>125792410</v>
      </c>
      <c r="K1336" s="1">
        <f t="shared" si="61"/>
        <v>55.678671999999999</v>
      </c>
      <c r="L1336" s="1">
        <f t="shared" si="62"/>
        <v>12.579241</v>
      </c>
    </row>
    <row r="1337" spans="1:12" ht="16" x14ac:dyDescent="0.2">
      <c r="A1337" s="1">
        <v>1336</v>
      </c>
      <c r="B1337" s="1" t="s">
        <v>3980</v>
      </c>
      <c r="C1337" s="1" t="s">
        <v>4022</v>
      </c>
      <c r="D1337" s="1" t="str">
        <f t="shared" si="60"/>
        <v>København KommuneAmagertorv 20</v>
      </c>
      <c r="E1337" s="1" t="s">
        <v>4023</v>
      </c>
      <c r="F1337" s="1" t="s">
        <v>4024</v>
      </c>
      <c r="G1337" s="1">
        <v>1959</v>
      </c>
      <c r="H1337" s="1" t="s">
        <v>11</v>
      </c>
      <c r="I1337" s="6" cm="1">
        <f t="array" ref="I1337">GetLatitude(D1337)</f>
        <v>556787516</v>
      </c>
      <c r="J1337" s="1" cm="1">
        <f t="array" ref="J1337">GetLongitude(D1337)</f>
        <v>125776230</v>
      </c>
      <c r="K1337" s="1">
        <f t="shared" si="61"/>
        <v>55.678751599999998</v>
      </c>
      <c r="L1337" s="1">
        <f t="shared" si="62"/>
        <v>12.577623000000001</v>
      </c>
    </row>
    <row r="1338" spans="1:12" ht="16" x14ac:dyDescent="0.2">
      <c r="A1338" s="1">
        <v>1337</v>
      </c>
      <c r="B1338" s="1" t="s">
        <v>3980</v>
      </c>
      <c r="C1338" s="1" t="s">
        <v>4025</v>
      </c>
      <c r="D1338" s="1" t="str">
        <f t="shared" si="60"/>
        <v>København KommuneAmagertorv 27</v>
      </c>
      <c r="E1338" s="1" t="s">
        <v>4026</v>
      </c>
      <c r="F1338" s="1" t="s">
        <v>4027</v>
      </c>
      <c r="G1338" s="1">
        <v>1989</v>
      </c>
      <c r="H1338" s="1" t="s">
        <v>15</v>
      </c>
      <c r="I1338" s="6" cm="1">
        <f t="array" ref="I1338">GetLatitude(D1338)</f>
        <v>556785452</v>
      </c>
      <c r="J1338" s="1" cm="1">
        <f t="array" ref="J1338">GetLongitude(D1338)</f>
        <v>125770639</v>
      </c>
      <c r="K1338" s="1">
        <f t="shared" si="61"/>
        <v>55.678545200000002</v>
      </c>
      <c r="L1338" s="1">
        <f t="shared" si="62"/>
        <v>12.577063900000001</v>
      </c>
    </row>
    <row r="1339" spans="1:12" ht="16" x14ac:dyDescent="0.2">
      <c r="A1339" s="1">
        <v>1338</v>
      </c>
      <c r="B1339" s="1" t="s">
        <v>3980</v>
      </c>
      <c r="C1339" s="1" t="s">
        <v>4028</v>
      </c>
      <c r="D1339" s="1" t="str">
        <f t="shared" si="60"/>
        <v>København KommuneAmagertorv 29</v>
      </c>
      <c r="E1339" s="1" t="s">
        <v>4029</v>
      </c>
      <c r="F1339" s="1" t="s">
        <v>4030</v>
      </c>
      <c r="G1339" s="1">
        <v>1926</v>
      </c>
      <c r="H1339" s="1" t="s">
        <v>11</v>
      </c>
      <c r="I1339" s="6" cm="1">
        <f t="array" ref="I1339">GetLatitude(D1339)</f>
        <v>556785405</v>
      </c>
      <c r="J1339" s="1" cm="1">
        <f t="array" ref="J1339">GetLongitude(D1339)</f>
        <v>125768972</v>
      </c>
      <c r="K1339" s="1">
        <f t="shared" si="61"/>
        <v>55.678540499999997</v>
      </c>
      <c r="L1339" s="1">
        <f t="shared" si="62"/>
        <v>12.576897199999999</v>
      </c>
    </row>
    <row r="1340" spans="1:12" ht="16" x14ac:dyDescent="0.2">
      <c r="A1340" s="1">
        <v>1339</v>
      </c>
      <c r="B1340" s="1" t="s">
        <v>3980</v>
      </c>
      <c r="C1340" s="1" t="s">
        <v>4031</v>
      </c>
      <c r="D1340" s="1" t="str">
        <f t="shared" si="60"/>
        <v>København KommuneAmagertorv 6</v>
      </c>
      <c r="E1340" s="1" t="s">
        <v>4032</v>
      </c>
      <c r="F1340" s="1" t="s">
        <v>4033</v>
      </c>
      <c r="G1340" s="1">
        <v>1918</v>
      </c>
      <c r="H1340" s="1" t="s">
        <v>11</v>
      </c>
      <c r="I1340" s="6" cm="1">
        <f t="array" ref="I1340">GetLatitude(D1340)</f>
        <v>556791529</v>
      </c>
      <c r="J1340" s="1" cm="1">
        <f t="array" ref="J1340">GetLongitude(D1340)</f>
        <v>125788797</v>
      </c>
      <c r="K1340" s="1">
        <f t="shared" si="61"/>
        <v>55.679152899999998</v>
      </c>
      <c r="L1340" s="1">
        <f t="shared" si="62"/>
        <v>12.5788797</v>
      </c>
    </row>
    <row r="1341" spans="1:12" ht="16" x14ac:dyDescent="0.2">
      <c r="A1341" s="1">
        <v>1340</v>
      </c>
      <c r="B1341" s="1" t="s">
        <v>3980</v>
      </c>
      <c r="C1341" s="1" t="s">
        <v>4034</v>
      </c>
      <c r="D1341" s="1" t="str">
        <f t="shared" si="60"/>
        <v>København KommuneAmaliegade 11</v>
      </c>
      <c r="E1341" s="1" t="s">
        <v>4035</v>
      </c>
      <c r="F1341" s="1" t="s">
        <v>4036</v>
      </c>
      <c r="G1341" s="1">
        <v>1978</v>
      </c>
      <c r="H1341" s="1" t="s">
        <v>11</v>
      </c>
      <c r="I1341" s="6" cm="1">
        <f t="array" ref="I1341">GetLatitude(D1341)</f>
        <v>556828516</v>
      </c>
      <c r="J1341" s="1" cm="1">
        <f t="array" ref="J1341">GetLongitude(D1341)</f>
        <v>125916213</v>
      </c>
      <c r="K1341" s="1">
        <f t="shared" si="61"/>
        <v>55.682851599999999</v>
      </c>
      <c r="L1341" s="1">
        <f t="shared" si="62"/>
        <v>12.5916213</v>
      </c>
    </row>
    <row r="1342" spans="1:12" ht="16" x14ac:dyDescent="0.2">
      <c r="A1342" s="1">
        <v>1341</v>
      </c>
      <c r="B1342" s="1" t="s">
        <v>3980</v>
      </c>
      <c r="C1342" s="1" t="s">
        <v>4037</v>
      </c>
      <c r="D1342" s="1" t="str">
        <f t="shared" si="60"/>
        <v>København KommuneAmaliegade 12</v>
      </c>
      <c r="E1342" s="1" t="s">
        <v>4038</v>
      </c>
      <c r="F1342" s="1" t="s">
        <v>4039</v>
      </c>
      <c r="G1342" s="1">
        <v>1918</v>
      </c>
      <c r="H1342" s="1" t="s">
        <v>15</v>
      </c>
      <c r="I1342" s="6" cm="1">
        <f t="array" ref="I1342">GetLatitude(D1342)</f>
        <v>556825747</v>
      </c>
      <c r="J1342" s="1" cm="1">
        <f t="array" ref="J1342">GetLongitude(D1342)</f>
        <v>125923763</v>
      </c>
      <c r="K1342" s="1">
        <f t="shared" si="61"/>
        <v>55.682574700000004</v>
      </c>
      <c r="L1342" s="1">
        <f t="shared" si="62"/>
        <v>12.5923763</v>
      </c>
    </row>
    <row r="1343" spans="1:12" ht="16" x14ac:dyDescent="0.2">
      <c r="A1343" s="1">
        <v>1342</v>
      </c>
      <c r="B1343" s="1" t="s">
        <v>3980</v>
      </c>
      <c r="C1343" s="1" t="s">
        <v>4040</v>
      </c>
      <c r="D1343" s="1" t="str">
        <f t="shared" si="60"/>
        <v>København KommuneAmaliegade 13</v>
      </c>
      <c r="E1343" s="1" t="s">
        <v>4041</v>
      </c>
      <c r="F1343" s="1" t="s">
        <v>4042</v>
      </c>
      <c r="G1343" s="1">
        <v>1918</v>
      </c>
      <c r="H1343" s="1" t="s">
        <v>4043</v>
      </c>
      <c r="I1343" s="6" cm="1">
        <f t="array" ref="I1343">GetLatitude(D1343)</f>
        <v>556829450</v>
      </c>
      <c r="J1343" s="1" cm="1">
        <f t="array" ref="J1343">GetLongitude(D1343)</f>
        <v>125919950</v>
      </c>
      <c r="K1343" s="1">
        <f t="shared" si="61"/>
        <v>55.682944999999997</v>
      </c>
      <c r="L1343" s="1">
        <f t="shared" si="62"/>
        <v>12.591995000000001</v>
      </c>
    </row>
    <row r="1344" spans="1:12" ht="16" x14ac:dyDescent="0.2">
      <c r="A1344" s="1">
        <v>1343</v>
      </c>
      <c r="B1344" s="1" t="s">
        <v>3980</v>
      </c>
      <c r="C1344" s="1" t="s">
        <v>4044</v>
      </c>
      <c r="D1344" s="1" t="str">
        <f t="shared" si="60"/>
        <v>København KommuneAmaliegade 14</v>
      </c>
      <c r="E1344" s="1" t="s">
        <v>4045</v>
      </c>
      <c r="F1344" s="1" t="s">
        <v>4046</v>
      </c>
      <c r="G1344" s="1">
        <v>1918</v>
      </c>
      <c r="H1344" s="1" t="s">
        <v>4047</v>
      </c>
      <c r="I1344" s="6" cm="1">
        <f t="array" ref="I1344">GetLatitude(D1344)</f>
        <v>556827294</v>
      </c>
      <c r="J1344" s="1" cm="1">
        <f t="array" ref="J1344">GetLongitude(D1344)</f>
        <v>125923669</v>
      </c>
      <c r="K1344" s="1">
        <f t="shared" si="61"/>
        <v>55.682729399999999</v>
      </c>
      <c r="L1344" s="1">
        <f t="shared" si="62"/>
        <v>12.5923669</v>
      </c>
    </row>
    <row r="1345" spans="1:12" ht="16" x14ac:dyDescent="0.2">
      <c r="A1345" s="1">
        <v>1344</v>
      </c>
      <c r="B1345" s="1" t="s">
        <v>3980</v>
      </c>
      <c r="C1345" s="1" t="s">
        <v>4048</v>
      </c>
      <c r="D1345" s="1" t="str">
        <f t="shared" si="60"/>
        <v>København KommuneAmaliegade 15-17</v>
      </c>
      <c r="E1345" s="1" t="s">
        <v>4049</v>
      </c>
      <c r="F1345" s="1" t="s">
        <v>4050</v>
      </c>
      <c r="G1345" s="1">
        <v>1918</v>
      </c>
      <c r="H1345" s="1" t="s">
        <v>4051</v>
      </c>
      <c r="I1345" s="6" cm="1">
        <f t="array" ref="I1345">GetLatitude(D1345)</f>
        <v>556830599</v>
      </c>
      <c r="J1345" s="1" cm="1">
        <f t="array" ref="J1345">GetLongitude(D1345)</f>
        <v>125921409</v>
      </c>
      <c r="K1345" s="1">
        <f t="shared" si="61"/>
        <v>55.683059900000003</v>
      </c>
      <c r="L1345" s="1">
        <f t="shared" si="62"/>
        <v>12.5921409</v>
      </c>
    </row>
    <row r="1346" spans="1:12" ht="16" x14ac:dyDescent="0.2">
      <c r="A1346" s="1">
        <v>1345</v>
      </c>
      <c r="B1346" s="1" t="s">
        <v>3980</v>
      </c>
      <c r="C1346" s="1" t="s">
        <v>4052</v>
      </c>
      <c r="D1346" s="1" t="str">
        <f t="shared" si="60"/>
        <v>København KommuneAmaliegade 16</v>
      </c>
      <c r="E1346" s="1" t="s">
        <v>4053</v>
      </c>
      <c r="F1346" s="1" t="s">
        <v>4054</v>
      </c>
      <c r="G1346" s="1">
        <v>1918</v>
      </c>
      <c r="H1346" s="1" t="s">
        <v>4047</v>
      </c>
      <c r="I1346" s="6" cm="1">
        <f t="array" ref="I1346">GetLatitude(D1346)</f>
        <v>556827959</v>
      </c>
      <c r="J1346" s="1" cm="1">
        <f t="array" ref="J1346">GetLongitude(D1346)</f>
        <v>125925811</v>
      </c>
      <c r="K1346" s="1">
        <f t="shared" si="61"/>
        <v>55.682795900000002</v>
      </c>
      <c r="L1346" s="1">
        <f t="shared" si="62"/>
        <v>12.5925811</v>
      </c>
    </row>
    <row r="1347" spans="1:12" ht="16" x14ac:dyDescent="0.2">
      <c r="A1347" s="1">
        <v>1346</v>
      </c>
      <c r="B1347" s="1" t="s">
        <v>3980</v>
      </c>
      <c r="C1347" s="1" t="s">
        <v>4055</v>
      </c>
      <c r="D1347" s="1" t="str">
        <f t="shared" ref="D1347:D1410" si="63">B1347&amp;C1347</f>
        <v>København KommuneAmaliegade 18 og Toldbodgade 43 D</v>
      </c>
      <c r="E1347" s="1" t="s">
        <v>4056</v>
      </c>
      <c r="F1347" s="1" t="s">
        <v>4057</v>
      </c>
      <c r="G1347" s="1">
        <v>1918</v>
      </c>
      <c r="H1347" s="1" t="s">
        <v>4058</v>
      </c>
      <c r="I1347" s="6" cm="1">
        <f t="array" ref="I1347">GetLatitude(D1347)</f>
        <v>556807750</v>
      </c>
      <c r="J1347" s="1" cm="1">
        <f t="array" ref="J1347">GetLongitude(D1347)</f>
        <v>125924485</v>
      </c>
      <c r="K1347" s="1">
        <f t="shared" si="61"/>
        <v>55.680774999999997</v>
      </c>
      <c r="L1347" s="1">
        <f t="shared" si="62"/>
        <v>12.5924485</v>
      </c>
    </row>
    <row r="1348" spans="1:12" ht="16" x14ac:dyDescent="0.2">
      <c r="A1348" s="1">
        <v>1347</v>
      </c>
      <c r="B1348" s="1" t="s">
        <v>3980</v>
      </c>
      <c r="C1348" s="1" t="s">
        <v>4059</v>
      </c>
      <c r="D1348" s="1" t="str">
        <f t="shared" si="63"/>
        <v>København KommuneAmaliegade 21 A-C</v>
      </c>
      <c r="E1348" s="1" t="s">
        <v>4060</v>
      </c>
      <c r="F1348" s="1" t="s">
        <v>4061</v>
      </c>
      <c r="G1348" s="1">
        <v>1918</v>
      </c>
      <c r="H1348" s="1" t="s">
        <v>4062</v>
      </c>
      <c r="I1348" s="6" cm="1">
        <f t="array" ref="I1348">GetLatitude(D1348)</f>
        <v>556851438</v>
      </c>
      <c r="J1348" s="1" cm="1">
        <f t="array" ref="J1348">GetLongitude(D1348)</f>
        <v>125939368</v>
      </c>
      <c r="K1348" s="1">
        <f t="shared" ref="K1348:K1411" si="64">I1348/10000000</f>
        <v>55.685143799999999</v>
      </c>
      <c r="L1348" s="1">
        <f t="shared" ref="L1348:L1411" si="65">J1348/10000000</f>
        <v>12.5939368</v>
      </c>
    </row>
    <row r="1349" spans="1:12" ht="16" x14ac:dyDescent="0.2">
      <c r="A1349" s="1">
        <v>1348</v>
      </c>
      <c r="B1349" s="1" t="s">
        <v>3980</v>
      </c>
      <c r="C1349" s="1" t="s">
        <v>4063</v>
      </c>
      <c r="D1349" s="1" t="str">
        <f t="shared" si="63"/>
        <v>København KommuneAmaliegade 22</v>
      </c>
      <c r="E1349" s="1" t="s">
        <v>4064</v>
      </c>
      <c r="F1349" s="1" t="s">
        <v>4065</v>
      </c>
      <c r="G1349" s="1">
        <v>1945</v>
      </c>
      <c r="H1349" s="1" t="s">
        <v>4066</v>
      </c>
      <c r="I1349" s="6" cm="1">
        <f t="array" ref="I1349">GetLatitude(D1349)</f>
        <v>556848559</v>
      </c>
      <c r="J1349" s="1" cm="1">
        <f t="array" ref="J1349">GetLongitude(D1349)</f>
        <v>125942181</v>
      </c>
      <c r="K1349" s="1">
        <f t="shared" si="64"/>
        <v>55.684855900000002</v>
      </c>
      <c r="L1349" s="1">
        <f t="shared" si="65"/>
        <v>12.594218100000001</v>
      </c>
    </row>
    <row r="1350" spans="1:12" ht="16" x14ac:dyDescent="0.2">
      <c r="A1350" s="1">
        <v>1349</v>
      </c>
      <c r="B1350" s="1" t="s">
        <v>3980</v>
      </c>
      <c r="C1350" s="1" t="s">
        <v>4067</v>
      </c>
      <c r="D1350" s="1" t="str">
        <f t="shared" si="63"/>
        <v>København KommuneAmaliegade 23-25</v>
      </c>
      <c r="E1350" s="1" t="s">
        <v>4068</v>
      </c>
      <c r="F1350" s="1" t="s">
        <v>4069</v>
      </c>
      <c r="G1350" s="1">
        <v>1918</v>
      </c>
      <c r="H1350" s="1" t="s">
        <v>4070</v>
      </c>
      <c r="I1350" s="6" cm="1">
        <f t="array" ref="I1350">GetLatitude(D1350)</f>
        <v>556852682</v>
      </c>
      <c r="J1350" s="1" cm="1">
        <f t="array" ref="J1350">GetLongitude(D1350)</f>
        <v>125940133</v>
      </c>
      <c r="K1350" s="1">
        <f t="shared" si="64"/>
        <v>55.685268200000003</v>
      </c>
      <c r="L1350" s="1">
        <f t="shared" si="65"/>
        <v>12.5940133</v>
      </c>
    </row>
    <row r="1351" spans="1:12" ht="16" x14ac:dyDescent="0.2">
      <c r="A1351" s="1">
        <v>1350</v>
      </c>
      <c r="B1351" s="1" t="s">
        <v>3980</v>
      </c>
      <c r="C1351" s="1" t="s">
        <v>4071</v>
      </c>
      <c r="D1351" s="1" t="str">
        <f t="shared" si="63"/>
        <v>København KommuneAmaliegade 27</v>
      </c>
      <c r="E1351" s="1" t="s">
        <v>4072</v>
      </c>
      <c r="F1351" s="1" t="s">
        <v>4073</v>
      </c>
      <c r="G1351" s="1">
        <v>1944</v>
      </c>
      <c r="H1351" s="1" t="s">
        <v>3204</v>
      </c>
      <c r="I1351" s="6" cm="1">
        <f t="array" ref="I1351">GetLatitude(D1351)</f>
        <v>556858524</v>
      </c>
      <c r="J1351" s="1" cm="1">
        <f t="array" ref="J1351">GetLongitude(D1351)</f>
        <v>125944511</v>
      </c>
      <c r="K1351" s="1">
        <f t="shared" si="64"/>
        <v>55.685852400000002</v>
      </c>
      <c r="L1351" s="1">
        <f t="shared" si="65"/>
        <v>12.594451100000001</v>
      </c>
    </row>
    <row r="1352" spans="1:12" ht="16" x14ac:dyDescent="0.2">
      <c r="A1352" s="1">
        <v>1351</v>
      </c>
      <c r="B1352" s="1" t="s">
        <v>3980</v>
      </c>
      <c r="C1352" s="1" t="s">
        <v>4074</v>
      </c>
      <c r="D1352" s="1" t="str">
        <f t="shared" si="63"/>
        <v>København KommuneAmaliegade 31</v>
      </c>
      <c r="E1352" s="1" t="s">
        <v>4075</v>
      </c>
      <c r="F1352" s="1" t="s">
        <v>4073</v>
      </c>
      <c r="G1352" s="1">
        <v>1939</v>
      </c>
      <c r="H1352" s="1" t="s">
        <v>3204</v>
      </c>
      <c r="I1352" s="6" cm="1">
        <f t="array" ref="I1352">GetLatitude(D1352)</f>
        <v>556863322</v>
      </c>
      <c r="J1352" s="1" cm="1">
        <f t="array" ref="J1352">GetLongitude(D1352)</f>
        <v>125948821</v>
      </c>
      <c r="K1352" s="1">
        <f t="shared" si="64"/>
        <v>55.686332200000003</v>
      </c>
      <c r="L1352" s="1">
        <f t="shared" si="65"/>
        <v>12.5948821</v>
      </c>
    </row>
    <row r="1353" spans="1:12" ht="16" x14ac:dyDescent="0.2">
      <c r="A1353" s="1">
        <v>1352</v>
      </c>
      <c r="B1353" s="1" t="s">
        <v>3980</v>
      </c>
      <c r="C1353" s="1" t="s">
        <v>4076</v>
      </c>
      <c r="D1353" s="1" t="str">
        <f t="shared" si="63"/>
        <v>København KommuneAmaliegade 33</v>
      </c>
      <c r="E1353" s="1" t="s">
        <v>4077</v>
      </c>
      <c r="F1353" s="1" t="s">
        <v>4078</v>
      </c>
      <c r="G1353" s="1">
        <v>2001</v>
      </c>
      <c r="H1353" s="1" t="s">
        <v>11</v>
      </c>
      <c r="I1353" s="6" cm="1">
        <f t="array" ref="I1353">GetLatitude(D1353)</f>
        <v>556866325</v>
      </c>
      <c r="J1353" s="1" cm="1">
        <f t="array" ref="J1353">GetLongitude(D1353)</f>
        <v>125951294</v>
      </c>
      <c r="K1353" s="1">
        <f t="shared" si="64"/>
        <v>55.686632500000002</v>
      </c>
      <c r="L1353" s="1">
        <f t="shared" si="65"/>
        <v>12.595129399999999</v>
      </c>
    </row>
    <row r="1354" spans="1:12" ht="16" x14ac:dyDescent="0.2">
      <c r="A1354" s="1">
        <v>1353</v>
      </c>
      <c r="B1354" s="1" t="s">
        <v>3980</v>
      </c>
      <c r="C1354" s="1" t="s">
        <v>4079</v>
      </c>
      <c r="D1354" s="1" t="str">
        <f t="shared" si="63"/>
        <v>København KommuneAmaliegade 37</v>
      </c>
      <c r="E1354" s="1" t="s">
        <v>4080</v>
      </c>
      <c r="F1354" s="1" t="s">
        <v>4081</v>
      </c>
      <c r="G1354" s="1">
        <v>1951</v>
      </c>
      <c r="H1354" s="1" t="s">
        <v>11</v>
      </c>
      <c r="I1354" s="6" cm="1">
        <f t="array" ref="I1354">GetLatitude(D1354)</f>
        <v>556869515</v>
      </c>
      <c r="J1354" s="1" cm="1">
        <f t="array" ref="J1354">GetLongitude(D1354)</f>
        <v>125953889</v>
      </c>
      <c r="K1354" s="1">
        <f t="shared" si="64"/>
        <v>55.686951499999999</v>
      </c>
      <c r="L1354" s="1">
        <f t="shared" si="65"/>
        <v>12.5953889</v>
      </c>
    </row>
    <row r="1355" spans="1:12" ht="16" x14ac:dyDescent="0.2">
      <c r="A1355" s="1">
        <v>1354</v>
      </c>
      <c r="B1355" s="1" t="s">
        <v>3980</v>
      </c>
      <c r="C1355" s="1" t="s">
        <v>4082</v>
      </c>
      <c r="D1355" s="1" t="str">
        <f t="shared" si="63"/>
        <v>København KommuneAmaliegade 38</v>
      </c>
      <c r="E1355" s="1" t="s">
        <v>4083</v>
      </c>
      <c r="F1355" s="1" t="s">
        <v>11384</v>
      </c>
      <c r="G1355" s="1">
        <v>1918</v>
      </c>
      <c r="H1355" s="1" t="s">
        <v>11</v>
      </c>
      <c r="I1355" s="6" cm="1">
        <f t="array" ref="I1355">GetLatitude(D1355)</f>
        <v>556859673</v>
      </c>
      <c r="J1355" s="1" cm="1">
        <f t="array" ref="J1355">GetLongitude(D1355)</f>
        <v>125951550</v>
      </c>
      <c r="K1355" s="1">
        <f t="shared" si="64"/>
        <v>55.685967300000002</v>
      </c>
      <c r="L1355" s="1">
        <f t="shared" si="65"/>
        <v>12.595155</v>
      </c>
    </row>
    <row r="1356" spans="1:12" ht="16" x14ac:dyDescent="0.2">
      <c r="A1356" s="1">
        <v>1355</v>
      </c>
      <c r="B1356" s="1" t="s">
        <v>3980</v>
      </c>
      <c r="C1356" s="1" t="s">
        <v>4084</v>
      </c>
      <c r="D1356" s="1" t="str">
        <f t="shared" si="63"/>
        <v>København KommuneAmaliegade 4</v>
      </c>
      <c r="E1356" s="1" t="s">
        <v>4085</v>
      </c>
      <c r="F1356" s="1" t="s">
        <v>4086</v>
      </c>
      <c r="G1356" s="1">
        <v>1950</v>
      </c>
      <c r="H1356" s="1" t="s">
        <v>11</v>
      </c>
      <c r="I1356" s="6" cm="1">
        <f t="array" ref="I1356">GetLatitude(D1356)</f>
        <v>556819288</v>
      </c>
      <c r="J1356" s="1" cm="1">
        <f t="array" ref="J1356">GetLongitude(D1356)</f>
        <v>125918034</v>
      </c>
      <c r="K1356" s="1">
        <f t="shared" si="64"/>
        <v>55.681928800000001</v>
      </c>
      <c r="L1356" s="1">
        <f t="shared" si="65"/>
        <v>12.5918034</v>
      </c>
    </row>
    <row r="1357" spans="1:12" ht="16" x14ac:dyDescent="0.2">
      <c r="A1357" s="1">
        <v>1356</v>
      </c>
      <c r="B1357" s="1" t="s">
        <v>3980</v>
      </c>
      <c r="C1357" s="1" t="s">
        <v>4087</v>
      </c>
      <c r="D1357" s="1" t="str">
        <f t="shared" si="63"/>
        <v>København KommuneAmaliegade 40-42</v>
      </c>
      <c r="E1357" s="1" t="s">
        <v>4088</v>
      </c>
      <c r="F1357" s="1" t="s">
        <v>4089</v>
      </c>
      <c r="G1357" s="1">
        <v>1951</v>
      </c>
      <c r="H1357" s="1" t="s">
        <v>4090</v>
      </c>
      <c r="I1357" s="6" cm="1">
        <f t="array" ref="I1357">GetLatitude(D1357)</f>
        <v>556861530</v>
      </c>
      <c r="J1357" s="1" cm="1">
        <f t="array" ref="J1357">GetLongitude(D1357)</f>
        <v>125952770</v>
      </c>
      <c r="K1357" s="1">
        <f t="shared" si="64"/>
        <v>55.686152999999997</v>
      </c>
      <c r="L1357" s="1">
        <f t="shared" si="65"/>
        <v>12.595276999999999</v>
      </c>
    </row>
    <row r="1358" spans="1:12" ht="16" x14ac:dyDescent="0.2">
      <c r="A1358" s="1">
        <v>1357</v>
      </c>
      <c r="B1358" s="1" t="s">
        <v>3980</v>
      </c>
      <c r="C1358" s="1" t="s">
        <v>4091</v>
      </c>
      <c r="D1358" s="1" t="str">
        <f t="shared" si="63"/>
        <v>København KommuneAmaliegade 41</v>
      </c>
      <c r="E1358" s="1" t="s">
        <v>4092</v>
      </c>
      <c r="F1358" s="1" t="s">
        <v>11385</v>
      </c>
      <c r="G1358" s="1">
        <v>1951</v>
      </c>
      <c r="H1358" s="1" t="s">
        <v>11</v>
      </c>
      <c r="I1358" s="6" cm="1">
        <f t="array" ref="I1358">GetLatitude(D1358)</f>
        <v>556873166</v>
      </c>
      <c r="J1358" s="1" cm="1">
        <f t="array" ref="J1358">GetLongitude(D1358)</f>
        <v>125956585</v>
      </c>
      <c r="K1358" s="1">
        <f t="shared" si="64"/>
        <v>55.687316600000003</v>
      </c>
      <c r="L1358" s="1">
        <f t="shared" si="65"/>
        <v>12.595658500000001</v>
      </c>
    </row>
    <row r="1359" spans="1:12" ht="16" x14ac:dyDescent="0.2">
      <c r="A1359" s="1">
        <v>1358</v>
      </c>
      <c r="B1359" s="1" t="s">
        <v>3980</v>
      </c>
      <c r="C1359" s="1" t="s">
        <v>4093</v>
      </c>
      <c r="D1359" s="1" t="str">
        <f t="shared" si="63"/>
        <v>København KommuneAmaliegade 43</v>
      </c>
      <c r="E1359" s="1" t="s">
        <v>4094</v>
      </c>
      <c r="F1359" s="1" t="s">
        <v>4095</v>
      </c>
      <c r="G1359" s="1">
        <v>1918</v>
      </c>
      <c r="H1359" s="1" t="s">
        <v>4047</v>
      </c>
      <c r="I1359" s="6" cm="1">
        <f t="array" ref="I1359">GetLatitude(D1359)</f>
        <v>556874515</v>
      </c>
      <c r="J1359" s="1" cm="1">
        <f t="array" ref="J1359">GetLongitude(D1359)</f>
        <v>125957339</v>
      </c>
      <c r="K1359" s="1">
        <f t="shared" si="64"/>
        <v>55.687451500000002</v>
      </c>
      <c r="L1359" s="1">
        <f t="shared" si="65"/>
        <v>12.595733900000001</v>
      </c>
    </row>
    <row r="1360" spans="1:12" ht="16" x14ac:dyDescent="0.2">
      <c r="A1360" s="1">
        <v>1359</v>
      </c>
      <c r="B1360" s="1" t="s">
        <v>3980</v>
      </c>
      <c r="C1360" s="1" t="s">
        <v>4096</v>
      </c>
      <c r="D1360" s="1" t="str">
        <f t="shared" si="63"/>
        <v>København KommuneAmaliegade 45</v>
      </c>
      <c r="E1360" s="1" t="s">
        <v>4097</v>
      </c>
      <c r="F1360" s="1" t="s">
        <v>4098</v>
      </c>
      <c r="G1360" s="1">
        <v>1918</v>
      </c>
      <c r="H1360" s="1" t="s">
        <v>4047</v>
      </c>
      <c r="I1360" s="6" cm="1">
        <f t="array" ref="I1360">GetLatitude(D1360)</f>
        <v>556875904</v>
      </c>
      <c r="J1360" s="1" cm="1">
        <f t="array" ref="J1360">GetLongitude(D1360)</f>
        <v>125959552</v>
      </c>
      <c r="K1360" s="1">
        <f t="shared" si="64"/>
        <v>55.687590399999998</v>
      </c>
      <c r="L1360" s="1">
        <f t="shared" si="65"/>
        <v>12.595955200000001</v>
      </c>
    </row>
    <row r="1361" spans="1:12" ht="16" x14ac:dyDescent="0.2">
      <c r="A1361" s="1">
        <v>1360</v>
      </c>
      <c r="B1361" s="1" t="s">
        <v>3980</v>
      </c>
      <c r="C1361" s="1" t="s">
        <v>4099</v>
      </c>
      <c r="D1361" s="1" t="str">
        <f t="shared" si="63"/>
        <v>København KommuneAmaliegade 47</v>
      </c>
      <c r="E1361" s="1" t="s">
        <v>4100</v>
      </c>
      <c r="F1361" s="1" t="s">
        <v>4101</v>
      </c>
      <c r="G1361" s="1">
        <v>1945</v>
      </c>
      <c r="H1361" s="1" t="s">
        <v>11</v>
      </c>
      <c r="I1361" s="6" cm="1">
        <f t="array" ref="I1361">GetLatitude(D1361)</f>
        <v>556877311</v>
      </c>
      <c r="J1361" s="1" cm="1">
        <f t="array" ref="J1361">GetLongitude(D1361)</f>
        <v>125960015</v>
      </c>
      <c r="K1361" s="1">
        <f t="shared" si="64"/>
        <v>55.687731100000001</v>
      </c>
      <c r="L1361" s="1">
        <f t="shared" si="65"/>
        <v>12.5960015</v>
      </c>
    </row>
    <row r="1362" spans="1:12" ht="16" x14ac:dyDescent="0.2">
      <c r="A1362" s="1">
        <v>1361</v>
      </c>
      <c r="B1362" s="1" t="s">
        <v>3980</v>
      </c>
      <c r="C1362" s="1" t="s">
        <v>4102</v>
      </c>
      <c r="D1362" s="1" t="str">
        <f t="shared" si="63"/>
        <v>København KommuneAmaliegade 49, hj af Esplanaden</v>
      </c>
      <c r="E1362" s="1" t="s">
        <v>4103</v>
      </c>
      <c r="F1362" s="1" t="s">
        <v>4104</v>
      </c>
      <c r="G1362" s="1">
        <v>1926</v>
      </c>
      <c r="H1362" s="1" t="s">
        <v>11</v>
      </c>
      <c r="I1362" s="6" cm="1">
        <f t="array" ref="I1362">GetLatitude(D1362)</f>
        <v>556879083</v>
      </c>
      <c r="J1362" s="1" cm="1">
        <f t="array" ref="J1362">GetLongitude(D1362)</f>
        <v>125953132</v>
      </c>
      <c r="K1362" s="1">
        <f t="shared" si="64"/>
        <v>55.687908299999997</v>
      </c>
      <c r="L1362" s="1">
        <f t="shared" si="65"/>
        <v>12.5953132</v>
      </c>
    </row>
    <row r="1363" spans="1:12" ht="16" x14ac:dyDescent="0.2">
      <c r="A1363" s="1">
        <v>1362</v>
      </c>
      <c r="B1363" s="1" t="s">
        <v>3980</v>
      </c>
      <c r="C1363" s="1" t="s">
        <v>4105</v>
      </c>
      <c r="D1363" s="1" t="str">
        <f t="shared" si="63"/>
        <v>København KommuneAmaliegade 8</v>
      </c>
      <c r="E1363" s="1" t="s">
        <v>4106</v>
      </c>
      <c r="F1363" s="1" t="s">
        <v>4107</v>
      </c>
      <c r="G1363" s="1">
        <v>1918</v>
      </c>
      <c r="H1363" s="1" t="s">
        <v>11</v>
      </c>
      <c r="I1363" s="6" cm="1">
        <f t="array" ref="I1363">GetLatitude(D1363)</f>
        <v>556822103</v>
      </c>
      <c r="J1363" s="1" cm="1">
        <f t="array" ref="J1363">GetLongitude(D1363)</f>
        <v>125919428</v>
      </c>
      <c r="K1363" s="1">
        <f t="shared" si="64"/>
        <v>55.682210300000001</v>
      </c>
      <c r="L1363" s="1">
        <f t="shared" si="65"/>
        <v>12.5919428</v>
      </c>
    </row>
    <row r="1364" spans="1:12" ht="16" x14ac:dyDescent="0.2">
      <c r="A1364" s="1">
        <v>1363</v>
      </c>
      <c r="B1364" s="1" t="s">
        <v>3980</v>
      </c>
      <c r="C1364" s="1" t="s">
        <v>4108</v>
      </c>
      <c r="D1364" s="1" t="str">
        <f t="shared" si="63"/>
        <v>København KommuneAmaliegade 9 og 9 B</v>
      </c>
      <c r="E1364" s="1" t="s">
        <v>4109</v>
      </c>
      <c r="F1364" s="1" t="s">
        <v>4110</v>
      </c>
      <c r="G1364" s="1">
        <v>1918</v>
      </c>
      <c r="H1364" s="1" t="s">
        <v>11</v>
      </c>
      <c r="I1364" s="6" cm="1">
        <f t="array" ref="I1364">GetLatitude(D1364)</f>
        <v>556827749</v>
      </c>
      <c r="J1364" s="1" cm="1">
        <f t="array" ref="J1364">GetLongitude(D1364)</f>
        <v>125915579</v>
      </c>
      <c r="K1364" s="1">
        <f t="shared" si="64"/>
        <v>55.682774899999998</v>
      </c>
      <c r="L1364" s="1">
        <f t="shared" si="65"/>
        <v>12.5915579</v>
      </c>
    </row>
    <row r="1365" spans="1:12" ht="16" x14ac:dyDescent="0.2">
      <c r="A1365" s="1">
        <v>1364</v>
      </c>
      <c r="B1365" s="1" t="s">
        <v>3980</v>
      </c>
      <c r="C1365" s="1" t="s">
        <v>4111</v>
      </c>
      <c r="D1365" s="1" t="str">
        <f t="shared" si="63"/>
        <v>København KommuneAmalienborg</v>
      </c>
      <c r="E1365" s="1" t="s">
        <v>4112</v>
      </c>
      <c r="F1365" s="1" t="s">
        <v>4113</v>
      </c>
      <c r="G1365" s="1">
        <v>1918</v>
      </c>
      <c r="H1365" s="1" t="s">
        <v>15</v>
      </c>
      <c r="I1365" s="6" cm="1">
        <f t="array" ref="I1365">GetLatitude(D1365)</f>
        <v>556840588</v>
      </c>
      <c r="J1365" s="1" cm="1">
        <f t="array" ref="J1365">GetLongitude(D1365)</f>
        <v>125930201</v>
      </c>
      <c r="K1365" s="1">
        <f t="shared" si="64"/>
        <v>55.684058800000003</v>
      </c>
      <c r="L1365" s="1">
        <f t="shared" si="65"/>
        <v>12.5930201</v>
      </c>
    </row>
    <row r="1366" spans="1:12" ht="16" x14ac:dyDescent="0.2">
      <c r="A1366" s="1">
        <v>1365</v>
      </c>
      <c r="B1366" s="1" t="s">
        <v>3980</v>
      </c>
      <c r="C1366" s="1" t="s">
        <v>4114</v>
      </c>
      <c r="D1366" s="1" t="str">
        <f t="shared" si="63"/>
        <v>København KommuneAmalienborg Plads</v>
      </c>
      <c r="E1366" s="1" t="s">
        <v>4115</v>
      </c>
      <c r="F1366" s="1" t="s">
        <v>4116</v>
      </c>
      <c r="G1366" s="1">
        <v>1918</v>
      </c>
      <c r="H1366" s="1" t="s">
        <v>15</v>
      </c>
      <c r="I1366" s="6" cm="1">
        <f t="array" ref="I1366">GetLatitude(D1366)</f>
        <v>556840588</v>
      </c>
      <c r="J1366" s="1" cm="1">
        <f t="array" ref="J1366">GetLongitude(D1366)</f>
        <v>125930201</v>
      </c>
      <c r="K1366" s="1">
        <f t="shared" si="64"/>
        <v>55.684058800000003</v>
      </c>
      <c r="L1366" s="1">
        <f t="shared" si="65"/>
        <v>12.5930201</v>
      </c>
    </row>
    <row r="1367" spans="1:12" ht="16" x14ac:dyDescent="0.2">
      <c r="A1367" s="1">
        <v>1366</v>
      </c>
      <c r="B1367" s="1" t="s">
        <v>3980</v>
      </c>
      <c r="C1367" s="1" t="s">
        <v>4117</v>
      </c>
      <c r="D1367" s="1" t="str">
        <f t="shared" si="63"/>
        <v>København KommuneAntonigade 3</v>
      </c>
      <c r="E1367" s="1" t="s">
        <v>4118</v>
      </c>
      <c r="F1367" s="1" t="s">
        <v>4119</v>
      </c>
      <c r="G1367" s="1">
        <v>1986</v>
      </c>
      <c r="H1367" s="1" t="s">
        <v>15</v>
      </c>
      <c r="I1367" s="6" cm="1">
        <f t="array" ref="I1367">GetLatitude(D1367)</f>
        <v>556803998</v>
      </c>
      <c r="J1367" s="1" cm="1">
        <f t="array" ref="J1367">GetLongitude(D1367)</f>
        <v>125809604</v>
      </c>
      <c r="K1367" s="1">
        <f t="shared" si="64"/>
        <v>55.680399800000004</v>
      </c>
      <c r="L1367" s="1">
        <f t="shared" si="65"/>
        <v>12.5809604</v>
      </c>
    </row>
    <row r="1368" spans="1:12" ht="16" x14ac:dyDescent="0.2">
      <c r="A1368" s="1">
        <v>1367</v>
      </c>
      <c r="B1368" s="1" t="s">
        <v>3980</v>
      </c>
      <c r="C1368" s="1" t="s">
        <v>4120</v>
      </c>
      <c r="D1368" s="1" t="str">
        <f t="shared" si="63"/>
        <v>København KommuneAntonigade 9</v>
      </c>
      <c r="E1368" s="1" t="s">
        <v>4121</v>
      </c>
      <c r="F1368" s="1" t="s">
        <v>4122</v>
      </c>
      <c r="G1368" s="1">
        <v>1918</v>
      </c>
      <c r="H1368" s="1" t="s">
        <v>4123</v>
      </c>
      <c r="I1368" s="6" cm="1">
        <f t="array" ref="I1368">GetLatitude(D1368)</f>
        <v>556805426</v>
      </c>
      <c r="J1368" s="1" cm="1">
        <f t="array" ref="J1368">GetLongitude(D1368)</f>
        <v>125811768</v>
      </c>
      <c r="K1368" s="1">
        <f t="shared" si="64"/>
        <v>55.680542600000003</v>
      </c>
      <c r="L1368" s="1">
        <f t="shared" si="65"/>
        <v>12.5811768</v>
      </c>
    </row>
    <row r="1369" spans="1:12" ht="16" x14ac:dyDescent="0.2">
      <c r="A1369" s="1">
        <v>1368</v>
      </c>
      <c r="B1369" s="1" t="s">
        <v>3980</v>
      </c>
      <c r="C1369" s="1" t="s">
        <v>4124</v>
      </c>
      <c r="D1369" s="1" t="str">
        <f t="shared" si="63"/>
        <v>København KommuneArendalsgade 6/ Classensgade 60</v>
      </c>
      <c r="E1369" s="1" t="s">
        <v>4125</v>
      </c>
      <c r="F1369" s="1" t="s">
        <v>4126</v>
      </c>
      <c r="G1369" s="1">
        <v>2003</v>
      </c>
      <c r="H1369" s="1" t="s">
        <v>15</v>
      </c>
      <c r="I1369" s="6" cm="1">
        <f t="array" ref="I1369">GetLatitude(D1369)</f>
        <v>556983191</v>
      </c>
      <c r="J1369" s="1" cm="1">
        <f t="array" ref="J1369">GetLongitude(D1369)</f>
        <v>125888706</v>
      </c>
      <c r="K1369" s="1">
        <f t="shared" si="64"/>
        <v>55.698319099999999</v>
      </c>
      <c r="L1369" s="1">
        <f t="shared" si="65"/>
        <v>12.5888706</v>
      </c>
    </row>
    <row r="1370" spans="1:12" ht="16" x14ac:dyDescent="0.2">
      <c r="A1370" s="1">
        <v>1369</v>
      </c>
      <c r="B1370" s="1" t="s">
        <v>3980</v>
      </c>
      <c r="C1370" s="1" t="s">
        <v>4127</v>
      </c>
      <c r="D1370" s="1" t="str">
        <f t="shared" si="63"/>
        <v>København KommuneArtillerivej 73 B</v>
      </c>
      <c r="E1370" s="1" t="s">
        <v>4128</v>
      </c>
      <c r="F1370" s="1" t="s">
        <v>4129</v>
      </c>
      <c r="G1370" s="1">
        <v>2014</v>
      </c>
      <c r="H1370" s="1" t="s">
        <v>11</v>
      </c>
      <c r="I1370" s="6" cm="1">
        <f t="array" ref="I1370">GetLatitude(D1370)</f>
        <v>556610856</v>
      </c>
      <c r="J1370" s="1" cm="1">
        <f t="array" ref="J1370">GetLongitude(D1370)</f>
        <v>125784132</v>
      </c>
      <c r="K1370" s="1">
        <f t="shared" si="64"/>
        <v>55.6610856</v>
      </c>
      <c r="L1370" s="1">
        <f t="shared" si="65"/>
        <v>12.5784132</v>
      </c>
    </row>
    <row r="1371" spans="1:12" ht="16" x14ac:dyDescent="0.2">
      <c r="A1371" s="1">
        <v>1370</v>
      </c>
      <c r="B1371" s="1" t="s">
        <v>3980</v>
      </c>
      <c r="C1371" s="1" t="s">
        <v>4130</v>
      </c>
      <c r="D1371" s="1" t="str">
        <f t="shared" si="63"/>
        <v>København KommuneAugust Bournonvilles Passage 1 (tidl Tordenskjoldsgade 1)</v>
      </c>
      <c r="E1371" s="1" t="s">
        <v>4131</v>
      </c>
      <c r="F1371" s="1" t="s">
        <v>4132</v>
      </c>
      <c r="G1371" s="1">
        <v>1995</v>
      </c>
      <c r="H1371" s="1" t="s">
        <v>15</v>
      </c>
      <c r="I1371" s="6" cm="1">
        <f t="array" ref="I1371">GetLatitude(D1371)</f>
        <v>556796432</v>
      </c>
      <c r="J1371" s="1" cm="1">
        <f t="array" ref="J1371">GetLongitude(D1371)</f>
        <v>125868604</v>
      </c>
      <c r="K1371" s="1">
        <f t="shared" si="64"/>
        <v>55.679643200000001</v>
      </c>
      <c r="L1371" s="1">
        <f t="shared" si="65"/>
        <v>12.586860400000001</v>
      </c>
    </row>
    <row r="1372" spans="1:12" ht="16" x14ac:dyDescent="0.2">
      <c r="A1372" s="1">
        <v>1371</v>
      </c>
      <c r="B1372" s="1" t="s">
        <v>3980</v>
      </c>
      <c r="C1372" s="1" t="s">
        <v>4133</v>
      </c>
      <c r="D1372" s="1" t="str">
        <f t="shared" si="63"/>
        <v>København KommuneAugust Bournonvilles Passage 5 (tidl Tordenskjoldsgade 5)</v>
      </c>
      <c r="E1372" s="1" t="s">
        <v>4134</v>
      </c>
      <c r="F1372" s="1" t="s">
        <v>4135</v>
      </c>
      <c r="G1372" s="1">
        <v>1995</v>
      </c>
      <c r="H1372" s="1" t="s">
        <v>15</v>
      </c>
      <c r="I1372" s="6" cm="1">
        <f t="array" ref="I1372">GetLatitude(D1372)</f>
        <v>556792309</v>
      </c>
      <c r="J1372" s="1" cm="1">
        <f t="array" ref="J1372">GetLongitude(D1372)</f>
        <v>125872216</v>
      </c>
      <c r="K1372" s="1">
        <f t="shared" si="64"/>
        <v>55.6792309</v>
      </c>
      <c r="L1372" s="1">
        <f t="shared" si="65"/>
        <v>12.587221599999999</v>
      </c>
    </row>
    <row r="1373" spans="1:12" ht="16" x14ac:dyDescent="0.2">
      <c r="A1373" s="1">
        <v>1372</v>
      </c>
      <c r="B1373" s="1" t="s">
        <v>3980</v>
      </c>
      <c r="C1373" s="1" t="s">
        <v>4136</v>
      </c>
      <c r="D1373" s="1" t="str">
        <f t="shared" si="63"/>
        <v>København KommuneAxeltorv 12 og Studiestræde 54</v>
      </c>
      <c r="E1373" s="1" t="s">
        <v>4137</v>
      </c>
      <c r="F1373" s="1" t="s">
        <v>4138</v>
      </c>
      <c r="G1373" s="1">
        <v>2010</v>
      </c>
      <c r="H1373" s="1" t="s">
        <v>4139</v>
      </c>
      <c r="I1373" s="6" cm="1">
        <f t="array" ref="I1373">GetLatitude(D1373)</f>
        <v>556789182</v>
      </c>
      <c r="J1373" s="1" cm="1">
        <f t="array" ref="J1373">GetLongitude(D1373)</f>
        <v>125700772</v>
      </c>
      <c r="K1373" s="1">
        <f t="shared" si="64"/>
        <v>55.678918199999998</v>
      </c>
      <c r="L1373" s="1">
        <f t="shared" si="65"/>
        <v>12.5700772</v>
      </c>
    </row>
    <row r="1374" spans="1:12" ht="16" x14ac:dyDescent="0.2">
      <c r="A1374" s="1">
        <v>1373</v>
      </c>
      <c r="B1374" s="1" t="s">
        <v>3980</v>
      </c>
      <c r="C1374" s="1" t="s">
        <v>4140</v>
      </c>
      <c r="D1374" s="1" t="str">
        <f t="shared" si="63"/>
        <v>København KommuneBadstuestræde 10 A</v>
      </c>
      <c r="E1374" s="1" t="s">
        <v>4141</v>
      </c>
      <c r="F1374" s="1" t="s">
        <v>4142</v>
      </c>
      <c r="G1374" s="1">
        <v>1964</v>
      </c>
      <c r="H1374" s="1" t="s">
        <v>99</v>
      </c>
      <c r="I1374" s="6" cm="1">
        <f t="array" ref="I1374">GetLatitude(D1374)</f>
        <v>556781490</v>
      </c>
      <c r="J1374" s="1" cm="1">
        <f t="array" ref="J1374">GetLongitude(D1374)</f>
        <v>125750080</v>
      </c>
      <c r="K1374" s="1">
        <f t="shared" si="64"/>
        <v>55.678148999999998</v>
      </c>
      <c r="L1374" s="1">
        <f t="shared" si="65"/>
        <v>12.575008</v>
      </c>
    </row>
    <row r="1375" spans="1:12" ht="16" x14ac:dyDescent="0.2">
      <c r="A1375" s="1">
        <v>1374</v>
      </c>
      <c r="B1375" s="1" t="s">
        <v>3980</v>
      </c>
      <c r="C1375" s="1" t="s">
        <v>4143</v>
      </c>
      <c r="D1375" s="1" t="str">
        <f t="shared" si="63"/>
        <v>København KommuneBadstuestræde 12</v>
      </c>
      <c r="E1375" s="1" t="s">
        <v>4144</v>
      </c>
      <c r="F1375" s="1" t="s">
        <v>4145</v>
      </c>
      <c r="G1375" s="1">
        <v>1964</v>
      </c>
      <c r="H1375" s="1" t="s">
        <v>15</v>
      </c>
      <c r="I1375" s="6" cm="1">
        <f t="array" ref="I1375">GetLatitude(D1375)</f>
        <v>556780303</v>
      </c>
      <c r="J1375" s="1" cm="1">
        <f t="array" ref="J1375">GetLongitude(D1375)</f>
        <v>125751244</v>
      </c>
      <c r="K1375" s="1">
        <f t="shared" si="64"/>
        <v>55.678030300000003</v>
      </c>
      <c r="L1375" s="1">
        <f t="shared" si="65"/>
        <v>12.5751244</v>
      </c>
    </row>
    <row r="1376" spans="1:12" ht="16" x14ac:dyDescent="0.2">
      <c r="A1376" s="1">
        <v>1375</v>
      </c>
      <c r="B1376" s="1" t="s">
        <v>3980</v>
      </c>
      <c r="C1376" s="1" t="s">
        <v>4146</v>
      </c>
      <c r="D1376" s="1" t="str">
        <f t="shared" si="63"/>
        <v>København KommuneBadstuestræde 15</v>
      </c>
      <c r="E1376" s="1" t="s">
        <v>4147</v>
      </c>
      <c r="F1376" s="1" t="s">
        <v>4148</v>
      </c>
      <c r="G1376" s="1">
        <v>1964</v>
      </c>
      <c r="H1376" s="1" t="s">
        <v>4149</v>
      </c>
      <c r="I1376" s="6" cm="1">
        <f t="array" ref="I1376">GetLatitude(D1376)</f>
        <v>556777849</v>
      </c>
      <c r="J1376" s="1" cm="1">
        <f t="array" ref="J1376">GetLongitude(D1376)</f>
        <v>125759842</v>
      </c>
      <c r="K1376" s="1">
        <f t="shared" si="64"/>
        <v>55.677784899999999</v>
      </c>
      <c r="L1376" s="1">
        <f t="shared" si="65"/>
        <v>12.575984200000001</v>
      </c>
    </row>
    <row r="1377" spans="1:12" ht="16" x14ac:dyDescent="0.2">
      <c r="A1377" s="1">
        <v>1376</v>
      </c>
      <c r="B1377" s="1" t="s">
        <v>3980</v>
      </c>
      <c r="C1377" s="1" t="s">
        <v>4150</v>
      </c>
      <c r="D1377" s="1" t="str">
        <f t="shared" si="63"/>
        <v>København KommuneBadstuestræde 17</v>
      </c>
      <c r="E1377" s="1" t="s">
        <v>4151</v>
      </c>
      <c r="F1377" s="1" t="s">
        <v>4152</v>
      </c>
      <c r="G1377" s="1">
        <v>1964</v>
      </c>
      <c r="H1377" s="1" t="s">
        <v>4153</v>
      </c>
      <c r="I1377" s="6" cm="1">
        <f t="array" ref="I1377">GetLatitude(D1377)</f>
        <v>556776733</v>
      </c>
      <c r="J1377" s="1" cm="1">
        <f t="array" ref="J1377">GetLongitude(D1377)</f>
        <v>125761203</v>
      </c>
      <c r="K1377" s="1">
        <f t="shared" si="64"/>
        <v>55.677673300000002</v>
      </c>
      <c r="L1377" s="1">
        <f t="shared" si="65"/>
        <v>12.576120299999999</v>
      </c>
    </row>
    <row r="1378" spans="1:12" ht="16" x14ac:dyDescent="0.2">
      <c r="A1378" s="1">
        <v>1377</v>
      </c>
      <c r="B1378" s="1" t="s">
        <v>3980</v>
      </c>
      <c r="C1378" s="1" t="s">
        <v>4154</v>
      </c>
      <c r="D1378" s="1" t="str">
        <f t="shared" si="63"/>
        <v>København KommuneBadstuestræde 18</v>
      </c>
      <c r="E1378" s="1" t="s">
        <v>4155</v>
      </c>
      <c r="F1378" s="1" t="s">
        <v>4156</v>
      </c>
      <c r="G1378" s="1">
        <v>1918</v>
      </c>
      <c r="H1378" s="1" t="s">
        <v>11</v>
      </c>
      <c r="I1378" s="6" cm="1">
        <f t="array" ref="I1378">GetLatitude(D1378)</f>
        <v>556776741</v>
      </c>
      <c r="J1378" s="1" cm="1">
        <f t="array" ref="J1378">GetLongitude(D1378)</f>
        <v>125756570</v>
      </c>
      <c r="K1378" s="1">
        <f t="shared" si="64"/>
        <v>55.677674099999997</v>
      </c>
      <c r="L1378" s="1">
        <f t="shared" si="65"/>
        <v>12.575657</v>
      </c>
    </row>
    <row r="1379" spans="1:12" ht="16" x14ac:dyDescent="0.2">
      <c r="A1379" s="1">
        <v>1378</v>
      </c>
      <c r="B1379" s="1" t="s">
        <v>3980</v>
      </c>
      <c r="C1379" s="1" t="s">
        <v>4157</v>
      </c>
      <c r="D1379" s="1" t="str">
        <f t="shared" si="63"/>
        <v>København KommuneBadstuestræde 20</v>
      </c>
      <c r="E1379" s="1" t="s">
        <v>4158</v>
      </c>
      <c r="F1379" s="1" t="s">
        <v>4156</v>
      </c>
      <c r="G1379" s="1">
        <v>1964</v>
      </c>
      <c r="H1379" s="1" t="s">
        <v>99</v>
      </c>
      <c r="I1379" s="6" cm="1">
        <f t="array" ref="I1379">GetLatitude(D1379)</f>
        <v>556776154</v>
      </c>
      <c r="J1379" s="1" cm="1">
        <f t="array" ref="J1379">GetLongitude(D1379)</f>
        <v>125758295</v>
      </c>
      <c r="K1379" s="1">
        <f t="shared" si="64"/>
        <v>55.677615400000001</v>
      </c>
      <c r="L1379" s="1">
        <f t="shared" si="65"/>
        <v>12.575829499999999</v>
      </c>
    </row>
    <row r="1380" spans="1:12" ht="16" x14ac:dyDescent="0.2">
      <c r="A1380" s="1">
        <v>1379</v>
      </c>
      <c r="B1380" s="1" t="s">
        <v>3980</v>
      </c>
      <c r="C1380" s="1" t="s">
        <v>4159</v>
      </c>
      <c r="D1380" s="1" t="str">
        <f t="shared" si="63"/>
        <v>København KommuneBadstuestræde 7</v>
      </c>
      <c r="E1380" s="1" t="s">
        <v>4159</v>
      </c>
      <c r="F1380" s="1" t="s">
        <v>4160</v>
      </c>
      <c r="G1380" s="1">
        <v>1964</v>
      </c>
      <c r="H1380" s="1" t="s">
        <v>11</v>
      </c>
      <c r="I1380" s="6" cm="1">
        <f t="array" ref="I1380">GetLatitude(D1380)</f>
        <v>556781978</v>
      </c>
      <c r="J1380" s="1" cm="1">
        <f t="array" ref="J1380">GetLongitude(D1380)</f>
        <v>125752694</v>
      </c>
      <c r="K1380" s="1">
        <f t="shared" si="64"/>
        <v>55.6781978</v>
      </c>
      <c r="L1380" s="1">
        <f t="shared" si="65"/>
        <v>12.5752694</v>
      </c>
    </row>
    <row r="1381" spans="1:12" ht="16" x14ac:dyDescent="0.2">
      <c r="A1381" s="1">
        <v>1380</v>
      </c>
      <c r="B1381" s="1" t="s">
        <v>3980</v>
      </c>
      <c r="C1381" s="1" t="s">
        <v>4161</v>
      </c>
      <c r="D1381" s="1" t="str">
        <f t="shared" si="63"/>
        <v>København KommuneBadstuestræde 8</v>
      </c>
      <c r="E1381" s="1" t="s">
        <v>4162</v>
      </c>
      <c r="F1381" s="1" t="s">
        <v>4163</v>
      </c>
      <c r="G1381" s="1">
        <v>1964</v>
      </c>
      <c r="H1381" s="1" t="s">
        <v>4164</v>
      </c>
      <c r="I1381" s="6" cm="1">
        <f t="array" ref="I1381">GetLatitude(D1381)</f>
        <v>556782429</v>
      </c>
      <c r="J1381" s="1" cm="1">
        <f t="array" ref="J1381">GetLongitude(D1381)</f>
        <v>125748812</v>
      </c>
      <c r="K1381" s="1">
        <f t="shared" si="64"/>
        <v>55.678242900000001</v>
      </c>
      <c r="L1381" s="1">
        <f t="shared" si="65"/>
        <v>12.5748812</v>
      </c>
    </row>
    <row r="1382" spans="1:12" ht="16" x14ac:dyDescent="0.2">
      <c r="A1382" s="1">
        <v>1381</v>
      </c>
      <c r="B1382" s="1" t="s">
        <v>3980</v>
      </c>
      <c r="C1382" s="1" t="s">
        <v>4165</v>
      </c>
      <c r="D1382" s="1" t="str">
        <f t="shared" si="63"/>
        <v>København KommuneBakkevej 1-51 og 2-52</v>
      </c>
      <c r="E1382" s="1" t="s">
        <v>4166</v>
      </c>
      <c r="F1382" s="1" t="s">
        <v>4167</v>
      </c>
      <c r="G1382" s="1">
        <v>1981</v>
      </c>
      <c r="H1382" s="1" t="s">
        <v>11</v>
      </c>
      <c r="I1382" s="6" cm="1">
        <f t="array" ref="I1382">GetLatitude(D1382)</f>
        <v>556760968</v>
      </c>
      <c r="J1382" s="1" cm="1">
        <f t="array" ref="J1382">GetLongitude(D1382)</f>
        <v>125683371</v>
      </c>
      <c r="K1382" s="1">
        <f t="shared" si="64"/>
        <v>55.676096800000003</v>
      </c>
      <c r="L1382" s="1">
        <f t="shared" si="65"/>
        <v>12.568337100000001</v>
      </c>
    </row>
    <row r="1383" spans="1:12" ht="16" x14ac:dyDescent="0.2">
      <c r="A1383" s="1">
        <v>1382</v>
      </c>
      <c r="B1383" s="1" t="s">
        <v>3980</v>
      </c>
      <c r="C1383" s="1" t="s">
        <v>4168</v>
      </c>
      <c r="D1383" s="1" t="str">
        <f t="shared" si="63"/>
        <v>København KommuneBanegårdspladsen 4</v>
      </c>
      <c r="E1383" s="1" t="s">
        <v>4169</v>
      </c>
      <c r="F1383" s="1" t="s">
        <v>4170</v>
      </c>
      <c r="G1383" s="1">
        <v>2016</v>
      </c>
      <c r="H1383" s="1" t="s">
        <v>11</v>
      </c>
      <c r="I1383" s="6" cm="1">
        <f t="array" ref="I1383">GetLatitude(D1383)</f>
        <v>556734255</v>
      </c>
      <c r="J1383" s="1" cm="1">
        <f t="array" ref="J1383">GetLongitude(D1383)</f>
        <v>125631102</v>
      </c>
      <c r="K1383" s="1">
        <f t="shared" si="64"/>
        <v>55.6734255</v>
      </c>
      <c r="L1383" s="1">
        <f t="shared" si="65"/>
        <v>12.563110200000001</v>
      </c>
    </row>
    <row r="1384" spans="1:12" ht="16" x14ac:dyDescent="0.2">
      <c r="A1384" s="1">
        <v>1383</v>
      </c>
      <c r="B1384" s="1" t="s">
        <v>3980</v>
      </c>
      <c r="C1384" s="1" t="s">
        <v>4171</v>
      </c>
      <c r="D1384" s="1" t="str">
        <f t="shared" si="63"/>
        <v>København KommuneBellahøjvej 20</v>
      </c>
      <c r="E1384" s="1" t="s">
        <v>4172</v>
      </c>
      <c r="F1384" s="1" t="s">
        <v>2166</v>
      </c>
      <c r="G1384" s="1">
        <v>1954</v>
      </c>
      <c r="H1384" s="1" t="s">
        <v>11</v>
      </c>
      <c r="I1384" s="6" cm="1">
        <f t="array" ref="I1384">GetLatitude(D1384)</f>
        <v>557020804</v>
      </c>
      <c r="J1384" s="1" cm="1">
        <f t="array" ref="J1384">GetLongitude(D1384)</f>
        <v>125107499</v>
      </c>
      <c r="K1384" s="1">
        <f t="shared" si="64"/>
        <v>55.7020804</v>
      </c>
      <c r="L1384" s="1">
        <f t="shared" si="65"/>
        <v>12.5107499</v>
      </c>
    </row>
    <row r="1385" spans="1:12" ht="16" x14ac:dyDescent="0.2">
      <c r="A1385" s="1">
        <v>1384</v>
      </c>
      <c r="B1385" s="1" t="s">
        <v>3980</v>
      </c>
      <c r="C1385" s="1" t="s">
        <v>4173</v>
      </c>
      <c r="D1385" s="1" t="str">
        <f t="shared" si="63"/>
        <v>København KommuneBernstorffsgade 10-22</v>
      </c>
      <c r="E1385" s="1" t="s">
        <v>4174</v>
      </c>
      <c r="F1385" s="1" t="s">
        <v>4175</v>
      </c>
      <c r="G1385" s="1">
        <v>1983</v>
      </c>
      <c r="H1385" s="1" t="s">
        <v>4176</v>
      </c>
      <c r="I1385" s="6" cm="1">
        <f t="array" ref="I1385">GetLatitude(D1385)</f>
        <v>556760968</v>
      </c>
      <c r="J1385" s="1" cm="1">
        <f t="array" ref="J1385">GetLongitude(D1385)</f>
        <v>125683371</v>
      </c>
      <c r="K1385" s="1">
        <f t="shared" si="64"/>
        <v>55.676096800000003</v>
      </c>
      <c r="L1385" s="1">
        <f t="shared" si="65"/>
        <v>12.568337100000001</v>
      </c>
    </row>
    <row r="1386" spans="1:12" ht="16" x14ac:dyDescent="0.2">
      <c r="A1386" s="1">
        <v>1385</v>
      </c>
      <c r="B1386" s="1" t="s">
        <v>3980</v>
      </c>
      <c r="C1386" s="1" t="s">
        <v>4177</v>
      </c>
      <c r="D1386" s="1" t="str">
        <f t="shared" si="63"/>
        <v>København KommuneBertel Thorvaldsens Plads 2 (tidl Porthusgade 2)</v>
      </c>
      <c r="E1386" s="1" t="s">
        <v>4178</v>
      </c>
      <c r="F1386" s="1" t="s">
        <v>4179</v>
      </c>
      <c r="G1386" s="1">
        <v>1945</v>
      </c>
      <c r="H1386" s="1" t="s">
        <v>15</v>
      </c>
      <c r="I1386" s="6" cm="1">
        <f t="array" ref="I1386">GetLatitude(D1386)</f>
        <v>556765485</v>
      </c>
      <c r="J1386" s="1" cm="1">
        <f t="array" ref="J1386">GetLongitude(D1386)</f>
        <v>125782685</v>
      </c>
      <c r="K1386" s="1">
        <f t="shared" si="64"/>
        <v>55.676548500000003</v>
      </c>
      <c r="L1386" s="1">
        <f t="shared" si="65"/>
        <v>12.5782685</v>
      </c>
    </row>
    <row r="1387" spans="1:12" ht="16" x14ac:dyDescent="0.2">
      <c r="A1387" s="1">
        <v>1386</v>
      </c>
      <c r="B1387" s="1" t="s">
        <v>3980</v>
      </c>
      <c r="C1387" s="1" t="s">
        <v>4180</v>
      </c>
      <c r="D1387" s="1" t="str">
        <f t="shared" si="63"/>
        <v>København KommuneBispebjerg Bakke 21-23</v>
      </c>
      <c r="E1387" s="1" t="s">
        <v>4181</v>
      </c>
      <c r="F1387" s="1" t="s">
        <v>4182</v>
      </c>
      <c r="G1387" s="1">
        <v>2010</v>
      </c>
      <c r="H1387" s="1" t="s">
        <v>4183</v>
      </c>
      <c r="I1387" s="6" cm="1">
        <f t="array" ref="I1387">GetLatitude(D1387)</f>
        <v>557118210</v>
      </c>
      <c r="J1387" s="1" cm="1">
        <f t="array" ref="J1387">GetLongitude(D1387)</f>
        <v>125415980</v>
      </c>
      <c r="K1387" s="1">
        <f t="shared" si="64"/>
        <v>55.711821</v>
      </c>
      <c r="L1387" s="1">
        <f t="shared" si="65"/>
        <v>12.541598</v>
      </c>
    </row>
    <row r="1388" spans="1:12" ht="16" x14ac:dyDescent="0.2">
      <c r="A1388" s="1">
        <v>1387</v>
      </c>
      <c r="B1388" s="1" t="s">
        <v>3980</v>
      </c>
      <c r="C1388" s="1" t="s">
        <v>4184</v>
      </c>
      <c r="D1388" s="1" t="str">
        <f t="shared" si="63"/>
        <v>København KommuneBlågårds Plads</v>
      </c>
      <c r="E1388" s="1" t="s">
        <v>4185</v>
      </c>
      <c r="F1388" s="1" t="s">
        <v>4186</v>
      </c>
      <c r="G1388" s="1">
        <v>1998</v>
      </c>
      <c r="H1388" s="1" t="s">
        <v>15</v>
      </c>
      <c r="I1388" s="6" cm="1">
        <f t="array" ref="I1388">GetLatitude(D1388)</f>
        <v>556866466</v>
      </c>
      <c r="J1388" s="1" cm="1">
        <f t="array" ref="J1388">GetLongitude(D1388)</f>
        <v>125573308</v>
      </c>
      <c r="K1388" s="1">
        <f t="shared" si="64"/>
        <v>55.686646600000003</v>
      </c>
      <c r="L1388" s="1">
        <f t="shared" si="65"/>
        <v>12.557330800000001</v>
      </c>
    </row>
    <row r="1389" spans="1:12" ht="16" x14ac:dyDescent="0.2">
      <c r="A1389" s="1">
        <v>1388</v>
      </c>
      <c r="B1389" s="1" t="s">
        <v>3980</v>
      </c>
      <c r="C1389" s="1" t="s">
        <v>4187</v>
      </c>
      <c r="D1389" s="1" t="str">
        <f t="shared" si="63"/>
        <v>København KommuneBoldhusgade 2, hj af Admiralgade</v>
      </c>
      <c r="E1389" s="1" t="s">
        <v>4188</v>
      </c>
      <c r="F1389" s="1" t="s">
        <v>4189</v>
      </c>
      <c r="G1389" s="1">
        <v>1939</v>
      </c>
      <c r="H1389" s="1" t="s">
        <v>11</v>
      </c>
      <c r="I1389" s="6" cm="1">
        <f t="array" ref="I1389">GetLatitude(D1389)</f>
        <v>556775577</v>
      </c>
      <c r="J1389" s="1" cm="1">
        <f t="array" ref="J1389">GetLongitude(D1389)</f>
        <v>125820464</v>
      </c>
      <c r="K1389" s="1">
        <f t="shared" si="64"/>
        <v>55.677557700000001</v>
      </c>
      <c r="L1389" s="1">
        <f t="shared" si="65"/>
        <v>12.582046399999999</v>
      </c>
    </row>
    <row r="1390" spans="1:12" ht="16" x14ac:dyDescent="0.2">
      <c r="A1390" s="1">
        <v>1389</v>
      </c>
      <c r="B1390" s="1" t="s">
        <v>3980</v>
      </c>
      <c r="C1390" s="1" t="s">
        <v>4190</v>
      </c>
      <c r="D1390" s="1" t="str">
        <f t="shared" si="63"/>
        <v>København KommuneBoldhusgade 4</v>
      </c>
      <c r="E1390" s="1" t="s">
        <v>4191</v>
      </c>
      <c r="F1390" s="1" t="s">
        <v>4192</v>
      </c>
      <c r="G1390" s="1">
        <v>1959</v>
      </c>
      <c r="H1390" s="1" t="s">
        <v>4193</v>
      </c>
      <c r="I1390" s="6" cm="1">
        <f t="array" ref="I1390">GetLatitude(D1390)</f>
        <v>556775077</v>
      </c>
      <c r="J1390" s="1" cm="1">
        <f t="array" ref="J1390">GetLongitude(D1390)</f>
        <v>125819575</v>
      </c>
      <c r="K1390" s="1">
        <f t="shared" si="64"/>
        <v>55.6775077</v>
      </c>
      <c r="L1390" s="1">
        <f t="shared" si="65"/>
        <v>12.5819575</v>
      </c>
    </row>
    <row r="1391" spans="1:12" ht="16" x14ac:dyDescent="0.2">
      <c r="A1391" s="1">
        <v>1390</v>
      </c>
      <c r="B1391" s="1" t="s">
        <v>3980</v>
      </c>
      <c r="C1391" s="1" t="s">
        <v>4194</v>
      </c>
      <c r="D1391" s="1" t="str">
        <f t="shared" si="63"/>
        <v>København KommuneBoldhusgade 6</v>
      </c>
      <c r="E1391" s="1" t="s">
        <v>4195</v>
      </c>
      <c r="F1391" s="1" t="s">
        <v>4196</v>
      </c>
      <c r="G1391" s="1">
        <v>1959</v>
      </c>
      <c r="H1391" s="1" t="s">
        <v>4197</v>
      </c>
      <c r="I1391" s="6" cm="1">
        <f t="array" ref="I1391">GetLatitude(D1391)</f>
        <v>556774637</v>
      </c>
      <c r="J1391" s="1" cm="1">
        <f t="array" ref="J1391">GetLongitude(D1391)</f>
        <v>125818634</v>
      </c>
      <c r="K1391" s="1">
        <f t="shared" si="64"/>
        <v>55.677463699999997</v>
      </c>
      <c r="L1391" s="1">
        <f t="shared" si="65"/>
        <v>12.5818634</v>
      </c>
    </row>
    <row r="1392" spans="1:12" ht="16" x14ac:dyDescent="0.2">
      <c r="A1392" s="1">
        <v>1391</v>
      </c>
      <c r="B1392" s="1" t="s">
        <v>3980</v>
      </c>
      <c r="C1392" s="1" t="s">
        <v>4198</v>
      </c>
      <c r="D1392" s="1" t="str">
        <f t="shared" si="63"/>
        <v>København KommuneBorgergade 111</v>
      </c>
      <c r="E1392" s="1" t="s">
        <v>4199</v>
      </c>
      <c r="F1392" s="1" t="s">
        <v>4200</v>
      </c>
      <c r="G1392" s="1">
        <v>1992</v>
      </c>
      <c r="H1392" s="1" t="s">
        <v>11</v>
      </c>
      <c r="I1392" s="6" cm="1">
        <f t="array" ref="I1392">GetLatitude(D1392)</f>
        <v>556881232</v>
      </c>
      <c r="J1392" s="1" cm="1">
        <f t="array" ref="J1392">GetLongitude(D1392)</f>
        <v>125882002</v>
      </c>
      <c r="K1392" s="1">
        <f t="shared" si="64"/>
        <v>55.6881232</v>
      </c>
      <c r="L1392" s="1">
        <f t="shared" si="65"/>
        <v>12.588200199999999</v>
      </c>
    </row>
    <row r="1393" spans="1:12" ht="16" x14ac:dyDescent="0.2">
      <c r="A1393" s="1">
        <v>1392</v>
      </c>
      <c r="B1393" s="1" t="s">
        <v>3980</v>
      </c>
      <c r="C1393" s="1" t="s">
        <v>4201</v>
      </c>
      <c r="D1393" s="1" t="str">
        <f t="shared" si="63"/>
        <v>København KommuneBorgergade 140</v>
      </c>
      <c r="E1393" s="1" t="s">
        <v>4202</v>
      </c>
      <c r="F1393" s="1" t="s">
        <v>4203</v>
      </c>
      <c r="G1393" s="1">
        <v>1984</v>
      </c>
      <c r="H1393" s="1" t="s">
        <v>11</v>
      </c>
      <c r="I1393" s="6" cm="1">
        <f t="array" ref="I1393">GetLatitude(D1393)</f>
        <v>556872786</v>
      </c>
      <c r="J1393" s="1" cm="1">
        <f t="array" ref="J1393">GetLongitude(D1393)</f>
        <v>125884884</v>
      </c>
      <c r="K1393" s="1">
        <f t="shared" si="64"/>
        <v>55.687278599999999</v>
      </c>
      <c r="L1393" s="1">
        <f t="shared" si="65"/>
        <v>12.588488399999999</v>
      </c>
    </row>
    <row r="1394" spans="1:12" ht="16" x14ac:dyDescent="0.2">
      <c r="A1394" s="1">
        <v>1393</v>
      </c>
      <c r="B1394" s="1" t="s">
        <v>3980</v>
      </c>
      <c r="C1394" s="1" t="s">
        <v>4204</v>
      </c>
      <c r="D1394" s="1" t="str">
        <f t="shared" si="63"/>
        <v>København KommuneBorgergade 144</v>
      </c>
      <c r="E1394" s="1" t="s">
        <v>4205</v>
      </c>
      <c r="F1394" s="1" t="s">
        <v>4206</v>
      </c>
      <c r="G1394" s="1">
        <v>1978</v>
      </c>
      <c r="H1394" s="1" t="s">
        <v>11</v>
      </c>
      <c r="I1394" s="6" cm="1">
        <f t="array" ref="I1394">GetLatitude(D1394)</f>
        <v>556876231</v>
      </c>
      <c r="J1394" s="1" cm="1">
        <f t="array" ref="J1394">GetLongitude(D1394)</f>
        <v>125887263</v>
      </c>
      <c r="K1394" s="1">
        <f t="shared" si="64"/>
        <v>55.687623100000003</v>
      </c>
      <c r="L1394" s="1">
        <f t="shared" si="65"/>
        <v>12.588726299999999</v>
      </c>
    </row>
    <row r="1395" spans="1:12" ht="16" x14ac:dyDescent="0.2">
      <c r="A1395" s="1">
        <v>1394</v>
      </c>
      <c r="B1395" s="1" t="s">
        <v>3980</v>
      </c>
      <c r="C1395" s="1" t="s">
        <v>4207</v>
      </c>
      <c r="D1395" s="1" t="str">
        <f t="shared" si="63"/>
        <v>København KommuneBorups Allé 5-23</v>
      </c>
      <c r="E1395" s="1" t="s">
        <v>4208</v>
      </c>
      <c r="F1395" s="1" t="s">
        <v>4209</v>
      </c>
      <c r="G1395" s="1">
        <v>1983</v>
      </c>
      <c r="H1395" s="1" t="s">
        <v>11</v>
      </c>
      <c r="I1395" s="6" cm="1">
        <f t="array" ref="I1395">GetLatitude(D1395)</f>
        <v>556893422</v>
      </c>
      <c r="J1395" s="1" cm="1">
        <f t="array" ref="J1395">GetLongitude(D1395)</f>
        <v>125415562</v>
      </c>
      <c r="K1395" s="1">
        <f t="shared" si="64"/>
        <v>55.689342199999999</v>
      </c>
      <c r="L1395" s="1">
        <f t="shared" si="65"/>
        <v>12.5415562</v>
      </c>
    </row>
    <row r="1396" spans="1:12" ht="16" x14ac:dyDescent="0.2">
      <c r="A1396" s="1">
        <v>1395</v>
      </c>
      <c r="B1396" s="1" t="s">
        <v>3980</v>
      </c>
      <c r="C1396" s="1" t="s">
        <v>4210</v>
      </c>
      <c r="D1396" s="1" t="str">
        <f t="shared" si="63"/>
        <v>København KommuneBredgade 24 og Sankt Annæ Plads 2</v>
      </c>
      <c r="E1396" s="1" t="s">
        <v>4211</v>
      </c>
      <c r="F1396" s="1" t="s">
        <v>4212</v>
      </c>
      <c r="G1396" s="1">
        <v>1987</v>
      </c>
      <c r="H1396" s="1" t="s">
        <v>11</v>
      </c>
      <c r="I1396" s="6" cm="1">
        <f t="array" ref="I1396">GetLatitude(D1396)</f>
        <v>556809148</v>
      </c>
      <c r="J1396" s="1" cm="1">
        <f t="array" ref="J1396">GetLongitude(D1396)</f>
        <v>125928624</v>
      </c>
      <c r="K1396" s="1">
        <f t="shared" si="64"/>
        <v>55.680914799999996</v>
      </c>
      <c r="L1396" s="1">
        <f t="shared" si="65"/>
        <v>12.5928624</v>
      </c>
    </row>
    <row r="1397" spans="1:12" ht="16" x14ac:dyDescent="0.2">
      <c r="A1397" s="1">
        <v>1396</v>
      </c>
      <c r="B1397" s="1" t="s">
        <v>3980</v>
      </c>
      <c r="C1397" s="1" t="s">
        <v>4213</v>
      </c>
      <c r="D1397" s="1" t="str">
        <f t="shared" si="63"/>
        <v>København KommuneBredgade 26</v>
      </c>
      <c r="E1397" s="1" t="s">
        <v>4214</v>
      </c>
      <c r="F1397" s="1" t="s">
        <v>4215</v>
      </c>
      <c r="G1397" s="1">
        <v>1983</v>
      </c>
      <c r="H1397" s="1" t="s">
        <v>11</v>
      </c>
      <c r="I1397" s="6" cm="1">
        <f t="array" ref="I1397">GetLatitude(D1397)</f>
        <v>556825645</v>
      </c>
      <c r="J1397" s="1" cm="1">
        <f t="array" ref="J1397">GetLongitude(D1397)</f>
        <v>125890832</v>
      </c>
      <c r="K1397" s="1">
        <f t="shared" si="64"/>
        <v>55.682564499999998</v>
      </c>
      <c r="L1397" s="1">
        <f t="shared" si="65"/>
        <v>12.589083199999999</v>
      </c>
    </row>
    <row r="1398" spans="1:12" ht="16" x14ac:dyDescent="0.2">
      <c r="A1398" s="1">
        <v>1397</v>
      </c>
      <c r="B1398" s="1" t="s">
        <v>3980</v>
      </c>
      <c r="C1398" s="1" t="s">
        <v>4216</v>
      </c>
      <c r="D1398" s="1" t="str">
        <f t="shared" si="63"/>
        <v>København KommuneBredgade 28</v>
      </c>
      <c r="E1398" s="1" t="s">
        <v>4217</v>
      </c>
      <c r="F1398" s="1" t="s">
        <v>4218</v>
      </c>
      <c r="G1398" s="1">
        <v>1918</v>
      </c>
      <c r="H1398" s="1" t="s">
        <v>4219</v>
      </c>
      <c r="I1398" s="6" cm="1">
        <f t="array" ref="I1398">GetLatitude(D1398)</f>
        <v>556828353</v>
      </c>
      <c r="J1398" s="1" cm="1">
        <f t="array" ref="J1398">GetLongitude(D1398)</f>
        <v>125898708</v>
      </c>
      <c r="K1398" s="1">
        <f t="shared" si="64"/>
        <v>55.682835300000001</v>
      </c>
      <c r="L1398" s="1">
        <f t="shared" si="65"/>
        <v>12.5898708</v>
      </c>
    </row>
    <row r="1399" spans="1:12" ht="16" x14ac:dyDescent="0.2">
      <c r="A1399" s="1">
        <v>1398</v>
      </c>
      <c r="B1399" s="1" t="s">
        <v>3980</v>
      </c>
      <c r="C1399" s="1" t="s">
        <v>4220</v>
      </c>
      <c r="D1399" s="1" t="str">
        <f t="shared" si="63"/>
        <v>København KommuneBredgade 34 A</v>
      </c>
      <c r="E1399" s="1" t="s">
        <v>4221</v>
      </c>
      <c r="F1399" s="1" t="s">
        <v>4222</v>
      </c>
      <c r="G1399" s="1">
        <v>1951</v>
      </c>
      <c r="H1399" s="1" t="s">
        <v>11</v>
      </c>
      <c r="I1399" s="6" cm="1">
        <f t="array" ref="I1399">GetLatitude(D1399)</f>
        <v>556835811</v>
      </c>
      <c r="J1399" s="1" cm="1">
        <f t="array" ref="J1399">GetLongitude(D1399)</f>
        <v>125899724</v>
      </c>
      <c r="K1399" s="1">
        <f t="shared" si="64"/>
        <v>55.683581099999998</v>
      </c>
      <c r="L1399" s="1">
        <f t="shared" si="65"/>
        <v>12.589972400000001</v>
      </c>
    </row>
    <row r="1400" spans="1:12" ht="16" x14ac:dyDescent="0.2">
      <c r="A1400" s="1">
        <v>1399</v>
      </c>
      <c r="B1400" s="1" t="s">
        <v>3980</v>
      </c>
      <c r="C1400" s="1" t="s">
        <v>4223</v>
      </c>
      <c r="D1400" s="1" t="str">
        <f t="shared" si="63"/>
        <v>København KommuneBredgade 38</v>
      </c>
      <c r="E1400" s="1" t="s">
        <v>4224</v>
      </c>
      <c r="F1400" s="1" t="s">
        <v>4225</v>
      </c>
      <c r="G1400" s="1">
        <v>1932</v>
      </c>
      <c r="H1400" s="1" t="s">
        <v>15</v>
      </c>
      <c r="I1400" s="6" cm="1">
        <f t="array" ref="I1400">GetLatitude(D1400)</f>
        <v>556839083</v>
      </c>
      <c r="J1400" s="1" cm="1">
        <f t="array" ref="J1400">GetLongitude(D1400)</f>
        <v>125901275</v>
      </c>
      <c r="K1400" s="1">
        <f t="shared" si="64"/>
        <v>55.683908299999999</v>
      </c>
      <c r="L1400" s="1">
        <f t="shared" si="65"/>
        <v>12.590127499999999</v>
      </c>
    </row>
    <row r="1401" spans="1:12" ht="16" x14ac:dyDescent="0.2">
      <c r="A1401" s="1">
        <v>1400</v>
      </c>
      <c r="B1401" s="1" t="s">
        <v>3980</v>
      </c>
      <c r="C1401" s="1" t="s">
        <v>4226</v>
      </c>
      <c r="D1401" s="1" t="str">
        <f t="shared" si="63"/>
        <v>København KommuneBredgade 40-42, hj af Frederiksgade</v>
      </c>
      <c r="E1401" s="1" t="s">
        <v>4227</v>
      </c>
      <c r="F1401" s="1" t="s">
        <v>4228</v>
      </c>
      <c r="G1401" s="1">
        <v>1918</v>
      </c>
      <c r="H1401" s="1" t="s">
        <v>4229</v>
      </c>
      <c r="I1401" s="6" cm="1">
        <f t="array" ref="I1401">GetLatitude(D1401)</f>
        <v>556839853</v>
      </c>
      <c r="J1401" s="1" cm="1">
        <f t="array" ref="J1401">GetLongitude(D1401)</f>
        <v>125902304</v>
      </c>
      <c r="K1401" s="1">
        <f t="shared" si="64"/>
        <v>55.683985300000003</v>
      </c>
      <c r="L1401" s="1">
        <f t="shared" si="65"/>
        <v>12.590230399999999</v>
      </c>
    </row>
    <row r="1402" spans="1:12" ht="16" x14ac:dyDescent="0.2">
      <c r="A1402" s="1">
        <v>1401</v>
      </c>
      <c r="B1402" s="1" t="s">
        <v>3980</v>
      </c>
      <c r="C1402" s="1" t="s">
        <v>4230</v>
      </c>
      <c r="D1402" s="1" t="str">
        <f t="shared" si="63"/>
        <v>København KommuneBredgade 4 og Store Strandstræde 3</v>
      </c>
      <c r="E1402" s="1" t="s">
        <v>4231</v>
      </c>
      <c r="F1402" s="1" t="s">
        <v>4232</v>
      </c>
      <c r="G1402" s="1">
        <v>1959</v>
      </c>
      <c r="H1402" s="1" t="s">
        <v>11</v>
      </c>
      <c r="I1402" s="6" cm="1">
        <f t="array" ref="I1402">GetLatitude(D1402)</f>
        <v>556809956</v>
      </c>
      <c r="J1402" s="1" cm="1">
        <f t="array" ref="J1402">GetLongitude(D1402)</f>
        <v>125879527</v>
      </c>
      <c r="K1402" s="1">
        <f t="shared" si="64"/>
        <v>55.680995600000003</v>
      </c>
      <c r="L1402" s="1">
        <f t="shared" si="65"/>
        <v>12.587952700000001</v>
      </c>
    </row>
    <row r="1403" spans="1:12" ht="16" x14ac:dyDescent="0.2">
      <c r="A1403" s="1">
        <v>1402</v>
      </c>
      <c r="B1403" s="1" t="s">
        <v>3980</v>
      </c>
      <c r="C1403" s="1" t="s">
        <v>4233</v>
      </c>
      <c r="D1403" s="1" t="str">
        <f t="shared" si="63"/>
        <v>København KommuneBredgade 51</v>
      </c>
      <c r="E1403" s="1" t="s">
        <v>4234</v>
      </c>
      <c r="F1403" s="1" t="s">
        <v>4235</v>
      </c>
      <c r="G1403" s="1">
        <v>1984</v>
      </c>
      <c r="H1403" s="1" t="s">
        <v>11</v>
      </c>
      <c r="I1403" s="6" cm="1">
        <f t="array" ref="I1403">GetLatitude(D1403)</f>
        <v>556851244</v>
      </c>
      <c r="J1403" s="1" cm="1">
        <f t="array" ref="J1403">GetLongitude(D1403)</f>
        <v>125905413</v>
      </c>
      <c r="K1403" s="1">
        <f t="shared" si="64"/>
        <v>55.685124399999999</v>
      </c>
      <c r="L1403" s="1">
        <f t="shared" si="65"/>
        <v>12.5905413</v>
      </c>
    </row>
    <row r="1404" spans="1:12" ht="16" x14ac:dyDescent="0.2">
      <c r="A1404" s="1">
        <v>1403</v>
      </c>
      <c r="B1404" s="1" t="s">
        <v>3980</v>
      </c>
      <c r="C1404" s="1" t="s">
        <v>4236</v>
      </c>
      <c r="D1404" s="1" t="str">
        <f t="shared" si="63"/>
        <v>København KommuneBredgade 53</v>
      </c>
      <c r="E1404" s="1" t="s">
        <v>4237</v>
      </c>
      <c r="F1404" s="1" t="s">
        <v>4238</v>
      </c>
      <c r="G1404" s="1">
        <v>1981</v>
      </c>
      <c r="H1404" s="1" t="s">
        <v>11</v>
      </c>
      <c r="I1404" s="6" cm="1">
        <f t="array" ref="I1404">GetLatitude(D1404)</f>
        <v>556852416</v>
      </c>
      <c r="J1404" s="1" cm="1">
        <f t="array" ref="J1404">GetLongitude(D1404)</f>
        <v>125908269</v>
      </c>
      <c r="K1404" s="1">
        <f t="shared" si="64"/>
        <v>55.685241599999998</v>
      </c>
      <c r="L1404" s="1">
        <f t="shared" si="65"/>
        <v>12.5908269</v>
      </c>
    </row>
    <row r="1405" spans="1:12" ht="16" x14ac:dyDescent="0.2">
      <c r="A1405" s="1">
        <v>1404</v>
      </c>
      <c r="B1405" s="1" t="s">
        <v>3980</v>
      </c>
      <c r="C1405" s="1" t="s">
        <v>4239</v>
      </c>
      <c r="D1405" s="1" t="str">
        <f t="shared" si="63"/>
        <v>København KommuneBredgade 54</v>
      </c>
      <c r="E1405" s="1" t="s">
        <v>4240</v>
      </c>
      <c r="F1405" s="1" t="s">
        <v>4241</v>
      </c>
      <c r="G1405" s="1">
        <v>1951</v>
      </c>
      <c r="H1405" s="1" t="s">
        <v>11</v>
      </c>
      <c r="I1405" s="6" cm="1">
        <f t="array" ref="I1405">GetLatitude(D1405)</f>
        <v>556852361</v>
      </c>
      <c r="J1405" s="1" cm="1">
        <f t="array" ref="J1405">GetLongitude(D1405)</f>
        <v>125912690</v>
      </c>
      <c r="K1405" s="1">
        <f t="shared" si="64"/>
        <v>55.685236099999997</v>
      </c>
      <c r="L1405" s="1">
        <f t="shared" si="65"/>
        <v>12.591269</v>
      </c>
    </row>
    <row r="1406" spans="1:12" ht="16" x14ac:dyDescent="0.2">
      <c r="A1406" s="1">
        <v>1405</v>
      </c>
      <c r="B1406" s="1" t="s">
        <v>3980</v>
      </c>
      <c r="C1406" s="1" t="s">
        <v>4242</v>
      </c>
      <c r="D1406" s="1" t="str">
        <f t="shared" si="63"/>
        <v>København KommuneBredgade 60, hj af Fredericiagade</v>
      </c>
      <c r="E1406" s="1" t="s">
        <v>4243</v>
      </c>
      <c r="F1406" s="1" t="s">
        <v>4244</v>
      </c>
      <c r="G1406" s="1">
        <v>1918</v>
      </c>
      <c r="H1406" s="1" t="s">
        <v>15</v>
      </c>
      <c r="I1406" s="6" cm="1">
        <f t="array" ref="I1406">GetLatitude(D1406)</f>
        <v>556857305</v>
      </c>
      <c r="J1406" s="1" cm="1">
        <f t="array" ref="J1406">GetLongitude(D1406)</f>
        <v>125915753</v>
      </c>
      <c r="K1406" s="1">
        <f t="shared" si="64"/>
        <v>55.685730499999998</v>
      </c>
      <c r="L1406" s="1">
        <f t="shared" si="65"/>
        <v>12.591575300000001</v>
      </c>
    </row>
    <row r="1407" spans="1:12" ht="16" x14ac:dyDescent="0.2">
      <c r="A1407" s="1">
        <v>1406</v>
      </c>
      <c r="B1407" s="1" t="s">
        <v>3980</v>
      </c>
      <c r="C1407" s="1" t="s">
        <v>4245</v>
      </c>
      <c r="D1407" s="1" t="str">
        <f t="shared" si="63"/>
        <v>København KommuneBredgade 62</v>
      </c>
      <c r="E1407" s="1" t="s">
        <v>4246</v>
      </c>
      <c r="F1407" s="1" t="s">
        <v>4247</v>
      </c>
      <c r="G1407" s="1">
        <v>1918</v>
      </c>
      <c r="H1407" s="1" t="s">
        <v>15</v>
      </c>
      <c r="I1407" s="6" cm="1">
        <f t="array" ref="I1407">GetLatitude(D1407)</f>
        <v>556857359</v>
      </c>
      <c r="J1407" s="1" cm="1">
        <f t="array" ref="J1407">GetLongitude(D1407)</f>
        <v>125916568</v>
      </c>
      <c r="K1407" s="1">
        <f t="shared" si="64"/>
        <v>55.685735899999997</v>
      </c>
      <c r="L1407" s="1">
        <f t="shared" si="65"/>
        <v>12.591656800000001</v>
      </c>
    </row>
    <row r="1408" spans="1:12" ht="16" x14ac:dyDescent="0.2">
      <c r="A1408" s="1">
        <v>1407</v>
      </c>
      <c r="B1408" s="1" t="s">
        <v>3980</v>
      </c>
      <c r="C1408" s="1" t="s">
        <v>4248</v>
      </c>
      <c r="D1408" s="1" t="str">
        <f t="shared" si="63"/>
        <v>København KommuneBredgade 63 og 63 A</v>
      </c>
      <c r="E1408" s="1" t="s">
        <v>4249</v>
      </c>
      <c r="F1408" s="1" t="s">
        <v>4250</v>
      </c>
      <c r="G1408" s="1">
        <v>1988</v>
      </c>
      <c r="H1408" s="1" t="s">
        <v>11</v>
      </c>
      <c r="I1408" s="6" cm="1">
        <f t="array" ref="I1408">GetLatitude(D1408)</f>
        <v>556862926</v>
      </c>
      <c r="J1408" s="1" cm="1">
        <f t="array" ref="J1408">GetLongitude(D1408)</f>
        <v>125916465</v>
      </c>
      <c r="K1408" s="1">
        <f t="shared" si="64"/>
        <v>55.686292600000002</v>
      </c>
      <c r="L1408" s="1">
        <f t="shared" si="65"/>
        <v>12.5916465</v>
      </c>
    </row>
    <row r="1409" spans="1:12" ht="16" x14ac:dyDescent="0.2">
      <c r="A1409" s="1">
        <v>1408</v>
      </c>
      <c r="B1409" s="1" t="s">
        <v>3980</v>
      </c>
      <c r="C1409" s="1" t="s">
        <v>4251</v>
      </c>
      <c r="D1409" s="1" t="str">
        <f t="shared" si="63"/>
        <v>København KommuneBredgade 64</v>
      </c>
      <c r="E1409" s="1" t="s">
        <v>4252</v>
      </c>
      <c r="F1409" s="1" t="s">
        <v>4253</v>
      </c>
      <c r="G1409" s="1">
        <v>1973</v>
      </c>
      <c r="H1409" s="1" t="s">
        <v>11</v>
      </c>
      <c r="I1409" s="6" cm="1">
        <f t="array" ref="I1409">GetLatitude(D1409)</f>
        <v>556861956</v>
      </c>
      <c r="J1409" s="1" cm="1">
        <f t="array" ref="J1409">GetLongitude(D1409)</f>
        <v>125920327</v>
      </c>
      <c r="K1409" s="1">
        <f t="shared" si="64"/>
        <v>55.686195599999998</v>
      </c>
      <c r="L1409" s="1">
        <f t="shared" si="65"/>
        <v>12.592032700000001</v>
      </c>
    </row>
    <row r="1410" spans="1:12" ht="16" x14ac:dyDescent="0.2">
      <c r="A1410" s="1">
        <v>1409</v>
      </c>
      <c r="B1410" s="1" t="s">
        <v>3980</v>
      </c>
      <c r="C1410" s="1" t="s">
        <v>4254</v>
      </c>
      <c r="D1410" s="1" t="str">
        <f t="shared" si="63"/>
        <v>København KommuneBredgade 65 og 65 A</v>
      </c>
      <c r="E1410" s="1" t="s">
        <v>4255</v>
      </c>
      <c r="F1410" s="1" t="s">
        <v>4256</v>
      </c>
      <c r="G1410" s="1">
        <v>1989</v>
      </c>
      <c r="H1410" s="1" t="s">
        <v>11</v>
      </c>
      <c r="I1410" s="6" cm="1">
        <f t="array" ref="I1410">GetLatitude(D1410)</f>
        <v>556864627</v>
      </c>
      <c r="J1410" s="1" cm="1">
        <f t="array" ref="J1410">GetLongitude(D1410)</f>
        <v>125918263</v>
      </c>
      <c r="K1410" s="1">
        <f t="shared" si="64"/>
        <v>55.6864627</v>
      </c>
      <c r="L1410" s="1">
        <f t="shared" si="65"/>
        <v>12.591826299999999</v>
      </c>
    </row>
    <row r="1411" spans="1:12" ht="16" x14ac:dyDescent="0.2">
      <c r="A1411" s="1">
        <v>1410</v>
      </c>
      <c r="B1411" s="1" t="s">
        <v>3980</v>
      </c>
      <c r="C1411" s="1" t="s">
        <v>4257</v>
      </c>
      <c r="D1411" s="1" t="str">
        <f t="shared" ref="D1411:D1474" si="66">B1411&amp;C1411</f>
        <v>København KommuneBredgade 66</v>
      </c>
      <c r="E1411" s="1" t="s">
        <v>4258</v>
      </c>
      <c r="F1411" s="1" t="s">
        <v>4259</v>
      </c>
      <c r="G1411" s="1">
        <v>1918</v>
      </c>
      <c r="H1411" s="1" t="s">
        <v>3204</v>
      </c>
      <c r="I1411" s="6" cm="1">
        <f t="array" ref="I1411">GetLatitude(D1411)</f>
        <v>556864480</v>
      </c>
      <c r="J1411" s="1" cm="1">
        <f t="array" ref="J1411">GetLongitude(D1411)</f>
        <v>125922740</v>
      </c>
      <c r="K1411" s="1">
        <f t="shared" si="64"/>
        <v>55.686447999999999</v>
      </c>
      <c r="L1411" s="1">
        <f t="shared" si="65"/>
        <v>12.592274</v>
      </c>
    </row>
    <row r="1412" spans="1:12" ht="16" x14ac:dyDescent="0.2">
      <c r="A1412" s="1">
        <v>1411</v>
      </c>
      <c r="B1412" s="1" t="s">
        <v>3980</v>
      </c>
      <c r="C1412" s="1" t="s">
        <v>4260</v>
      </c>
      <c r="D1412" s="1" t="str">
        <f t="shared" si="66"/>
        <v>København KommuneBredgade 68 og Amaliegade 29</v>
      </c>
      <c r="E1412" s="1" t="s">
        <v>4261</v>
      </c>
      <c r="F1412" s="1" t="s">
        <v>4262</v>
      </c>
      <c r="G1412" s="1">
        <v>1918</v>
      </c>
      <c r="H1412" s="1" t="s">
        <v>4263</v>
      </c>
      <c r="I1412" s="6" cm="1">
        <f t="array" ref="I1412">GetLatitude(D1412)</f>
        <v>556878637</v>
      </c>
      <c r="J1412" s="1" cm="1">
        <f t="array" ref="J1412">GetLongitude(D1412)</f>
        <v>125964102</v>
      </c>
      <c r="K1412" s="1">
        <f t="shared" ref="K1412:K1475" si="67">I1412/10000000</f>
        <v>55.687863700000001</v>
      </c>
      <c r="L1412" s="1">
        <f t="shared" ref="L1412:L1475" si="68">J1412/10000000</f>
        <v>12.596410199999999</v>
      </c>
    </row>
    <row r="1413" spans="1:12" ht="16" x14ac:dyDescent="0.2">
      <c r="A1413" s="1">
        <v>1412</v>
      </c>
      <c r="B1413" s="1" t="s">
        <v>3980</v>
      </c>
      <c r="C1413" s="1" t="s">
        <v>4264</v>
      </c>
      <c r="D1413" s="1" t="str">
        <f t="shared" si="66"/>
        <v>København KommuneBredgade 70-72</v>
      </c>
      <c r="E1413" s="1" t="s">
        <v>4265</v>
      </c>
      <c r="F1413" s="1" t="s">
        <v>4266</v>
      </c>
      <c r="G1413" s="1">
        <v>1965</v>
      </c>
      <c r="H1413" s="1" t="s">
        <v>4267</v>
      </c>
      <c r="I1413" s="6" cm="1">
        <f t="array" ref="I1413">GetLatitude(D1413)</f>
        <v>556868874</v>
      </c>
      <c r="J1413" s="1" cm="1">
        <f t="array" ref="J1413">GetLongitude(D1413)</f>
        <v>125926813</v>
      </c>
      <c r="K1413" s="1">
        <f t="shared" si="67"/>
        <v>55.686887400000003</v>
      </c>
      <c r="L1413" s="1">
        <f t="shared" si="68"/>
        <v>12.592681300000001</v>
      </c>
    </row>
    <row r="1414" spans="1:12" ht="16" x14ac:dyDescent="0.2">
      <c r="A1414" s="1">
        <v>1413</v>
      </c>
      <c r="B1414" s="1" t="s">
        <v>3980</v>
      </c>
      <c r="C1414" s="1" t="s">
        <v>4268</v>
      </c>
      <c r="D1414" s="1" t="str">
        <f t="shared" si="66"/>
        <v>København KommuneBredgade 71</v>
      </c>
      <c r="E1414" s="1" t="s">
        <v>4269</v>
      </c>
      <c r="F1414" s="1" t="s">
        <v>4270</v>
      </c>
      <c r="G1414" s="1">
        <v>1987</v>
      </c>
      <c r="H1414" s="1" t="s">
        <v>11</v>
      </c>
      <c r="I1414" s="6" cm="1">
        <f t="array" ref="I1414">GetLatitude(D1414)</f>
        <v>556869472</v>
      </c>
      <c r="J1414" s="1" cm="1">
        <f t="array" ref="J1414">GetLongitude(D1414)</f>
        <v>125921847</v>
      </c>
      <c r="K1414" s="1">
        <f t="shared" si="67"/>
        <v>55.686947199999999</v>
      </c>
      <c r="L1414" s="1">
        <f t="shared" si="68"/>
        <v>12.592184700000001</v>
      </c>
    </row>
    <row r="1415" spans="1:12" ht="16" x14ac:dyDescent="0.2">
      <c r="A1415" s="1">
        <v>1414</v>
      </c>
      <c r="B1415" s="1" t="s">
        <v>3980</v>
      </c>
      <c r="C1415" s="1" t="s">
        <v>4271</v>
      </c>
      <c r="D1415" s="1" t="str">
        <f t="shared" si="66"/>
        <v>København KommuneBredgade 74</v>
      </c>
      <c r="E1415" s="1" t="s">
        <v>4272</v>
      </c>
      <c r="F1415" s="1" t="s">
        <v>4273</v>
      </c>
      <c r="G1415" s="1">
        <v>1965</v>
      </c>
      <c r="H1415" s="1" t="s">
        <v>4267</v>
      </c>
      <c r="I1415" s="6" cm="1">
        <f t="array" ref="I1415">GetLatitude(D1415)</f>
        <v>556871099</v>
      </c>
      <c r="J1415" s="1" cm="1">
        <f t="array" ref="J1415">GetLongitude(D1415)</f>
        <v>125930723</v>
      </c>
      <c r="K1415" s="1">
        <f t="shared" si="67"/>
        <v>55.687109900000003</v>
      </c>
      <c r="L1415" s="1">
        <f t="shared" si="68"/>
        <v>12.593072299999999</v>
      </c>
    </row>
    <row r="1416" spans="1:12" ht="16" x14ac:dyDescent="0.2">
      <c r="A1416" s="1">
        <v>1415</v>
      </c>
      <c r="B1416" s="1" t="s">
        <v>3980</v>
      </c>
      <c r="C1416" s="1" t="s">
        <v>4274</v>
      </c>
      <c r="D1416" s="1" t="str">
        <f t="shared" si="66"/>
        <v>København KommuneBredgade 76</v>
      </c>
      <c r="E1416" s="1" t="s">
        <v>4275</v>
      </c>
      <c r="F1416" s="1" t="s">
        <v>4276</v>
      </c>
      <c r="G1416" s="1">
        <v>1951</v>
      </c>
      <c r="H1416" s="1" t="s">
        <v>11</v>
      </c>
      <c r="I1416" s="6" cm="1">
        <f t="array" ref="I1416">GetLatitude(D1416)</f>
        <v>556873190</v>
      </c>
      <c r="J1416" s="1" cm="1">
        <f t="array" ref="J1416">GetLongitude(D1416)</f>
        <v>125929913</v>
      </c>
      <c r="K1416" s="1">
        <f t="shared" si="67"/>
        <v>55.687319000000002</v>
      </c>
      <c r="L1416" s="1">
        <f t="shared" si="68"/>
        <v>12.5929913</v>
      </c>
    </row>
    <row r="1417" spans="1:12" ht="16" x14ac:dyDescent="0.2">
      <c r="A1417" s="1">
        <v>1416</v>
      </c>
      <c r="B1417" s="1" t="s">
        <v>3980</v>
      </c>
      <c r="C1417" s="1" t="s">
        <v>4277</v>
      </c>
      <c r="D1417" s="1" t="str">
        <f t="shared" si="66"/>
        <v>København KommuneBremerholm 39, Holmens Kanal 18</v>
      </c>
      <c r="E1417" s="1" t="s">
        <v>4278</v>
      </c>
      <c r="F1417" s="1" t="s">
        <v>4279</v>
      </c>
      <c r="G1417" s="1">
        <v>1918</v>
      </c>
      <c r="H1417" s="1" t="s">
        <v>11</v>
      </c>
      <c r="I1417" s="6" cm="1">
        <f t="array" ref="I1417">GetLatitude(D1417)</f>
        <v>556774638</v>
      </c>
      <c r="J1417" s="1" cm="1">
        <f t="array" ref="J1417">GetLongitude(D1417)</f>
        <v>125845004</v>
      </c>
      <c r="K1417" s="1">
        <f t="shared" si="67"/>
        <v>55.677463799999998</v>
      </c>
      <c r="L1417" s="1">
        <f t="shared" si="68"/>
        <v>12.5845004</v>
      </c>
    </row>
    <row r="1418" spans="1:12" ht="16" x14ac:dyDescent="0.2">
      <c r="A1418" s="1">
        <v>1417</v>
      </c>
      <c r="B1418" s="1" t="s">
        <v>3980</v>
      </c>
      <c r="C1418" s="1" t="s">
        <v>4280</v>
      </c>
      <c r="D1418" s="1" t="str">
        <f t="shared" si="66"/>
        <v>København KommuneBrolæggerstræde 1, hj af Badstuestræde</v>
      </c>
      <c r="E1418" s="1" t="s">
        <v>4281</v>
      </c>
      <c r="F1418" s="1" t="s">
        <v>4282</v>
      </c>
      <c r="G1418" s="1">
        <v>1950</v>
      </c>
      <c r="H1418" s="1" t="s">
        <v>11</v>
      </c>
      <c r="I1418" s="6" cm="1">
        <f t="array" ref="I1418">GetLatitude(D1418)</f>
        <v>556778659</v>
      </c>
      <c r="J1418" s="1" cm="1">
        <f t="array" ref="J1418">GetLongitude(D1418)</f>
        <v>125753385</v>
      </c>
      <c r="K1418" s="1">
        <f t="shared" si="67"/>
        <v>55.6778659</v>
      </c>
      <c r="L1418" s="1">
        <f t="shared" si="68"/>
        <v>12.575338500000001</v>
      </c>
    </row>
    <row r="1419" spans="1:12" ht="16" x14ac:dyDescent="0.2">
      <c r="A1419" s="1">
        <v>1418</v>
      </c>
      <c r="B1419" s="1" t="s">
        <v>3980</v>
      </c>
      <c r="C1419" s="1" t="s">
        <v>4283</v>
      </c>
      <c r="D1419" s="1" t="str">
        <f t="shared" si="66"/>
        <v>København KommuneBrolæggerstræde 11</v>
      </c>
      <c r="E1419" s="1" t="s">
        <v>4284</v>
      </c>
      <c r="F1419" s="1" t="s">
        <v>4285</v>
      </c>
      <c r="G1419" s="1">
        <v>1950</v>
      </c>
      <c r="H1419" s="1" t="s">
        <v>11</v>
      </c>
      <c r="I1419" s="6" cm="1">
        <f t="array" ref="I1419">GetLatitude(D1419)</f>
        <v>556774316</v>
      </c>
      <c r="J1419" s="1" cm="1">
        <f t="array" ref="J1419">GetLongitude(D1419)</f>
        <v>125744359</v>
      </c>
      <c r="K1419" s="1">
        <f t="shared" si="67"/>
        <v>55.677431599999998</v>
      </c>
      <c r="L1419" s="1">
        <f t="shared" si="68"/>
        <v>12.574435899999999</v>
      </c>
    </row>
    <row r="1420" spans="1:12" ht="16" x14ac:dyDescent="0.2">
      <c r="A1420" s="1">
        <v>1419</v>
      </c>
      <c r="B1420" s="1" t="s">
        <v>3980</v>
      </c>
      <c r="C1420" s="1" t="s">
        <v>4286</v>
      </c>
      <c r="D1420" s="1" t="str">
        <f t="shared" si="66"/>
        <v>København KommuneBrolæggerstræde 12</v>
      </c>
      <c r="E1420" s="1" t="s">
        <v>4287</v>
      </c>
      <c r="F1420" s="1" t="s">
        <v>4288</v>
      </c>
      <c r="G1420" s="1">
        <v>1950</v>
      </c>
      <c r="H1420" s="1" t="s">
        <v>11</v>
      </c>
      <c r="I1420" s="6" cm="1">
        <f t="array" ref="I1420">GetLatitude(D1420)</f>
        <v>556776680</v>
      </c>
      <c r="J1420" s="1" cm="1">
        <f t="array" ref="J1420">GetLongitude(D1420)</f>
        <v>125744743</v>
      </c>
      <c r="K1420" s="1">
        <f t="shared" si="67"/>
        <v>55.677667999999997</v>
      </c>
      <c r="L1420" s="1">
        <f t="shared" si="68"/>
        <v>12.5744743</v>
      </c>
    </row>
    <row r="1421" spans="1:12" ht="16" x14ac:dyDescent="0.2">
      <c r="A1421" s="1">
        <v>1420</v>
      </c>
      <c r="B1421" s="1" t="s">
        <v>3980</v>
      </c>
      <c r="C1421" s="1" t="s">
        <v>4289</v>
      </c>
      <c r="D1421" s="1" t="str">
        <f t="shared" si="66"/>
        <v>København KommuneBrolæggerstræde 2, hj af Badstuestræde</v>
      </c>
      <c r="E1421" s="1" t="s">
        <v>4290</v>
      </c>
      <c r="F1421" s="1" t="s">
        <v>4291</v>
      </c>
      <c r="G1421" s="1">
        <v>1939</v>
      </c>
      <c r="H1421" s="1" t="s">
        <v>15</v>
      </c>
      <c r="I1421" s="6" cm="1">
        <f t="array" ref="I1421">GetLatitude(D1421)</f>
        <v>556779698</v>
      </c>
      <c r="J1421" s="1" cm="1">
        <f t="array" ref="J1421">GetLongitude(D1421)</f>
        <v>125754432</v>
      </c>
      <c r="K1421" s="1">
        <f t="shared" si="67"/>
        <v>55.6779698</v>
      </c>
      <c r="L1421" s="1">
        <f t="shared" si="68"/>
        <v>12.5754432</v>
      </c>
    </row>
    <row r="1422" spans="1:12" ht="16" x14ac:dyDescent="0.2">
      <c r="A1422" s="1">
        <v>1421</v>
      </c>
      <c r="B1422" s="1" t="s">
        <v>3980</v>
      </c>
      <c r="C1422" s="1" t="s">
        <v>4292</v>
      </c>
      <c r="D1422" s="1" t="str">
        <f t="shared" si="66"/>
        <v>København KommuneBrolæggerstræde 3</v>
      </c>
      <c r="E1422" s="1" t="s">
        <v>4293</v>
      </c>
      <c r="F1422" s="1" t="s">
        <v>4294</v>
      </c>
      <c r="G1422" s="1">
        <v>1979</v>
      </c>
      <c r="H1422" s="1" t="s">
        <v>11</v>
      </c>
      <c r="I1422" s="6" cm="1">
        <f t="array" ref="I1422">GetLatitude(D1422)</f>
        <v>556777289</v>
      </c>
      <c r="J1422" s="1" cm="1">
        <f t="array" ref="J1422">GetLongitude(D1422)</f>
        <v>125751607</v>
      </c>
      <c r="K1422" s="1">
        <f t="shared" si="67"/>
        <v>55.677728899999998</v>
      </c>
      <c r="L1422" s="1">
        <f t="shared" si="68"/>
        <v>12.5751607</v>
      </c>
    </row>
    <row r="1423" spans="1:12" ht="16" x14ac:dyDescent="0.2">
      <c r="A1423" s="1">
        <v>1422</v>
      </c>
      <c r="B1423" s="1" t="s">
        <v>3980</v>
      </c>
      <c r="C1423" s="1" t="s">
        <v>4295</v>
      </c>
      <c r="D1423" s="1" t="str">
        <f t="shared" si="66"/>
        <v>København KommuneBrolæggerstræde 4</v>
      </c>
      <c r="E1423" s="1" t="s">
        <v>4296</v>
      </c>
      <c r="F1423" s="1" t="s">
        <v>4297</v>
      </c>
      <c r="G1423" s="1">
        <v>1971</v>
      </c>
      <c r="H1423" s="1" t="s">
        <v>11</v>
      </c>
      <c r="I1423" s="6" cm="1">
        <f t="array" ref="I1423">GetLatitude(D1423)</f>
        <v>556779220</v>
      </c>
      <c r="J1423" s="1" cm="1">
        <f t="array" ref="J1423">GetLongitude(D1423)</f>
        <v>125751054</v>
      </c>
      <c r="K1423" s="1">
        <f t="shared" si="67"/>
        <v>55.677922000000002</v>
      </c>
      <c r="L1423" s="1">
        <f t="shared" si="68"/>
        <v>12.5751054</v>
      </c>
    </row>
    <row r="1424" spans="1:12" ht="16" x14ac:dyDescent="0.2">
      <c r="A1424" s="1">
        <v>1423</v>
      </c>
      <c r="B1424" s="1" t="s">
        <v>3980</v>
      </c>
      <c r="C1424" s="1" t="s">
        <v>4298</v>
      </c>
      <c r="D1424" s="1" t="str">
        <f t="shared" si="66"/>
        <v>København KommuneBrolæggerstræde 5 og Knabrostræde 11-13</v>
      </c>
      <c r="E1424" s="1" t="s">
        <v>4299</v>
      </c>
      <c r="F1424" s="1" t="s">
        <v>4300</v>
      </c>
      <c r="G1424" s="1">
        <v>1945</v>
      </c>
      <c r="H1424" s="1" t="s">
        <v>701</v>
      </c>
      <c r="I1424" s="6" cm="1">
        <f t="array" ref="I1424">GetLatitude(D1424)</f>
        <v>556778295</v>
      </c>
      <c r="J1424" s="1" cm="1">
        <f t="array" ref="J1424">GetLongitude(D1424)</f>
        <v>125746174</v>
      </c>
      <c r="K1424" s="1">
        <f t="shared" si="67"/>
        <v>55.677829500000001</v>
      </c>
      <c r="L1424" s="1">
        <f t="shared" si="68"/>
        <v>12.574617399999999</v>
      </c>
    </row>
    <row r="1425" spans="1:12" ht="16" x14ac:dyDescent="0.2">
      <c r="A1425" s="1">
        <v>1424</v>
      </c>
      <c r="B1425" s="1" t="s">
        <v>3980</v>
      </c>
      <c r="C1425" s="1" t="s">
        <v>4301</v>
      </c>
      <c r="D1425" s="1" t="str">
        <f t="shared" si="66"/>
        <v>København KommuneBrolæggerstræde 6</v>
      </c>
      <c r="E1425" s="1" t="s">
        <v>4302</v>
      </c>
      <c r="F1425" s="1" t="s">
        <v>4303</v>
      </c>
      <c r="G1425" s="1">
        <v>1950</v>
      </c>
      <c r="H1425" s="1" t="s">
        <v>11</v>
      </c>
      <c r="I1425" s="6" cm="1">
        <f t="array" ref="I1425">GetLatitude(D1425)</f>
        <v>556778454</v>
      </c>
      <c r="J1425" s="1" cm="1">
        <f t="array" ref="J1425">GetLongitude(D1425)</f>
        <v>125748880</v>
      </c>
      <c r="K1425" s="1">
        <f t="shared" si="67"/>
        <v>55.677845400000002</v>
      </c>
      <c r="L1425" s="1">
        <f t="shared" si="68"/>
        <v>12.574888</v>
      </c>
    </row>
    <row r="1426" spans="1:12" ht="16" x14ac:dyDescent="0.2">
      <c r="A1426" s="1">
        <v>1425</v>
      </c>
      <c r="B1426" s="1" t="s">
        <v>3980</v>
      </c>
      <c r="C1426" s="1" t="s">
        <v>4304</v>
      </c>
      <c r="D1426" s="1" t="str">
        <f t="shared" si="66"/>
        <v>København KommuneBrolæggerstræde 8, hj af Knabrostræde</v>
      </c>
      <c r="E1426" s="1" t="s">
        <v>4305</v>
      </c>
      <c r="F1426" s="1" t="s">
        <v>4306</v>
      </c>
      <c r="G1426" s="1">
        <v>1950</v>
      </c>
      <c r="H1426" s="1" t="s">
        <v>11</v>
      </c>
      <c r="I1426" s="6" cm="1">
        <f t="array" ref="I1426">GetLatitude(D1426)</f>
        <v>556777623</v>
      </c>
      <c r="J1426" s="1" cm="1">
        <f t="array" ref="J1426">GetLongitude(D1426)</f>
        <v>125747331</v>
      </c>
      <c r="K1426" s="1">
        <f t="shared" si="67"/>
        <v>55.677762299999998</v>
      </c>
      <c r="L1426" s="1">
        <f t="shared" si="68"/>
        <v>12.5747331</v>
      </c>
    </row>
    <row r="1427" spans="1:12" ht="16" x14ac:dyDescent="0.2">
      <c r="A1427" s="1">
        <v>1426</v>
      </c>
      <c r="B1427" s="1" t="s">
        <v>3980</v>
      </c>
      <c r="C1427" s="1" t="s">
        <v>4307</v>
      </c>
      <c r="D1427" s="1" t="str">
        <f t="shared" si="66"/>
        <v>København KommuneBrolæggerstræde 9 og Knabrostræde 16</v>
      </c>
      <c r="E1427" s="1" t="s">
        <v>4308</v>
      </c>
      <c r="F1427" s="1" t="s">
        <v>4309</v>
      </c>
      <c r="G1427" s="1">
        <v>1945</v>
      </c>
      <c r="H1427" s="1" t="s">
        <v>11</v>
      </c>
      <c r="I1427" s="6" cm="1">
        <f t="array" ref="I1427">GetLatitude(D1427)</f>
        <v>556775804</v>
      </c>
      <c r="J1427" s="1" cm="1">
        <f t="array" ref="J1427">GetLongitude(D1427)</f>
        <v>125748925</v>
      </c>
      <c r="K1427" s="1">
        <f t="shared" si="67"/>
        <v>55.677580399999997</v>
      </c>
      <c r="L1427" s="1">
        <f t="shared" si="68"/>
        <v>12.574892500000001</v>
      </c>
    </row>
    <row r="1428" spans="1:12" ht="16" x14ac:dyDescent="0.2">
      <c r="A1428" s="1">
        <v>1427</v>
      </c>
      <c r="B1428" s="1" t="s">
        <v>3980</v>
      </c>
      <c r="C1428" s="1" t="s">
        <v>4310</v>
      </c>
      <c r="D1428" s="1" t="str">
        <f t="shared" si="66"/>
        <v>København KommuneBrønshøjvej 29</v>
      </c>
      <c r="E1428" s="1" t="s">
        <v>4311</v>
      </c>
      <c r="F1428" s="1" t="s">
        <v>4312</v>
      </c>
      <c r="G1428" s="1">
        <v>2000</v>
      </c>
      <c r="H1428" s="1" t="s">
        <v>15</v>
      </c>
      <c r="I1428" s="6" cm="1">
        <f t="array" ref="I1428">GetLatitude(D1428)</f>
        <v>556760968</v>
      </c>
      <c r="J1428" s="1" cm="1">
        <f t="array" ref="J1428">GetLongitude(D1428)</f>
        <v>125683371</v>
      </c>
      <c r="K1428" s="1">
        <f t="shared" si="67"/>
        <v>55.676096800000003</v>
      </c>
      <c r="L1428" s="1">
        <f t="shared" si="68"/>
        <v>12.568337100000001</v>
      </c>
    </row>
    <row r="1429" spans="1:12" ht="16" x14ac:dyDescent="0.2">
      <c r="A1429" s="1">
        <v>1428</v>
      </c>
      <c r="B1429" s="1" t="s">
        <v>3980</v>
      </c>
      <c r="C1429" s="1" t="s">
        <v>4313</v>
      </c>
      <c r="D1429" s="1" t="str">
        <f t="shared" si="66"/>
        <v>København KommuneBørsgade 2</v>
      </c>
      <c r="E1429" s="1" t="s">
        <v>4314</v>
      </c>
      <c r="F1429" s="1" t="s">
        <v>4315</v>
      </c>
      <c r="G1429" s="1">
        <v>1918</v>
      </c>
      <c r="H1429" s="1" t="s">
        <v>11</v>
      </c>
      <c r="I1429" s="6" cm="1">
        <f t="array" ref="I1429">GetLatitude(D1429)</f>
        <v>556755786</v>
      </c>
      <c r="J1429" s="1" cm="1">
        <f t="array" ref="J1429">GetLongitude(D1429)</f>
        <v>125840748</v>
      </c>
      <c r="K1429" s="1">
        <f t="shared" si="67"/>
        <v>55.675578600000001</v>
      </c>
      <c r="L1429" s="1">
        <f t="shared" si="68"/>
        <v>12.5840748</v>
      </c>
    </row>
    <row r="1430" spans="1:12" ht="16" x14ac:dyDescent="0.2">
      <c r="A1430" s="1">
        <v>1429</v>
      </c>
      <c r="B1430" s="1" t="s">
        <v>3980</v>
      </c>
      <c r="C1430" s="1" t="s">
        <v>4316</v>
      </c>
      <c r="D1430" s="1" t="str">
        <f t="shared" si="66"/>
        <v>København KommuneChristiansborg Slot 1</v>
      </c>
      <c r="E1430" s="1" t="s">
        <v>4317</v>
      </c>
      <c r="F1430" s="1" t="s">
        <v>4318</v>
      </c>
      <c r="G1430" s="1">
        <v>1918</v>
      </c>
      <c r="H1430" s="1" t="s">
        <v>15</v>
      </c>
      <c r="I1430" s="6" cm="1">
        <f t="array" ref="I1430">GetLatitude(D1430)</f>
        <v>556763218</v>
      </c>
      <c r="J1430" s="1" cm="1">
        <f t="array" ref="J1430">GetLongitude(D1430)</f>
        <v>125803274</v>
      </c>
      <c r="K1430" s="1">
        <f t="shared" si="67"/>
        <v>55.676321799999997</v>
      </c>
      <c r="L1430" s="1">
        <f t="shared" si="68"/>
        <v>12.5803274</v>
      </c>
    </row>
    <row r="1431" spans="1:12" ht="16" x14ac:dyDescent="0.2">
      <c r="A1431" s="1">
        <v>1430</v>
      </c>
      <c r="B1431" s="1" t="s">
        <v>3980</v>
      </c>
      <c r="C1431" s="1" t="s">
        <v>4319</v>
      </c>
      <c r="D1431" s="1" t="str">
        <f t="shared" si="66"/>
        <v>København KommuneChristianshavns Vold og Grave, herunder Christianshavns Voldgade 50, 52 og 54, Krudtløbsvej 8,Langebrogade 4 og 10, Refshalevej 110 samt Torvegade 75 og 79</v>
      </c>
      <c r="E1431" s="1" t="s">
        <v>4320</v>
      </c>
      <c r="F1431" s="1" t="s">
        <v>4321</v>
      </c>
      <c r="G1431" s="1">
        <v>1918</v>
      </c>
      <c r="H1431" s="1" t="s">
        <v>15</v>
      </c>
      <c r="I1431" s="6" cm="1">
        <f t="array" ref="I1431">GetLatitude(D1431)</f>
        <v>556696577</v>
      </c>
      <c r="J1431" s="1" cm="1">
        <f t="array" ref="J1431">GetLongitude(D1431)</f>
        <v>125973919</v>
      </c>
      <c r="K1431" s="1">
        <f t="shared" si="67"/>
        <v>55.669657700000002</v>
      </c>
      <c r="L1431" s="1">
        <f t="shared" si="68"/>
        <v>12.5973919</v>
      </c>
    </row>
    <row r="1432" spans="1:12" ht="16" x14ac:dyDescent="0.2">
      <c r="A1432" s="1">
        <v>1431</v>
      </c>
      <c r="B1432" s="1" t="s">
        <v>3980</v>
      </c>
      <c r="C1432" s="1" t="s">
        <v>4322</v>
      </c>
      <c r="D1432" s="1" t="str">
        <f t="shared" si="66"/>
        <v>København KommuneClassensgade 52-68</v>
      </c>
      <c r="E1432" s="1" t="s">
        <v>4323</v>
      </c>
      <c r="F1432" s="1" t="s">
        <v>4324</v>
      </c>
      <c r="G1432" s="1">
        <v>2001</v>
      </c>
      <c r="H1432" s="1" t="s">
        <v>11</v>
      </c>
      <c r="I1432" s="6" cm="1">
        <f t="array" ref="I1432">GetLatitude(D1432)</f>
        <v>556980020</v>
      </c>
      <c r="J1432" s="1" cm="1">
        <f t="array" ref="J1432">GetLongitude(D1432)</f>
        <v>125876330</v>
      </c>
      <c r="K1432" s="1">
        <f t="shared" si="67"/>
        <v>55.698002000000002</v>
      </c>
      <c r="L1432" s="1">
        <f t="shared" si="68"/>
        <v>12.587633</v>
      </c>
    </row>
    <row r="1433" spans="1:12" ht="16" x14ac:dyDescent="0.2">
      <c r="A1433" s="1">
        <v>1432</v>
      </c>
      <c r="B1433" s="1" t="s">
        <v>3980</v>
      </c>
      <c r="C1433" s="1" t="s">
        <v>4325</v>
      </c>
      <c r="D1433" s="1" t="str">
        <f t="shared" si="66"/>
        <v>København KommuneDampfærgevej 2, 4 og Amerikakaj 5</v>
      </c>
      <c r="E1433" s="1" t="s">
        <v>4326</v>
      </c>
      <c r="F1433" s="1" t="s">
        <v>4327</v>
      </c>
      <c r="G1433" s="1">
        <v>1996</v>
      </c>
      <c r="H1433" s="1" t="s">
        <v>11</v>
      </c>
      <c r="I1433" s="6" cm="1">
        <f t="array" ref="I1433">GetLatitude(D1433)</f>
        <v>556995764</v>
      </c>
      <c r="J1433" s="1" cm="1">
        <f t="array" ref="J1433">GetLongitude(D1433)</f>
        <v>125961834</v>
      </c>
      <c r="K1433" s="1">
        <f t="shared" si="67"/>
        <v>55.699576399999998</v>
      </c>
      <c r="L1433" s="1">
        <f t="shared" si="68"/>
        <v>12.596183399999999</v>
      </c>
    </row>
    <row r="1434" spans="1:12" ht="16" x14ac:dyDescent="0.2">
      <c r="A1434" s="1">
        <v>1433</v>
      </c>
      <c r="B1434" s="1" t="s">
        <v>3980</v>
      </c>
      <c r="C1434" s="1" t="s">
        <v>4328</v>
      </c>
      <c r="D1434" s="1" t="str">
        <f t="shared" si="66"/>
        <v>København KommuneDantes Plads 7</v>
      </c>
      <c r="E1434" s="1" t="s">
        <v>4329</v>
      </c>
      <c r="F1434" s="1" t="s">
        <v>4330</v>
      </c>
      <c r="G1434" s="1">
        <v>1982</v>
      </c>
      <c r="H1434" s="1" t="s">
        <v>11</v>
      </c>
      <c r="I1434" s="6" cm="1">
        <f t="array" ref="I1434">GetLatitude(D1434)</f>
        <v>556724978</v>
      </c>
      <c r="J1434" s="1" cm="1">
        <f t="array" ref="J1434">GetLongitude(D1434)</f>
        <v>125718338</v>
      </c>
      <c r="K1434" s="1">
        <f t="shared" si="67"/>
        <v>55.672497800000002</v>
      </c>
      <c r="L1434" s="1">
        <f t="shared" si="68"/>
        <v>12.5718338</v>
      </c>
    </row>
    <row r="1435" spans="1:12" ht="16" x14ac:dyDescent="0.2">
      <c r="A1435" s="1">
        <v>1434</v>
      </c>
      <c r="B1435" s="1" t="s">
        <v>3980</v>
      </c>
      <c r="C1435" s="1" t="s">
        <v>4331</v>
      </c>
      <c r="D1435" s="1" t="str">
        <f t="shared" si="66"/>
        <v>København KommuneDelfingade 2-56 m.fl. adresser</v>
      </c>
      <c r="E1435" s="1" t="s">
        <v>4332</v>
      </c>
      <c r="F1435" s="1" t="s">
        <v>4333</v>
      </c>
      <c r="G1435" s="1">
        <v>1918</v>
      </c>
      <c r="H1435" s="1" t="s">
        <v>4334</v>
      </c>
      <c r="I1435" s="6" cm="1">
        <f t="array" ref="I1435">GetLatitude(D1435)</f>
        <v>556890465</v>
      </c>
      <c r="J1435" s="1" cm="1">
        <f t="array" ref="J1435">GetLongitude(D1435)</f>
        <v>125891834</v>
      </c>
      <c r="K1435" s="1">
        <f t="shared" si="67"/>
        <v>55.689046500000003</v>
      </c>
      <c r="L1435" s="1">
        <f t="shared" si="68"/>
        <v>12.5891834</v>
      </c>
    </row>
    <row r="1436" spans="1:12" ht="16" x14ac:dyDescent="0.2">
      <c r="A1436" s="1">
        <v>1435</v>
      </c>
      <c r="B1436" s="1" t="s">
        <v>3980</v>
      </c>
      <c r="C1436" s="1" t="s">
        <v>4335</v>
      </c>
      <c r="D1436" s="1" t="str">
        <f t="shared" si="66"/>
        <v>København KommuneDronningensgade 11</v>
      </c>
      <c r="E1436" s="1" t="s">
        <v>4336</v>
      </c>
      <c r="F1436" s="1" t="s">
        <v>4337</v>
      </c>
      <c r="G1436" s="1">
        <v>1972</v>
      </c>
      <c r="H1436" s="1" t="s">
        <v>11</v>
      </c>
      <c r="I1436" s="6" cm="1">
        <f t="array" ref="I1436">GetLatitude(D1436)</f>
        <v>556706473</v>
      </c>
      <c r="J1436" s="1" cm="1">
        <f t="array" ref="J1436">GetLongitude(D1436)</f>
        <v>125895320</v>
      </c>
      <c r="K1436" s="1">
        <f t="shared" si="67"/>
        <v>55.670647299999999</v>
      </c>
      <c r="L1436" s="1">
        <f t="shared" si="68"/>
        <v>12.589532</v>
      </c>
    </row>
    <row r="1437" spans="1:12" ht="16" x14ac:dyDescent="0.2">
      <c r="A1437" s="1">
        <v>1436</v>
      </c>
      <c r="B1437" s="1" t="s">
        <v>3980</v>
      </c>
      <c r="C1437" s="1" t="s">
        <v>4338</v>
      </c>
      <c r="D1437" s="1" t="str">
        <f t="shared" si="66"/>
        <v>København KommuneDronningensgade 13</v>
      </c>
      <c r="E1437" s="1" t="s">
        <v>4339</v>
      </c>
      <c r="F1437" s="1" t="s">
        <v>4340</v>
      </c>
      <c r="G1437" s="1">
        <v>1964</v>
      </c>
      <c r="H1437" s="1" t="s">
        <v>11</v>
      </c>
      <c r="I1437" s="6" cm="1">
        <f t="array" ref="I1437">GetLatitude(D1437)</f>
        <v>556707038</v>
      </c>
      <c r="J1437" s="1" cm="1">
        <f t="array" ref="J1437">GetLongitude(D1437)</f>
        <v>125896248</v>
      </c>
      <c r="K1437" s="1">
        <f t="shared" si="67"/>
        <v>55.670703799999998</v>
      </c>
      <c r="L1437" s="1">
        <f t="shared" si="68"/>
        <v>12.589624799999999</v>
      </c>
    </row>
    <row r="1438" spans="1:12" ht="16" x14ac:dyDescent="0.2">
      <c r="A1438" s="1">
        <v>1437</v>
      </c>
      <c r="B1438" s="1" t="s">
        <v>3980</v>
      </c>
      <c r="C1438" s="1" t="s">
        <v>4341</v>
      </c>
      <c r="D1438" s="1" t="str">
        <f t="shared" si="66"/>
        <v>København KommuneDronningensgade 14</v>
      </c>
      <c r="E1438" s="1" t="s">
        <v>4342</v>
      </c>
      <c r="F1438" s="1" t="s">
        <v>4343</v>
      </c>
      <c r="G1438" s="1">
        <v>1964</v>
      </c>
      <c r="H1438" s="1" t="s">
        <v>11</v>
      </c>
      <c r="I1438" s="6" cm="1">
        <f t="array" ref="I1438">GetLatitude(D1438)</f>
        <v>556705929</v>
      </c>
      <c r="J1438" s="1" cm="1">
        <f t="array" ref="J1438">GetLongitude(D1438)</f>
        <v>125899496</v>
      </c>
      <c r="K1438" s="1">
        <f t="shared" si="67"/>
        <v>55.670592900000003</v>
      </c>
      <c r="L1438" s="1">
        <f t="shared" si="68"/>
        <v>12.589949600000001</v>
      </c>
    </row>
    <row r="1439" spans="1:12" ht="16" x14ac:dyDescent="0.2">
      <c r="A1439" s="1">
        <v>1438</v>
      </c>
      <c r="B1439" s="1" t="s">
        <v>3980</v>
      </c>
      <c r="C1439" s="1" t="s">
        <v>4344</v>
      </c>
      <c r="D1439" s="1" t="str">
        <f t="shared" si="66"/>
        <v>København KommuneDronningensgade 15</v>
      </c>
      <c r="E1439" s="1" t="s">
        <v>4345</v>
      </c>
      <c r="F1439" s="1" t="s">
        <v>4346</v>
      </c>
      <c r="G1439" s="1">
        <v>1964</v>
      </c>
      <c r="H1439" s="1" t="s">
        <v>11</v>
      </c>
      <c r="I1439" s="6" cm="1">
        <f t="array" ref="I1439">GetLatitude(D1439)</f>
        <v>556707514</v>
      </c>
      <c r="J1439" s="1" cm="1">
        <f t="array" ref="J1439">GetLongitude(D1439)</f>
        <v>125896969</v>
      </c>
      <c r="K1439" s="1">
        <f t="shared" si="67"/>
        <v>55.6707514</v>
      </c>
      <c r="L1439" s="1">
        <f t="shared" si="68"/>
        <v>12.5896969</v>
      </c>
    </row>
    <row r="1440" spans="1:12" ht="16" x14ac:dyDescent="0.2">
      <c r="A1440" s="1">
        <v>1439</v>
      </c>
      <c r="B1440" s="1" t="s">
        <v>3980</v>
      </c>
      <c r="C1440" s="1" t="s">
        <v>4347</v>
      </c>
      <c r="D1440" s="1" t="str">
        <f t="shared" si="66"/>
        <v>København KommuneDronningensgade 21</v>
      </c>
      <c r="E1440" s="1" t="s">
        <v>4348</v>
      </c>
      <c r="F1440" s="1" t="s">
        <v>4349</v>
      </c>
      <c r="G1440" s="1">
        <v>1964</v>
      </c>
      <c r="H1440" s="1" t="s">
        <v>11</v>
      </c>
      <c r="I1440" s="6" cm="1">
        <f t="array" ref="I1440">GetLatitude(D1440)</f>
        <v>556708998</v>
      </c>
      <c r="J1440" s="1" cm="1">
        <f t="array" ref="J1440">GetLongitude(D1440)</f>
        <v>125899653</v>
      </c>
      <c r="K1440" s="1">
        <f t="shared" si="67"/>
        <v>55.670899800000001</v>
      </c>
      <c r="L1440" s="1">
        <f t="shared" si="68"/>
        <v>12.589965299999999</v>
      </c>
    </row>
    <row r="1441" spans="1:12" ht="16" x14ac:dyDescent="0.2">
      <c r="A1441" s="1">
        <v>1440</v>
      </c>
      <c r="B1441" s="1" t="s">
        <v>3980</v>
      </c>
      <c r="C1441" s="1" t="s">
        <v>4350</v>
      </c>
      <c r="D1441" s="1" t="str">
        <f t="shared" si="66"/>
        <v>København KommuneDronningens Tværgade 10</v>
      </c>
      <c r="E1441" s="1" t="s">
        <v>4351</v>
      </c>
      <c r="F1441" s="1" t="s">
        <v>4352</v>
      </c>
      <c r="G1441" s="1">
        <v>1983</v>
      </c>
      <c r="H1441" s="1" t="s">
        <v>11</v>
      </c>
      <c r="I1441" s="6" cm="1">
        <f t="array" ref="I1441">GetLatitude(D1441)</f>
        <v>556835408</v>
      </c>
      <c r="J1441" s="1" cm="1">
        <f t="array" ref="J1441">GetLongitude(D1441)</f>
        <v>125878214</v>
      </c>
      <c r="K1441" s="1">
        <f t="shared" si="67"/>
        <v>55.683540800000003</v>
      </c>
      <c r="L1441" s="1">
        <f t="shared" si="68"/>
        <v>12.587821399999999</v>
      </c>
    </row>
    <row r="1442" spans="1:12" ht="16" x14ac:dyDescent="0.2">
      <c r="A1442" s="1">
        <v>1441</v>
      </c>
      <c r="B1442" s="1" t="s">
        <v>3980</v>
      </c>
      <c r="C1442" s="1" t="s">
        <v>4353</v>
      </c>
      <c r="D1442" s="1" t="str">
        <f t="shared" si="66"/>
        <v>København KommuneDronningens Tværgade 2, hj af Bredgade</v>
      </c>
      <c r="E1442" s="1" t="s">
        <v>4354</v>
      </c>
      <c r="F1442" s="1" t="s">
        <v>4355</v>
      </c>
      <c r="G1442" s="1">
        <v>1932</v>
      </c>
      <c r="H1442" s="1" t="s">
        <v>11</v>
      </c>
      <c r="I1442" s="6" cm="1">
        <f t="array" ref="I1442">GetLatitude(D1442)</f>
        <v>556832624</v>
      </c>
      <c r="J1442" s="1" cm="1">
        <f t="array" ref="J1442">GetLongitude(D1442)</f>
        <v>125891550</v>
      </c>
      <c r="K1442" s="1">
        <f t="shared" si="67"/>
        <v>55.683262399999997</v>
      </c>
      <c r="L1442" s="1">
        <f t="shared" si="68"/>
        <v>12.589155</v>
      </c>
    </row>
    <row r="1443" spans="1:12" ht="16" x14ac:dyDescent="0.2">
      <c r="A1443" s="1">
        <v>1442</v>
      </c>
      <c r="B1443" s="1" t="s">
        <v>3980</v>
      </c>
      <c r="C1443" s="1" t="s">
        <v>4356</v>
      </c>
      <c r="D1443" s="1" t="str">
        <f t="shared" si="66"/>
        <v>København KommuneDronningens Tværgade 23-35 og Borgergade 15</v>
      </c>
      <c r="E1443" s="1" t="s">
        <v>4357</v>
      </c>
      <c r="F1443" s="1" t="s">
        <v>4358</v>
      </c>
      <c r="G1443" s="1">
        <v>1995</v>
      </c>
      <c r="H1443" s="1" t="s">
        <v>11</v>
      </c>
      <c r="I1443" s="6" cm="1">
        <f t="array" ref="I1443">GetLatitude(D1443)</f>
        <v>556850460</v>
      </c>
      <c r="J1443" s="1" cm="1">
        <f t="array" ref="J1443">GetLongitude(D1443)</f>
        <v>125859186</v>
      </c>
      <c r="K1443" s="1">
        <f t="shared" si="67"/>
        <v>55.685046</v>
      </c>
      <c r="L1443" s="1">
        <f t="shared" si="68"/>
        <v>12.585918599999999</v>
      </c>
    </row>
    <row r="1444" spans="1:12" ht="16" x14ac:dyDescent="0.2">
      <c r="A1444" s="1">
        <v>1443</v>
      </c>
      <c r="B1444" s="1" t="s">
        <v>3980</v>
      </c>
      <c r="C1444" s="1" t="s">
        <v>4359</v>
      </c>
      <c r="D1444" s="1" t="str">
        <f t="shared" si="66"/>
        <v>København KommuneDronningens Tværgade 32-44 og Borgergade 17</v>
      </c>
      <c r="E1444" s="1" t="s">
        <v>4360</v>
      </c>
      <c r="F1444" s="1" t="s">
        <v>4361</v>
      </c>
      <c r="G1444" s="1">
        <v>1995</v>
      </c>
      <c r="H1444" s="1" t="s">
        <v>11</v>
      </c>
      <c r="I1444" s="6" cm="1">
        <f t="array" ref="I1444">GetLatitude(D1444)</f>
        <v>556843746</v>
      </c>
      <c r="J1444" s="1" cm="1">
        <f t="array" ref="J1444">GetLongitude(D1444)</f>
        <v>125852210</v>
      </c>
      <c r="K1444" s="1">
        <f t="shared" si="67"/>
        <v>55.684374599999998</v>
      </c>
      <c r="L1444" s="1">
        <f t="shared" si="68"/>
        <v>12.585221000000001</v>
      </c>
    </row>
    <row r="1445" spans="1:12" ht="16" x14ac:dyDescent="0.2">
      <c r="A1445" s="1">
        <v>1444</v>
      </c>
      <c r="B1445" s="1" t="s">
        <v>3980</v>
      </c>
      <c r="C1445" s="1" t="s">
        <v>4362</v>
      </c>
      <c r="D1445" s="1" t="str">
        <f t="shared" si="66"/>
        <v>København KommuneDronningens Tværgade 37-43</v>
      </c>
      <c r="E1445" s="1" t="s">
        <v>4363</v>
      </c>
      <c r="F1445" s="1" t="s">
        <v>4364</v>
      </c>
      <c r="G1445" s="1">
        <v>1995</v>
      </c>
      <c r="H1445" s="1" t="s">
        <v>11</v>
      </c>
      <c r="I1445" s="6" cm="1">
        <f t="array" ref="I1445">GetLatitude(D1445)</f>
        <v>556840830</v>
      </c>
      <c r="J1445" s="1" cm="1">
        <f t="array" ref="J1445">GetLongitude(D1445)</f>
        <v>125833330</v>
      </c>
      <c r="K1445" s="1">
        <f t="shared" si="67"/>
        <v>55.684083000000001</v>
      </c>
      <c r="L1445" s="1">
        <f t="shared" si="68"/>
        <v>12.583333</v>
      </c>
    </row>
    <row r="1446" spans="1:12" ht="16" x14ac:dyDescent="0.2">
      <c r="A1446" s="1">
        <v>1445</v>
      </c>
      <c r="B1446" s="1" t="s">
        <v>3980</v>
      </c>
      <c r="C1446" s="1" t="s">
        <v>4365</v>
      </c>
      <c r="D1446" s="1" t="str">
        <f t="shared" si="66"/>
        <v>København KommuneDronningens Tværgade 4</v>
      </c>
      <c r="E1446" s="1" t="s">
        <v>4366</v>
      </c>
      <c r="F1446" s="1" t="s">
        <v>4367</v>
      </c>
      <c r="G1446" s="1">
        <v>1994</v>
      </c>
      <c r="H1446" s="1" t="s">
        <v>11</v>
      </c>
      <c r="I1446" s="6" cm="1">
        <f t="array" ref="I1446">GetLatitude(D1446)</f>
        <v>556834488</v>
      </c>
      <c r="J1446" s="1" cm="1">
        <f t="array" ref="J1446">GetLongitude(D1446)</f>
        <v>125884223</v>
      </c>
      <c r="K1446" s="1">
        <f t="shared" si="67"/>
        <v>55.683448800000001</v>
      </c>
      <c r="L1446" s="1">
        <f t="shared" si="68"/>
        <v>12.5884223</v>
      </c>
    </row>
    <row r="1447" spans="1:12" ht="16" x14ac:dyDescent="0.2">
      <c r="A1447" s="1">
        <v>1446</v>
      </c>
      <c r="B1447" s="1" t="s">
        <v>3980</v>
      </c>
      <c r="C1447" s="1" t="s">
        <v>4368</v>
      </c>
      <c r="D1447" s="1" t="str">
        <f t="shared" si="66"/>
        <v>København KommuneDronningens Tværgade 46-50</v>
      </c>
      <c r="E1447" s="1" t="s">
        <v>4369</v>
      </c>
      <c r="F1447" s="1" t="s">
        <v>4370</v>
      </c>
      <c r="G1447" s="1">
        <v>1995</v>
      </c>
      <c r="H1447" s="1" t="s">
        <v>11</v>
      </c>
      <c r="I1447" s="6" cm="1">
        <f t="array" ref="I1447">GetLatitude(D1447)</f>
        <v>556850220</v>
      </c>
      <c r="J1447" s="1" cm="1">
        <f t="array" ref="J1447">GetLongitude(D1447)</f>
        <v>125841190</v>
      </c>
      <c r="K1447" s="1">
        <f t="shared" si="67"/>
        <v>55.685021999999996</v>
      </c>
      <c r="L1447" s="1">
        <f t="shared" si="68"/>
        <v>12.584118999999999</v>
      </c>
    </row>
    <row r="1448" spans="1:12" ht="16" x14ac:dyDescent="0.2">
      <c r="A1448" s="1">
        <v>1447</v>
      </c>
      <c r="B1448" s="1" t="s">
        <v>3980</v>
      </c>
      <c r="C1448" s="1" t="s">
        <v>4371</v>
      </c>
      <c r="D1448" s="1" t="str">
        <f t="shared" si="66"/>
        <v>København KommuneDronningens Tværgade 5</v>
      </c>
      <c r="E1448" s="1" t="s">
        <v>4372</v>
      </c>
      <c r="F1448" s="1" t="s">
        <v>4373</v>
      </c>
      <c r="G1448" s="1">
        <v>1951</v>
      </c>
      <c r="H1448" s="1" t="s">
        <v>391</v>
      </c>
      <c r="I1448" s="6" cm="1">
        <f t="array" ref="I1448">GetLatitude(D1448)</f>
        <v>556832666</v>
      </c>
      <c r="J1448" s="1" cm="1">
        <f t="array" ref="J1448">GetLongitude(D1448)</f>
        <v>125880319</v>
      </c>
      <c r="K1448" s="1">
        <f t="shared" si="67"/>
        <v>55.683266600000003</v>
      </c>
      <c r="L1448" s="1">
        <f t="shared" si="68"/>
        <v>12.588031900000001</v>
      </c>
    </row>
    <row r="1449" spans="1:12" ht="16" x14ac:dyDescent="0.2">
      <c r="A1449" s="1">
        <v>1448</v>
      </c>
      <c r="B1449" s="1" t="s">
        <v>3980</v>
      </c>
      <c r="C1449" s="1" t="s">
        <v>4374</v>
      </c>
      <c r="D1449" s="1" t="str">
        <f t="shared" si="66"/>
        <v>København KommuneDronningens Tværgade 56</v>
      </c>
      <c r="E1449" s="1" t="s">
        <v>4375</v>
      </c>
      <c r="F1449" s="1" t="s">
        <v>4376</v>
      </c>
      <c r="G1449" s="1">
        <v>1950</v>
      </c>
      <c r="H1449" s="1" t="s">
        <v>11</v>
      </c>
      <c r="I1449" s="6" cm="1">
        <f t="array" ref="I1449">GetLatitude(D1449)</f>
        <v>556848133</v>
      </c>
      <c r="J1449" s="1" cm="1">
        <f t="array" ref="J1449">GetLongitude(D1449)</f>
        <v>125833554</v>
      </c>
      <c r="K1449" s="1">
        <f t="shared" si="67"/>
        <v>55.684813300000002</v>
      </c>
      <c r="L1449" s="1">
        <f t="shared" si="68"/>
        <v>12.5833554</v>
      </c>
    </row>
    <row r="1450" spans="1:12" ht="16" x14ac:dyDescent="0.2">
      <c r="A1450" s="1">
        <v>1449</v>
      </c>
      <c r="B1450" s="1" t="s">
        <v>3980</v>
      </c>
      <c r="C1450" s="1" t="s">
        <v>4377</v>
      </c>
      <c r="D1450" s="1" t="str">
        <f t="shared" si="66"/>
        <v>København KommuneDronningens Tværgade 57</v>
      </c>
      <c r="E1450" s="1" t="s">
        <v>4378</v>
      </c>
      <c r="F1450" s="1" t="s">
        <v>4379</v>
      </c>
      <c r="G1450" s="1">
        <v>1971</v>
      </c>
      <c r="H1450" s="1" t="s">
        <v>11</v>
      </c>
      <c r="I1450" s="6" cm="1">
        <f t="array" ref="I1450">GetLatitude(D1450)</f>
        <v>556846164</v>
      </c>
      <c r="J1450" s="1" cm="1">
        <f t="array" ref="J1450">GetLongitude(D1450)</f>
        <v>125831295</v>
      </c>
      <c r="K1450" s="1">
        <f t="shared" si="67"/>
        <v>55.684616400000003</v>
      </c>
      <c r="L1450" s="1">
        <f t="shared" si="68"/>
        <v>12.5831295</v>
      </c>
    </row>
    <row r="1451" spans="1:12" ht="16" x14ac:dyDescent="0.2">
      <c r="A1451" s="1">
        <v>1450</v>
      </c>
      <c r="B1451" s="1" t="s">
        <v>3980</v>
      </c>
      <c r="C1451" s="1" t="s">
        <v>4380</v>
      </c>
      <c r="D1451" s="1" t="str">
        <f t="shared" si="66"/>
        <v>København KommuneDronningens Tværgade 58</v>
      </c>
      <c r="E1451" s="1" t="s">
        <v>4381</v>
      </c>
      <c r="F1451" s="1" t="s">
        <v>4382</v>
      </c>
      <c r="G1451" s="1">
        <v>1950</v>
      </c>
      <c r="H1451" s="1" t="s">
        <v>11</v>
      </c>
      <c r="I1451" s="6" cm="1">
        <f t="array" ref="I1451">GetLatitude(D1451)</f>
        <v>556849074</v>
      </c>
      <c r="J1451" s="1" cm="1">
        <f t="array" ref="J1451">GetLongitude(D1451)</f>
        <v>125828744</v>
      </c>
      <c r="K1451" s="1">
        <f t="shared" si="67"/>
        <v>55.6849074</v>
      </c>
      <c r="L1451" s="1">
        <f t="shared" si="68"/>
        <v>12.5828744</v>
      </c>
    </row>
    <row r="1452" spans="1:12" ht="16" x14ac:dyDescent="0.2">
      <c r="A1452" s="1">
        <v>1451</v>
      </c>
      <c r="B1452" s="1" t="s">
        <v>3980</v>
      </c>
      <c r="C1452" s="1" t="s">
        <v>4383</v>
      </c>
      <c r="D1452" s="1" t="str">
        <f t="shared" si="66"/>
        <v>København KommuneDronningens Tværgade 59</v>
      </c>
      <c r="E1452" s="1" t="s">
        <v>4384</v>
      </c>
      <c r="F1452" s="1" t="s">
        <v>4385</v>
      </c>
      <c r="G1452" s="1">
        <v>1950</v>
      </c>
      <c r="H1452" s="1" t="s">
        <v>11</v>
      </c>
      <c r="I1452" s="6" cm="1">
        <f t="array" ref="I1452">GetLatitude(D1452)</f>
        <v>556846294</v>
      </c>
      <c r="J1452" s="1" cm="1">
        <f t="array" ref="J1452">GetLongitude(D1452)</f>
        <v>125830042</v>
      </c>
      <c r="K1452" s="1">
        <f t="shared" si="67"/>
        <v>55.684629399999999</v>
      </c>
      <c r="L1452" s="1">
        <f t="shared" si="68"/>
        <v>12.5830042</v>
      </c>
    </row>
    <row r="1453" spans="1:12" ht="16" x14ac:dyDescent="0.2">
      <c r="A1453" s="1">
        <v>1452</v>
      </c>
      <c r="B1453" s="1" t="s">
        <v>3980</v>
      </c>
      <c r="C1453" s="1" t="s">
        <v>4386</v>
      </c>
      <c r="D1453" s="1" t="str">
        <f t="shared" si="66"/>
        <v>København KommuneDronningens Tværgade 61</v>
      </c>
      <c r="E1453" s="1" t="s">
        <v>4387</v>
      </c>
      <c r="F1453" s="1" t="s">
        <v>4388</v>
      </c>
      <c r="G1453" s="1">
        <v>1950</v>
      </c>
      <c r="H1453" s="1" t="s">
        <v>701</v>
      </c>
      <c r="I1453" s="6" cm="1">
        <f t="array" ref="I1453">GetLatitude(D1453)</f>
        <v>556846909</v>
      </c>
      <c r="J1453" s="1" cm="1">
        <f t="array" ref="J1453">GetLongitude(D1453)</f>
        <v>125828364</v>
      </c>
      <c r="K1453" s="1">
        <f t="shared" si="67"/>
        <v>55.6846909</v>
      </c>
      <c r="L1453" s="1">
        <f t="shared" si="68"/>
        <v>12.5828364</v>
      </c>
    </row>
    <row r="1454" spans="1:12" ht="16" x14ac:dyDescent="0.2">
      <c r="A1454" s="1">
        <v>1453</v>
      </c>
      <c r="B1454" s="1" t="s">
        <v>3980</v>
      </c>
      <c r="C1454" s="1" t="s">
        <v>4389</v>
      </c>
      <c r="D1454" s="1" t="str">
        <f t="shared" si="66"/>
        <v>København KommuneDronningens Tværgade 7, 7A og 7B</v>
      </c>
      <c r="E1454" s="1" t="s">
        <v>4390</v>
      </c>
      <c r="F1454" s="1" t="s">
        <v>4391</v>
      </c>
      <c r="G1454" s="1">
        <v>1999</v>
      </c>
      <c r="H1454" s="1" t="s">
        <v>11</v>
      </c>
      <c r="I1454" s="6" cm="1">
        <f t="array" ref="I1454">GetLatitude(D1454)</f>
        <v>556833217</v>
      </c>
      <c r="J1454" s="1" cm="1">
        <f t="array" ref="J1454">GetLongitude(D1454)</f>
        <v>125877366</v>
      </c>
      <c r="K1454" s="1">
        <f t="shared" si="67"/>
        <v>55.6833217</v>
      </c>
      <c r="L1454" s="1">
        <f t="shared" si="68"/>
        <v>12.587736599999999</v>
      </c>
    </row>
    <row r="1455" spans="1:12" ht="16" x14ac:dyDescent="0.2">
      <c r="A1455" s="1">
        <v>1454</v>
      </c>
      <c r="B1455" s="1" t="s">
        <v>3980</v>
      </c>
      <c r="C1455" s="1" t="s">
        <v>4392</v>
      </c>
      <c r="D1455" s="1" t="str">
        <f t="shared" si="66"/>
        <v>København KommuneDybensgade 14</v>
      </c>
      <c r="E1455" s="1" t="s">
        <v>4393</v>
      </c>
      <c r="F1455" s="1" t="s">
        <v>1276</v>
      </c>
      <c r="G1455" s="1">
        <v>1959</v>
      </c>
      <c r="H1455" s="1" t="s">
        <v>11</v>
      </c>
      <c r="I1455" s="6" cm="1">
        <f t="array" ref="I1455">GetLatitude(D1455)</f>
        <v>556781435</v>
      </c>
      <c r="J1455" s="1" cm="1">
        <f t="array" ref="J1455">GetLongitude(D1455)</f>
        <v>125830511</v>
      </c>
      <c r="K1455" s="1">
        <f t="shared" si="67"/>
        <v>55.678143499999997</v>
      </c>
      <c r="L1455" s="1">
        <f t="shared" si="68"/>
        <v>12.5830511</v>
      </c>
    </row>
    <row r="1456" spans="1:12" ht="16" x14ac:dyDescent="0.2">
      <c r="A1456" s="1">
        <v>1455</v>
      </c>
      <c r="B1456" s="1" t="s">
        <v>3980</v>
      </c>
      <c r="C1456" s="1" t="s">
        <v>4394</v>
      </c>
      <c r="D1456" s="1" t="str">
        <f t="shared" si="66"/>
        <v>København KommuneDybensgade 21</v>
      </c>
      <c r="E1456" s="1" t="s">
        <v>4395</v>
      </c>
      <c r="F1456" s="1" t="s">
        <v>4396</v>
      </c>
      <c r="G1456" s="1">
        <v>1979</v>
      </c>
      <c r="H1456" s="1" t="s">
        <v>11</v>
      </c>
      <c r="I1456" s="6" cm="1">
        <f t="array" ref="I1456">GetLatitude(D1456)</f>
        <v>556778209</v>
      </c>
      <c r="J1456" s="1" cm="1">
        <f t="array" ref="J1456">GetLongitude(D1456)</f>
        <v>125824103</v>
      </c>
      <c r="K1456" s="1">
        <f t="shared" si="67"/>
        <v>55.6778209</v>
      </c>
      <c r="L1456" s="1">
        <f t="shared" si="68"/>
        <v>12.582410299999999</v>
      </c>
    </row>
    <row r="1457" spans="1:12" ht="16" x14ac:dyDescent="0.2">
      <c r="A1457" s="1">
        <v>1456</v>
      </c>
      <c r="B1457" s="1" t="s">
        <v>3980</v>
      </c>
      <c r="C1457" s="1" t="s">
        <v>4397</v>
      </c>
      <c r="D1457" s="1" t="str">
        <f t="shared" si="66"/>
        <v>København KommuneDybensgade 22</v>
      </c>
      <c r="E1457" s="1" t="s">
        <v>4398</v>
      </c>
      <c r="F1457" s="1" t="s">
        <v>4399</v>
      </c>
      <c r="G1457" s="1">
        <v>1945</v>
      </c>
      <c r="H1457" s="1" t="s">
        <v>11</v>
      </c>
      <c r="I1457" s="6" cm="1">
        <f t="array" ref="I1457">GetLatitude(D1457)</f>
        <v>556779501</v>
      </c>
      <c r="J1457" s="1" cm="1">
        <f t="array" ref="J1457">GetLongitude(D1457)</f>
        <v>125823667</v>
      </c>
      <c r="K1457" s="1">
        <f t="shared" si="67"/>
        <v>55.677950099999997</v>
      </c>
      <c r="L1457" s="1">
        <f t="shared" si="68"/>
        <v>12.5823667</v>
      </c>
    </row>
    <row r="1458" spans="1:12" ht="16" x14ac:dyDescent="0.2">
      <c r="A1458" s="1">
        <v>1457</v>
      </c>
      <c r="B1458" s="1" t="s">
        <v>3980</v>
      </c>
      <c r="C1458" s="1" t="s">
        <v>4400</v>
      </c>
      <c r="D1458" s="1" t="str">
        <f t="shared" si="66"/>
        <v>København KommuneDybensgade 24</v>
      </c>
      <c r="E1458" s="1" t="s">
        <v>4401</v>
      </c>
      <c r="F1458" s="1" t="s">
        <v>4402</v>
      </c>
      <c r="G1458" s="1">
        <v>1945</v>
      </c>
      <c r="H1458" s="1" t="s">
        <v>11</v>
      </c>
      <c r="I1458" s="6" cm="1">
        <f t="array" ref="I1458">GetLatitude(D1458)</f>
        <v>556779332</v>
      </c>
      <c r="J1458" s="1" cm="1">
        <f t="array" ref="J1458">GetLongitude(D1458)</f>
        <v>125822107</v>
      </c>
      <c r="K1458" s="1">
        <f t="shared" si="67"/>
        <v>55.677933199999998</v>
      </c>
      <c r="L1458" s="1">
        <f t="shared" si="68"/>
        <v>12.582210699999999</v>
      </c>
    </row>
    <row r="1459" spans="1:12" ht="16" x14ac:dyDescent="0.2">
      <c r="A1459" s="1">
        <v>1458</v>
      </c>
      <c r="B1459" s="1" t="s">
        <v>3980</v>
      </c>
      <c r="C1459" s="1" t="s">
        <v>4403</v>
      </c>
      <c r="D1459" s="1" t="str">
        <f t="shared" si="66"/>
        <v>København KommuneDyrkøb 3 og Skindergade 36</v>
      </c>
      <c r="E1459" s="1" t="s">
        <v>4404</v>
      </c>
      <c r="F1459" s="1" t="s">
        <v>4405</v>
      </c>
      <c r="G1459" s="1">
        <v>1945</v>
      </c>
      <c r="H1459" s="1" t="s">
        <v>11</v>
      </c>
      <c r="I1459" s="6" cm="1">
        <f t="array" ref="I1459">GetLatitude(D1459)</f>
        <v>556790035</v>
      </c>
      <c r="J1459" s="1" cm="1">
        <f t="array" ref="J1459">GetLongitude(D1459)</f>
        <v>125730762</v>
      </c>
      <c r="K1459" s="1">
        <f t="shared" si="67"/>
        <v>55.6790035</v>
      </c>
      <c r="L1459" s="1">
        <f t="shared" si="68"/>
        <v>12.573076199999999</v>
      </c>
    </row>
    <row r="1460" spans="1:12" ht="16" x14ac:dyDescent="0.2">
      <c r="A1460" s="1">
        <v>1459</v>
      </c>
      <c r="B1460" s="1" t="s">
        <v>3980</v>
      </c>
      <c r="C1460" s="1" t="s">
        <v>4406</v>
      </c>
      <c r="D1460" s="1" t="str">
        <f t="shared" si="66"/>
        <v>København KommuneDyrkøb 7</v>
      </c>
      <c r="E1460" s="1" t="s">
        <v>4407</v>
      </c>
      <c r="F1460" s="1" t="s">
        <v>4408</v>
      </c>
      <c r="G1460" s="1">
        <v>1945</v>
      </c>
      <c r="H1460" s="1" t="s">
        <v>15</v>
      </c>
      <c r="I1460" s="6" cm="1">
        <f t="array" ref="I1460">GetLatitude(D1460)</f>
        <v>556789319</v>
      </c>
      <c r="J1460" s="1" cm="1">
        <f t="array" ref="J1460">GetLongitude(D1460)</f>
        <v>125725981</v>
      </c>
      <c r="K1460" s="1">
        <f t="shared" si="67"/>
        <v>55.678931900000002</v>
      </c>
      <c r="L1460" s="1">
        <f t="shared" si="68"/>
        <v>12.5725981</v>
      </c>
    </row>
    <row r="1461" spans="1:12" ht="16" x14ac:dyDescent="0.2">
      <c r="A1461" s="1">
        <v>1460</v>
      </c>
      <c r="B1461" s="1" t="s">
        <v>3980</v>
      </c>
      <c r="C1461" s="1" t="s">
        <v>4409</v>
      </c>
      <c r="D1461" s="1" t="str">
        <f t="shared" si="66"/>
        <v>København KommuneEhlersvej 17</v>
      </c>
      <c r="E1461" s="1" t="s">
        <v>4410</v>
      </c>
      <c r="F1461" s="1" t="s">
        <v>4411</v>
      </c>
      <c r="G1461" s="1">
        <v>2001</v>
      </c>
      <c r="H1461" s="1" t="s">
        <v>11</v>
      </c>
      <c r="I1461" s="6" cm="1">
        <f t="array" ref="I1461">GetLatitude(D1461)</f>
        <v>557281084</v>
      </c>
      <c r="J1461" s="1" cm="1">
        <f t="array" ref="J1461">GetLongitude(D1461)</f>
        <v>125716585</v>
      </c>
      <c r="K1461" s="1">
        <f t="shared" si="67"/>
        <v>55.728108400000004</v>
      </c>
      <c r="L1461" s="1">
        <f t="shared" si="68"/>
        <v>12.5716585</v>
      </c>
    </row>
    <row r="1462" spans="1:12" ht="16" x14ac:dyDescent="0.2">
      <c r="A1462" s="1">
        <v>1461</v>
      </c>
      <c r="B1462" s="1" t="s">
        <v>3980</v>
      </c>
      <c r="C1462" s="1" t="s">
        <v>4412</v>
      </c>
      <c r="D1462" s="1" t="str">
        <f t="shared" si="66"/>
        <v>København KommuneEnghavevej 40</v>
      </c>
      <c r="E1462" s="1" t="s">
        <v>4413</v>
      </c>
      <c r="F1462" s="1" t="s">
        <v>4414</v>
      </c>
      <c r="G1462" s="1">
        <v>1995</v>
      </c>
      <c r="H1462" s="1" t="s">
        <v>11</v>
      </c>
      <c r="I1462" s="6" cm="1">
        <f t="array" ref="I1462">GetLatitude(D1462)</f>
        <v>556760968</v>
      </c>
      <c r="J1462" s="1" cm="1">
        <f t="array" ref="J1462">GetLongitude(D1462)</f>
        <v>125683371</v>
      </c>
      <c r="K1462" s="1">
        <f t="shared" si="67"/>
        <v>55.676096800000003</v>
      </c>
      <c r="L1462" s="1">
        <f t="shared" si="68"/>
        <v>12.568337100000001</v>
      </c>
    </row>
    <row r="1463" spans="1:12" ht="16" x14ac:dyDescent="0.2">
      <c r="A1463" s="1">
        <v>1462</v>
      </c>
      <c r="B1463" s="1" t="s">
        <v>3980</v>
      </c>
      <c r="C1463" s="1" t="s">
        <v>4415</v>
      </c>
      <c r="D1463" s="1" t="str">
        <f t="shared" si="66"/>
        <v>København KommuneEsplanaden 15-17</v>
      </c>
      <c r="E1463" s="1" t="s">
        <v>4416</v>
      </c>
      <c r="F1463" s="1" t="s">
        <v>4417</v>
      </c>
      <c r="G1463" s="1">
        <v>1979</v>
      </c>
      <c r="H1463" s="1" t="s">
        <v>11</v>
      </c>
      <c r="I1463" s="6" cm="1">
        <f t="array" ref="I1463">GetLatitude(D1463)</f>
        <v>556882664</v>
      </c>
      <c r="J1463" s="1" cm="1">
        <f t="array" ref="J1463">GetLongitude(D1463)</f>
        <v>125973083</v>
      </c>
      <c r="K1463" s="1">
        <f t="shared" si="67"/>
        <v>55.688266400000003</v>
      </c>
      <c r="L1463" s="1">
        <f t="shared" si="68"/>
        <v>12.5973083</v>
      </c>
    </row>
    <row r="1464" spans="1:12" ht="16" x14ac:dyDescent="0.2">
      <c r="A1464" s="1">
        <v>1463</v>
      </c>
      <c r="B1464" s="1" t="s">
        <v>3980</v>
      </c>
      <c r="C1464" s="1" t="s">
        <v>4418</v>
      </c>
      <c r="D1464" s="1" t="str">
        <f t="shared" si="66"/>
        <v>København KommuneEsplanaden 6</v>
      </c>
      <c r="E1464" s="1" t="s">
        <v>4419</v>
      </c>
      <c r="F1464" s="1" t="s">
        <v>4420</v>
      </c>
      <c r="G1464" s="1">
        <v>1918</v>
      </c>
      <c r="H1464" s="1" t="s">
        <v>701</v>
      </c>
      <c r="I1464" s="6" cm="1">
        <f t="array" ref="I1464">GetLatitude(D1464)</f>
        <v>556872409</v>
      </c>
      <c r="J1464" s="1" cm="1">
        <f t="array" ref="J1464">GetLongitude(D1464)</f>
        <v>125909646</v>
      </c>
      <c r="K1464" s="1">
        <f t="shared" si="67"/>
        <v>55.687240899999999</v>
      </c>
      <c r="L1464" s="1">
        <f t="shared" si="68"/>
        <v>12.5909646</v>
      </c>
    </row>
    <row r="1465" spans="1:12" ht="16" x14ac:dyDescent="0.2">
      <c r="A1465" s="1">
        <v>1464</v>
      </c>
      <c r="B1465" s="1" t="s">
        <v>3980</v>
      </c>
      <c r="C1465" s="1" t="s">
        <v>4421</v>
      </c>
      <c r="D1465" s="1" t="str">
        <f t="shared" si="66"/>
        <v>København KommuneEwaldsgade 5</v>
      </c>
      <c r="E1465" s="1" t="s">
        <v>4422</v>
      </c>
      <c r="F1465" s="1" t="s">
        <v>4423</v>
      </c>
      <c r="G1465" s="1">
        <v>1978</v>
      </c>
      <c r="H1465" s="1" t="s">
        <v>11</v>
      </c>
      <c r="I1465" s="6" cm="1">
        <f t="array" ref="I1465">GetLatitude(D1465)</f>
        <v>556830389</v>
      </c>
      <c r="J1465" s="1" cm="1">
        <f t="array" ref="J1465">GetLongitude(D1465)</f>
        <v>125579829</v>
      </c>
      <c r="K1465" s="1">
        <f t="shared" si="67"/>
        <v>55.6830389</v>
      </c>
      <c r="L1465" s="1">
        <f t="shared" si="68"/>
        <v>12.557982900000001</v>
      </c>
    </row>
    <row r="1466" spans="1:12" ht="16" x14ac:dyDescent="0.2">
      <c r="A1466" s="1">
        <v>1465</v>
      </c>
      <c r="B1466" s="1" t="s">
        <v>3980</v>
      </c>
      <c r="C1466" s="1" t="s">
        <v>4424</v>
      </c>
      <c r="D1466" s="1" t="str">
        <f t="shared" si="66"/>
        <v>København KommuneEwaldsgade 9 (tidl Ewaldsgade 7-9)</v>
      </c>
      <c r="E1466" s="1" t="s">
        <v>4425</v>
      </c>
      <c r="F1466" s="1" t="s">
        <v>4426</v>
      </c>
      <c r="G1466" s="1">
        <v>1978</v>
      </c>
      <c r="H1466" s="1" t="s">
        <v>11</v>
      </c>
      <c r="I1466" s="6" cm="1">
        <f t="array" ref="I1466">GetLatitude(D1466)</f>
        <v>556827999</v>
      </c>
      <c r="J1466" s="1" cm="1">
        <f t="array" ref="J1466">GetLongitude(D1466)</f>
        <v>125577371</v>
      </c>
      <c r="K1466" s="1">
        <f t="shared" si="67"/>
        <v>55.682799899999999</v>
      </c>
      <c r="L1466" s="1">
        <f t="shared" si="68"/>
        <v>12.557737100000001</v>
      </c>
    </row>
    <row r="1467" spans="1:12" ht="16" x14ac:dyDescent="0.2">
      <c r="A1467" s="1">
        <v>1466</v>
      </c>
      <c r="B1467" s="1" t="s">
        <v>3980</v>
      </c>
      <c r="C1467" s="1" t="s">
        <v>4427</v>
      </c>
      <c r="D1467" s="1" t="str">
        <f t="shared" si="66"/>
        <v>København KommuneFabriksområdet 111 A</v>
      </c>
      <c r="E1467" s="1" t="s">
        <v>4428</v>
      </c>
      <c r="F1467" s="1" t="s">
        <v>4429</v>
      </c>
      <c r="G1467" s="1">
        <v>2008</v>
      </c>
      <c r="H1467" s="1" t="s">
        <v>11</v>
      </c>
      <c r="I1467" s="6" cm="1">
        <f t="array" ref="I1467">GetLatitude(D1467)</f>
        <v>556739870</v>
      </c>
      <c r="J1467" s="1" cm="1">
        <f t="array" ref="J1467">GetLongitude(D1467)</f>
        <v>126030124</v>
      </c>
      <c r="K1467" s="1">
        <f t="shared" si="67"/>
        <v>55.673986999999997</v>
      </c>
      <c r="L1467" s="1">
        <f t="shared" si="68"/>
        <v>12.603012400000001</v>
      </c>
    </row>
    <row r="1468" spans="1:12" ht="16" x14ac:dyDescent="0.2">
      <c r="A1468" s="1">
        <v>1467</v>
      </c>
      <c r="B1468" s="1" t="s">
        <v>3980</v>
      </c>
      <c r="C1468" s="1" t="s">
        <v>4430</v>
      </c>
      <c r="D1468" s="1" t="str">
        <f t="shared" si="66"/>
        <v>København KommuneFabriksområdet 56</v>
      </c>
      <c r="E1468" s="1" t="s">
        <v>4431</v>
      </c>
      <c r="F1468" s="1" t="s">
        <v>4432</v>
      </c>
      <c r="G1468" s="1">
        <v>2007</v>
      </c>
      <c r="H1468" s="1" t="s">
        <v>11</v>
      </c>
      <c r="I1468" s="6" cm="1">
        <f t="array" ref="I1468">GetLatitude(D1468)</f>
        <v>556726658</v>
      </c>
      <c r="J1468" s="1" cm="1">
        <f t="array" ref="J1468">GetLongitude(D1468)</f>
        <v>126011675</v>
      </c>
      <c r="K1468" s="1">
        <f t="shared" si="67"/>
        <v>55.672665799999997</v>
      </c>
      <c r="L1468" s="1">
        <f t="shared" si="68"/>
        <v>12.601167500000001</v>
      </c>
    </row>
    <row r="1469" spans="1:12" ht="16" x14ac:dyDescent="0.2">
      <c r="A1469" s="1">
        <v>1468</v>
      </c>
      <c r="B1469" s="1" t="s">
        <v>3980</v>
      </c>
      <c r="C1469" s="1" t="s">
        <v>4433</v>
      </c>
      <c r="D1469" s="1" t="str">
        <f t="shared" si="66"/>
        <v>København KommuneFabriksområdet 76, Christiania</v>
      </c>
      <c r="E1469" s="1" t="s">
        <v>4434</v>
      </c>
      <c r="F1469" s="1" t="s">
        <v>4435</v>
      </c>
      <c r="G1469" s="1">
        <v>2008</v>
      </c>
      <c r="H1469" s="1" t="s">
        <v>11</v>
      </c>
      <c r="I1469" s="6" cm="1">
        <f t="array" ref="I1469">GetLatitude(D1469)</f>
        <v>556725096</v>
      </c>
      <c r="J1469" s="1" cm="1">
        <f t="array" ref="J1469">GetLongitude(D1469)</f>
        <v>126015035</v>
      </c>
      <c r="K1469" s="1">
        <f t="shared" si="67"/>
        <v>55.672509599999998</v>
      </c>
      <c r="L1469" s="1">
        <f t="shared" si="68"/>
        <v>12.6015035</v>
      </c>
    </row>
    <row r="1470" spans="1:12" ht="16" x14ac:dyDescent="0.2">
      <c r="A1470" s="1">
        <v>1469</v>
      </c>
      <c r="B1470" s="1" t="s">
        <v>3980</v>
      </c>
      <c r="C1470" s="1" t="s">
        <v>4436</v>
      </c>
      <c r="D1470" s="1" t="str">
        <f t="shared" si="66"/>
        <v>København KommuneFarvergade 27 A-L og Løngangsstræde 24</v>
      </c>
      <c r="E1470" s="1" t="s">
        <v>4437</v>
      </c>
      <c r="F1470" s="1" t="s">
        <v>4438</v>
      </c>
      <c r="G1470" s="1">
        <v>1918</v>
      </c>
      <c r="H1470" s="1" t="s">
        <v>4439</v>
      </c>
      <c r="I1470" s="6" cm="1">
        <f t="array" ref="I1470">GetLatitude(D1470)</f>
        <v>556754800</v>
      </c>
      <c r="J1470" s="1" cm="1">
        <f t="array" ref="J1470">GetLongitude(D1470)</f>
        <v>125724075</v>
      </c>
      <c r="K1470" s="1">
        <f t="shared" si="67"/>
        <v>55.67548</v>
      </c>
      <c r="L1470" s="1">
        <f t="shared" si="68"/>
        <v>12.572407500000001</v>
      </c>
    </row>
    <row r="1471" spans="1:12" ht="16" x14ac:dyDescent="0.2">
      <c r="A1471" s="1">
        <v>1470</v>
      </c>
      <c r="B1471" s="1" t="s">
        <v>3980</v>
      </c>
      <c r="C1471" s="1" t="s">
        <v>4440</v>
      </c>
      <c r="D1471" s="1" t="str">
        <f t="shared" si="66"/>
        <v>København KommuneFiolstræde 11</v>
      </c>
      <c r="E1471" s="1" t="s">
        <v>4441</v>
      </c>
      <c r="F1471" s="1" t="s">
        <v>4442</v>
      </c>
      <c r="G1471" s="1">
        <v>1945</v>
      </c>
      <c r="H1471" s="1" t="s">
        <v>11</v>
      </c>
      <c r="I1471" s="6" cm="1">
        <f t="array" ref="I1471">GetLatitude(D1471)</f>
        <v>556814115</v>
      </c>
      <c r="J1471" s="1" cm="1">
        <f t="array" ref="J1471">GetLongitude(D1471)</f>
        <v>125723888</v>
      </c>
      <c r="K1471" s="1">
        <f t="shared" si="67"/>
        <v>55.681411500000003</v>
      </c>
      <c r="L1471" s="1">
        <f t="shared" si="68"/>
        <v>12.572388800000001</v>
      </c>
    </row>
    <row r="1472" spans="1:12" ht="16" x14ac:dyDescent="0.2">
      <c r="A1472" s="1">
        <v>1471</v>
      </c>
      <c r="B1472" s="1" t="s">
        <v>3980</v>
      </c>
      <c r="C1472" s="1" t="s">
        <v>4443</v>
      </c>
      <c r="D1472" s="1" t="str">
        <f t="shared" si="66"/>
        <v>København KommuneFiolstræde 12-14</v>
      </c>
      <c r="E1472" s="1" t="s">
        <v>4444</v>
      </c>
      <c r="F1472" s="1" t="s">
        <v>4445</v>
      </c>
      <c r="G1472" s="1">
        <v>1951</v>
      </c>
      <c r="H1472" s="1" t="s">
        <v>99</v>
      </c>
      <c r="I1472" s="6" cm="1">
        <f t="array" ref="I1472">GetLatitude(D1472)</f>
        <v>556804590</v>
      </c>
      <c r="J1472" s="1" cm="1">
        <f t="array" ref="J1472">GetLongitude(D1472)</f>
        <v>125732085</v>
      </c>
      <c r="K1472" s="1">
        <f t="shared" si="67"/>
        <v>55.680458999999999</v>
      </c>
      <c r="L1472" s="1">
        <f t="shared" si="68"/>
        <v>12.5732085</v>
      </c>
    </row>
    <row r="1473" spans="1:12" ht="16" x14ac:dyDescent="0.2">
      <c r="A1473" s="1">
        <v>1472</v>
      </c>
      <c r="B1473" s="1" t="s">
        <v>3980</v>
      </c>
      <c r="C1473" s="1" t="s">
        <v>4446</v>
      </c>
      <c r="D1473" s="1" t="str">
        <f t="shared" si="66"/>
        <v>København KommuneFiolstræde 13</v>
      </c>
      <c r="E1473" s="1" t="s">
        <v>4447</v>
      </c>
      <c r="F1473" s="1" t="s">
        <v>4448</v>
      </c>
      <c r="G1473" s="1">
        <v>1945</v>
      </c>
      <c r="H1473" s="1" t="s">
        <v>11</v>
      </c>
      <c r="I1473" s="6" cm="1">
        <f t="array" ref="I1473">GetLatitude(D1473)</f>
        <v>556815085</v>
      </c>
      <c r="J1473" s="1" cm="1">
        <f t="array" ref="J1473">GetLongitude(D1473)</f>
        <v>125723038</v>
      </c>
      <c r="K1473" s="1">
        <f t="shared" si="67"/>
        <v>55.6815085</v>
      </c>
      <c r="L1473" s="1">
        <f t="shared" si="68"/>
        <v>12.5723038</v>
      </c>
    </row>
    <row r="1474" spans="1:12" ht="16" x14ac:dyDescent="0.2">
      <c r="A1474" s="1">
        <v>1473</v>
      </c>
      <c r="B1474" s="1" t="s">
        <v>3980</v>
      </c>
      <c r="C1474" s="1" t="s">
        <v>4449</v>
      </c>
      <c r="D1474" s="1" t="str">
        <f t="shared" si="66"/>
        <v>København KommuneFiolstræde 15</v>
      </c>
      <c r="E1474" s="1" t="s">
        <v>4450</v>
      </c>
      <c r="F1474" s="1" t="s">
        <v>4451</v>
      </c>
      <c r="G1474" s="1">
        <v>1973</v>
      </c>
      <c r="H1474" s="1" t="s">
        <v>11</v>
      </c>
      <c r="I1474" s="6" cm="1">
        <f t="array" ref="I1474">GetLatitude(D1474)</f>
        <v>556816020</v>
      </c>
      <c r="J1474" s="1" cm="1">
        <f t="array" ref="J1474">GetLongitude(D1474)</f>
        <v>125722200</v>
      </c>
      <c r="K1474" s="1">
        <f t="shared" si="67"/>
        <v>55.681601999999998</v>
      </c>
      <c r="L1474" s="1">
        <f t="shared" si="68"/>
        <v>12.57222</v>
      </c>
    </row>
    <row r="1475" spans="1:12" ht="16" x14ac:dyDescent="0.2">
      <c r="A1475" s="1">
        <v>1474</v>
      </c>
      <c r="B1475" s="1" t="s">
        <v>3980</v>
      </c>
      <c r="C1475" s="1" t="s">
        <v>4452</v>
      </c>
      <c r="D1475" s="1" t="str">
        <f t="shared" ref="D1475:D1538" si="69">B1475&amp;C1475</f>
        <v>København KommuneFiolstræde 16</v>
      </c>
      <c r="E1475" s="1" t="s">
        <v>4453</v>
      </c>
      <c r="F1475" s="1" t="s">
        <v>4454</v>
      </c>
      <c r="G1475" s="1">
        <v>1945</v>
      </c>
      <c r="H1475" s="1" t="s">
        <v>11</v>
      </c>
      <c r="I1475" s="6" cm="1">
        <f t="array" ref="I1475">GetLatitude(D1475)</f>
        <v>556806136</v>
      </c>
      <c r="J1475" s="1" cm="1">
        <f t="array" ref="J1475">GetLongitude(D1475)</f>
        <v>125731735</v>
      </c>
      <c r="K1475" s="1">
        <f t="shared" si="67"/>
        <v>55.680613600000001</v>
      </c>
      <c r="L1475" s="1">
        <f t="shared" si="68"/>
        <v>12.573173499999999</v>
      </c>
    </row>
    <row r="1476" spans="1:12" ht="16" x14ac:dyDescent="0.2">
      <c r="A1476" s="1">
        <v>1475</v>
      </c>
      <c r="B1476" s="1" t="s">
        <v>3980</v>
      </c>
      <c r="C1476" s="1" t="s">
        <v>4455</v>
      </c>
      <c r="D1476" s="1" t="str">
        <f t="shared" si="69"/>
        <v>København KommuneFiolstræde 18, hj af Krystalgade</v>
      </c>
      <c r="E1476" s="1" t="s">
        <v>4456</v>
      </c>
      <c r="F1476" s="1" t="s">
        <v>4457</v>
      </c>
      <c r="G1476" s="1">
        <v>1939</v>
      </c>
      <c r="H1476" s="1" t="s">
        <v>11</v>
      </c>
      <c r="I1476" s="6" cm="1">
        <f t="array" ref="I1476">GetLatitude(D1476)</f>
        <v>556807106</v>
      </c>
      <c r="J1476" s="1" cm="1">
        <f t="array" ref="J1476">GetLongitude(D1476)</f>
        <v>125730885</v>
      </c>
      <c r="K1476" s="1">
        <f t="shared" ref="K1476:K1539" si="70">I1476/10000000</f>
        <v>55.680710599999998</v>
      </c>
      <c r="L1476" s="1">
        <f t="shared" ref="L1476:L1539" si="71">J1476/10000000</f>
        <v>12.573088500000001</v>
      </c>
    </row>
    <row r="1477" spans="1:12" ht="16" x14ac:dyDescent="0.2">
      <c r="A1477" s="1">
        <v>1476</v>
      </c>
      <c r="B1477" s="1" t="s">
        <v>3980</v>
      </c>
      <c r="C1477" s="1" t="s">
        <v>4458</v>
      </c>
      <c r="D1477" s="1" t="str">
        <f t="shared" si="69"/>
        <v>København KommuneFiolstræde 19</v>
      </c>
      <c r="E1477" s="1" t="s">
        <v>4459</v>
      </c>
      <c r="F1477" s="1" t="s">
        <v>4460</v>
      </c>
      <c r="G1477" s="1">
        <v>1951</v>
      </c>
      <c r="H1477" s="1" t="s">
        <v>11</v>
      </c>
      <c r="I1477" s="6" cm="1">
        <f t="array" ref="I1477">GetLatitude(D1477)</f>
        <v>556817688</v>
      </c>
      <c r="J1477" s="1" cm="1">
        <f t="array" ref="J1477">GetLongitude(D1477)</f>
        <v>125720533</v>
      </c>
      <c r="K1477" s="1">
        <f t="shared" si="70"/>
        <v>55.6817688</v>
      </c>
      <c r="L1477" s="1">
        <f t="shared" si="71"/>
        <v>12.5720533</v>
      </c>
    </row>
    <row r="1478" spans="1:12" ht="16" x14ac:dyDescent="0.2">
      <c r="A1478" s="1">
        <v>1477</v>
      </c>
      <c r="B1478" s="1" t="s">
        <v>3980</v>
      </c>
      <c r="C1478" s="1" t="s">
        <v>4461</v>
      </c>
      <c r="D1478" s="1" t="str">
        <f t="shared" si="69"/>
        <v>København KommuneFiolstræde 20 og Krystalgade 16</v>
      </c>
      <c r="E1478" s="1" t="s">
        <v>4462</v>
      </c>
      <c r="F1478" s="1" t="s">
        <v>4463</v>
      </c>
      <c r="G1478" s="1">
        <v>1951</v>
      </c>
      <c r="H1478" s="1" t="s">
        <v>701</v>
      </c>
      <c r="I1478" s="6" cm="1">
        <f t="array" ref="I1478">GetLatitude(D1478)</f>
        <v>556807461</v>
      </c>
      <c r="J1478" s="1" cm="1">
        <f t="array" ref="J1478">GetLongitude(D1478)</f>
        <v>125722074</v>
      </c>
      <c r="K1478" s="1">
        <f t="shared" si="70"/>
        <v>55.6807461</v>
      </c>
      <c r="L1478" s="1">
        <f t="shared" si="71"/>
        <v>12.5722074</v>
      </c>
    </row>
    <row r="1479" spans="1:12" ht="16" x14ac:dyDescent="0.2">
      <c r="A1479" s="1">
        <v>1478</v>
      </c>
      <c r="B1479" s="1" t="s">
        <v>3980</v>
      </c>
      <c r="C1479" s="1" t="s">
        <v>4464</v>
      </c>
      <c r="D1479" s="1" t="str">
        <f t="shared" si="69"/>
        <v>København KommuneFiolstræde 21</v>
      </c>
      <c r="E1479" s="1" t="s">
        <v>4465</v>
      </c>
      <c r="F1479" s="1" t="s">
        <v>4466</v>
      </c>
      <c r="G1479" s="1">
        <v>1951</v>
      </c>
      <c r="H1479" s="1" t="s">
        <v>11</v>
      </c>
      <c r="I1479" s="6" cm="1">
        <f t="array" ref="I1479">GetLatitude(D1479)</f>
        <v>556818359</v>
      </c>
      <c r="J1479" s="1" cm="1">
        <f t="array" ref="J1479">GetLongitude(D1479)</f>
        <v>125720168</v>
      </c>
      <c r="K1479" s="1">
        <f t="shared" si="70"/>
        <v>55.681835900000003</v>
      </c>
      <c r="L1479" s="1">
        <f t="shared" si="71"/>
        <v>12.5720168</v>
      </c>
    </row>
    <row r="1480" spans="1:12" ht="16" x14ac:dyDescent="0.2">
      <c r="A1480" s="1">
        <v>1479</v>
      </c>
      <c r="B1480" s="1" t="s">
        <v>3980</v>
      </c>
      <c r="C1480" s="1" t="s">
        <v>4467</v>
      </c>
      <c r="D1480" s="1" t="str">
        <f t="shared" si="69"/>
        <v>København KommuneFiolstræde 23</v>
      </c>
      <c r="E1480" s="1" t="s">
        <v>4468</v>
      </c>
      <c r="F1480" s="1" t="s">
        <v>4469</v>
      </c>
      <c r="G1480" s="1">
        <v>1945</v>
      </c>
      <c r="H1480" s="1" t="s">
        <v>11</v>
      </c>
      <c r="I1480" s="6" cm="1">
        <f t="array" ref="I1480">GetLatitude(D1480)</f>
        <v>556819385</v>
      </c>
      <c r="J1480" s="1" cm="1">
        <f t="array" ref="J1480">GetLongitude(D1480)</f>
        <v>125719838</v>
      </c>
      <c r="K1480" s="1">
        <f t="shared" si="70"/>
        <v>55.681938500000001</v>
      </c>
      <c r="L1480" s="1">
        <f t="shared" si="71"/>
        <v>12.5719838</v>
      </c>
    </row>
    <row r="1481" spans="1:12" ht="16" x14ac:dyDescent="0.2">
      <c r="A1481" s="1">
        <v>1480</v>
      </c>
      <c r="B1481" s="1" t="s">
        <v>3980</v>
      </c>
      <c r="C1481" s="1" t="s">
        <v>4470</v>
      </c>
      <c r="D1481" s="1" t="str">
        <f t="shared" si="69"/>
        <v>København KommuneFiolstræde 24</v>
      </c>
      <c r="E1481" s="1" t="s">
        <v>4471</v>
      </c>
      <c r="F1481" s="1" t="s">
        <v>4472</v>
      </c>
      <c r="G1481" s="1">
        <v>1945</v>
      </c>
      <c r="H1481" s="1" t="s">
        <v>701</v>
      </c>
      <c r="I1481" s="6" cm="1">
        <f t="array" ref="I1481">GetLatitude(D1481)</f>
        <v>556812335</v>
      </c>
      <c r="J1481" s="1" cm="1">
        <f t="array" ref="J1481">GetLongitude(D1481)</f>
        <v>125728295</v>
      </c>
      <c r="K1481" s="1">
        <f t="shared" si="70"/>
        <v>55.681233499999998</v>
      </c>
      <c r="L1481" s="1">
        <f t="shared" si="71"/>
        <v>12.572829499999999</v>
      </c>
    </row>
    <row r="1482" spans="1:12" ht="16" x14ac:dyDescent="0.2">
      <c r="A1482" s="1">
        <v>1481</v>
      </c>
      <c r="B1482" s="1" t="s">
        <v>3980</v>
      </c>
      <c r="C1482" s="1" t="s">
        <v>4473</v>
      </c>
      <c r="D1482" s="1" t="str">
        <f t="shared" si="69"/>
        <v>København KommuneFiolstræde 25 og 27</v>
      </c>
      <c r="E1482" s="1" t="s">
        <v>4474</v>
      </c>
      <c r="F1482" s="1" t="s">
        <v>4475</v>
      </c>
      <c r="G1482" s="1">
        <v>1945</v>
      </c>
      <c r="H1482" s="1" t="s">
        <v>11386</v>
      </c>
      <c r="I1482" s="6" cm="1">
        <f t="array" ref="I1482">GetLatitude(D1482)</f>
        <v>556820330</v>
      </c>
      <c r="J1482" s="1" cm="1">
        <f t="array" ref="J1482">GetLongitude(D1482)</f>
        <v>125719250</v>
      </c>
      <c r="K1482" s="1">
        <f t="shared" si="70"/>
        <v>55.682032999999997</v>
      </c>
      <c r="L1482" s="1">
        <f t="shared" si="71"/>
        <v>12.571925</v>
      </c>
    </row>
    <row r="1483" spans="1:12" ht="16" x14ac:dyDescent="0.2">
      <c r="A1483" s="1">
        <v>1482</v>
      </c>
      <c r="B1483" s="1" t="s">
        <v>3980</v>
      </c>
      <c r="C1483" s="1" t="s">
        <v>4476</v>
      </c>
      <c r="D1483" s="1" t="str">
        <f t="shared" si="69"/>
        <v>København KommuneFiolstræde 26</v>
      </c>
      <c r="E1483" s="1" t="s">
        <v>4477</v>
      </c>
      <c r="F1483" s="1" t="s">
        <v>4478</v>
      </c>
      <c r="G1483" s="1">
        <v>1945</v>
      </c>
      <c r="H1483" s="1" t="s">
        <v>11</v>
      </c>
      <c r="I1483" s="6" cm="1">
        <f t="array" ref="I1483">GetLatitude(D1483)</f>
        <v>556813305</v>
      </c>
      <c r="J1483" s="1" cm="1">
        <f t="array" ref="J1483">GetLongitude(D1483)</f>
        <v>125727444</v>
      </c>
      <c r="K1483" s="1">
        <f t="shared" si="70"/>
        <v>55.681330500000001</v>
      </c>
      <c r="L1483" s="1">
        <f t="shared" si="71"/>
        <v>12.572744399999999</v>
      </c>
    </row>
    <row r="1484" spans="1:12" ht="16" x14ac:dyDescent="0.2">
      <c r="A1484" s="1">
        <v>1483</v>
      </c>
      <c r="B1484" s="1" t="s">
        <v>3980</v>
      </c>
      <c r="C1484" s="1" t="s">
        <v>4479</v>
      </c>
      <c r="D1484" s="1" t="str">
        <f t="shared" si="69"/>
        <v>København KommuneFiolstræde 28</v>
      </c>
      <c r="E1484" s="1" t="s">
        <v>4480</v>
      </c>
      <c r="F1484" s="1" t="s">
        <v>4481</v>
      </c>
      <c r="G1484" s="1">
        <v>1945</v>
      </c>
      <c r="H1484" s="1" t="s">
        <v>4482</v>
      </c>
      <c r="I1484" s="6" cm="1">
        <f t="array" ref="I1484">GetLatitude(D1484)</f>
        <v>556814760</v>
      </c>
      <c r="J1484" s="1" cm="1">
        <f t="array" ref="J1484">GetLongitude(D1484)</f>
        <v>125726169</v>
      </c>
      <c r="K1484" s="1">
        <f t="shared" si="70"/>
        <v>55.681476000000004</v>
      </c>
      <c r="L1484" s="1">
        <f t="shared" si="71"/>
        <v>12.5726169</v>
      </c>
    </row>
    <row r="1485" spans="1:12" ht="16" x14ac:dyDescent="0.2">
      <c r="A1485" s="1">
        <v>1484</v>
      </c>
      <c r="B1485" s="1" t="s">
        <v>3980</v>
      </c>
      <c r="C1485" s="1" t="s">
        <v>4483</v>
      </c>
      <c r="D1485" s="1" t="str">
        <f t="shared" si="69"/>
        <v>København KommuneFiolstræde 29</v>
      </c>
      <c r="E1485" s="1" t="s">
        <v>4484</v>
      </c>
      <c r="F1485" s="1" t="s">
        <v>4485</v>
      </c>
      <c r="G1485" s="1">
        <v>1951</v>
      </c>
      <c r="H1485" s="1" t="s">
        <v>11</v>
      </c>
      <c r="I1485" s="6" cm="1">
        <f t="array" ref="I1485">GetLatitude(D1485)</f>
        <v>556822165</v>
      </c>
      <c r="J1485" s="1" cm="1">
        <f t="array" ref="J1485">GetLongitude(D1485)</f>
        <v>125718540</v>
      </c>
      <c r="K1485" s="1">
        <f t="shared" si="70"/>
        <v>55.682216500000003</v>
      </c>
      <c r="L1485" s="1">
        <f t="shared" si="71"/>
        <v>12.571854</v>
      </c>
    </row>
    <row r="1486" spans="1:12" ht="16" x14ac:dyDescent="0.2">
      <c r="A1486" s="1">
        <v>1485</v>
      </c>
      <c r="B1486" s="1" t="s">
        <v>3980</v>
      </c>
      <c r="C1486" s="1" t="s">
        <v>4486</v>
      </c>
      <c r="D1486" s="1" t="str">
        <f t="shared" si="69"/>
        <v>København KommuneFiolstræde 30 og 32</v>
      </c>
      <c r="E1486" s="1" t="s">
        <v>4487</v>
      </c>
      <c r="F1486" s="1" t="s">
        <v>4488</v>
      </c>
      <c r="G1486" s="1">
        <v>1951</v>
      </c>
      <c r="H1486" s="1" t="s">
        <v>11</v>
      </c>
      <c r="I1486" s="6" cm="1">
        <f t="array" ref="I1486">GetLatitude(D1486)</f>
        <v>556815786</v>
      </c>
      <c r="J1486" s="1" cm="1">
        <f t="array" ref="J1486">GetLongitude(D1486)</f>
        <v>125725839</v>
      </c>
      <c r="K1486" s="1">
        <f t="shared" si="70"/>
        <v>55.681578600000002</v>
      </c>
      <c r="L1486" s="1">
        <f t="shared" si="71"/>
        <v>12.5725839</v>
      </c>
    </row>
    <row r="1487" spans="1:12" ht="16" x14ac:dyDescent="0.2">
      <c r="A1487" s="1">
        <v>1486</v>
      </c>
      <c r="B1487" s="1" t="s">
        <v>3980</v>
      </c>
      <c r="C1487" s="1" t="s">
        <v>4489</v>
      </c>
      <c r="D1487" s="1" t="str">
        <f t="shared" si="69"/>
        <v>København KommuneFiolstræde 34 og 36</v>
      </c>
      <c r="E1487" s="1" t="s">
        <v>4490</v>
      </c>
      <c r="F1487" s="1" t="s">
        <v>4491</v>
      </c>
      <c r="G1487" s="1">
        <v>1951</v>
      </c>
      <c r="H1487" s="1" t="s">
        <v>11</v>
      </c>
      <c r="I1487" s="6" cm="1">
        <f t="array" ref="I1487">GetLatitude(D1487)</f>
        <v>556817605</v>
      </c>
      <c r="J1487" s="1" cm="1">
        <f t="array" ref="J1487">GetLongitude(D1487)</f>
        <v>125724245</v>
      </c>
      <c r="K1487" s="1">
        <f t="shared" si="70"/>
        <v>55.681760500000003</v>
      </c>
      <c r="L1487" s="1">
        <f t="shared" si="71"/>
        <v>12.5724245</v>
      </c>
    </row>
    <row r="1488" spans="1:12" ht="16" x14ac:dyDescent="0.2">
      <c r="A1488" s="1">
        <v>1487</v>
      </c>
      <c r="B1488" s="1" t="s">
        <v>3980</v>
      </c>
      <c r="C1488" s="1" t="s">
        <v>4492</v>
      </c>
      <c r="D1488" s="1" t="str">
        <f t="shared" si="69"/>
        <v>København KommuneFiolstræde 38</v>
      </c>
      <c r="E1488" s="1" t="s">
        <v>4493</v>
      </c>
      <c r="F1488" s="1" t="s">
        <v>4494</v>
      </c>
      <c r="G1488" s="1">
        <v>1945</v>
      </c>
      <c r="H1488" s="1" t="s">
        <v>11</v>
      </c>
      <c r="I1488" s="6" cm="1">
        <f t="array" ref="I1488">GetLatitude(D1488)</f>
        <v>556820450</v>
      </c>
      <c r="J1488" s="1" cm="1">
        <f t="array" ref="J1488">GetLongitude(D1488)</f>
        <v>125722320</v>
      </c>
      <c r="K1488" s="1">
        <f t="shared" si="70"/>
        <v>55.682045000000002</v>
      </c>
      <c r="L1488" s="1">
        <f t="shared" si="71"/>
        <v>12.572232</v>
      </c>
    </row>
    <row r="1489" spans="1:12" ht="16" x14ac:dyDescent="0.2">
      <c r="A1489" s="1">
        <v>1488</v>
      </c>
      <c r="B1489" s="1" t="s">
        <v>3980</v>
      </c>
      <c r="C1489" s="1" t="s">
        <v>4495</v>
      </c>
      <c r="D1489" s="1" t="str">
        <f t="shared" si="69"/>
        <v>København KommuneFiolstræde 40-42, hj af Rosengården</v>
      </c>
      <c r="E1489" s="1" t="s">
        <v>4496</v>
      </c>
      <c r="F1489" s="1" t="s">
        <v>4497</v>
      </c>
      <c r="G1489" s="1">
        <v>1945</v>
      </c>
      <c r="H1489" s="1" t="s">
        <v>15</v>
      </c>
      <c r="I1489" s="6" cm="1">
        <f t="array" ref="I1489">GetLatitude(D1489)</f>
        <v>556821266</v>
      </c>
      <c r="J1489" s="1" cm="1">
        <f t="array" ref="J1489">GetLongitude(D1489)</f>
        <v>125721889</v>
      </c>
      <c r="K1489" s="1">
        <f t="shared" si="70"/>
        <v>55.682126599999997</v>
      </c>
      <c r="L1489" s="1">
        <f t="shared" si="71"/>
        <v>12.5721889</v>
      </c>
    </row>
    <row r="1490" spans="1:12" ht="16" x14ac:dyDescent="0.2">
      <c r="A1490" s="1">
        <v>1489</v>
      </c>
      <c r="B1490" s="1" t="s">
        <v>3980</v>
      </c>
      <c r="C1490" s="1" t="s">
        <v>4498</v>
      </c>
      <c r="D1490" s="1" t="str">
        <f t="shared" si="69"/>
        <v>København KommuneFiolstræde 4-6, hj af Store Kannikestræde</v>
      </c>
      <c r="E1490" s="1" t="s">
        <v>4499</v>
      </c>
      <c r="F1490" s="1" t="s">
        <v>4500</v>
      </c>
      <c r="G1490" s="1">
        <v>1918</v>
      </c>
      <c r="H1490" s="1" t="s">
        <v>15</v>
      </c>
      <c r="I1490" s="6" cm="1">
        <f t="array" ref="I1490">GetLatitude(D1490)</f>
        <v>556796672</v>
      </c>
      <c r="J1490" s="1" cm="1">
        <f t="array" ref="J1490">GetLongitude(D1490)</f>
        <v>125736353</v>
      </c>
      <c r="K1490" s="1">
        <f t="shared" si="70"/>
        <v>55.679667199999997</v>
      </c>
      <c r="L1490" s="1">
        <f t="shared" si="71"/>
        <v>12.573635299999999</v>
      </c>
    </row>
    <row r="1491" spans="1:12" ht="16" x14ac:dyDescent="0.2">
      <c r="A1491" s="1">
        <v>1490</v>
      </c>
      <c r="B1491" s="1" t="s">
        <v>3980</v>
      </c>
      <c r="C1491" s="1" t="s">
        <v>4501</v>
      </c>
      <c r="D1491" s="1" t="str">
        <f t="shared" si="69"/>
        <v>København KommuneFiolstræde 7</v>
      </c>
      <c r="E1491" s="1" t="s">
        <v>4502</v>
      </c>
      <c r="F1491" s="1" t="s">
        <v>4503</v>
      </c>
      <c r="G1491" s="1">
        <v>1951</v>
      </c>
      <c r="H1491" s="1" t="s">
        <v>11</v>
      </c>
      <c r="I1491" s="6" cm="1">
        <f t="array" ref="I1491">GetLatitude(D1491)</f>
        <v>556811755</v>
      </c>
      <c r="J1491" s="1" cm="1">
        <f t="array" ref="J1491">GetLongitude(D1491)</f>
        <v>125725387</v>
      </c>
      <c r="K1491" s="1">
        <f t="shared" si="70"/>
        <v>55.681175500000002</v>
      </c>
      <c r="L1491" s="1">
        <f t="shared" si="71"/>
        <v>12.572538700000001</v>
      </c>
    </row>
    <row r="1492" spans="1:12" ht="16" x14ac:dyDescent="0.2">
      <c r="A1492" s="1">
        <v>1491</v>
      </c>
      <c r="B1492" s="1" t="s">
        <v>3980</v>
      </c>
      <c r="C1492" s="1" t="s">
        <v>4504</v>
      </c>
      <c r="D1492" s="1" t="str">
        <f t="shared" si="69"/>
        <v>København KommuneFiolstræde 8, hj af Store Kannikestræde</v>
      </c>
      <c r="E1492" s="1" t="s">
        <v>4505</v>
      </c>
      <c r="F1492" s="1" t="s">
        <v>4506</v>
      </c>
      <c r="G1492" s="1">
        <v>1939</v>
      </c>
      <c r="H1492" s="1" t="s">
        <v>15</v>
      </c>
      <c r="I1492" s="6" cm="1">
        <f t="array" ref="I1492">GetLatitude(D1492)</f>
        <v>556801020</v>
      </c>
      <c r="J1492" s="1" cm="1">
        <f t="array" ref="J1492">GetLongitude(D1492)</f>
        <v>125735365</v>
      </c>
      <c r="K1492" s="1">
        <f t="shared" si="70"/>
        <v>55.680101999999998</v>
      </c>
      <c r="L1492" s="1">
        <f t="shared" si="71"/>
        <v>12.573536499999999</v>
      </c>
    </row>
    <row r="1493" spans="1:12" ht="16" x14ac:dyDescent="0.2">
      <c r="A1493" s="1">
        <v>1492</v>
      </c>
      <c r="B1493" s="1" t="s">
        <v>3980</v>
      </c>
      <c r="C1493" s="1" t="s">
        <v>4507</v>
      </c>
      <c r="D1493" s="1" t="str">
        <f t="shared" si="69"/>
        <v>København KommuneFiolstræde 9</v>
      </c>
      <c r="E1493" s="1" t="s">
        <v>4508</v>
      </c>
      <c r="F1493" s="1" t="s">
        <v>4509</v>
      </c>
      <c r="G1493" s="1">
        <v>1951</v>
      </c>
      <c r="H1493" s="1" t="s">
        <v>11</v>
      </c>
      <c r="I1493" s="6" cm="1">
        <f t="array" ref="I1493">GetLatitude(D1493)</f>
        <v>556813210</v>
      </c>
      <c r="J1493" s="1" cm="1">
        <f t="array" ref="J1493">GetLongitude(D1493)</f>
        <v>125724112</v>
      </c>
      <c r="K1493" s="1">
        <f t="shared" si="70"/>
        <v>55.681320999999997</v>
      </c>
      <c r="L1493" s="1">
        <f t="shared" si="71"/>
        <v>12.572411199999999</v>
      </c>
    </row>
    <row r="1494" spans="1:12" ht="16" x14ac:dyDescent="0.2">
      <c r="A1494" s="1">
        <v>1493</v>
      </c>
      <c r="B1494" s="1" t="s">
        <v>3980</v>
      </c>
      <c r="C1494" s="1" t="s">
        <v>4510</v>
      </c>
      <c r="D1494" s="1" t="str">
        <f t="shared" si="69"/>
        <v>København KommuneFolke Bernadottes Allé 45</v>
      </c>
      <c r="E1494" s="1" t="s">
        <v>4511</v>
      </c>
      <c r="F1494" s="1" t="s">
        <v>4512</v>
      </c>
      <c r="G1494" s="1">
        <v>1988</v>
      </c>
      <c r="H1494" s="1" t="s">
        <v>11</v>
      </c>
      <c r="I1494" s="6" cm="1">
        <f t="array" ref="I1494">GetLatitude(D1494)</f>
        <v>556953108</v>
      </c>
      <c r="J1494" s="1" cm="1">
        <f t="array" ref="J1494">GetLongitude(D1494)</f>
        <v>125932906</v>
      </c>
      <c r="K1494" s="1">
        <f t="shared" si="70"/>
        <v>55.695310800000001</v>
      </c>
      <c r="L1494" s="1">
        <f t="shared" si="71"/>
        <v>12.5932906</v>
      </c>
    </row>
    <row r="1495" spans="1:12" ht="16" x14ac:dyDescent="0.2">
      <c r="A1495" s="1">
        <v>1494</v>
      </c>
      <c r="B1495" s="1" t="s">
        <v>3980</v>
      </c>
      <c r="C1495" s="1" t="s">
        <v>4513</v>
      </c>
      <c r="D1495" s="1" t="str">
        <f t="shared" si="69"/>
        <v>København KommuneFolmer Bendtsens Plads 17/ Nørrebrogade 253, tidl Lundtoftegade 147</v>
      </c>
      <c r="E1495" s="1" t="s">
        <v>4514</v>
      </c>
      <c r="F1495" s="1" t="s">
        <v>4515</v>
      </c>
      <c r="G1495" s="1">
        <v>1992</v>
      </c>
      <c r="H1495" s="1" t="s">
        <v>15</v>
      </c>
      <c r="I1495" s="6" cm="1">
        <f t="array" ref="I1495">GetLatitude(D1495)</f>
        <v>557005560</v>
      </c>
      <c r="J1495" s="1" cm="1">
        <f t="array" ref="J1495">GetLongitude(D1495)</f>
        <v>125377920</v>
      </c>
      <c r="K1495" s="1">
        <f t="shared" si="70"/>
        <v>55.700555999999999</v>
      </c>
      <c r="L1495" s="1">
        <f t="shared" si="71"/>
        <v>12.537792</v>
      </c>
    </row>
    <row r="1496" spans="1:12" ht="16" x14ac:dyDescent="0.2">
      <c r="A1496" s="1">
        <v>1495</v>
      </c>
      <c r="B1496" s="1" t="s">
        <v>3980</v>
      </c>
      <c r="C1496" s="1" t="s">
        <v>4516</v>
      </c>
      <c r="D1496" s="1" t="str">
        <f t="shared" si="69"/>
        <v>København KommuneFortunstræde 1, hj af Admiralgade</v>
      </c>
      <c r="E1496" s="1" t="s">
        <v>4517</v>
      </c>
      <c r="F1496" s="1" t="s">
        <v>4518</v>
      </c>
      <c r="G1496" s="1">
        <v>1945</v>
      </c>
      <c r="H1496" s="1" t="s">
        <v>11</v>
      </c>
      <c r="I1496" s="6" cm="1">
        <f t="array" ref="I1496">GetLatitude(D1496)</f>
        <v>556774964</v>
      </c>
      <c r="J1496" s="1" cm="1">
        <f t="array" ref="J1496">GetLongitude(D1496)</f>
        <v>125823338</v>
      </c>
      <c r="K1496" s="1">
        <f t="shared" si="70"/>
        <v>55.677496400000003</v>
      </c>
      <c r="L1496" s="1">
        <f t="shared" si="71"/>
        <v>12.582333800000001</v>
      </c>
    </row>
    <row r="1497" spans="1:12" ht="16" x14ac:dyDescent="0.2">
      <c r="A1497" s="1">
        <v>1496</v>
      </c>
      <c r="B1497" s="1" t="s">
        <v>3980</v>
      </c>
      <c r="C1497" s="1" t="s">
        <v>4519</v>
      </c>
      <c r="D1497" s="1" t="str">
        <f t="shared" si="69"/>
        <v>København KommuneFredericiagade 12</v>
      </c>
      <c r="E1497" s="1" t="s">
        <v>4520</v>
      </c>
      <c r="F1497" s="1" t="s">
        <v>4270</v>
      </c>
      <c r="G1497" s="1">
        <v>1987</v>
      </c>
      <c r="H1497" s="1" t="s">
        <v>11</v>
      </c>
      <c r="I1497" s="6" cm="1">
        <f t="array" ref="I1497">GetLatitude(D1497)</f>
        <v>556854464</v>
      </c>
      <c r="J1497" s="1" cm="1">
        <f t="array" ref="J1497">GetLongitude(D1497)</f>
        <v>125923426</v>
      </c>
      <c r="K1497" s="1">
        <f t="shared" si="70"/>
        <v>55.685446399999996</v>
      </c>
      <c r="L1497" s="1">
        <f t="shared" si="71"/>
        <v>12.5923426</v>
      </c>
    </row>
    <row r="1498" spans="1:12" ht="16" x14ac:dyDescent="0.2">
      <c r="A1498" s="1">
        <v>1497</v>
      </c>
      <c r="B1498" s="1" t="s">
        <v>3980</v>
      </c>
      <c r="C1498" s="1" t="s">
        <v>4521</v>
      </c>
      <c r="D1498" s="1" t="str">
        <f t="shared" si="69"/>
        <v>København KommuneFredericiagade 14-14 A</v>
      </c>
      <c r="E1498" s="1" t="s">
        <v>4521</v>
      </c>
      <c r="F1498" s="1" t="s">
        <v>4522</v>
      </c>
      <c r="G1498" s="1">
        <v>1987</v>
      </c>
      <c r="H1498" s="1" t="s">
        <v>11</v>
      </c>
      <c r="I1498" s="6" cm="1">
        <f t="array" ref="I1498">GetLatitude(D1498)</f>
        <v>556854585</v>
      </c>
      <c r="J1498" s="1" cm="1">
        <f t="array" ref="J1498">GetLongitude(D1498)</f>
        <v>125921914</v>
      </c>
      <c r="K1498" s="1">
        <f t="shared" si="70"/>
        <v>55.685458500000003</v>
      </c>
      <c r="L1498" s="1">
        <f t="shared" si="71"/>
        <v>12.592191400000001</v>
      </c>
    </row>
    <row r="1499" spans="1:12" ht="16" x14ac:dyDescent="0.2">
      <c r="A1499" s="1">
        <v>1498</v>
      </c>
      <c r="B1499" s="1" t="s">
        <v>3980</v>
      </c>
      <c r="C1499" s="1" t="s">
        <v>4523</v>
      </c>
      <c r="D1499" s="1" t="str">
        <f t="shared" si="69"/>
        <v>København KommuneFredericiagade 21, hj af Bredgade</v>
      </c>
      <c r="E1499" s="1" t="s">
        <v>4524</v>
      </c>
      <c r="F1499" s="1" t="s">
        <v>4525</v>
      </c>
      <c r="G1499" s="1">
        <v>1939</v>
      </c>
      <c r="H1499" s="1" t="s">
        <v>11</v>
      </c>
      <c r="I1499" s="6" cm="1">
        <f t="array" ref="I1499">GetLatitude(D1499)</f>
        <v>556855645</v>
      </c>
      <c r="J1499" s="1" cm="1">
        <f t="array" ref="J1499">GetLongitude(D1499)</f>
        <v>125908675</v>
      </c>
      <c r="K1499" s="1">
        <f t="shared" si="70"/>
        <v>55.685564499999998</v>
      </c>
      <c r="L1499" s="1">
        <f t="shared" si="71"/>
        <v>12.5908675</v>
      </c>
    </row>
    <row r="1500" spans="1:12" ht="16" x14ac:dyDescent="0.2">
      <c r="A1500" s="1">
        <v>1499</v>
      </c>
      <c r="B1500" s="1" t="s">
        <v>3980</v>
      </c>
      <c r="C1500" s="1" t="s">
        <v>4526</v>
      </c>
      <c r="D1500" s="1" t="str">
        <f t="shared" si="69"/>
        <v>København KommuneFredericiagade 24-28 og Bredgade 59</v>
      </c>
      <c r="E1500" s="1" t="s">
        <v>4527</v>
      </c>
      <c r="F1500" s="1" t="s">
        <v>4528</v>
      </c>
      <c r="G1500" s="1">
        <v>1918</v>
      </c>
      <c r="H1500" s="1" t="s">
        <v>15</v>
      </c>
      <c r="I1500" s="6" cm="1">
        <f t="array" ref="I1500">GetLatitude(D1500)</f>
        <v>556820558</v>
      </c>
      <c r="J1500" s="1" cm="1">
        <f t="array" ref="J1500">GetLongitude(D1500)</f>
        <v>125886749</v>
      </c>
      <c r="K1500" s="1">
        <f t="shared" si="70"/>
        <v>55.682055800000001</v>
      </c>
      <c r="L1500" s="1">
        <f t="shared" si="71"/>
        <v>12.588674899999999</v>
      </c>
    </row>
    <row r="1501" spans="1:12" ht="16" x14ac:dyDescent="0.2">
      <c r="A1501" s="1">
        <v>1500</v>
      </c>
      <c r="B1501" s="1" t="s">
        <v>3980</v>
      </c>
      <c r="C1501" s="1" t="s">
        <v>4529</v>
      </c>
      <c r="D1501" s="1" t="str">
        <f t="shared" si="69"/>
        <v>København KommuneFredericiagade 4</v>
      </c>
      <c r="E1501" s="1" t="s">
        <v>4530</v>
      </c>
      <c r="F1501" s="1" t="s">
        <v>4531</v>
      </c>
      <c r="G1501" s="1">
        <v>1988</v>
      </c>
      <c r="H1501" s="1" t="s">
        <v>11</v>
      </c>
      <c r="I1501" s="6" cm="1">
        <f t="array" ref="I1501">GetLatitude(D1501)</f>
        <v>556851932</v>
      </c>
      <c r="J1501" s="1" cm="1">
        <f t="array" ref="J1501">GetLongitude(D1501)</f>
        <v>125932709</v>
      </c>
      <c r="K1501" s="1">
        <f t="shared" si="70"/>
        <v>55.685193200000001</v>
      </c>
      <c r="L1501" s="1">
        <f t="shared" si="71"/>
        <v>12.5932709</v>
      </c>
    </row>
    <row r="1502" spans="1:12" ht="16" x14ac:dyDescent="0.2">
      <c r="A1502" s="1">
        <v>1501</v>
      </c>
      <c r="B1502" s="1" t="s">
        <v>3980</v>
      </c>
      <c r="C1502" s="1" t="s">
        <v>4532</v>
      </c>
      <c r="D1502" s="1" t="str">
        <f t="shared" si="69"/>
        <v>København KommuneFredericiagade 8</v>
      </c>
      <c r="E1502" s="1" t="s">
        <v>4532</v>
      </c>
      <c r="F1502" s="1" t="s">
        <v>4533</v>
      </c>
      <c r="G1502" s="1">
        <v>1988</v>
      </c>
      <c r="H1502" s="1" t="s">
        <v>11</v>
      </c>
      <c r="I1502" s="6" cm="1">
        <f t="array" ref="I1502">GetLatitude(D1502)</f>
        <v>556852808</v>
      </c>
      <c r="J1502" s="1" cm="1">
        <f t="array" ref="J1502">GetLongitude(D1502)</f>
        <v>125928525</v>
      </c>
      <c r="K1502" s="1">
        <f t="shared" si="70"/>
        <v>55.685280800000001</v>
      </c>
      <c r="L1502" s="1">
        <f t="shared" si="71"/>
        <v>12.592852499999999</v>
      </c>
    </row>
    <row r="1503" spans="1:12" ht="16" x14ac:dyDescent="0.2">
      <c r="A1503" s="1">
        <v>1502</v>
      </c>
      <c r="B1503" s="1" t="s">
        <v>3980</v>
      </c>
      <c r="C1503" s="1" t="s">
        <v>4534</v>
      </c>
      <c r="D1503" s="1" t="str">
        <f t="shared" si="69"/>
        <v>København Kommune Fredericiagade 86 A</v>
      </c>
      <c r="E1503" s="1" t="s">
        <v>4534</v>
      </c>
      <c r="F1503" s="1" t="s">
        <v>4535</v>
      </c>
      <c r="G1503" s="1">
        <v>1950</v>
      </c>
      <c r="H1503" s="1" t="s">
        <v>11</v>
      </c>
      <c r="I1503" s="6" cm="1">
        <f t="array" ref="I1503">GetLatitude(D1503)</f>
        <v>556876730</v>
      </c>
      <c r="J1503" s="1" cm="1">
        <f t="array" ref="J1503">GetLongitude(D1503)</f>
        <v>125838530</v>
      </c>
      <c r="K1503" s="1">
        <f t="shared" si="70"/>
        <v>55.687672999999997</v>
      </c>
      <c r="L1503" s="1">
        <f t="shared" si="71"/>
        <v>12.583853</v>
      </c>
    </row>
    <row r="1504" spans="1:12" ht="16" x14ac:dyDescent="0.2">
      <c r="A1504" s="1">
        <v>1503</v>
      </c>
      <c r="B1504" s="1" t="s">
        <v>3980</v>
      </c>
      <c r="C1504" s="1" t="s">
        <v>4536</v>
      </c>
      <c r="D1504" s="1" t="str">
        <f t="shared" si="69"/>
        <v>København KommuneFredericiagade 88</v>
      </c>
      <c r="E1504" s="1" t="s">
        <v>4537</v>
      </c>
      <c r="F1504" s="1" t="s">
        <v>4538</v>
      </c>
      <c r="G1504" s="1">
        <v>1950</v>
      </c>
      <c r="H1504" s="1" t="s">
        <v>15</v>
      </c>
      <c r="I1504" s="6" cm="1">
        <f t="array" ref="I1504">GetLatitude(D1504)</f>
        <v>556877048</v>
      </c>
      <c r="J1504" s="1" cm="1">
        <f t="array" ref="J1504">GetLongitude(D1504)</f>
        <v>125837530</v>
      </c>
      <c r="K1504" s="1">
        <f t="shared" si="70"/>
        <v>55.687704799999999</v>
      </c>
      <c r="L1504" s="1">
        <f t="shared" si="71"/>
        <v>12.583753</v>
      </c>
    </row>
    <row r="1505" spans="1:12" ht="16" x14ac:dyDescent="0.2">
      <c r="A1505" s="1">
        <v>1504</v>
      </c>
      <c r="B1505" s="1" t="s">
        <v>3980</v>
      </c>
      <c r="C1505" s="1" t="s">
        <v>4539</v>
      </c>
      <c r="D1505" s="1" t="str">
        <f t="shared" si="69"/>
        <v>København KommuneFredericiagade 90</v>
      </c>
      <c r="E1505" s="1" t="s">
        <v>4540</v>
      </c>
      <c r="F1505" s="1" t="s">
        <v>4541</v>
      </c>
      <c r="G1505" s="1">
        <v>1950</v>
      </c>
      <c r="H1505" s="1" t="s">
        <v>11</v>
      </c>
      <c r="I1505" s="6" cm="1">
        <f t="array" ref="I1505">GetLatitude(D1505)</f>
        <v>556877402</v>
      </c>
      <c r="J1505" s="1" cm="1">
        <f t="array" ref="J1505">GetLongitude(D1505)</f>
        <v>125836283</v>
      </c>
      <c r="K1505" s="1">
        <f t="shared" si="70"/>
        <v>55.6877402</v>
      </c>
      <c r="L1505" s="1">
        <f t="shared" si="71"/>
        <v>12.583628300000001</v>
      </c>
    </row>
    <row r="1506" spans="1:12" ht="16" x14ac:dyDescent="0.2">
      <c r="A1506" s="1">
        <v>1505</v>
      </c>
      <c r="B1506" s="1" t="s">
        <v>3980</v>
      </c>
      <c r="C1506" s="1" t="s">
        <v>4542</v>
      </c>
      <c r="D1506" s="1" t="str">
        <f t="shared" si="69"/>
        <v>København KommuneFredericiagade 92</v>
      </c>
      <c r="E1506" s="1" t="s">
        <v>4543</v>
      </c>
      <c r="F1506" s="1" t="s">
        <v>4535</v>
      </c>
      <c r="G1506" s="1">
        <v>1950</v>
      </c>
      <c r="H1506" s="1" t="s">
        <v>11</v>
      </c>
      <c r="I1506" s="6" cm="1">
        <f t="array" ref="I1506">GetLatitude(D1506)</f>
        <v>556878040</v>
      </c>
      <c r="J1506" s="1" cm="1">
        <f t="array" ref="J1506">GetLongitude(D1506)</f>
        <v>125833710</v>
      </c>
      <c r="K1506" s="1">
        <f t="shared" si="70"/>
        <v>55.687804</v>
      </c>
      <c r="L1506" s="1">
        <f t="shared" si="71"/>
        <v>12.583371</v>
      </c>
    </row>
    <row r="1507" spans="1:12" ht="16" x14ac:dyDescent="0.2">
      <c r="A1507" s="1">
        <v>1506</v>
      </c>
      <c r="B1507" s="1" t="s">
        <v>3980</v>
      </c>
      <c r="C1507" s="1" t="s">
        <v>4544</v>
      </c>
      <c r="D1507" s="1" t="str">
        <f t="shared" si="69"/>
        <v>København KommuneFredericiagade 94 (tidl også Rigensgade 18)</v>
      </c>
      <c r="E1507" s="1" t="s">
        <v>4545</v>
      </c>
      <c r="F1507" s="1" t="s">
        <v>4546</v>
      </c>
      <c r="G1507" s="1">
        <v>1950</v>
      </c>
      <c r="H1507" s="1" t="s">
        <v>11</v>
      </c>
      <c r="I1507" s="6" cm="1">
        <f t="array" ref="I1507">GetLatitude(D1507)</f>
        <v>556875046</v>
      </c>
      <c r="J1507" s="1" cm="1">
        <f t="array" ref="J1507">GetLongitude(D1507)</f>
        <v>125827838</v>
      </c>
      <c r="K1507" s="1">
        <f t="shared" si="70"/>
        <v>55.687504599999997</v>
      </c>
      <c r="L1507" s="1">
        <f t="shared" si="71"/>
        <v>12.5827838</v>
      </c>
    </row>
    <row r="1508" spans="1:12" ht="16" x14ac:dyDescent="0.2">
      <c r="A1508" s="1">
        <v>1507</v>
      </c>
      <c r="B1508" s="1" t="s">
        <v>3980</v>
      </c>
      <c r="C1508" s="1" t="s">
        <v>4547</v>
      </c>
      <c r="D1508" s="1" t="str">
        <f t="shared" si="69"/>
        <v>København KommuneFrederiksgade 10</v>
      </c>
      <c r="E1508" s="1" t="s">
        <v>4548</v>
      </c>
      <c r="F1508" s="1" t="s">
        <v>4549</v>
      </c>
      <c r="G1508" s="1">
        <v>1984</v>
      </c>
      <c r="H1508" s="1" t="s">
        <v>11</v>
      </c>
      <c r="I1508" s="6" cm="1">
        <f t="array" ref="I1508">GetLatitude(D1508)</f>
        <v>556845082</v>
      </c>
      <c r="J1508" s="1" cm="1">
        <f t="array" ref="J1508">GetLongitude(D1508)</f>
        <v>125892592</v>
      </c>
      <c r="K1508" s="1">
        <f t="shared" si="70"/>
        <v>55.684508200000003</v>
      </c>
      <c r="L1508" s="1">
        <f t="shared" si="71"/>
        <v>12.589259200000001</v>
      </c>
    </row>
    <row r="1509" spans="1:12" ht="16" x14ac:dyDescent="0.2">
      <c r="A1509" s="1">
        <v>1508</v>
      </c>
      <c r="B1509" s="1" t="s">
        <v>3980</v>
      </c>
      <c r="C1509" s="1" t="s">
        <v>4550</v>
      </c>
      <c r="D1509" s="1" t="str">
        <f t="shared" si="69"/>
        <v>København KommuneFrederiksgade 11</v>
      </c>
      <c r="E1509" s="1" t="s">
        <v>4551</v>
      </c>
      <c r="F1509" s="1" t="s">
        <v>4552</v>
      </c>
      <c r="G1509" s="1">
        <v>1984</v>
      </c>
      <c r="H1509" s="1" t="s">
        <v>11</v>
      </c>
      <c r="I1509" s="6" cm="1">
        <f t="array" ref="I1509">GetLatitude(D1509)</f>
        <v>556854024</v>
      </c>
      <c r="J1509" s="1" cm="1">
        <f t="array" ref="J1509">GetLongitude(D1509)</f>
        <v>125904116</v>
      </c>
      <c r="K1509" s="1">
        <f t="shared" si="70"/>
        <v>55.685402400000001</v>
      </c>
      <c r="L1509" s="1">
        <f t="shared" si="71"/>
        <v>12.590411599999999</v>
      </c>
    </row>
    <row r="1510" spans="1:12" ht="16" x14ac:dyDescent="0.2">
      <c r="A1510" s="1">
        <v>1509</v>
      </c>
      <c r="B1510" s="1" t="s">
        <v>3980</v>
      </c>
      <c r="C1510" s="1" t="s">
        <v>4553</v>
      </c>
      <c r="D1510" s="1" t="str">
        <f t="shared" si="69"/>
        <v>København KommuneFrederiksgade 12-14 og Bredgade 47-49</v>
      </c>
      <c r="E1510" s="1" t="s">
        <v>4554</v>
      </c>
      <c r="F1510" s="1" t="s">
        <v>4555</v>
      </c>
      <c r="G1510" s="1">
        <v>1984</v>
      </c>
      <c r="H1510" s="1" t="s">
        <v>11</v>
      </c>
      <c r="I1510" s="6" cm="1">
        <f t="array" ref="I1510">GetLatitude(D1510)</f>
        <v>556816045</v>
      </c>
      <c r="J1510" s="1" cm="1">
        <f t="array" ref="J1510">GetLongitude(D1510)</f>
        <v>125882447</v>
      </c>
      <c r="K1510" s="1">
        <f t="shared" si="70"/>
        <v>55.681604499999999</v>
      </c>
      <c r="L1510" s="1">
        <f t="shared" si="71"/>
        <v>12.588244700000001</v>
      </c>
    </row>
    <row r="1511" spans="1:12" ht="16" x14ac:dyDescent="0.2">
      <c r="A1511" s="1">
        <v>1510</v>
      </c>
      <c r="B1511" s="1" t="s">
        <v>3980</v>
      </c>
      <c r="C1511" s="1" t="s">
        <v>4556</v>
      </c>
      <c r="D1511" s="1" t="str">
        <f t="shared" si="69"/>
        <v>København KommuneFrederiksgade 17, hj af Bredgade</v>
      </c>
      <c r="E1511" s="1" t="s">
        <v>4557</v>
      </c>
      <c r="F1511" s="1" t="s">
        <v>4558</v>
      </c>
      <c r="G1511" s="1">
        <v>1939</v>
      </c>
      <c r="H1511" s="1" t="s">
        <v>11</v>
      </c>
      <c r="I1511" s="6" cm="1">
        <f t="array" ref="I1511">GetLatitude(D1511)</f>
        <v>556846907</v>
      </c>
      <c r="J1511" s="1" cm="1">
        <f t="array" ref="J1511">GetLongitude(D1511)</f>
        <v>125913198</v>
      </c>
      <c r="K1511" s="1">
        <f t="shared" si="70"/>
        <v>55.684690699999997</v>
      </c>
      <c r="L1511" s="1">
        <f t="shared" si="71"/>
        <v>12.591319800000001</v>
      </c>
    </row>
    <row r="1512" spans="1:12" ht="16" x14ac:dyDescent="0.2">
      <c r="A1512" s="1">
        <v>1511</v>
      </c>
      <c r="B1512" s="1" t="s">
        <v>3980</v>
      </c>
      <c r="C1512" s="1" t="s">
        <v>4559</v>
      </c>
      <c r="D1512" s="1" t="str">
        <f t="shared" si="69"/>
        <v>København KommuneFrederiksgade 18 A</v>
      </c>
      <c r="E1512" s="1" t="s">
        <v>4560</v>
      </c>
      <c r="F1512" s="1" t="s">
        <v>4561</v>
      </c>
      <c r="G1512" s="1">
        <v>1959</v>
      </c>
      <c r="H1512" s="1" t="s">
        <v>15</v>
      </c>
      <c r="I1512" s="6" cm="1">
        <f t="array" ref="I1512">GetLatitude(D1512)</f>
        <v>556844220</v>
      </c>
      <c r="J1512" s="1" cm="1">
        <f t="array" ref="J1512">GetLongitude(D1512)</f>
        <v>125913162</v>
      </c>
      <c r="K1512" s="1">
        <f t="shared" si="70"/>
        <v>55.684421999999998</v>
      </c>
      <c r="L1512" s="1">
        <f t="shared" si="71"/>
        <v>12.5913162</v>
      </c>
    </row>
    <row r="1513" spans="1:12" ht="16" x14ac:dyDescent="0.2">
      <c r="A1513" s="1">
        <v>1512</v>
      </c>
      <c r="B1513" s="1" t="s">
        <v>3980</v>
      </c>
      <c r="C1513" s="1" t="s">
        <v>4562</v>
      </c>
      <c r="D1513" s="1" t="str">
        <f t="shared" si="69"/>
        <v>København KommuneFrederiksgade 1 og Store Kongensgade 86-88</v>
      </c>
      <c r="E1513" s="1" t="s">
        <v>4563</v>
      </c>
      <c r="F1513" s="1" t="s">
        <v>4564</v>
      </c>
      <c r="G1513" s="1">
        <v>1984</v>
      </c>
      <c r="H1513" s="1" t="s">
        <v>11</v>
      </c>
      <c r="I1513" s="6" cm="1">
        <f t="array" ref="I1513">GetLatitude(D1513)</f>
        <v>556817370</v>
      </c>
      <c r="J1513" s="1" cm="1">
        <f t="array" ref="J1513">GetLongitude(D1513)</f>
        <v>125852301</v>
      </c>
      <c r="K1513" s="1">
        <f t="shared" si="70"/>
        <v>55.681736999999998</v>
      </c>
      <c r="L1513" s="1">
        <f t="shared" si="71"/>
        <v>12.5852301</v>
      </c>
    </row>
    <row r="1514" spans="1:12" ht="16" x14ac:dyDescent="0.2">
      <c r="A1514" s="1">
        <v>1513</v>
      </c>
      <c r="B1514" s="1" t="s">
        <v>3980</v>
      </c>
      <c r="C1514" s="1" t="s">
        <v>4565</v>
      </c>
      <c r="D1514" s="1" t="str">
        <f t="shared" si="69"/>
        <v>København KommuneFrederiksgade 5</v>
      </c>
      <c r="E1514" s="1" t="s">
        <v>4566</v>
      </c>
      <c r="F1514" s="1" t="s">
        <v>4567</v>
      </c>
      <c r="G1514" s="1">
        <v>1984</v>
      </c>
      <c r="H1514" s="1" t="s">
        <v>11</v>
      </c>
      <c r="I1514" s="6" cm="1">
        <f t="array" ref="I1514">GetLatitude(D1514)</f>
        <v>556854654</v>
      </c>
      <c r="J1514" s="1" cm="1">
        <f t="array" ref="J1514">GetLongitude(D1514)</f>
        <v>125894260</v>
      </c>
      <c r="K1514" s="1">
        <f t="shared" si="70"/>
        <v>55.685465399999998</v>
      </c>
      <c r="L1514" s="1">
        <f t="shared" si="71"/>
        <v>12.589426</v>
      </c>
    </row>
    <row r="1515" spans="1:12" ht="16" x14ac:dyDescent="0.2">
      <c r="A1515" s="1">
        <v>1514</v>
      </c>
      <c r="B1515" s="1" t="s">
        <v>3980</v>
      </c>
      <c r="C1515" s="1" t="s">
        <v>4568</v>
      </c>
      <c r="D1515" s="1" t="str">
        <f t="shared" si="69"/>
        <v>København KommuneFrederiksgade 6</v>
      </c>
      <c r="E1515" s="1" t="s">
        <v>4569</v>
      </c>
      <c r="F1515" s="1" t="s">
        <v>4570</v>
      </c>
      <c r="G1515" s="1">
        <v>1984</v>
      </c>
      <c r="H1515" s="1" t="s">
        <v>11</v>
      </c>
      <c r="I1515" s="6" cm="1">
        <f t="array" ref="I1515">GetLatitude(D1515)</f>
        <v>556847058</v>
      </c>
      <c r="J1515" s="1" cm="1">
        <f t="array" ref="J1515">GetLongitude(D1515)</f>
        <v>125886306</v>
      </c>
      <c r="K1515" s="1">
        <f t="shared" si="70"/>
        <v>55.684705800000003</v>
      </c>
      <c r="L1515" s="1">
        <f t="shared" si="71"/>
        <v>12.5886306</v>
      </c>
    </row>
    <row r="1516" spans="1:12" ht="16" x14ac:dyDescent="0.2">
      <c r="A1516" s="1">
        <v>1515</v>
      </c>
      <c r="B1516" s="1" t="s">
        <v>3980</v>
      </c>
      <c r="C1516" s="1" t="s">
        <v>4571</v>
      </c>
      <c r="D1516" s="1" t="str">
        <f t="shared" si="69"/>
        <v>København KommuneFrederiksgade 7</v>
      </c>
      <c r="E1516" s="1" t="s">
        <v>4572</v>
      </c>
      <c r="F1516" s="1" t="s">
        <v>4573</v>
      </c>
      <c r="G1516" s="1">
        <v>1984</v>
      </c>
      <c r="H1516" s="1" t="s">
        <v>11</v>
      </c>
      <c r="I1516" s="6" cm="1">
        <f t="array" ref="I1516">GetLatitude(D1516)</f>
        <v>556853753</v>
      </c>
      <c r="J1516" s="1" cm="1">
        <f t="array" ref="J1516">GetLongitude(D1516)</f>
        <v>125900368</v>
      </c>
      <c r="K1516" s="1">
        <f t="shared" si="70"/>
        <v>55.685375299999997</v>
      </c>
      <c r="L1516" s="1">
        <f t="shared" si="71"/>
        <v>12.5900368</v>
      </c>
    </row>
    <row r="1517" spans="1:12" ht="16" x14ac:dyDescent="0.2">
      <c r="A1517" s="1">
        <v>1516</v>
      </c>
      <c r="B1517" s="1" t="s">
        <v>3980</v>
      </c>
      <c r="C1517" s="1" t="s">
        <v>4574</v>
      </c>
      <c r="D1517" s="1" t="str">
        <f t="shared" si="69"/>
        <v>København KommuneFrederiksgade 8</v>
      </c>
      <c r="E1517" s="1" t="s">
        <v>4575</v>
      </c>
      <c r="F1517" s="1" t="s">
        <v>4576</v>
      </c>
      <c r="G1517" s="1">
        <v>1984</v>
      </c>
      <c r="H1517" s="1" t="s">
        <v>11</v>
      </c>
      <c r="I1517" s="6" cm="1">
        <f t="array" ref="I1517">GetLatitude(D1517)</f>
        <v>556846005</v>
      </c>
      <c r="J1517" s="1" cm="1">
        <f t="array" ref="J1517">GetLongitude(D1517)</f>
        <v>125890076</v>
      </c>
      <c r="K1517" s="1">
        <f t="shared" si="70"/>
        <v>55.684600500000002</v>
      </c>
      <c r="L1517" s="1">
        <f t="shared" si="71"/>
        <v>12.5890076</v>
      </c>
    </row>
    <row r="1518" spans="1:12" ht="16" x14ac:dyDescent="0.2">
      <c r="A1518" s="1">
        <v>1517</v>
      </c>
      <c r="B1518" s="1" t="s">
        <v>3980</v>
      </c>
      <c r="C1518" s="1" t="s">
        <v>4577</v>
      </c>
      <c r="D1518" s="1" t="str">
        <f t="shared" si="69"/>
        <v>København KommuneFrederiksgade 9</v>
      </c>
      <c r="E1518" s="1" t="s">
        <v>4578</v>
      </c>
      <c r="F1518" s="1" t="s">
        <v>4579</v>
      </c>
      <c r="G1518" s="1">
        <v>1984</v>
      </c>
      <c r="H1518" s="1" t="s">
        <v>11</v>
      </c>
      <c r="I1518" s="6" cm="1">
        <f t="array" ref="I1518">GetLatitude(D1518)</f>
        <v>556853390</v>
      </c>
      <c r="J1518" s="1" cm="1">
        <f t="array" ref="J1518">GetLongitude(D1518)</f>
        <v>125899846</v>
      </c>
      <c r="K1518" s="1">
        <f t="shared" si="70"/>
        <v>55.685338999999999</v>
      </c>
      <c r="L1518" s="1">
        <f t="shared" si="71"/>
        <v>12.589984599999999</v>
      </c>
    </row>
    <row r="1519" spans="1:12" ht="16" x14ac:dyDescent="0.2">
      <c r="A1519" s="1">
        <v>1518</v>
      </c>
      <c r="B1519" s="1" t="s">
        <v>3980</v>
      </c>
      <c r="C1519" s="1" t="s">
        <v>4580</v>
      </c>
      <c r="D1519" s="1" t="str">
        <f t="shared" si="69"/>
        <v>København KommuneFrederiksholms Kanal 12</v>
      </c>
      <c r="E1519" s="1" t="s">
        <v>4581</v>
      </c>
      <c r="F1519" s="1" t="s">
        <v>4582</v>
      </c>
      <c r="G1519" s="1">
        <v>1918</v>
      </c>
      <c r="H1519" s="1" t="s">
        <v>11</v>
      </c>
      <c r="I1519" s="6" cm="1">
        <f t="array" ref="I1519">GetLatitude(D1519)</f>
        <v>556750314</v>
      </c>
      <c r="J1519" s="1" cm="1">
        <f t="array" ref="J1519">GetLongitude(D1519)</f>
        <v>125760176</v>
      </c>
      <c r="K1519" s="1">
        <f t="shared" si="70"/>
        <v>55.675031400000002</v>
      </c>
      <c r="L1519" s="1">
        <f t="shared" si="71"/>
        <v>12.5760176</v>
      </c>
    </row>
    <row r="1520" spans="1:12" ht="16" x14ac:dyDescent="0.2">
      <c r="A1520" s="1">
        <v>1519</v>
      </c>
      <c r="B1520" s="1" t="s">
        <v>3980</v>
      </c>
      <c r="C1520" s="1" t="s">
        <v>4583</v>
      </c>
      <c r="D1520" s="1" t="str">
        <f t="shared" si="69"/>
        <v>København KommuneFrederiksholms Kanal 16</v>
      </c>
      <c r="E1520" s="1" t="s">
        <v>4584</v>
      </c>
      <c r="F1520" s="1" t="s">
        <v>4585</v>
      </c>
      <c r="G1520" s="1">
        <v>1959</v>
      </c>
      <c r="H1520" s="1" t="s">
        <v>15</v>
      </c>
      <c r="I1520" s="6" cm="1">
        <f t="array" ref="I1520">GetLatitude(D1520)</f>
        <v>556744699</v>
      </c>
      <c r="J1520" s="1" cm="1">
        <f t="array" ref="J1520">GetLongitude(D1520)</f>
        <v>125766893</v>
      </c>
      <c r="K1520" s="1">
        <f t="shared" si="70"/>
        <v>55.674469899999998</v>
      </c>
      <c r="L1520" s="1">
        <f t="shared" si="71"/>
        <v>12.5766893</v>
      </c>
    </row>
    <row r="1521" spans="1:12" ht="16" x14ac:dyDescent="0.2">
      <c r="A1521" s="1">
        <v>1520</v>
      </c>
      <c r="B1521" s="1" t="s">
        <v>3980</v>
      </c>
      <c r="C1521" s="1" t="s">
        <v>4586</v>
      </c>
      <c r="D1521" s="1" t="str">
        <f t="shared" si="69"/>
        <v>København KommuneFrederiksholms Kanal 18</v>
      </c>
      <c r="E1521" s="1" t="s">
        <v>4587</v>
      </c>
      <c r="F1521" s="1" t="s">
        <v>4588</v>
      </c>
      <c r="G1521" s="1">
        <v>1959</v>
      </c>
      <c r="H1521" s="1" t="s">
        <v>4589</v>
      </c>
      <c r="I1521" s="6" cm="1">
        <f t="array" ref="I1521">GetLatitude(D1521)</f>
        <v>556743404</v>
      </c>
      <c r="J1521" s="1" cm="1">
        <f t="array" ref="J1521">GetLongitude(D1521)</f>
        <v>125768120</v>
      </c>
      <c r="K1521" s="1">
        <f t="shared" si="70"/>
        <v>55.674340399999998</v>
      </c>
      <c r="L1521" s="1">
        <f t="shared" si="71"/>
        <v>12.576812</v>
      </c>
    </row>
    <row r="1522" spans="1:12" ht="16" x14ac:dyDescent="0.2">
      <c r="A1522" s="1">
        <v>1521</v>
      </c>
      <c r="B1522" s="1" t="s">
        <v>3980</v>
      </c>
      <c r="C1522" s="1" t="s">
        <v>4590</v>
      </c>
      <c r="D1522" s="1" t="str">
        <f t="shared" si="69"/>
        <v>København KommuneFrederiksholms Kanal 20 og Ny Kongensgade 4</v>
      </c>
      <c r="E1522" s="1" t="s">
        <v>4591</v>
      </c>
      <c r="F1522" s="1" t="s">
        <v>4592</v>
      </c>
      <c r="G1522" s="1">
        <v>1959</v>
      </c>
      <c r="H1522" s="1" t="s">
        <v>11</v>
      </c>
      <c r="I1522" s="6" cm="1">
        <f t="array" ref="I1522">GetLatitude(D1522)</f>
        <v>556732248</v>
      </c>
      <c r="J1522" s="1" cm="1">
        <f t="array" ref="J1522">GetLongitude(D1522)</f>
        <v>125743837</v>
      </c>
      <c r="K1522" s="1">
        <f t="shared" si="70"/>
        <v>55.6732248</v>
      </c>
      <c r="L1522" s="1">
        <f t="shared" si="71"/>
        <v>12.5743837</v>
      </c>
    </row>
    <row r="1523" spans="1:12" ht="16" x14ac:dyDescent="0.2">
      <c r="A1523" s="1">
        <v>1522</v>
      </c>
      <c r="B1523" s="1" t="s">
        <v>3980</v>
      </c>
      <c r="C1523" s="1" t="s">
        <v>4593</v>
      </c>
      <c r="D1523" s="1" t="str">
        <f t="shared" si="69"/>
        <v>København KommuneFrederiksholms Kanal 21-23 og Tøjhusgade 5-11</v>
      </c>
      <c r="E1523" s="1" t="s">
        <v>4594</v>
      </c>
      <c r="F1523" s="1" t="s">
        <v>4595</v>
      </c>
      <c r="G1523" s="1">
        <v>1918</v>
      </c>
      <c r="H1523" s="1" t="s">
        <v>15</v>
      </c>
      <c r="I1523" s="6" cm="1">
        <f t="array" ref="I1523">GetLatitude(D1523)</f>
        <v>556760968</v>
      </c>
      <c r="J1523" s="1" cm="1">
        <f t="array" ref="J1523">GetLongitude(D1523)</f>
        <v>125683371</v>
      </c>
      <c r="K1523" s="1">
        <f t="shared" si="70"/>
        <v>55.676096800000003</v>
      </c>
      <c r="L1523" s="1">
        <f t="shared" si="71"/>
        <v>12.568337100000001</v>
      </c>
    </row>
    <row r="1524" spans="1:12" ht="16" x14ac:dyDescent="0.2">
      <c r="A1524" s="1">
        <v>1523</v>
      </c>
      <c r="B1524" s="1" t="s">
        <v>3980</v>
      </c>
      <c r="C1524" s="1" t="s">
        <v>4596</v>
      </c>
      <c r="D1524" s="1" t="str">
        <f t="shared" si="69"/>
        <v>København KommuneFrederiksholms Kanal 24</v>
      </c>
      <c r="E1524" s="1" t="s">
        <v>4597</v>
      </c>
      <c r="F1524" s="1" t="s">
        <v>4598</v>
      </c>
      <c r="G1524" s="1">
        <v>1950</v>
      </c>
      <c r="H1524" s="1" t="s">
        <v>11</v>
      </c>
      <c r="I1524" s="6" cm="1">
        <f t="array" ref="I1524">GetLatitude(D1524)</f>
        <v>556738000</v>
      </c>
      <c r="J1524" s="1" cm="1">
        <f t="array" ref="J1524">GetLongitude(D1524)</f>
        <v>125774913</v>
      </c>
      <c r="K1524" s="1">
        <f t="shared" si="70"/>
        <v>55.6738</v>
      </c>
      <c r="L1524" s="1">
        <f t="shared" si="71"/>
        <v>12.5774913</v>
      </c>
    </row>
    <row r="1525" spans="1:12" ht="16" x14ac:dyDescent="0.2">
      <c r="A1525" s="1">
        <v>1524</v>
      </c>
      <c r="B1525" s="1" t="s">
        <v>3980</v>
      </c>
      <c r="C1525" s="1" t="s">
        <v>4599</v>
      </c>
      <c r="D1525" s="1" t="str">
        <f t="shared" si="69"/>
        <v>København KommuneFrederiksholms Kanal 26-28 og Vester Voldgade 119</v>
      </c>
      <c r="E1525" s="1" t="s">
        <v>4600</v>
      </c>
      <c r="F1525" s="1" t="s">
        <v>4601</v>
      </c>
      <c r="G1525" s="1">
        <v>1918</v>
      </c>
      <c r="H1525" s="1" t="s">
        <v>15</v>
      </c>
      <c r="I1525" s="6" cm="1">
        <f t="array" ref="I1525">GetLatitude(D1525)</f>
        <v>556770211</v>
      </c>
      <c r="J1525" s="1" cm="1">
        <f t="array" ref="J1525">GetLongitude(D1525)</f>
        <v>125679733</v>
      </c>
      <c r="K1525" s="1">
        <f t="shared" si="70"/>
        <v>55.677021099999997</v>
      </c>
      <c r="L1525" s="1">
        <f t="shared" si="71"/>
        <v>12.5679733</v>
      </c>
    </row>
    <row r="1526" spans="1:12" ht="16" x14ac:dyDescent="0.2">
      <c r="A1526" s="1">
        <v>1525</v>
      </c>
      <c r="B1526" s="1" t="s">
        <v>3980</v>
      </c>
      <c r="C1526" s="1" t="s">
        <v>4602</v>
      </c>
      <c r="D1526" s="1" t="str">
        <f t="shared" si="69"/>
        <v>København KommuneFrederiksholms Kanal 29, hj af Christians Brygge</v>
      </c>
      <c r="E1526" s="1" t="s">
        <v>4603</v>
      </c>
      <c r="F1526" s="1" t="s">
        <v>4604</v>
      </c>
      <c r="G1526" s="1">
        <v>1945</v>
      </c>
      <c r="H1526" s="1" t="s">
        <v>11</v>
      </c>
      <c r="I1526" s="6" cm="1">
        <f t="array" ref="I1526">GetLatitude(D1526)</f>
        <v>556732196</v>
      </c>
      <c r="J1526" s="1" cm="1">
        <f t="array" ref="J1526">GetLongitude(D1526)</f>
        <v>125797381</v>
      </c>
      <c r="K1526" s="1">
        <f t="shared" si="70"/>
        <v>55.673219600000003</v>
      </c>
      <c r="L1526" s="1">
        <f t="shared" si="71"/>
        <v>12.5797381</v>
      </c>
    </row>
    <row r="1527" spans="1:12" ht="16" x14ac:dyDescent="0.2">
      <c r="A1527" s="1">
        <v>1526</v>
      </c>
      <c r="B1527" s="1" t="s">
        <v>3980</v>
      </c>
      <c r="C1527" s="1" t="s">
        <v>4605</v>
      </c>
      <c r="D1527" s="1" t="str">
        <f t="shared" si="69"/>
        <v>København KommuneFrederiksholms Kanal 30 og Bryghusgade 2</v>
      </c>
      <c r="E1527" s="1" t="s">
        <v>4606</v>
      </c>
      <c r="F1527" s="1" t="s">
        <v>4607</v>
      </c>
      <c r="G1527" s="1">
        <v>1952</v>
      </c>
      <c r="H1527" s="1" t="s">
        <v>4608</v>
      </c>
      <c r="I1527" s="6" cm="1">
        <f t="array" ref="I1527">GetLatitude(D1527)</f>
        <v>556726136</v>
      </c>
      <c r="J1527" s="1" cm="1">
        <f t="array" ref="J1527">GetLongitude(D1527)</f>
        <v>125787754</v>
      </c>
      <c r="K1527" s="1">
        <f t="shared" si="70"/>
        <v>55.672613599999998</v>
      </c>
      <c r="L1527" s="1">
        <f t="shared" si="71"/>
        <v>12.5787754</v>
      </c>
    </row>
    <row r="1528" spans="1:12" ht="16" x14ac:dyDescent="0.2">
      <c r="A1528" s="1">
        <v>1527</v>
      </c>
      <c r="B1528" s="1" t="s">
        <v>3980</v>
      </c>
      <c r="C1528" s="1" t="s">
        <v>4609</v>
      </c>
      <c r="D1528" s="1" t="str">
        <f t="shared" si="69"/>
        <v>København KommuneFrue Plads og Fiolstræde 1</v>
      </c>
      <c r="E1528" s="1" t="s">
        <v>4610</v>
      </c>
      <c r="F1528" s="1" t="s">
        <v>4611</v>
      </c>
      <c r="G1528" s="1">
        <v>1932</v>
      </c>
      <c r="H1528" s="1" t="s">
        <v>4612</v>
      </c>
      <c r="I1528" s="6" cm="1">
        <f t="array" ref="I1528">GetLatitude(D1528)</f>
        <v>556802195</v>
      </c>
      <c r="J1528" s="1" cm="1">
        <f t="array" ref="J1528">GetLongitude(D1528)</f>
        <v>125726572</v>
      </c>
      <c r="K1528" s="1">
        <f t="shared" si="70"/>
        <v>55.6802195</v>
      </c>
      <c r="L1528" s="1">
        <f t="shared" si="71"/>
        <v>12.5726572</v>
      </c>
    </row>
    <row r="1529" spans="1:12" ht="16" x14ac:dyDescent="0.2">
      <c r="A1529" s="1">
        <v>1528</v>
      </c>
      <c r="B1529" s="1" t="s">
        <v>3980</v>
      </c>
      <c r="C1529" s="1" t="s">
        <v>4613</v>
      </c>
      <c r="D1529" s="1" t="str">
        <f t="shared" si="69"/>
        <v>København KommuneFælledvej 4</v>
      </c>
      <c r="E1529" s="1" t="s">
        <v>4614</v>
      </c>
      <c r="F1529" s="1" t="s">
        <v>4615</v>
      </c>
      <c r="G1529" s="1">
        <v>1981</v>
      </c>
      <c r="H1529" s="1" t="s">
        <v>99</v>
      </c>
      <c r="I1529" s="6" cm="1">
        <f t="array" ref="I1529">GetLatitude(D1529)</f>
        <v>556884738</v>
      </c>
      <c r="J1529" s="1" cm="1">
        <f t="array" ref="J1529">GetLongitude(D1529)</f>
        <v>125599917</v>
      </c>
      <c r="K1529" s="1">
        <f t="shared" si="70"/>
        <v>55.688473799999997</v>
      </c>
      <c r="L1529" s="1">
        <f t="shared" si="71"/>
        <v>12.559991699999999</v>
      </c>
    </row>
    <row r="1530" spans="1:12" ht="16" x14ac:dyDescent="0.2">
      <c r="A1530" s="1">
        <v>1529</v>
      </c>
      <c r="B1530" s="1" t="s">
        <v>3980</v>
      </c>
      <c r="C1530" s="1" t="s">
        <v>4616</v>
      </c>
      <c r="D1530" s="1" t="str">
        <f t="shared" si="69"/>
        <v>København KommuneGammel Carlsberg Vej og Solbakken (mellem)</v>
      </c>
      <c r="E1530" s="1" t="s">
        <v>4617</v>
      </c>
      <c r="F1530" s="1" t="s">
        <v>4618</v>
      </c>
      <c r="G1530" s="1">
        <v>1999</v>
      </c>
      <c r="H1530" s="1" t="s">
        <v>15</v>
      </c>
      <c r="I1530" s="6" cm="1">
        <f t="array" ref="I1530">GetLatitude(D1530)</f>
        <v>556646704</v>
      </c>
      <c r="J1530" s="1" cm="1">
        <f t="array" ref="J1530">GetLongitude(D1530)</f>
        <v>125296892</v>
      </c>
      <c r="K1530" s="1">
        <f t="shared" si="70"/>
        <v>55.664670399999999</v>
      </c>
      <c r="L1530" s="1">
        <f t="shared" si="71"/>
        <v>12.5296892</v>
      </c>
    </row>
    <row r="1531" spans="1:12" ht="16" x14ac:dyDescent="0.2">
      <c r="A1531" s="1">
        <v>1530</v>
      </c>
      <c r="B1531" s="1" t="s">
        <v>3980</v>
      </c>
      <c r="C1531" s="1" t="s">
        <v>4619</v>
      </c>
      <c r="D1531" s="1" t="str">
        <f t="shared" si="69"/>
        <v>København KommuneGammel Mønt 17</v>
      </c>
      <c r="E1531" s="1" t="s">
        <v>4620</v>
      </c>
      <c r="F1531" s="1" t="s">
        <v>4621</v>
      </c>
      <c r="G1531" s="1">
        <v>1980</v>
      </c>
      <c r="H1531" s="1" t="s">
        <v>11</v>
      </c>
      <c r="I1531" s="6" cm="1">
        <f t="array" ref="I1531">GetLatitude(D1531)</f>
        <v>556812965</v>
      </c>
      <c r="J1531" s="1" cm="1">
        <f t="array" ref="J1531">GetLongitude(D1531)</f>
        <v>125810285</v>
      </c>
      <c r="K1531" s="1">
        <f t="shared" si="70"/>
        <v>55.681296500000002</v>
      </c>
      <c r="L1531" s="1">
        <f t="shared" si="71"/>
        <v>12.5810285</v>
      </c>
    </row>
    <row r="1532" spans="1:12" ht="16" x14ac:dyDescent="0.2">
      <c r="A1532" s="1">
        <v>1531</v>
      </c>
      <c r="B1532" s="1" t="s">
        <v>3980</v>
      </c>
      <c r="C1532" s="1" t="s">
        <v>4622</v>
      </c>
      <c r="D1532" s="1" t="str">
        <f t="shared" si="69"/>
        <v>København KommuneGammel Mønt 19</v>
      </c>
      <c r="E1532" s="1" t="s">
        <v>4623</v>
      </c>
      <c r="F1532" s="1" t="s">
        <v>4624</v>
      </c>
      <c r="G1532" s="1">
        <v>1959</v>
      </c>
      <c r="H1532" s="1" t="s">
        <v>11</v>
      </c>
      <c r="I1532" s="6" cm="1">
        <f t="array" ref="I1532">GetLatitude(D1532)</f>
        <v>556813680</v>
      </c>
      <c r="J1532" s="1" cm="1">
        <f t="array" ref="J1532">GetLongitude(D1532)</f>
        <v>125808561</v>
      </c>
      <c r="K1532" s="1">
        <f t="shared" si="70"/>
        <v>55.681367999999999</v>
      </c>
      <c r="L1532" s="1">
        <f t="shared" si="71"/>
        <v>12.5808561</v>
      </c>
    </row>
    <row r="1533" spans="1:12" ht="16" x14ac:dyDescent="0.2">
      <c r="A1533" s="1">
        <v>1532</v>
      </c>
      <c r="B1533" s="1" t="s">
        <v>3980</v>
      </c>
      <c r="C1533" s="1" t="s">
        <v>4625</v>
      </c>
      <c r="D1533" s="1" t="str">
        <f t="shared" si="69"/>
        <v>København KommuneGammel Mønt 21</v>
      </c>
      <c r="E1533" s="1" t="s">
        <v>4626</v>
      </c>
      <c r="F1533" s="1" t="s">
        <v>4627</v>
      </c>
      <c r="G1533" s="1">
        <v>1979</v>
      </c>
      <c r="H1533" s="1" t="s">
        <v>4628</v>
      </c>
      <c r="I1533" s="6" cm="1">
        <f t="array" ref="I1533">GetLatitude(D1533)</f>
        <v>556813888</v>
      </c>
      <c r="J1533" s="1" cm="1">
        <f t="array" ref="J1533">GetLongitude(D1533)</f>
        <v>125807769</v>
      </c>
      <c r="K1533" s="1">
        <f t="shared" si="70"/>
        <v>55.681388800000001</v>
      </c>
      <c r="L1533" s="1">
        <f t="shared" si="71"/>
        <v>12.5807769</v>
      </c>
    </row>
    <row r="1534" spans="1:12" ht="16" x14ac:dyDescent="0.2">
      <c r="A1534" s="1">
        <v>1533</v>
      </c>
      <c r="B1534" s="1" t="s">
        <v>3980</v>
      </c>
      <c r="C1534" s="1" t="s">
        <v>4629</v>
      </c>
      <c r="D1534" s="1" t="str">
        <f t="shared" si="69"/>
        <v>København KommuneGammel Mønt 23</v>
      </c>
      <c r="E1534" s="1" t="s">
        <v>4630</v>
      </c>
      <c r="F1534" s="1" t="s">
        <v>4631</v>
      </c>
      <c r="G1534" s="1">
        <v>1980</v>
      </c>
      <c r="H1534" s="1" t="s">
        <v>11</v>
      </c>
      <c r="I1534" s="6" cm="1">
        <f t="array" ref="I1534">GetLatitude(D1534)</f>
        <v>556814196</v>
      </c>
      <c r="J1534" s="1" cm="1">
        <f t="array" ref="J1534">GetLongitude(D1534)</f>
        <v>125806930</v>
      </c>
      <c r="K1534" s="1">
        <f t="shared" si="70"/>
        <v>55.681419599999998</v>
      </c>
      <c r="L1534" s="1">
        <f t="shared" si="71"/>
        <v>12.580693</v>
      </c>
    </row>
    <row r="1535" spans="1:12" ht="16" x14ac:dyDescent="0.2">
      <c r="A1535" s="1">
        <v>1534</v>
      </c>
      <c r="B1535" s="1" t="s">
        <v>3980</v>
      </c>
      <c r="C1535" s="1" t="s">
        <v>4632</v>
      </c>
      <c r="D1535" s="1" t="str">
        <f t="shared" si="69"/>
        <v>København KommuneGammel Mønt 25</v>
      </c>
      <c r="E1535" s="1" t="s">
        <v>4633</v>
      </c>
      <c r="F1535" s="1" t="s">
        <v>4634</v>
      </c>
      <c r="G1535" s="1">
        <v>1980</v>
      </c>
      <c r="H1535" s="1" t="s">
        <v>11</v>
      </c>
      <c r="I1535" s="6" cm="1">
        <f t="array" ref="I1535">GetLatitude(D1535)</f>
        <v>556814536</v>
      </c>
      <c r="J1535" s="1" cm="1">
        <f t="array" ref="J1535">GetLongitude(D1535)</f>
        <v>125805778</v>
      </c>
      <c r="K1535" s="1">
        <f t="shared" si="70"/>
        <v>55.681453599999998</v>
      </c>
      <c r="L1535" s="1">
        <f t="shared" si="71"/>
        <v>12.5805778</v>
      </c>
    </row>
    <row r="1536" spans="1:12" ht="16" x14ac:dyDescent="0.2">
      <c r="A1536" s="1">
        <v>1535</v>
      </c>
      <c r="B1536" s="1" t="s">
        <v>3980</v>
      </c>
      <c r="C1536" s="1" t="s">
        <v>4635</v>
      </c>
      <c r="D1536" s="1" t="str">
        <f t="shared" si="69"/>
        <v>København KommuneGammel Mønt 27</v>
      </c>
      <c r="E1536" s="1" t="s">
        <v>4636</v>
      </c>
      <c r="F1536" s="1" t="s">
        <v>4637</v>
      </c>
      <c r="G1536" s="1">
        <v>1980</v>
      </c>
      <c r="H1536" s="1" t="s">
        <v>11</v>
      </c>
      <c r="I1536" s="6" cm="1">
        <f t="array" ref="I1536">GetLatitude(D1536)</f>
        <v>556814932</v>
      </c>
      <c r="J1536" s="1" cm="1">
        <f t="array" ref="J1536">GetLongitude(D1536)</f>
        <v>125805146</v>
      </c>
      <c r="K1536" s="1">
        <f t="shared" si="70"/>
        <v>55.681493199999998</v>
      </c>
      <c r="L1536" s="1">
        <f t="shared" si="71"/>
        <v>12.580514600000001</v>
      </c>
    </row>
    <row r="1537" spans="1:12" ht="16" x14ac:dyDescent="0.2">
      <c r="A1537" s="1">
        <v>1536</v>
      </c>
      <c r="B1537" s="1" t="s">
        <v>3980</v>
      </c>
      <c r="C1537" s="1" t="s">
        <v>4638</v>
      </c>
      <c r="D1537" s="1" t="str">
        <f t="shared" si="69"/>
        <v>København KommuneGammel Mønt 29</v>
      </c>
      <c r="E1537" s="1" t="s">
        <v>4639</v>
      </c>
      <c r="F1537" s="1" t="s">
        <v>4640</v>
      </c>
      <c r="G1537" s="1">
        <v>1980</v>
      </c>
      <c r="H1537" s="1" t="s">
        <v>11</v>
      </c>
      <c r="I1537" s="6" cm="1">
        <f t="array" ref="I1537">GetLatitude(D1537)</f>
        <v>556815361</v>
      </c>
      <c r="J1537" s="1" cm="1">
        <f t="array" ref="J1537">GetLongitude(D1537)</f>
        <v>125804201</v>
      </c>
      <c r="K1537" s="1">
        <f t="shared" si="70"/>
        <v>55.681536100000002</v>
      </c>
      <c r="L1537" s="1">
        <f t="shared" si="71"/>
        <v>12.5804201</v>
      </c>
    </row>
    <row r="1538" spans="1:12" ht="16" x14ac:dyDescent="0.2">
      <c r="A1538" s="1">
        <v>1537</v>
      </c>
      <c r="B1538" s="1" t="s">
        <v>3980</v>
      </c>
      <c r="C1538" s="1" t="s">
        <v>4641</v>
      </c>
      <c r="D1538" s="1" t="str">
        <f t="shared" si="69"/>
        <v>København KommuneGammel Mønt 31</v>
      </c>
      <c r="E1538" s="1" t="s">
        <v>4642</v>
      </c>
      <c r="F1538" s="1" t="s">
        <v>4643</v>
      </c>
      <c r="G1538" s="1">
        <v>1959</v>
      </c>
      <c r="H1538" s="1" t="s">
        <v>11</v>
      </c>
      <c r="I1538" s="6" cm="1">
        <f t="array" ref="I1538">GetLatitude(D1538)</f>
        <v>556815879</v>
      </c>
      <c r="J1538" s="1" cm="1">
        <f t="array" ref="J1538">GetLongitude(D1538)</f>
        <v>125803463</v>
      </c>
      <c r="K1538" s="1">
        <f t="shared" si="70"/>
        <v>55.681587899999997</v>
      </c>
      <c r="L1538" s="1">
        <f t="shared" si="71"/>
        <v>12.5803463</v>
      </c>
    </row>
    <row r="1539" spans="1:12" ht="16" x14ac:dyDescent="0.2">
      <c r="A1539" s="1">
        <v>1538</v>
      </c>
      <c r="B1539" s="1" t="s">
        <v>3980</v>
      </c>
      <c r="C1539" s="1" t="s">
        <v>4644</v>
      </c>
      <c r="D1539" s="1" t="str">
        <f t="shared" ref="D1539:D1602" si="72">B1539&amp;C1539</f>
        <v>København KommuneGammel Mønt 35</v>
      </c>
      <c r="E1539" s="1" t="s">
        <v>4645</v>
      </c>
      <c r="F1539" s="1" t="s">
        <v>4646</v>
      </c>
      <c r="G1539" s="1">
        <v>1980</v>
      </c>
      <c r="H1539" s="1" t="s">
        <v>11</v>
      </c>
      <c r="I1539" s="6" cm="1">
        <f t="array" ref="I1539">GetLatitude(D1539)</f>
        <v>556816736</v>
      </c>
      <c r="J1539" s="1" cm="1">
        <f t="array" ref="J1539">GetLongitude(D1539)</f>
        <v>125801573</v>
      </c>
      <c r="K1539" s="1">
        <f t="shared" si="70"/>
        <v>55.681673600000003</v>
      </c>
      <c r="L1539" s="1">
        <f t="shared" si="71"/>
        <v>12.5801573</v>
      </c>
    </row>
    <row r="1540" spans="1:12" ht="16" x14ac:dyDescent="0.2">
      <c r="A1540" s="1">
        <v>1539</v>
      </c>
      <c r="B1540" s="1" t="s">
        <v>3980</v>
      </c>
      <c r="C1540" s="1" t="s">
        <v>4647</v>
      </c>
      <c r="D1540" s="1" t="str">
        <f t="shared" si="72"/>
        <v>København KommuneGammel Mønt 37</v>
      </c>
      <c r="E1540" s="1" t="s">
        <v>4648</v>
      </c>
      <c r="F1540" s="1" t="s">
        <v>4649</v>
      </c>
      <c r="G1540" s="1">
        <v>1980</v>
      </c>
      <c r="H1540" s="1" t="s">
        <v>11</v>
      </c>
      <c r="I1540" s="6" cm="1">
        <f t="array" ref="I1540">GetLatitude(D1540)</f>
        <v>556817044</v>
      </c>
      <c r="J1540" s="1" cm="1">
        <f t="array" ref="J1540">GetLongitude(D1540)</f>
        <v>125800734</v>
      </c>
      <c r="K1540" s="1">
        <f t="shared" ref="K1540:K1603" si="73">I1540/10000000</f>
        <v>55.681704400000001</v>
      </c>
      <c r="L1540" s="1">
        <f t="shared" ref="L1540:L1603" si="74">J1540/10000000</f>
        <v>12.5800734</v>
      </c>
    </row>
    <row r="1541" spans="1:12" ht="16" x14ac:dyDescent="0.2">
      <c r="A1541" s="1">
        <v>1540</v>
      </c>
      <c r="B1541" s="1" t="s">
        <v>3980</v>
      </c>
      <c r="C1541" s="1" t="s">
        <v>4650</v>
      </c>
      <c r="D1541" s="1" t="str">
        <f t="shared" si="72"/>
        <v>København KommuneGammel Mønt 39</v>
      </c>
      <c r="E1541" s="1" t="s">
        <v>4651</v>
      </c>
      <c r="F1541" s="1" t="s">
        <v>4652</v>
      </c>
      <c r="G1541" s="1">
        <v>1980</v>
      </c>
      <c r="H1541" s="1" t="s">
        <v>15</v>
      </c>
      <c r="I1541" s="6" cm="1">
        <f t="array" ref="I1541">GetLatitude(D1541)</f>
        <v>556817748</v>
      </c>
      <c r="J1541" s="1" cm="1">
        <f t="array" ref="J1541">GetLongitude(D1541)</f>
        <v>125799263</v>
      </c>
      <c r="K1541" s="1">
        <f t="shared" si="73"/>
        <v>55.681774799999999</v>
      </c>
      <c r="L1541" s="1">
        <f t="shared" si="74"/>
        <v>12.5799263</v>
      </c>
    </row>
    <row r="1542" spans="1:12" ht="16" x14ac:dyDescent="0.2">
      <c r="A1542" s="1">
        <v>1541</v>
      </c>
      <c r="B1542" s="1" t="s">
        <v>3980</v>
      </c>
      <c r="C1542" s="1" t="s">
        <v>4653</v>
      </c>
      <c r="D1542" s="1" t="str">
        <f t="shared" si="72"/>
        <v>København KommuneGammel Mønt 41, hj af Møntergade</v>
      </c>
      <c r="E1542" s="1" t="s">
        <v>4654</v>
      </c>
      <c r="F1542" s="1" t="s">
        <v>4655</v>
      </c>
      <c r="G1542" s="1">
        <v>1959</v>
      </c>
      <c r="H1542" s="1" t="s">
        <v>4656</v>
      </c>
      <c r="I1542" s="6" cm="1">
        <f t="array" ref="I1542">GetLatitude(D1542)</f>
        <v>556818484</v>
      </c>
      <c r="J1542" s="1" cm="1">
        <f t="array" ref="J1542">GetLongitude(D1542)</f>
        <v>125797479</v>
      </c>
      <c r="K1542" s="1">
        <f t="shared" si="73"/>
        <v>55.6818484</v>
      </c>
      <c r="L1542" s="1">
        <f t="shared" si="74"/>
        <v>12.579747899999999</v>
      </c>
    </row>
    <row r="1543" spans="1:12" ht="16" x14ac:dyDescent="0.2">
      <c r="A1543" s="1">
        <v>1542</v>
      </c>
      <c r="B1543" s="1" t="s">
        <v>3980</v>
      </c>
      <c r="C1543" s="1" t="s">
        <v>4657</v>
      </c>
      <c r="D1543" s="1" t="str">
        <f t="shared" si="72"/>
        <v>København KommuneGammel Strand 36</v>
      </c>
      <c r="E1543" s="1" t="s">
        <v>4658</v>
      </c>
      <c r="F1543" s="1" t="s">
        <v>4659</v>
      </c>
      <c r="G1543" s="1">
        <v>1945</v>
      </c>
      <c r="H1543" s="1" t="s">
        <v>11</v>
      </c>
      <c r="I1543" s="6" cm="1">
        <f t="array" ref="I1543">GetLatitude(D1543)</f>
        <v>556778679</v>
      </c>
      <c r="J1543" s="1" cm="1">
        <f t="array" ref="J1543">GetLongitude(D1543)</f>
        <v>125785965</v>
      </c>
      <c r="K1543" s="1">
        <f t="shared" si="73"/>
        <v>55.677867900000003</v>
      </c>
      <c r="L1543" s="1">
        <f t="shared" si="74"/>
        <v>12.5785965</v>
      </c>
    </row>
    <row r="1544" spans="1:12" ht="16" x14ac:dyDescent="0.2">
      <c r="A1544" s="1">
        <v>1543</v>
      </c>
      <c r="B1544" s="1" t="s">
        <v>3980</v>
      </c>
      <c r="C1544" s="1" t="s">
        <v>4660</v>
      </c>
      <c r="D1544" s="1" t="str">
        <f t="shared" si="72"/>
        <v>København KommuneGammel Strand 38</v>
      </c>
      <c r="E1544" s="1" t="s">
        <v>4661</v>
      </c>
      <c r="F1544" s="1" t="s">
        <v>4662</v>
      </c>
      <c r="G1544" s="1">
        <v>1945</v>
      </c>
      <c r="H1544" s="1" t="s">
        <v>4663</v>
      </c>
      <c r="I1544" s="6" cm="1">
        <f t="array" ref="I1544">GetLatitude(D1544)</f>
        <v>556777751</v>
      </c>
      <c r="J1544" s="1" cm="1">
        <f t="array" ref="J1544">GetLongitude(D1544)</f>
        <v>125785356</v>
      </c>
      <c r="K1544" s="1">
        <f t="shared" si="73"/>
        <v>55.677775099999998</v>
      </c>
      <c r="L1544" s="1">
        <f t="shared" si="74"/>
        <v>12.5785356</v>
      </c>
    </row>
    <row r="1545" spans="1:12" ht="16" x14ac:dyDescent="0.2">
      <c r="A1545" s="1">
        <v>1544</v>
      </c>
      <c r="B1545" s="1" t="s">
        <v>3980</v>
      </c>
      <c r="C1545" s="1" t="s">
        <v>4664</v>
      </c>
      <c r="D1545" s="1" t="str">
        <f t="shared" si="72"/>
        <v>København KommuneGammel Strand 40 og Læderstræde 9</v>
      </c>
      <c r="E1545" s="1" t="s">
        <v>4665</v>
      </c>
      <c r="F1545" s="1" t="s">
        <v>4666</v>
      </c>
      <c r="G1545" s="1">
        <v>1945</v>
      </c>
      <c r="H1545" s="1" t="s">
        <v>11</v>
      </c>
      <c r="I1545" s="6" cm="1">
        <f t="array" ref="I1545">GetLatitude(D1545)</f>
        <v>556779125</v>
      </c>
      <c r="J1545" s="1" cm="1">
        <f t="array" ref="J1545">GetLongitude(D1545)</f>
        <v>125769874</v>
      </c>
      <c r="K1545" s="1">
        <f t="shared" si="73"/>
        <v>55.677912499999998</v>
      </c>
      <c r="L1545" s="1">
        <f t="shared" si="74"/>
        <v>12.5769874</v>
      </c>
    </row>
    <row r="1546" spans="1:12" ht="16" x14ac:dyDescent="0.2">
      <c r="A1546" s="1">
        <v>1545</v>
      </c>
      <c r="B1546" s="1" t="s">
        <v>3980</v>
      </c>
      <c r="C1546" s="1" t="s">
        <v>4667</v>
      </c>
      <c r="D1546" s="1" t="str">
        <f t="shared" si="72"/>
        <v>København KommuneGammel Strand 42</v>
      </c>
      <c r="E1546" s="1" t="s">
        <v>4668</v>
      </c>
      <c r="F1546" s="1" t="s">
        <v>4669</v>
      </c>
      <c r="G1546" s="1">
        <v>1945</v>
      </c>
      <c r="H1546" s="1" t="s">
        <v>11</v>
      </c>
      <c r="I1546" s="6" cm="1">
        <f t="array" ref="I1546">GetLatitude(D1546)</f>
        <v>556777171</v>
      </c>
      <c r="J1546" s="1" cm="1">
        <f t="array" ref="J1546">GetLongitude(D1546)</f>
        <v>125782449</v>
      </c>
      <c r="K1546" s="1">
        <f t="shared" si="73"/>
        <v>55.677717100000002</v>
      </c>
      <c r="L1546" s="1">
        <f t="shared" si="74"/>
        <v>12.5782449</v>
      </c>
    </row>
    <row r="1547" spans="1:12" ht="16" x14ac:dyDescent="0.2">
      <c r="A1547" s="1">
        <v>1546</v>
      </c>
      <c r="B1547" s="1" t="s">
        <v>3980</v>
      </c>
      <c r="C1547" s="1" t="s">
        <v>4670</v>
      </c>
      <c r="D1547" s="1" t="str">
        <f t="shared" si="72"/>
        <v>København KommuneGammel Strand 44</v>
      </c>
      <c r="E1547" s="1" t="s">
        <v>4671</v>
      </c>
      <c r="F1547" s="1" t="s">
        <v>4672</v>
      </c>
      <c r="G1547" s="1">
        <v>1945</v>
      </c>
      <c r="H1547" s="1" t="s">
        <v>11</v>
      </c>
      <c r="I1547" s="6" cm="1">
        <f t="array" ref="I1547">GetLatitude(D1547)</f>
        <v>556776675</v>
      </c>
      <c r="J1547" s="1" cm="1">
        <f t="array" ref="J1547">GetLongitude(D1547)</f>
        <v>125780019</v>
      </c>
      <c r="K1547" s="1">
        <f t="shared" si="73"/>
        <v>55.677667499999998</v>
      </c>
      <c r="L1547" s="1">
        <f t="shared" si="74"/>
        <v>12.5780019</v>
      </c>
    </row>
    <row r="1548" spans="1:12" ht="16" x14ac:dyDescent="0.2">
      <c r="A1548" s="1">
        <v>1547</v>
      </c>
      <c r="B1548" s="1" t="s">
        <v>3980</v>
      </c>
      <c r="C1548" s="1" t="s">
        <v>4673</v>
      </c>
      <c r="D1548" s="1" t="str">
        <f t="shared" si="72"/>
        <v>København KommuneGammel Strand 46</v>
      </c>
      <c r="E1548" s="1" t="s">
        <v>4674</v>
      </c>
      <c r="F1548" s="1" t="s">
        <v>4675</v>
      </c>
      <c r="G1548" s="1">
        <v>1918</v>
      </c>
      <c r="H1548" s="1" t="s">
        <v>15</v>
      </c>
      <c r="I1548" s="6" cm="1">
        <f t="array" ref="I1548">GetLatitude(D1548)</f>
        <v>556776302</v>
      </c>
      <c r="J1548" s="1" cm="1">
        <f t="array" ref="J1548">GetLongitude(D1548)</f>
        <v>125778088</v>
      </c>
      <c r="K1548" s="1">
        <f t="shared" si="73"/>
        <v>55.677630200000003</v>
      </c>
      <c r="L1548" s="1">
        <f t="shared" si="74"/>
        <v>12.5778088</v>
      </c>
    </row>
    <row r="1549" spans="1:12" ht="16" x14ac:dyDescent="0.2">
      <c r="A1549" s="1">
        <v>1548</v>
      </c>
      <c r="B1549" s="1" t="s">
        <v>3980</v>
      </c>
      <c r="C1549" s="1" t="s">
        <v>4676</v>
      </c>
      <c r="D1549" s="1" t="str">
        <f t="shared" si="72"/>
        <v>København KommuneGammel Strand 48 og Læderstræde 15</v>
      </c>
      <c r="E1549" s="1" t="s">
        <v>4677</v>
      </c>
      <c r="F1549" s="1" t="s">
        <v>4678</v>
      </c>
      <c r="G1549" s="1">
        <v>1918</v>
      </c>
      <c r="H1549" s="1" t="s">
        <v>11</v>
      </c>
      <c r="I1549" s="6" cm="1">
        <f t="array" ref="I1549">GetLatitude(D1549)</f>
        <v>556779125</v>
      </c>
      <c r="J1549" s="1" cm="1">
        <f t="array" ref="J1549">GetLongitude(D1549)</f>
        <v>125769874</v>
      </c>
      <c r="K1549" s="1">
        <f t="shared" si="73"/>
        <v>55.677912499999998</v>
      </c>
      <c r="L1549" s="1">
        <f t="shared" si="74"/>
        <v>12.5769874</v>
      </c>
    </row>
    <row r="1550" spans="1:12" ht="16" x14ac:dyDescent="0.2">
      <c r="A1550" s="1">
        <v>1549</v>
      </c>
      <c r="B1550" s="1" t="s">
        <v>3980</v>
      </c>
      <c r="C1550" s="1" t="s">
        <v>4679</v>
      </c>
      <c r="D1550" s="1" t="str">
        <f t="shared" si="72"/>
        <v>København KommuneGammel Strand 50</v>
      </c>
      <c r="E1550" s="1" t="s">
        <v>4680</v>
      </c>
      <c r="F1550" s="1" t="s">
        <v>4681</v>
      </c>
      <c r="G1550" s="1">
        <v>1918</v>
      </c>
      <c r="H1550" s="1" t="s">
        <v>2888</v>
      </c>
      <c r="I1550" s="6" cm="1">
        <f t="array" ref="I1550">GetLatitude(D1550)</f>
        <v>556775367</v>
      </c>
      <c r="J1550" s="1" cm="1">
        <f t="array" ref="J1550">GetLongitude(D1550)</f>
        <v>125774353</v>
      </c>
      <c r="K1550" s="1">
        <f t="shared" si="73"/>
        <v>55.677536699999997</v>
      </c>
      <c r="L1550" s="1">
        <f t="shared" si="74"/>
        <v>12.577435299999999</v>
      </c>
    </row>
    <row r="1551" spans="1:12" ht="16" x14ac:dyDescent="0.2">
      <c r="A1551" s="1">
        <v>1550</v>
      </c>
      <c r="B1551" s="1" t="s">
        <v>3980</v>
      </c>
      <c r="C1551" s="1" t="s">
        <v>4682</v>
      </c>
      <c r="D1551" s="1" t="str">
        <f t="shared" si="72"/>
        <v>København KommuneGammel Strand 52, hj af Naboløs</v>
      </c>
      <c r="E1551" s="1" t="s">
        <v>4683</v>
      </c>
      <c r="F1551" s="1" t="s">
        <v>4684</v>
      </c>
      <c r="G1551" s="1">
        <v>1945</v>
      </c>
      <c r="H1551" s="1" t="s">
        <v>11</v>
      </c>
      <c r="I1551" s="6" cm="1">
        <f t="array" ref="I1551">GetLatitude(D1551)</f>
        <v>556775631</v>
      </c>
      <c r="J1551" s="1" cm="1">
        <f t="array" ref="J1551">GetLongitude(D1551)</f>
        <v>125770562</v>
      </c>
      <c r="K1551" s="1">
        <f t="shared" si="73"/>
        <v>55.6775631</v>
      </c>
      <c r="L1551" s="1">
        <f t="shared" si="74"/>
        <v>12.577056199999999</v>
      </c>
    </row>
    <row r="1552" spans="1:12" ht="16" x14ac:dyDescent="0.2">
      <c r="A1552" s="1">
        <v>1551</v>
      </c>
      <c r="B1552" s="1" t="s">
        <v>3980</v>
      </c>
      <c r="C1552" s="1" t="s">
        <v>4685</v>
      </c>
      <c r="D1552" s="1" t="str">
        <f t="shared" si="72"/>
        <v>København KommuneGammeltorv</v>
      </c>
      <c r="E1552" s="1" t="s">
        <v>4686</v>
      </c>
      <c r="F1552" s="1" t="s">
        <v>4687</v>
      </c>
      <c r="G1552" s="1">
        <v>1918</v>
      </c>
      <c r="H1552" s="1" t="s">
        <v>15</v>
      </c>
      <c r="I1552" s="6" cm="1">
        <f t="array" ref="I1552">GetLatitude(D1552)</f>
        <v>556783034</v>
      </c>
      <c r="J1552" s="1" cm="1">
        <f t="array" ref="J1552">GetLongitude(D1552)</f>
        <v>125720019</v>
      </c>
      <c r="K1552" s="1">
        <f t="shared" si="73"/>
        <v>55.678303399999997</v>
      </c>
      <c r="L1552" s="1">
        <f t="shared" si="74"/>
        <v>12.5720019</v>
      </c>
    </row>
    <row r="1553" spans="1:12" ht="16" x14ac:dyDescent="0.2">
      <c r="A1553" s="1">
        <v>1552</v>
      </c>
      <c r="B1553" s="1" t="s">
        <v>3980</v>
      </c>
      <c r="C1553" s="1" t="s">
        <v>4688</v>
      </c>
      <c r="D1553" s="1" t="str">
        <f t="shared" si="72"/>
        <v>København KommuneGammeltorv 14</v>
      </c>
      <c r="E1553" s="1" t="s">
        <v>4689</v>
      </c>
      <c r="F1553" s="1" t="s">
        <v>4690</v>
      </c>
      <c r="G1553" s="1">
        <v>1926</v>
      </c>
      <c r="H1553" s="1" t="s">
        <v>11</v>
      </c>
      <c r="I1553" s="6" cm="1">
        <f t="array" ref="I1553">GetLatitude(D1553)</f>
        <v>556783936</v>
      </c>
      <c r="J1553" s="1" cm="1">
        <f t="array" ref="J1553">GetLongitude(D1553)</f>
        <v>125717323</v>
      </c>
      <c r="K1553" s="1">
        <f t="shared" si="73"/>
        <v>55.6783936</v>
      </c>
      <c r="L1553" s="1">
        <f t="shared" si="74"/>
        <v>12.571732300000001</v>
      </c>
    </row>
    <row r="1554" spans="1:12" ht="16" x14ac:dyDescent="0.2">
      <c r="A1554" s="1">
        <v>1553</v>
      </c>
      <c r="B1554" s="1" t="s">
        <v>3980</v>
      </c>
      <c r="C1554" s="1" t="s">
        <v>4691</v>
      </c>
      <c r="D1554" s="1" t="str">
        <f t="shared" si="72"/>
        <v>København KommuneGammeltorv 18</v>
      </c>
      <c r="E1554" s="1" t="s">
        <v>4692</v>
      </c>
      <c r="F1554" s="1" t="s">
        <v>4693</v>
      </c>
      <c r="G1554" s="1">
        <v>1918</v>
      </c>
      <c r="H1554" s="1" t="s">
        <v>11</v>
      </c>
      <c r="I1554" s="6" cm="1">
        <f t="array" ref="I1554">GetLatitude(D1554)</f>
        <v>556782753</v>
      </c>
      <c r="J1554" s="1" cm="1">
        <f t="array" ref="J1554">GetLongitude(D1554)</f>
        <v>125715583</v>
      </c>
      <c r="K1554" s="1">
        <f t="shared" si="73"/>
        <v>55.678275300000003</v>
      </c>
      <c r="L1554" s="1">
        <f t="shared" si="74"/>
        <v>12.5715583</v>
      </c>
    </row>
    <row r="1555" spans="1:12" ht="16" x14ac:dyDescent="0.2">
      <c r="A1555" s="1">
        <v>1554</v>
      </c>
      <c r="B1555" s="1" t="s">
        <v>3980</v>
      </c>
      <c r="C1555" s="1" t="s">
        <v>4694</v>
      </c>
      <c r="D1555" s="1" t="str">
        <f t="shared" si="72"/>
        <v>København KommuneGammeltorv 22</v>
      </c>
      <c r="E1555" s="1" t="s">
        <v>4695</v>
      </c>
      <c r="F1555" s="1" t="s">
        <v>4696</v>
      </c>
      <c r="G1555" s="1">
        <v>1918</v>
      </c>
      <c r="H1555" s="1" t="s">
        <v>11</v>
      </c>
      <c r="I1555" s="6" cm="1">
        <f t="array" ref="I1555">GetLatitude(D1555)</f>
        <v>556780887</v>
      </c>
      <c r="J1555" s="1" cm="1">
        <f t="array" ref="J1555">GetLongitude(D1555)</f>
        <v>125716439</v>
      </c>
      <c r="K1555" s="1">
        <f t="shared" si="73"/>
        <v>55.678088700000004</v>
      </c>
      <c r="L1555" s="1">
        <f t="shared" si="74"/>
        <v>12.5716439</v>
      </c>
    </row>
    <row r="1556" spans="1:12" ht="16" x14ac:dyDescent="0.2">
      <c r="A1556" s="1">
        <v>1555</v>
      </c>
      <c r="B1556" s="1" t="s">
        <v>3980</v>
      </c>
      <c r="C1556" s="1" t="s">
        <v>4697</v>
      </c>
      <c r="D1556" s="1" t="str">
        <f t="shared" si="72"/>
        <v>København KommuneGammeltorv 6</v>
      </c>
      <c r="E1556" s="1" t="s">
        <v>4698</v>
      </c>
      <c r="F1556" s="1" t="s">
        <v>4699</v>
      </c>
      <c r="G1556" s="1">
        <v>1991</v>
      </c>
      <c r="H1556" s="1" t="s">
        <v>11</v>
      </c>
      <c r="I1556" s="6" cm="1">
        <f t="array" ref="I1556">GetLatitude(D1556)</f>
        <v>556784771</v>
      </c>
      <c r="J1556" s="1" cm="1">
        <f t="array" ref="J1556">GetLongitude(D1556)</f>
        <v>125726268</v>
      </c>
      <c r="K1556" s="1">
        <f t="shared" si="73"/>
        <v>55.678477100000002</v>
      </c>
      <c r="L1556" s="1">
        <f t="shared" si="74"/>
        <v>12.5726268</v>
      </c>
    </row>
    <row r="1557" spans="1:12" ht="16" x14ac:dyDescent="0.2">
      <c r="A1557" s="1">
        <v>1556</v>
      </c>
      <c r="B1557" s="1" t="s">
        <v>3980</v>
      </c>
      <c r="C1557" s="1" t="s">
        <v>4700</v>
      </c>
      <c r="D1557" s="1" t="str">
        <f t="shared" si="72"/>
        <v>København KommuneGammel Vartovvej 22</v>
      </c>
      <c r="E1557" s="1" t="s">
        <v>4701</v>
      </c>
      <c r="F1557" s="1" t="s">
        <v>4702</v>
      </c>
      <c r="G1557" s="1">
        <v>1995</v>
      </c>
      <c r="H1557" s="1" t="s">
        <v>15</v>
      </c>
      <c r="I1557" s="6" cm="1">
        <f t="array" ref="I1557">GetLatitude(D1557)</f>
        <v>557233765</v>
      </c>
      <c r="J1557" s="1" cm="1">
        <f t="array" ref="J1557">GetLongitude(D1557)</f>
        <v>125762639</v>
      </c>
      <c r="K1557" s="1">
        <f t="shared" si="73"/>
        <v>55.723376500000001</v>
      </c>
      <c r="L1557" s="1">
        <f t="shared" si="74"/>
        <v>12.576263900000001</v>
      </c>
    </row>
    <row r="1558" spans="1:12" ht="16" x14ac:dyDescent="0.2">
      <c r="A1558" s="1">
        <v>1557</v>
      </c>
      <c r="B1558" s="1" t="s">
        <v>3980</v>
      </c>
      <c r="C1558" s="1" t="s">
        <v>4703</v>
      </c>
      <c r="D1558" s="1" t="str">
        <f t="shared" si="72"/>
        <v>København KommuneGasværksvej 25-27 og Istedgade 31</v>
      </c>
      <c r="E1558" s="1" t="s">
        <v>4704</v>
      </c>
      <c r="F1558" s="1" t="s">
        <v>4705</v>
      </c>
      <c r="G1558" s="1">
        <v>1992</v>
      </c>
      <c r="H1558" s="1" t="s">
        <v>15</v>
      </c>
      <c r="I1558" s="6" cm="1">
        <f t="array" ref="I1558">GetLatitude(D1558)</f>
        <v>556707214</v>
      </c>
      <c r="J1558" s="1" cm="1">
        <f t="array" ref="J1558">GetLongitude(D1558)</f>
        <v>125586399</v>
      </c>
      <c r="K1558" s="1">
        <f t="shared" si="73"/>
        <v>55.670721399999998</v>
      </c>
      <c r="L1558" s="1">
        <f t="shared" si="74"/>
        <v>12.558639899999999</v>
      </c>
    </row>
    <row r="1559" spans="1:12" ht="16" x14ac:dyDescent="0.2">
      <c r="A1559" s="1">
        <v>1558</v>
      </c>
      <c r="B1559" s="1" t="s">
        <v>3980</v>
      </c>
      <c r="C1559" s="1" t="s">
        <v>4706</v>
      </c>
      <c r="D1559" s="1" t="str">
        <f t="shared" si="72"/>
        <v xml:space="preserve">København KommuneGeorg Brandes Plads 2-8 og Sølvgade 40 </v>
      </c>
      <c r="E1559" s="1" t="s">
        <v>4707</v>
      </c>
      <c r="F1559" s="1" t="s">
        <v>4708</v>
      </c>
      <c r="G1559" s="1">
        <v>1918</v>
      </c>
      <c r="H1559" s="1" t="s">
        <v>15</v>
      </c>
      <c r="I1559" s="6" cm="1">
        <f t="array" ref="I1559">GetLatitude(D1559)</f>
        <v>556873411</v>
      </c>
      <c r="J1559" s="1" cm="1">
        <f t="array" ref="J1559">GetLongitude(D1559)</f>
        <v>125804571</v>
      </c>
      <c r="K1559" s="1">
        <f t="shared" si="73"/>
        <v>55.687341099999998</v>
      </c>
      <c r="L1559" s="1">
        <f t="shared" si="74"/>
        <v>12.5804571</v>
      </c>
    </row>
    <row r="1560" spans="1:12" ht="16" x14ac:dyDescent="0.2">
      <c r="A1560" s="1">
        <v>1559</v>
      </c>
      <c r="B1560" s="1" t="s">
        <v>3980</v>
      </c>
      <c r="C1560" s="1" t="s">
        <v>4709</v>
      </c>
      <c r="D1560" s="1" t="str">
        <f t="shared" si="72"/>
        <v>København KommuneGothersgade 100 (tidl Øster Voldgade 2 A-F)</v>
      </c>
      <c r="E1560" s="1" t="s">
        <v>4710</v>
      </c>
      <c r="F1560" s="1" t="s">
        <v>4711</v>
      </c>
      <c r="G1560" s="1">
        <v>1932</v>
      </c>
      <c r="H1560" s="1" t="s">
        <v>15</v>
      </c>
      <c r="I1560" s="6" cm="1">
        <f t="array" ref="I1560">GetLatitude(D1560)</f>
        <v>556851007</v>
      </c>
      <c r="J1560" s="1" cm="1">
        <f t="array" ref="J1560">GetLongitude(D1560)</f>
        <v>125750753</v>
      </c>
      <c r="K1560" s="1">
        <f t="shared" si="73"/>
        <v>55.6851007</v>
      </c>
      <c r="L1560" s="1">
        <f t="shared" si="74"/>
        <v>12.5750753</v>
      </c>
    </row>
    <row r="1561" spans="1:12" ht="16" x14ac:dyDescent="0.2">
      <c r="A1561" s="1">
        <v>1560</v>
      </c>
      <c r="B1561" s="1" t="s">
        <v>3980</v>
      </c>
      <c r="C1561" s="1" t="s">
        <v>4712</v>
      </c>
      <c r="D1561" s="1" t="str">
        <f t="shared" si="72"/>
        <v>København KommuneGothersgade 111, hj af Rosenborggade og hj af Åbenrå</v>
      </c>
      <c r="E1561" s="1" t="s">
        <v>1415</v>
      </c>
      <c r="F1561" s="1" t="s">
        <v>4713</v>
      </c>
      <c r="G1561" s="1">
        <v>1939</v>
      </c>
      <c r="H1561" s="1" t="s">
        <v>1890</v>
      </c>
      <c r="I1561" s="6" cm="1">
        <f t="array" ref="I1561">GetLatitude(D1561)</f>
        <v>556838451</v>
      </c>
      <c r="J1561" s="1" cm="1">
        <f t="array" ref="J1561">GetLongitude(D1561)</f>
        <v>125751576</v>
      </c>
      <c r="K1561" s="1">
        <f t="shared" si="73"/>
        <v>55.683845099999999</v>
      </c>
      <c r="L1561" s="1">
        <f t="shared" si="74"/>
        <v>12.575157600000001</v>
      </c>
    </row>
    <row r="1562" spans="1:12" ht="16" x14ac:dyDescent="0.2">
      <c r="A1562" s="1">
        <v>1561</v>
      </c>
      <c r="B1562" s="1" t="s">
        <v>3980</v>
      </c>
      <c r="C1562" s="1" t="s">
        <v>4714</v>
      </c>
      <c r="D1562" s="1" t="str">
        <f t="shared" si="72"/>
        <v>København KommuneGothersgade 140</v>
      </c>
      <c r="E1562" s="1" t="s">
        <v>4715</v>
      </c>
      <c r="F1562" s="1" t="s">
        <v>4716</v>
      </c>
      <c r="G1562" s="1">
        <v>2011</v>
      </c>
      <c r="H1562" s="1" t="s">
        <v>15</v>
      </c>
      <c r="I1562" s="6" cm="1">
        <f t="array" ref="I1562">GetLatitude(D1562)</f>
        <v>556858420</v>
      </c>
      <c r="J1562" s="1" cm="1">
        <f t="array" ref="J1562">GetLongitude(D1562)</f>
        <v>125702701</v>
      </c>
      <c r="K1562" s="1">
        <f t="shared" si="73"/>
        <v>55.685842000000001</v>
      </c>
      <c r="L1562" s="1">
        <f t="shared" si="74"/>
        <v>12.5702701</v>
      </c>
    </row>
    <row r="1563" spans="1:12" ht="16" x14ac:dyDescent="0.2">
      <c r="A1563" s="1">
        <v>1562</v>
      </c>
      <c r="B1563" s="1" t="s">
        <v>3980</v>
      </c>
      <c r="C1563" s="1" t="s">
        <v>4717</v>
      </c>
      <c r="D1563" s="1" t="str">
        <f t="shared" si="72"/>
        <v>København KommuneGothersgade 143</v>
      </c>
      <c r="E1563" s="1" t="s">
        <v>4718</v>
      </c>
      <c r="F1563" s="1" t="s">
        <v>4719</v>
      </c>
      <c r="G1563" s="1">
        <v>1987</v>
      </c>
      <c r="H1563" s="1" t="s">
        <v>11</v>
      </c>
      <c r="I1563" s="6" cm="1">
        <f t="array" ref="I1563">GetLatitude(D1563)</f>
        <v>556851582</v>
      </c>
      <c r="J1563" s="1" cm="1">
        <f t="array" ref="J1563">GetLongitude(D1563)</f>
        <v>125706987</v>
      </c>
      <c r="K1563" s="1">
        <f t="shared" si="73"/>
        <v>55.685158199999996</v>
      </c>
      <c r="L1563" s="1">
        <f t="shared" si="74"/>
        <v>12.570698699999999</v>
      </c>
    </row>
    <row r="1564" spans="1:12" ht="16" x14ac:dyDescent="0.2">
      <c r="A1564" s="1">
        <v>1563</v>
      </c>
      <c r="B1564" s="1" t="s">
        <v>3980</v>
      </c>
      <c r="C1564" s="1" t="s">
        <v>4720</v>
      </c>
      <c r="D1564" s="1" t="str">
        <f t="shared" si="72"/>
        <v>København KommuneGothersgade 160, hj af Søtorvet</v>
      </c>
      <c r="E1564" s="1" t="s">
        <v>4721</v>
      </c>
      <c r="F1564" s="1" t="s">
        <v>4722</v>
      </c>
      <c r="G1564" s="1">
        <v>1978</v>
      </c>
      <c r="H1564" s="1" t="s">
        <v>11</v>
      </c>
      <c r="I1564" s="6" cm="1">
        <f t="array" ref="I1564">GetLatitude(D1564)</f>
        <v>556861000</v>
      </c>
      <c r="J1564" s="1" cm="1">
        <f t="array" ref="J1564">GetLongitude(D1564)</f>
        <v>125653000</v>
      </c>
      <c r="K1564" s="1">
        <f t="shared" si="73"/>
        <v>55.686100000000003</v>
      </c>
      <c r="L1564" s="1">
        <f t="shared" si="74"/>
        <v>12.565300000000001</v>
      </c>
    </row>
    <row r="1565" spans="1:12" ht="16" x14ac:dyDescent="0.2">
      <c r="A1565" s="1">
        <v>1564</v>
      </c>
      <c r="B1565" s="1" t="s">
        <v>3980</v>
      </c>
      <c r="C1565" s="1" t="s">
        <v>4723</v>
      </c>
      <c r="D1565" s="1" t="str">
        <f t="shared" si="72"/>
        <v>København KommuneGothersgade 29</v>
      </c>
      <c r="E1565" s="1" t="s">
        <v>4724</v>
      </c>
      <c r="F1565" s="1" t="s">
        <v>4725</v>
      </c>
      <c r="G1565" s="1">
        <v>1981</v>
      </c>
      <c r="H1565" s="1" t="s">
        <v>11</v>
      </c>
      <c r="I1565" s="6" cm="1">
        <f t="array" ref="I1565">GetLatitude(D1565)</f>
        <v>556819382</v>
      </c>
      <c r="J1565" s="1" cm="1">
        <f t="array" ref="J1565">GetLongitude(D1565)</f>
        <v>125829142</v>
      </c>
      <c r="K1565" s="1">
        <f t="shared" si="73"/>
        <v>55.681938199999998</v>
      </c>
      <c r="L1565" s="1">
        <f t="shared" si="74"/>
        <v>12.582914199999999</v>
      </c>
    </row>
    <row r="1566" spans="1:12" ht="16" x14ac:dyDescent="0.2">
      <c r="A1566" s="1">
        <v>1565</v>
      </c>
      <c r="B1566" s="1" t="s">
        <v>3980</v>
      </c>
      <c r="C1566" s="1" t="s">
        <v>4726</v>
      </c>
      <c r="D1566" s="1" t="str">
        <f t="shared" si="72"/>
        <v>København KommuneGothersgade 35</v>
      </c>
      <c r="E1566" s="1" t="s">
        <v>4727</v>
      </c>
      <c r="F1566" s="1" t="s">
        <v>4728</v>
      </c>
      <c r="G1566" s="1">
        <v>1964</v>
      </c>
      <c r="H1566" s="1" t="s">
        <v>15</v>
      </c>
      <c r="I1566" s="6" cm="1">
        <f t="array" ref="I1566">GetLatitude(D1566)</f>
        <v>556821190</v>
      </c>
      <c r="J1566" s="1" cm="1">
        <f t="array" ref="J1566">GetLongitude(D1566)</f>
        <v>125821297</v>
      </c>
      <c r="K1566" s="1">
        <f t="shared" si="73"/>
        <v>55.682119</v>
      </c>
      <c r="L1566" s="1">
        <f t="shared" si="74"/>
        <v>12.582129699999999</v>
      </c>
    </row>
    <row r="1567" spans="1:12" ht="16" x14ac:dyDescent="0.2">
      <c r="A1567" s="1">
        <v>1566</v>
      </c>
      <c r="B1567" s="1" t="s">
        <v>3980</v>
      </c>
      <c r="C1567" s="1" t="s">
        <v>4729</v>
      </c>
      <c r="D1567" s="1" t="str">
        <f t="shared" si="72"/>
        <v>København KommuneGothersgade 41 og 41 A</v>
      </c>
      <c r="E1567" s="1" t="s">
        <v>4730</v>
      </c>
      <c r="F1567" s="1" t="s">
        <v>4731</v>
      </c>
      <c r="G1567" s="1">
        <v>1989</v>
      </c>
      <c r="H1567" s="1" t="s">
        <v>11</v>
      </c>
      <c r="I1567" s="6" cm="1">
        <f t="array" ref="I1567">GetLatitude(D1567)</f>
        <v>556823437</v>
      </c>
      <c r="J1567" s="1" cm="1">
        <f t="array" ref="J1567">GetLongitude(D1567)</f>
        <v>125815663</v>
      </c>
      <c r="K1567" s="1">
        <f t="shared" si="73"/>
        <v>55.682343699999997</v>
      </c>
      <c r="L1567" s="1">
        <f t="shared" si="74"/>
        <v>12.5815663</v>
      </c>
    </row>
    <row r="1568" spans="1:12" ht="16" x14ac:dyDescent="0.2">
      <c r="A1568" s="1">
        <v>1567</v>
      </c>
      <c r="B1568" s="1" t="s">
        <v>3980</v>
      </c>
      <c r="C1568" s="1" t="s">
        <v>4732</v>
      </c>
      <c r="D1568" s="1" t="str">
        <f t="shared" si="72"/>
        <v>København KommuneGothersgade 56</v>
      </c>
      <c r="E1568" s="1" t="s">
        <v>4733</v>
      </c>
      <c r="F1568" s="1" t="s">
        <v>4734</v>
      </c>
      <c r="G1568" s="1">
        <v>1918</v>
      </c>
      <c r="H1568" s="1" t="s">
        <v>11</v>
      </c>
      <c r="I1568" s="6" cm="1">
        <f t="array" ref="I1568">GetLatitude(D1568)</f>
        <v>556826496</v>
      </c>
      <c r="J1568" s="1" cm="1">
        <f t="array" ref="J1568">GetLongitude(D1568)</f>
        <v>125812661</v>
      </c>
      <c r="K1568" s="1">
        <f t="shared" si="73"/>
        <v>55.682649599999998</v>
      </c>
      <c r="L1568" s="1">
        <f t="shared" si="74"/>
        <v>12.581266100000001</v>
      </c>
    </row>
    <row r="1569" spans="1:12" ht="16" x14ac:dyDescent="0.2">
      <c r="A1569" s="1">
        <v>1568</v>
      </c>
      <c r="B1569" s="1" t="s">
        <v>3980</v>
      </c>
      <c r="C1569" s="1" t="s">
        <v>4735</v>
      </c>
      <c r="D1569" s="1" t="str">
        <f t="shared" si="72"/>
        <v>København KommuneGothersgade 89</v>
      </c>
      <c r="E1569" s="1" t="s">
        <v>4736</v>
      </c>
      <c r="F1569" s="1" t="s">
        <v>4737</v>
      </c>
      <c r="G1569" s="1">
        <v>1976</v>
      </c>
      <c r="H1569" s="1" t="s">
        <v>11</v>
      </c>
      <c r="I1569" s="6" cm="1">
        <f t="array" ref="I1569">GetLatitude(D1569)</f>
        <v>556833364</v>
      </c>
      <c r="J1569" s="1" cm="1">
        <f t="array" ref="J1569">GetLongitude(D1569)</f>
        <v>125777324</v>
      </c>
      <c r="K1569" s="1">
        <f t="shared" si="73"/>
        <v>55.683336400000002</v>
      </c>
      <c r="L1569" s="1">
        <f t="shared" si="74"/>
        <v>12.5777324</v>
      </c>
    </row>
    <row r="1570" spans="1:12" ht="16" x14ac:dyDescent="0.2">
      <c r="A1570" s="1">
        <v>1569</v>
      </c>
      <c r="B1570" s="1" t="s">
        <v>3980</v>
      </c>
      <c r="C1570" s="1" t="s">
        <v>4738</v>
      </c>
      <c r="D1570" s="1" t="str">
        <f t="shared" si="72"/>
        <v>København KommuneGothersgade 8 og 8 D</v>
      </c>
      <c r="E1570" s="1" t="s">
        <v>4739</v>
      </c>
      <c r="F1570" s="1" t="s">
        <v>4740</v>
      </c>
      <c r="G1570" s="1">
        <v>1918</v>
      </c>
      <c r="H1570" s="1" t="s">
        <v>11</v>
      </c>
      <c r="I1570" s="6" cm="1">
        <f t="array" ref="I1570">GetLatitude(D1570)</f>
        <v>556823140</v>
      </c>
      <c r="J1570" s="1" cm="1">
        <f t="array" ref="J1570">GetLongitude(D1570)</f>
        <v>125849190</v>
      </c>
      <c r="K1570" s="1">
        <f t="shared" si="73"/>
        <v>55.682313999999998</v>
      </c>
      <c r="L1570" s="1">
        <f t="shared" si="74"/>
        <v>12.584918999999999</v>
      </c>
    </row>
    <row r="1571" spans="1:12" ht="16" x14ac:dyDescent="0.2">
      <c r="A1571" s="1">
        <v>1570</v>
      </c>
      <c r="B1571" s="1" t="s">
        <v>3980</v>
      </c>
      <c r="C1571" s="1" t="s">
        <v>4741</v>
      </c>
      <c r="D1571" s="1" t="str">
        <f t="shared" si="72"/>
        <v>København KommuneGrønnegade 12 og 14</v>
      </c>
      <c r="E1571" s="1" t="s">
        <v>4742</v>
      </c>
      <c r="F1571" s="1" t="s">
        <v>4743</v>
      </c>
      <c r="G1571" s="1">
        <v>1964</v>
      </c>
      <c r="H1571" s="1" t="s">
        <v>4744</v>
      </c>
      <c r="I1571" s="6" cm="1">
        <f t="array" ref="I1571">GetLatitude(D1571)</f>
        <v>556809028</v>
      </c>
      <c r="J1571" s="1" cm="1">
        <f t="array" ref="J1571">GetLongitude(D1571)</f>
        <v>125824836</v>
      </c>
      <c r="K1571" s="1">
        <f t="shared" si="73"/>
        <v>55.680902799999998</v>
      </c>
      <c r="L1571" s="1">
        <f t="shared" si="74"/>
        <v>12.5824836</v>
      </c>
    </row>
    <row r="1572" spans="1:12" ht="16" x14ac:dyDescent="0.2">
      <c r="A1572" s="1">
        <v>1571</v>
      </c>
      <c r="B1572" s="1" t="s">
        <v>3980</v>
      </c>
      <c r="C1572" s="1" t="s">
        <v>4745</v>
      </c>
      <c r="D1572" s="1" t="str">
        <f t="shared" si="72"/>
        <v>København KommuneGrønnegade 16</v>
      </c>
      <c r="E1572" s="1" t="s">
        <v>4746</v>
      </c>
      <c r="F1572" s="1" t="s">
        <v>4747</v>
      </c>
      <c r="G1572" s="1">
        <v>1964</v>
      </c>
      <c r="H1572" s="1" t="s">
        <v>813</v>
      </c>
      <c r="I1572" s="6" cm="1">
        <f t="array" ref="I1572">GetLatitude(D1572)</f>
        <v>556809738</v>
      </c>
      <c r="J1572" s="1" cm="1">
        <f t="array" ref="J1572">GetLongitude(D1572)</f>
        <v>125826491</v>
      </c>
      <c r="K1572" s="1">
        <f t="shared" si="73"/>
        <v>55.680973799999997</v>
      </c>
      <c r="L1572" s="1">
        <f t="shared" si="74"/>
        <v>12.582649099999999</v>
      </c>
    </row>
    <row r="1573" spans="1:12" ht="16" x14ac:dyDescent="0.2">
      <c r="A1573" s="1">
        <v>1572</v>
      </c>
      <c r="B1573" s="1" t="s">
        <v>3980</v>
      </c>
      <c r="C1573" s="1" t="s">
        <v>4748</v>
      </c>
      <c r="D1573" s="1" t="str">
        <f t="shared" si="72"/>
        <v>København KommuneGrønnegade 18</v>
      </c>
      <c r="E1573" s="1" t="s">
        <v>4749</v>
      </c>
      <c r="F1573" s="1" t="s">
        <v>4750</v>
      </c>
      <c r="G1573" s="1">
        <v>1971</v>
      </c>
      <c r="H1573" s="1" t="s">
        <v>11</v>
      </c>
      <c r="I1573" s="6" cm="1">
        <f t="array" ref="I1573">GetLatitude(D1573)</f>
        <v>556810303</v>
      </c>
      <c r="J1573" s="1" cm="1">
        <f t="array" ref="J1573">GetLongitude(D1573)</f>
        <v>125827419</v>
      </c>
      <c r="K1573" s="1">
        <f t="shared" si="73"/>
        <v>55.681030300000003</v>
      </c>
      <c r="L1573" s="1">
        <f t="shared" si="74"/>
        <v>12.5827419</v>
      </c>
    </row>
    <row r="1574" spans="1:12" ht="16" x14ac:dyDescent="0.2">
      <c r="A1574" s="1">
        <v>1573</v>
      </c>
      <c r="B1574" s="1" t="s">
        <v>3980</v>
      </c>
      <c r="C1574" s="1" t="s">
        <v>4751</v>
      </c>
      <c r="D1574" s="1" t="str">
        <f t="shared" si="72"/>
        <v>København KommuneGrønnegade 27</v>
      </c>
      <c r="E1574" s="1" t="s">
        <v>4752</v>
      </c>
      <c r="F1574" s="1" t="s">
        <v>4753</v>
      </c>
      <c r="G1574" s="1">
        <v>1978</v>
      </c>
      <c r="H1574" s="1" t="s">
        <v>2620</v>
      </c>
      <c r="I1574" s="6" cm="1">
        <f t="array" ref="I1574">GetLatitude(D1574)</f>
        <v>556813221</v>
      </c>
      <c r="J1574" s="1" cm="1">
        <f t="array" ref="J1574">GetLongitude(D1574)</f>
        <v>125830166</v>
      </c>
      <c r="K1574" s="1">
        <f t="shared" si="73"/>
        <v>55.681322100000003</v>
      </c>
      <c r="L1574" s="1">
        <f t="shared" si="74"/>
        <v>12.583016600000001</v>
      </c>
    </row>
    <row r="1575" spans="1:12" ht="16" x14ac:dyDescent="0.2">
      <c r="A1575" s="1">
        <v>1574</v>
      </c>
      <c r="B1575" s="1" t="s">
        <v>3980</v>
      </c>
      <c r="C1575" s="1" t="s">
        <v>4754</v>
      </c>
      <c r="D1575" s="1" t="str">
        <f t="shared" si="72"/>
        <v>København KommuneGrønnegade 29</v>
      </c>
      <c r="E1575" s="1" t="s">
        <v>4755</v>
      </c>
      <c r="F1575" s="1" t="s">
        <v>4756</v>
      </c>
      <c r="G1575" s="1">
        <v>1978</v>
      </c>
      <c r="H1575" s="1" t="s">
        <v>2620</v>
      </c>
      <c r="I1575" s="6" cm="1">
        <f t="array" ref="I1575">GetLatitude(D1575)</f>
        <v>556813710</v>
      </c>
      <c r="J1575" s="1" cm="1">
        <f t="array" ref="J1575">GetLongitude(D1575)</f>
        <v>125830696</v>
      </c>
      <c r="K1575" s="1">
        <f t="shared" si="73"/>
        <v>55.681370999999999</v>
      </c>
      <c r="L1575" s="1">
        <f t="shared" si="74"/>
        <v>12.5830696</v>
      </c>
    </row>
    <row r="1576" spans="1:12" ht="16" x14ac:dyDescent="0.2">
      <c r="A1576" s="1">
        <v>1575</v>
      </c>
      <c r="B1576" s="1" t="s">
        <v>3980</v>
      </c>
      <c r="C1576" s="1" t="s">
        <v>4757</v>
      </c>
      <c r="D1576" s="1" t="str">
        <f t="shared" si="72"/>
        <v>København KommuneGrønnegade 31</v>
      </c>
      <c r="E1576" s="1" t="s">
        <v>4758</v>
      </c>
      <c r="F1576" s="1" t="s">
        <v>4759</v>
      </c>
      <c r="G1576" s="1">
        <v>1978</v>
      </c>
      <c r="H1576" s="1" t="s">
        <v>4760</v>
      </c>
      <c r="I1576" s="6" cm="1">
        <f t="array" ref="I1576">GetLatitude(D1576)</f>
        <v>556814130</v>
      </c>
      <c r="J1576" s="1" cm="1">
        <f t="array" ref="J1576">GetLongitude(D1576)</f>
        <v>125830898</v>
      </c>
      <c r="K1576" s="1">
        <f t="shared" si="73"/>
        <v>55.681412999999999</v>
      </c>
      <c r="L1576" s="1">
        <f t="shared" si="74"/>
        <v>12.5830898</v>
      </c>
    </row>
    <row r="1577" spans="1:12" ht="16" x14ac:dyDescent="0.2">
      <c r="A1577" s="1">
        <v>1576</v>
      </c>
      <c r="B1577" s="1" t="s">
        <v>3980</v>
      </c>
      <c r="C1577" s="1" t="s">
        <v>683</v>
      </c>
      <c r="D1577" s="1" t="str">
        <f t="shared" si="72"/>
        <v>København KommuneGrønnegade 41</v>
      </c>
      <c r="E1577" s="1" t="s">
        <v>4761</v>
      </c>
      <c r="F1577" s="1" t="s">
        <v>4762</v>
      </c>
      <c r="G1577" s="1">
        <v>1979</v>
      </c>
      <c r="H1577" s="1" t="s">
        <v>11</v>
      </c>
      <c r="I1577" s="6" cm="1">
        <f t="array" ref="I1577">GetLatitude(D1577)</f>
        <v>556816623</v>
      </c>
      <c r="J1577" s="1" cm="1">
        <f t="array" ref="J1577">GetLongitude(D1577)</f>
        <v>125833126</v>
      </c>
      <c r="K1577" s="1">
        <f t="shared" si="73"/>
        <v>55.681662299999999</v>
      </c>
      <c r="L1577" s="1">
        <f t="shared" si="74"/>
        <v>12.583312599999999</v>
      </c>
    </row>
    <row r="1578" spans="1:12" ht="16" x14ac:dyDescent="0.2">
      <c r="A1578" s="1">
        <v>1577</v>
      </c>
      <c r="B1578" s="1" t="s">
        <v>3980</v>
      </c>
      <c r="C1578" s="1" t="s">
        <v>4763</v>
      </c>
      <c r="D1578" s="1" t="str">
        <f t="shared" si="72"/>
        <v>København KommuneGrønnemose Allé</v>
      </c>
      <c r="E1578" s="1" t="s">
        <v>4764</v>
      </c>
      <c r="F1578" s="1" t="s">
        <v>4765</v>
      </c>
      <c r="G1578" s="1">
        <v>1990</v>
      </c>
      <c r="H1578" s="1" t="s">
        <v>15</v>
      </c>
      <c r="I1578" s="6" cm="1">
        <f t="array" ref="I1578">GetLatitude(D1578)</f>
        <v>557225697</v>
      </c>
      <c r="J1578" s="1" cm="1">
        <f t="array" ref="J1578">GetLongitude(D1578)</f>
        <v>125221638</v>
      </c>
      <c r="K1578" s="1">
        <f t="shared" si="73"/>
        <v>55.722569700000001</v>
      </c>
      <c r="L1578" s="1">
        <f t="shared" si="74"/>
        <v>12.5221638</v>
      </c>
    </row>
    <row r="1579" spans="1:12" ht="16" x14ac:dyDescent="0.2">
      <c r="A1579" s="1">
        <v>1578</v>
      </c>
      <c r="B1579" s="1" t="s">
        <v>3980</v>
      </c>
      <c r="C1579" s="1" t="s">
        <v>4766</v>
      </c>
      <c r="D1579" s="1" t="str">
        <f t="shared" si="72"/>
        <v>København KommuneGrønnemose Allé 21 A-G</v>
      </c>
      <c r="E1579" s="1" t="s">
        <v>4767</v>
      </c>
      <c r="F1579" s="1" t="s">
        <v>4768</v>
      </c>
      <c r="G1579" s="1">
        <v>1990</v>
      </c>
      <c r="H1579" s="1" t="s">
        <v>11</v>
      </c>
      <c r="I1579" s="6" cm="1">
        <f t="array" ref="I1579">GetLatitude(D1579)</f>
        <v>557225623</v>
      </c>
      <c r="J1579" s="1" cm="1">
        <f t="array" ref="J1579">GetLongitude(D1579)</f>
        <v>125243943</v>
      </c>
      <c r="K1579" s="1">
        <f t="shared" si="73"/>
        <v>55.7225623</v>
      </c>
      <c r="L1579" s="1">
        <f t="shared" si="74"/>
        <v>12.524394300000001</v>
      </c>
    </row>
    <row r="1580" spans="1:12" ht="16" x14ac:dyDescent="0.2">
      <c r="A1580" s="1">
        <v>1579</v>
      </c>
      <c r="B1580" s="1" t="s">
        <v>3980</v>
      </c>
      <c r="C1580" s="1" t="s">
        <v>4769</v>
      </c>
      <c r="D1580" s="1" t="str">
        <f t="shared" si="72"/>
        <v>København KommuneGrønnemose Allé 23, 25, 27, 29, 31, 33 og 35</v>
      </c>
      <c r="E1580" s="1" t="s">
        <v>4770</v>
      </c>
      <c r="F1580" s="1" t="s">
        <v>4771</v>
      </c>
      <c r="G1580" s="1">
        <v>1990</v>
      </c>
      <c r="H1580" s="1" t="s">
        <v>11</v>
      </c>
      <c r="I1580" s="6" cm="1">
        <f t="array" ref="I1580">GetLatitude(D1580)</f>
        <v>557225196</v>
      </c>
      <c r="J1580" s="1" cm="1">
        <f t="array" ref="J1580">GetLongitude(D1580)</f>
        <v>125238686</v>
      </c>
      <c r="K1580" s="1">
        <f t="shared" si="73"/>
        <v>55.722519599999998</v>
      </c>
      <c r="L1580" s="1">
        <f t="shared" si="74"/>
        <v>12.5238686</v>
      </c>
    </row>
    <row r="1581" spans="1:12" ht="16" x14ac:dyDescent="0.2">
      <c r="A1581" s="1">
        <v>1580</v>
      </c>
      <c r="B1581" s="1" t="s">
        <v>3980</v>
      </c>
      <c r="C1581" s="1" t="s">
        <v>4772</v>
      </c>
      <c r="D1581" s="1" t="str">
        <f t="shared" si="72"/>
        <v>København KommuneGrønnemose Allé 37, 39, 41, 43, 45, 47 og 49</v>
      </c>
      <c r="E1581" s="1" t="s">
        <v>4773</v>
      </c>
      <c r="F1581" s="1" t="s">
        <v>4771</v>
      </c>
      <c r="G1581" s="1">
        <v>1990</v>
      </c>
      <c r="H1581" s="1" t="s">
        <v>11</v>
      </c>
      <c r="I1581" s="6" cm="1">
        <f t="array" ref="I1581">GetLatitude(D1581)</f>
        <v>557224906</v>
      </c>
      <c r="J1581" s="1" cm="1">
        <f t="array" ref="J1581">GetLongitude(D1581)</f>
        <v>125232957</v>
      </c>
      <c r="K1581" s="1">
        <f t="shared" si="73"/>
        <v>55.7224906</v>
      </c>
      <c r="L1581" s="1">
        <f t="shared" si="74"/>
        <v>12.5232957</v>
      </c>
    </row>
    <row r="1582" spans="1:12" ht="16" x14ac:dyDescent="0.2">
      <c r="A1582" s="1">
        <v>1581</v>
      </c>
      <c r="B1582" s="1" t="s">
        <v>3980</v>
      </c>
      <c r="C1582" s="1" t="s">
        <v>4774</v>
      </c>
      <c r="D1582" s="1" t="str">
        <f t="shared" si="72"/>
        <v>København KommuneGrønningen 7-9 og Hammerensgade 8</v>
      </c>
      <c r="E1582" s="1" t="s">
        <v>4775</v>
      </c>
      <c r="F1582" s="1" t="s">
        <v>4776</v>
      </c>
      <c r="G1582" s="1">
        <v>1997</v>
      </c>
      <c r="H1582" s="1" t="s">
        <v>701</v>
      </c>
      <c r="I1582" s="6" cm="1">
        <f t="array" ref="I1582">GetLatitude(D1582)</f>
        <v>556887380</v>
      </c>
      <c r="J1582" s="1" cm="1">
        <f t="array" ref="J1582">GetLongitude(D1582)</f>
        <v>125909155</v>
      </c>
      <c r="K1582" s="1">
        <f t="shared" si="73"/>
        <v>55.688738000000001</v>
      </c>
      <c r="L1582" s="1">
        <f t="shared" si="74"/>
        <v>12.590915499999999</v>
      </c>
    </row>
    <row r="1583" spans="1:12" ht="16" x14ac:dyDescent="0.2">
      <c r="A1583" s="1">
        <v>1582</v>
      </c>
      <c r="B1583" s="1" t="s">
        <v>3980</v>
      </c>
      <c r="C1583" s="1" t="s">
        <v>4777</v>
      </c>
      <c r="D1583" s="1" t="str">
        <f t="shared" si="72"/>
        <v>København KommuneGråbrødretorv 1, hj af Niels Hemmingsens Gade</v>
      </c>
      <c r="E1583" s="1" t="s">
        <v>4778</v>
      </c>
      <c r="F1583" s="1" t="s">
        <v>4779</v>
      </c>
      <c r="G1583" s="1">
        <v>1924</v>
      </c>
      <c r="H1583" s="1" t="s">
        <v>11</v>
      </c>
      <c r="I1583" s="6" cm="1">
        <f t="array" ref="I1583">GetLatitude(D1583)</f>
        <v>556797060</v>
      </c>
      <c r="J1583" s="1" cm="1">
        <f t="array" ref="J1583">GetLongitude(D1583)</f>
        <v>125770590</v>
      </c>
      <c r="K1583" s="1">
        <f t="shared" si="73"/>
        <v>55.679706000000003</v>
      </c>
      <c r="L1583" s="1">
        <f t="shared" si="74"/>
        <v>12.577059</v>
      </c>
    </row>
    <row r="1584" spans="1:12" ht="16" x14ac:dyDescent="0.2">
      <c r="A1584" s="1">
        <v>1583</v>
      </c>
      <c r="B1584" s="1" t="s">
        <v>3980</v>
      </c>
      <c r="C1584" s="1" t="s">
        <v>4780</v>
      </c>
      <c r="D1584" s="1" t="str">
        <f t="shared" si="72"/>
        <v>København KommuneGråbrødretorv 11 og Valkendorfsgade 20</v>
      </c>
      <c r="E1584" s="1" t="s">
        <v>4781</v>
      </c>
      <c r="F1584" s="1" t="s">
        <v>11387</v>
      </c>
      <c r="G1584" s="1">
        <v>1932</v>
      </c>
      <c r="H1584" s="1" t="s">
        <v>11</v>
      </c>
      <c r="I1584" s="6" cm="1">
        <f t="array" ref="I1584">GetLatitude(D1584)</f>
        <v>556798737</v>
      </c>
      <c r="J1584" s="1" cm="1">
        <f t="array" ref="J1584">GetLongitude(D1584)</f>
        <v>125777497</v>
      </c>
      <c r="K1584" s="1">
        <f t="shared" si="73"/>
        <v>55.679873700000002</v>
      </c>
      <c r="L1584" s="1">
        <f t="shared" si="74"/>
        <v>12.5777497</v>
      </c>
    </row>
    <row r="1585" spans="1:12" ht="16" x14ac:dyDescent="0.2">
      <c r="A1585" s="1">
        <v>1584</v>
      </c>
      <c r="B1585" s="1" t="s">
        <v>3980</v>
      </c>
      <c r="C1585" s="1" t="s">
        <v>4782</v>
      </c>
      <c r="D1585" s="1" t="str">
        <f t="shared" si="72"/>
        <v>København KommuneGråbrødretorv 12</v>
      </c>
      <c r="E1585" s="1" t="s">
        <v>4783</v>
      </c>
      <c r="F1585" s="1" t="s">
        <v>4784</v>
      </c>
      <c r="G1585" s="1">
        <v>1945</v>
      </c>
      <c r="H1585" s="1" t="s">
        <v>11</v>
      </c>
      <c r="I1585" s="6" cm="1">
        <f t="array" ref="I1585">GetLatitude(D1585)</f>
        <v>556799183</v>
      </c>
      <c r="J1585" s="1" cm="1">
        <f t="array" ref="J1585">GetLongitude(D1585)</f>
        <v>125752943</v>
      </c>
      <c r="K1585" s="1">
        <f t="shared" si="73"/>
        <v>55.679918299999997</v>
      </c>
      <c r="L1585" s="1">
        <f t="shared" si="74"/>
        <v>12.575294299999999</v>
      </c>
    </row>
    <row r="1586" spans="1:12" ht="16" x14ac:dyDescent="0.2">
      <c r="A1586" s="1">
        <v>1585</v>
      </c>
      <c r="B1586" s="1" t="s">
        <v>3980</v>
      </c>
      <c r="C1586" s="1" t="s">
        <v>4785</v>
      </c>
      <c r="D1586" s="1" t="str">
        <f t="shared" si="72"/>
        <v>København KommuneGråbrødretorv 13</v>
      </c>
      <c r="E1586" s="1" t="s">
        <v>4786</v>
      </c>
      <c r="F1586" s="1" t="s">
        <v>4787</v>
      </c>
      <c r="G1586" s="1">
        <v>1932</v>
      </c>
      <c r="H1586" s="1" t="s">
        <v>15</v>
      </c>
      <c r="I1586" s="6" cm="1">
        <f t="array" ref="I1586">GetLatitude(D1586)</f>
        <v>556795525</v>
      </c>
      <c r="J1586" s="1" cm="1">
        <f t="array" ref="J1586">GetLongitude(D1586)</f>
        <v>125757850</v>
      </c>
      <c r="K1586" s="1">
        <f t="shared" si="73"/>
        <v>55.6795525</v>
      </c>
      <c r="L1586" s="1">
        <f t="shared" si="74"/>
        <v>12.575785</v>
      </c>
    </row>
    <row r="1587" spans="1:12" ht="16" x14ac:dyDescent="0.2">
      <c r="A1587" s="1">
        <v>1586</v>
      </c>
      <c r="B1587" s="1" t="s">
        <v>3980</v>
      </c>
      <c r="C1587" s="1" t="s">
        <v>4788</v>
      </c>
      <c r="D1587" s="1" t="str">
        <f t="shared" si="72"/>
        <v>København Kommune Gråbrødretorv 14</v>
      </c>
      <c r="E1587" s="1" t="s">
        <v>4789</v>
      </c>
      <c r="F1587" s="1" t="s">
        <v>4790</v>
      </c>
      <c r="G1587" s="1">
        <v>1945</v>
      </c>
      <c r="H1587" s="1" t="s">
        <v>11</v>
      </c>
      <c r="I1587" s="6" cm="1">
        <f t="array" ref="I1587">GetLatitude(D1587)</f>
        <v>556798536</v>
      </c>
      <c r="J1587" s="1" cm="1">
        <f t="array" ref="J1587">GetLongitude(D1587)</f>
        <v>125752912</v>
      </c>
      <c r="K1587" s="1">
        <f t="shared" si="73"/>
        <v>55.679853600000001</v>
      </c>
      <c r="L1587" s="1">
        <f t="shared" si="74"/>
        <v>12.575291200000001</v>
      </c>
    </row>
    <row r="1588" spans="1:12" ht="16" x14ac:dyDescent="0.2">
      <c r="A1588" s="1">
        <v>1587</v>
      </c>
      <c r="B1588" s="1" t="s">
        <v>3980</v>
      </c>
      <c r="C1588" s="1" t="s">
        <v>4791</v>
      </c>
      <c r="D1588" s="1" t="str">
        <f t="shared" si="72"/>
        <v>København KommuneGråbrødretorv 15</v>
      </c>
      <c r="E1588" s="1" t="s">
        <v>4792</v>
      </c>
      <c r="F1588" s="1" t="s">
        <v>4793</v>
      </c>
      <c r="G1588" s="1">
        <v>1945</v>
      </c>
      <c r="H1588" s="1" t="s">
        <v>794</v>
      </c>
      <c r="I1588" s="6" cm="1">
        <f t="array" ref="I1588">GetLatitude(D1588)</f>
        <v>556794703</v>
      </c>
      <c r="J1588" s="1" cm="1">
        <f t="array" ref="J1588">GetLongitude(D1588)</f>
        <v>125757978</v>
      </c>
      <c r="K1588" s="1">
        <f t="shared" si="73"/>
        <v>55.679470299999998</v>
      </c>
      <c r="L1588" s="1">
        <f t="shared" si="74"/>
        <v>12.5757978</v>
      </c>
    </row>
    <row r="1589" spans="1:12" ht="16" x14ac:dyDescent="0.2">
      <c r="A1589" s="1">
        <v>1588</v>
      </c>
      <c r="B1589" s="1" t="s">
        <v>3980</v>
      </c>
      <c r="C1589" s="1" t="s">
        <v>4794</v>
      </c>
      <c r="D1589" s="1" t="str">
        <f t="shared" si="72"/>
        <v>København KommuneGråbrødretorv 16 og Gråbrødrestræde 18</v>
      </c>
      <c r="E1589" s="1" t="s">
        <v>4795</v>
      </c>
      <c r="F1589" s="1" t="s">
        <v>4796</v>
      </c>
      <c r="G1589" s="1">
        <v>1932</v>
      </c>
      <c r="H1589" s="1" t="s">
        <v>11</v>
      </c>
      <c r="I1589" s="6" cm="1">
        <f t="array" ref="I1589">GetLatitude(D1589)</f>
        <v>556795800</v>
      </c>
      <c r="J1589" s="1" cm="1">
        <f t="array" ref="J1589">GetLongitude(D1589)</f>
        <v>125752659</v>
      </c>
      <c r="K1589" s="1">
        <f t="shared" si="73"/>
        <v>55.679580000000001</v>
      </c>
      <c r="L1589" s="1">
        <f t="shared" si="74"/>
        <v>12.5752659</v>
      </c>
    </row>
    <row r="1590" spans="1:12" ht="16" x14ac:dyDescent="0.2">
      <c r="A1590" s="1">
        <v>1589</v>
      </c>
      <c r="B1590" s="1" t="s">
        <v>3980</v>
      </c>
      <c r="C1590" s="1" t="s">
        <v>4797</v>
      </c>
      <c r="D1590" s="1" t="str">
        <f t="shared" si="72"/>
        <v>København KommuneGråbrødretorv 17, 17 A-B og Valkendorfsgade 32</v>
      </c>
      <c r="E1590" s="1" t="s">
        <v>4798</v>
      </c>
      <c r="F1590" s="1" t="s">
        <v>4799</v>
      </c>
      <c r="G1590" s="1">
        <v>1945</v>
      </c>
      <c r="H1590" s="1" t="s">
        <v>11</v>
      </c>
      <c r="I1590" s="6" cm="1">
        <f t="array" ref="I1590">GetLatitude(D1590)</f>
        <v>556796183</v>
      </c>
      <c r="J1590" s="1" cm="1">
        <f t="array" ref="J1590">GetLongitude(D1590)</f>
        <v>125756703</v>
      </c>
      <c r="K1590" s="1">
        <f t="shared" si="73"/>
        <v>55.679618300000001</v>
      </c>
      <c r="L1590" s="1">
        <f t="shared" si="74"/>
        <v>12.575670300000001</v>
      </c>
    </row>
    <row r="1591" spans="1:12" ht="16" x14ac:dyDescent="0.2">
      <c r="A1591" s="1">
        <v>1590</v>
      </c>
      <c r="B1591" s="1" t="s">
        <v>3980</v>
      </c>
      <c r="C1591" s="1" t="s">
        <v>4800</v>
      </c>
      <c r="D1591" s="1" t="str">
        <f t="shared" si="72"/>
        <v>København KommuneGråbrødretorv 19-21, Gråbrødrestræde 23, Klosterstræde 20</v>
      </c>
      <c r="E1591" s="1" t="s">
        <v>4801</v>
      </c>
      <c r="F1591" s="1" t="s">
        <v>4802</v>
      </c>
      <c r="G1591" s="1">
        <v>1945</v>
      </c>
      <c r="H1591" s="1" t="s">
        <v>11</v>
      </c>
      <c r="I1591" s="6" cm="1">
        <f t="array" ref="I1591">GetLatitude(D1591)</f>
        <v>556794230</v>
      </c>
      <c r="J1591" s="1" cm="1">
        <f t="array" ref="J1591">GetLongitude(D1591)</f>
        <v>125753016</v>
      </c>
      <c r="K1591" s="1">
        <f t="shared" si="73"/>
        <v>55.679423</v>
      </c>
      <c r="L1591" s="1">
        <f t="shared" si="74"/>
        <v>12.5753016</v>
      </c>
    </row>
    <row r="1592" spans="1:12" ht="16" x14ac:dyDescent="0.2">
      <c r="A1592" s="1">
        <v>1591</v>
      </c>
      <c r="B1592" s="1" t="s">
        <v>3980</v>
      </c>
      <c r="C1592" s="1" t="s">
        <v>4803</v>
      </c>
      <c r="D1592" s="1" t="str">
        <f t="shared" si="72"/>
        <v>København KommuneGråbrødretorv 2 og Løvstræde 14</v>
      </c>
      <c r="E1592" s="1" t="s">
        <v>4804</v>
      </c>
      <c r="F1592" s="1" t="s">
        <v>4805</v>
      </c>
      <c r="G1592" s="1">
        <v>1950</v>
      </c>
      <c r="H1592" s="1" t="s">
        <v>11</v>
      </c>
      <c r="I1592" s="6" cm="1">
        <f t="array" ref="I1592">GetLatitude(D1592)</f>
        <v>556806520</v>
      </c>
      <c r="J1592" s="1" cm="1">
        <f t="array" ref="J1592">GetLongitude(D1592)</f>
        <v>125773138</v>
      </c>
      <c r="K1592" s="1">
        <f t="shared" si="73"/>
        <v>55.680652000000002</v>
      </c>
      <c r="L1592" s="1">
        <f t="shared" si="74"/>
        <v>12.577313800000001</v>
      </c>
    </row>
    <row r="1593" spans="1:12" ht="16" x14ac:dyDescent="0.2">
      <c r="A1593" s="1">
        <v>1592</v>
      </c>
      <c r="B1593" s="1" t="s">
        <v>3980</v>
      </c>
      <c r="C1593" s="1" t="s">
        <v>4806</v>
      </c>
      <c r="D1593" s="1" t="str">
        <f t="shared" si="72"/>
        <v>København KommuneGråbrødretorv 3</v>
      </c>
      <c r="E1593" s="1" t="s">
        <v>4807</v>
      </c>
      <c r="F1593" s="1" t="s">
        <v>4808</v>
      </c>
      <c r="G1593" s="1">
        <v>1926</v>
      </c>
      <c r="H1593" s="1" t="s">
        <v>11</v>
      </c>
      <c r="I1593" s="6" cm="1">
        <f t="array" ref="I1593">GetLatitude(D1593)</f>
        <v>556798326</v>
      </c>
      <c r="J1593" s="1" cm="1">
        <f t="array" ref="J1593">GetLongitude(D1593)</f>
        <v>125764480</v>
      </c>
      <c r="K1593" s="1">
        <f t="shared" si="73"/>
        <v>55.679832599999997</v>
      </c>
      <c r="L1593" s="1">
        <f t="shared" si="74"/>
        <v>12.576447999999999</v>
      </c>
    </row>
    <row r="1594" spans="1:12" ht="16" x14ac:dyDescent="0.2">
      <c r="A1594" s="1">
        <v>1593</v>
      </c>
      <c r="B1594" s="1" t="s">
        <v>3980</v>
      </c>
      <c r="C1594" s="1" t="s">
        <v>4809</v>
      </c>
      <c r="D1594" s="1" t="str">
        <f t="shared" si="72"/>
        <v>København KommuneGråbrødretorv 4</v>
      </c>
      <c r="E1594" s="1" t="s">
        <v>4810</v>
      </c>
      <c r="F1594" s="1" t="s">
        <v>4811</v>
      </c>
      <c r="G1594" s="1">
        <v>1918</v>
      </c>
      <c r="H1594" s="1" t="s">
        <v>11</v>
      </c>
      <c r="I1594" s="6" cm="1">
        <f t="array" ref="I1594">GetLatitude(D1594)</f>
        <v>556801669</v>
      </c>
      <c r="J1594" s="1" cm="1">
        <f t="array" ref="J1594">GetLongitude(D1594)</f>
        <v>125763277</v>
      </c>
      <c r="K1594" s="1">
        <f t="shared" si="73"/>
        <v>55.680166900000003</v>
      </c>
      <c r="L1594" s="1">
        <f t="shared" si="74"/>
        <v>12.5763277</v>
      </c>
    </row>
    <row r="1595" spans="1:12" ht="16" x14ac:dyDescent="0.2">
      <c r="A1595" s="1">
        <v>1594</v>
      </c>
      <c r="B1595" s="1" t="s">
        <v>3980</v>
      </c>
      <c r="C1595" s="1" t="s">
        <v>4812</v>
      </c>
      <c r="D1595" s="1" t="str">
        <f t="shared" si="72"/>
        <v>København KommuneGråbrødretorv 5</v>
      </c>
      <c r="E1595" s="1" t="s">
        <v>4813</v>
      </c>
      <c r="F1595" s="1" t="s">
        <v>4814</v>
      </c>
      <c r="G1595" s="1">
        <v>1964</v>
      </c>
      <c r="H1595" s="1" t="s">
        <v>11</v>
      </c>
      <c r="I1595" s="6" cm="1">
        <f t="array" ref="I1595">GetLatitude(D1595)</f>
        <v>556797729</v>
      </c>
      <c r="J1595" s="1" cm="1">
        <f t="array" ref="J1595">GetLongitude(D1595)</f>
        <v>125763865</v>
      </c>
      <c r="K1595" s="1">
        <f t="shared" si="73"/>
        <v>55.679772900000003</v>
      </c>
      <c r="L1595" s="1">
        <f t="shared" si="74"/>
        <v>12.5763865</v>
      </c>
    </row>
    <row r="1596" spans="1:12" ht="16" x14ac:dyDescent="0.2">
      <c r="A1596" s="1">
        <v>1595</v>
      </c>
      <c r="B1596" s="1" t="s">
        <v>3980</v>
      </c>
      <c r="C1596" s="1" t="s">
        <v>4815</v>
      </c>
      <c r="D1596" s="1" t="str">
        <f t="shared" si="72"/>
        <v>København KommuneGråbrødretorv 6, hj af Niels Hemmingsens Gade</v>
      </c>
      <c r="E1596" s="1" t="s">
        <v>4816</v>
      </c>
      <c r="F1596" s="1" t="s">
        <v>4817</v>
      </c>
      <c r="G1596" s="1">
        <v>1945</v>
      </c>
      <c r="H1596" s="1" t="s">
        <v>11</v>
      </c>
      <c r="I1596" s="6" cm="1">
        <f t="array" ref="I1596">GetLatitude(D1596)</f>
        <v>556797060</v>
      </c>
      <c r="J1596" s="1" cm="1">
        <f t="array" ref="J1596">GetLongitude(D1596)</f>
        <v>125770590</v>
      </c>
      <c r="K1596" s="1">
        <f t="shared" si="73"/>
        <v>55.679706000000003</v>
      </c>
      <c r="L1596" s="1">
        <f t="shared" si="74"/>
        <v>12.577059</v>
      </c>
    </row>
    <row r="1597" spans="1:12" ht="16" x14ac:dyDescent="0.2">
      <c r="A1597" s="1">
        <v>1596</v>
      </c>
      <c r="B1597" s="1" t="s">
        <v>3980</v>
      </c>
      <c r="C1597" s="1" t="s">
        <v>4818</v>
      </c>
      <c r="D1597" s="1" t="str">
        <f t="shared" si="72"/>
        <v>København KommuneGråbrødretorv 7</v>
      </c>
      <c r="E1597" s="1" t="s">
        <v>4819</v>
      </c>
      <c r="F1597" s="1" t="s">
        <v>4820</v>
      </c>
      <c r="G1597" s="1">
        <v>1926</v>
      </c>
      <c r="H1597" s="1" t="s">
        <v>11</v>
      </c>
      <c r="I1597" s="6" cm="1">
        <f t="array" ref="I1597">GetLatitude(D1597)</f>
        <v>556797374</v>
      </c>
      <c r="J1597" s="1" cm="1">
        <f t="array" ref="J1597">GetLongitude(D1597)</f>
        <v>125763038</v>
      </c>
      <c r="K1597" s="1">
        <f t="shared" si="73"/>
        <v>55.6797374</v>
      </c>
      <c r="L1597" s="1">
        <f t="shared" si="74"/>
        <v>12.5763038</v>
      </c>
    </row>
    <row r="1598" spans="1:12" ht="16" x14ac:dyDescent="0.2">
      <c r="A1598" s="1">
        <v>1597</v>
      </c>
      <c r="B1598" s="1" t="s">
        <v>3980</v>
      </c>
      <c r="C1598" s="1" t="s">
        <v>4821</v>
      </c>
      <c r="D1598" s="1" t="str">
        <f t="shared" si="72"/>
        <v>København KommuneGråbrødretorv 8</v>
      </c>
      <c r="E1598" s="1" t="s">
        <v>4822</v>
      </c>
      <c r="F1598" s="1" t="s">
        <v>4823</v>
      </c>
      <c r="G1598" s="1">
        <v>1945</v>
      </c>
      <c r="H1598" s="1" t="s">
        <v>11</v>
      </c>
      <c r="I1598" s="6" cm="1">
        <f t="array" ref="I1598">GetLatitude(D1598)</f>
        <v>556800024</v>
      </c>
      <c r="J1598" s="1" cm="1">
        <f t="array" ref="J1598">GetLongitude(D1598)</f>
        <v>125762993</v>
      </c>
      <c r="K1598" s="1">
        <f t="shared" si="73"/>
        <v>55.680002399999999</v>
      </c>
      <c r="L1598" s="1">
        <f t="shared" si="74"/>
        <v>12.576299300000001</v>
      </c>
    </row>
    <row r="1599" spans="1:12" ht="16" x14ac:dyDescent="0.2">
      <c r="A1599" s="1">
        <v>1598</v>
      </c>
      <c r="B1599" s="1" t="s">
        <v>3980</v>
      </c>
      <c r="C1599" s="1" t="s">
        <v>4824</v>
      </c>
      <c r="D1599" s="1" t="str">
        <f t="shared" si="72"/>
        <v>København KommuneGråbrødretorv 9</v>
      </c>
      <c r="E1599" s="1" t="s">
        <v>4825</v>
      </c>
      <c r="F1599" s="1" t="s">
        <v>4826</v>
      </c>
      <c r="G1599" s="1">
        <v>1926</v>
      </c>
      <c r="H1599" s="1" t="s">
        <v>15</v>
      </c>
      <c r="I1599" s="6" cm="1">
        <f t="array" ref="I1599">GetLatitude(D1599)</f>
        <v>556796986</v>
      </c>
      <c r="J1599" s="1" cm="1">
        <f t="array" ref="J1599">GetLongitude(D1599)</f>
        <v>125762523</v>
      </c>
      <c r="K1599" s="1">
        <f t="shared" si="73"/>
        <v>55.679698600000002</v>
      </c>
      <c r="L1599" s="1">
        <f t="shared" si="74"/>
        <v>12.5762523</v>
      </c>
    </row>
    <row r="1600" spans="1:12" ht="16" x14ac:dyDescent="0.2">
      <c r="A1600" s="1">
        <v>1599</v>
      </c>
      <c r="B1600" s="1" t="s">
        <v>3980</v>
      </c>
      <c r="C1600" s="1" t="s">
        <v>4827</v>
      </c>
      <c r="D1600" s="1" t="str">
        <f t="shared" si="72"/>
        <v>København KommuneGunnar Nu Hansens Plads 11</v>
      </c>
      <c r="E1600" s="1" t="s">
        <v>4828</v>
      </c>
      <c r="F1600" s="1" t="s">
        <v>4829</v>
      </c>
      <c r="G1600" s="1">
        <v>2009</v>
      </c>
      <c r="H1600" s="1" t="s">
        <v>15</v>
      </c>
      <c r="I1600" s="6" cm="1">
        <f t="array" ref="I1600">GetLatitude(D1600)</f>
        <v>557044524</v>
      </c>
      <c r="J1600" s="1" cm="1">
        <f t="array" ref="J1600">GetLongitude(D1600)</f>
        <v>125734300</v>
      </c>
      <c r="K1600" s="1">
        <f t="shared" si="73"/>
        <v>55.704452400000001</v>
      </c>
      <c r="L1600" s="1">
        <f t="shared" si="74"/>
        <v>12.57343</v>
      </c>
    </row>
    <row r="1601" spans="1:12" ht="16" x14ac:dyDescent="0.2">
      <c r="A1601" s="1">
        <v>1600</v>
      </c>
      <c r="B1601" s="1" t="s">
        <v>3980</v>
      </c>
      <c r="C1601" s="1" t="s">
        <v>4830</v>
      </c>
      <c r="D1601" s="1" t="str">
        <f t="shared" si="72"/>
        <v>København KommuneGunnar Nu Hansens Plads 5</v>
      </c>
      <c r="E1601" s="1" t="s">
        <v>4831</v>
      </c>
      <c r="F1601" s="1" t="s">
        <v>4832</v>
      </c>
      <c r="G1601" s="1">
        <v>2009</v>
      </c>
      <c r="H1601" s="1" t="s">
        <v>15</v>
      </c>
      <c r="I1601" s="6" cm="1">
        <f t="array" ref="I1601">GetLatitude(D1601)</f>
        <v>557047772</v>
      </c>
      <c r="J1601" s="1" cm="1">
        <f t="array" ref="J1601">GetLongitude(D1601)</f>
        <v>125751152</v>
      </c>
      <c r="K1601" s="1">
        <f t="shared" si="73"/>
        <v>55.704777200000002</v>
      </c>
      <c r="L1601" s="1">
        <f t="shared" si="74"/>
        <v>12.575115200000001</v>
      </c>
    </row>
    <row r="1602" spans="1:12" ht="16" x14ac:dyDescent="0.2">
      <c r="A1602" s="1">
        <v>1601</v>
      </c>
      <c r="B1602" s="1" t="s">
        <v>3980</v>
      </c>
      <c r="C1602" s="1" t="s">
        <v>4833</v>
      </c>
      <c r="D1602" s="1" t="str">
        <f t="shared" si="72"/>
        <v>København KommuneGyldenløvesgade 24</v>
      </c>
      <c r="E1602" s="1" t="s">
        <v>4834</v>
      </c>
      <c r="F1602" s="1" t="s">
        <v>4835</v>
      </c>
      <c r="G1602" s="1">
        <v>1984</v>
      </c>
      <c r="H1602" s="1" t="s">
        <v>11</v>
      </c>
      <c r="I1602" s="6" cm="1">
        <f t="array" ref="I1602">GetLatitude(D1602)</f>
        <v>556760968</v>
      </c>
      <c r="J1602" s="1" cm="1">
        <f t="array" ref="J1602">GetLongitude(D1602)</f>
        <v>125683371</v>
      </c>
      <c r="K1602" s="1">
        <f t="shared" si="73"/>
        <v>55.676096800000003</v>
      </c>
      <c r="L1602" s="1">
        <f t="shared" si="74"/>
        <v>12.568337100000001</v>
      </c>
    </row>
    <row r="1603" spans="1:12" ht="16" x14ac:dyDescent="0.2">
      <c r="A1603" s="1">
        <v>1602</v>
      </c>
      <c r="B1603" s="1" t="s">
        <v>3980</v>
      </c>
      <c r="C1603" s="1" t="s">
        <v>4836</v>
      </c>
      <c r="D1603" s="1" t="str">
        <f t="shared" ref="D1603:D1666" si="75">B1603&amp;C1603</f>
        <v>København KommuneH.C. Andersens Boulevard 10</v>
      </c>
      <c r="E1603" s="1" t="s">
        <v>4837</v>
      </c>
      <c r="F1603" s="1" t="s">
        <v>4838</v>
      </c>
      <c r="G1603" s="1">
        <v>1993</v>
      </c>
      <c r="H1603" s="1" t="s">
        <v>11</v>
      </c>
      <c r="I1603" s="6" cm="1">
        <f t="array" ref="I1603">GetLatitude(D1603)</f>
        <v>556769050</v>
      </c>
      <c r="J1603" s="1" cm="1">
        <f t="array" ref="J1603">GetLongitude(D1603)</f>
        <v>125661430</v>
      </c>
      <c r="K1603" s="1">
        <f t="shared" si="73"/>
        <v>55.676904999999998</v>
      </c>
      <c r="L1603" s="1">
        <f t="shared" si="74"/>
        <v>12.566143</v>
      </c>
    </row>
    <row r="1604" spans="1:12" ht="16" x14ac:dyDescent="0.2">
      <c r="A1604" s="1">
        <v>1603</v>
      </c>
      <c r="B1604" s="1" t="s">
        <v>3980</v>
      </c>
      <c r="C1604" s="1" t="s">
        <v>4839</v>
      </c>
      <c r="D1604" s="1" t="str">
        <f t="shared" si="75"/>
        <v>København KommuneH.C. Andersens Boulevard 80-82</v>
      </c>
      <c r="E1604" s="1" t="s">
        <v>4840</v>
      </c>
      <c r="F1604" s="1" t="s">
        <v>4841</v>
      </c>
      <c r="G1604" s="1">
        <v>1981</v>
      </c>
      <c r="H1604" s="1" t="s">
        <v>15</v>
      </c>
      <c r="I1604" s="6" cm="1">
        <f t="array" ref="I1604">GetLatitude(D1604)</f>
        <v>556719724</v>
      </c>
      <c r="J1604" s="1" cm="1">
        <f t="array" ref="J1604">GetLongitude(D1604)</f>
        <v>125761739</v>
      </c>
      <c r="K1604" s="1">
        <f t="shared" ref="K1604:K1667" si="76">I1604/10000000</f>
        <v>55.671972400000001</v>
      </c>
      <c r="L1604" s="1">
        <f t="shared" ref="L1604:L1667" si="77">J1604/10000000</f>
        <v>12.576173900000001</v>
      </c>
    </row>
    <row r="1605" spans="1:12" ht="16" x14ac:dyDescent="0.2">
      <c r="A1605" s="1">
        <v>1604</v>
      </c>
      <c r="B1605" s="1" t="s">
        <v>3980</v>
      </c>
      <c r="C1605" s="1" t="s">
        <v>4842</v>
      </c>
      <c r="D1605" s="1" t="str">
        <f t="shared" si="75"/>
        <v>København KommuneHalmtorvet 19-27</v>
      </c>
      <c r="E1605" s="1" t="s">
        <v>4843</v>
      </c>
      <c r="F1605" s="1" t="s">
        <v>4844</v>
      </c>
      <c r="G1605" s="1">
        <v>1999</v>
      </c>
      <c r="H1605" s="1" t="s">
        <v>15</v>
      </c>
      <c r="I1605" s="6" cm="1">
        <f t="array" ref="I1605">GetLatitude(D1605)</f>
        <v>556692435</v>
      </c>
      <c r="J1605" s="1" cm="1">
        <f t="array" ref="J1605">GetLongitude(D1605)</f>
        <v>125587666</v>
      </c>
      <c r="K1605" s="1">
        <f t="shared" si="76"/>
        <v>55.6692435</v>
      </c>
      <c r="L1605" s="1">
        <f t="shared" si="77"/>
        <v>12.5587666</v>
      </c>
    </row>
    <row r="1606" spans="1:12" ht="16" x14ac:dyDescent="0.2">
      <c r="A1606" s="1">
        <v>1605</v>
      </c>
      <c r="B1606" s="1" t="s">
        <v>3980</v>
      </c>
      <c r="C1606" s="1" t="s">
        <v>4845</v>
      </c>
      <c r="D1606" s="1" t="str">
        <f t="shared" si="75"/>
        <v>København KommuneHalmtorvet 9, 11 og 13</v>
      </c>
      <c r="E1606" s="1" t="s">
        <v>4846</v>
      </c>
      <c r="F1606" s="1" t="s">
        <v>4847</v>
      </c>
      <c r="G1606" s="1">
        <v>1984</v>
      </c>
      <c r="H1606" s="1" t="s">
        <v>4848</v>
      </c>
      <c r="I1606" s="6" cm="1">
        <f t="array" ref="I1606">GetLatitude(D1606)</f>
        <v>556704374</v>
      </c>
      <c r="J1606" s="1" cm="1">
        <f t="array" ref="J1606">GetLongitude(D1606)</f>
        <v>125615604</v>
      </c>
      <c r="K1606" s="1">
        <f t="shared" si="76"/>
        <v>55.670437399999997</v>
      </c>
      <c r="L1606" s="1">
        <f t="shared" si="77"/>
        <v>12.561560399999999</v>
      </c>
    </row>
    <row r="1607" spans="1:12" ht="16" x14ac:dyDescent="0.2">
      <c r="A1607" s="1">
        <v>1606</v>
      </c>
      <c r="B1607" s="1" t="s">
        <v>3980</v>
      </c>
      <c r="C1607" s="1" t="s">
        <v>4849</v>
      </c>
      <c r="D1607" s="1" t="str">
        <f t="shared" si="75"/>
        <v>København KommuneHausergade 34</v>
      </c>
      <c r="E1607" s="1" t="s">
        <v>4850</v>
      </c>
      <c r="F1607" s="1" t="s">
        <v>4851</v>
      </c>
      <c r="G1607" s="1">
        <v>1950</v>
      </c>
      <c r="H1607" s="1" t="s">
        <v>11</v>
      </c>
      <c r="I1607" s="6" cm="1">
        <f t="array" ref="I1607">GetLatitude(D1607)</f>
        <v>556829223</v>
      </c>
      <c r="J1607" s="1" cm="1">
        <f t="array" ref="J1607">GetLongitude(D1607)</f>
        <v>125748218</v>
      </c>
      <c r="K1607" s="1">
        <f t="shared" si="76"/>
        <v>55.682922300000001</v>
      </c>
      <c r="L1607" s="1">
        <f t="shared" si="77"/>
        <v>12.5748218</v>
      </c>
    </row>
    <row r="1608" spans="1:12" ht="16" x14ac:dyDescent="0.2">
      <c r="A1608" s="1">
        <v>1607</v>
      </c>
      <c r="B1608" s="1" t="s">
        <v>3980</v>
      </c>
      <c r="C1608" s="1" t="s">
        <v>4852</v>
      </c>
      <c r="D1608" s="1" t="str">
        <f t="shared" si="75"/>
        <v>København KommuneHausergade 36, hj Sankt Gertruds Stræde</v>
      </c>
      <c r="E1608" s="1" t="s">
        <v>4853</v>
      </c>
      <c r="F1608" s="1" t="s">
        <v>4854</v>
      </c>
      <c r="G1608" s="1">
        <v>1950</v>
      </c>
      <c r="H1608" s="1" t="s">
        <v>99</v>
      </c>
      <c r="I1608" s="6" cm="1">
        <f t="array" ref="I1608">GetLatitude(D1608)</f>
        <v>556829000</v>
      </c>
      <c r="J1608" s="1" cm="1">
        <f t="array" ref="J1608">GetLongitude(D1608)</f>
        <v>125745670</v>
      </c>
      <c r="K1608" s="1">
        <f t="shared" si="76"/>
        <v>55.682899999999997</v>
      </c>
      <c r="L1608" s="1">
        <f t="shared" si="77"/>
        <v>12.574567</v>
      </c>
    </row>
    <row r="1609" spans="1:12" ht="16" x14ac:dyDescent="0.2">
      <c r="A1609" s="1">
        <v>1608</v>
      </c>
      <c r="B1609" s="1" t="s">
        <v>3980</v>
      </c>
      <c r="C1609" s="1" t="s">
        <v>4855</v>
      </c>
      <c r="D1609" s="1" t="str">
        <f t="shared" si="75"/>
        <v>København KommuneHauser Plads 12</v>
      </c>
      <c r="E1609" s="1" t="s">
        <v>4855</v>
      </c>
      <c r="F1609" s="1" t="s">
        <v>4856</v>
      </c>
      <c r="G1609" s="1">
        <v>1945</v>
      </c>
      <c r="H1609" s="1" t="s">
        <v>11</v>
      </c>
      <c r="I1609" s="6" cm="1">
        <f t="array" ref="I1609">GetLatitude(D1609)</f>
        <v>556823561</v>
      </c>
      <c r="J1609" s="1" cm="1">
        <f t="array" ref="J1609">GetLongitude(D1609)</f>
        <v>125756304</v>
      </c>
      <c r="K1609" s="1">
        <f t="shared" si="76"/>
        <v>55.6823561</v>
      </c>
      <c r="L1609" s="1">
        <f t="shared" si="77"/>
        <v>12.5756304</v>
      </c>
    </row>
    <row r="1610" spans="1:12" ht="16" x14ac:dyDescent="0.2">
      <c r="A1610" s="1">
        <v>1609</v>
      </c>
      <c r="B1610" s="1" t="s">
        <v>3980</v>
      </c>
      <c r="C1610" s="1" t="s">
        <v>4857</v>
      </c>
      <c r="D1610" s="1" t="str">
        <f t="shared" si="75"/>
        <v>København KommuneHauser Plads 14, hj af Suhmsgade</v>
      </c>
      <c r="E1610" s="1" t="s">
        <v>4858</v>
      </c>
      <c r="F1610" s="1" t="s">
        <v>4859</v>
      </c>
      <c r="G1610" s="1">
        <v>1945</v>
      </c>
      <c r="H1610" s="1" t="s">
        <v>99</v>
      </c>
      <c r="I1610" s="6" cm="1">
        <f t="array" ref="I1610">GetLatitude(D1610)</f>
        <v>556823762</v>
      </c>
      <c r="J1610" s="1" cm="1">
        <f t="array" ref="J1610">GetLongitude(D1610)</f>
        <v>125763217</v>
      </c>
      <c r="K1610" s="1">
        <f t="shared" si="76"/>
        <v>55.6823762</v>
      </c>
      <c r="L1610" s="1">
        <f t="shared" si="77"/>
        <v>12.576321699999999</v>
      </c>
    </row>
    <row r="1611" spans="1:12" ht="16" x14ac:dyDescent="0.2">
      <c r="A1611" s="1">
        <v>1610</v>
      </c>
      <c r="B1611" s="1" t="s">
        <v>3980</v>
      </c>
      <c r="C1611" s="1" t="s">
        <v>4860</v>
      </c>
      <c r="D1611" s="1" t="str">
        <f t="shared" si="75"/>
        <v>København KommuneHauser Plads 16</v>
      </c>
      <c r="E1611" s="1" t="s">
        <v>4861</v>
      </c>
      <c r="F1611" s="1" t="s">
        <v>4862</v>
      </c>
      <c r="G1611" s="1">
        <v>1945</v>
      </c>
      <c r="H1611" s="1" t="s">
        <v>11</v>
      </c>
      <c r="I1611" s="6" cm="1">
        <f t="array" ref="I1611">GetLatitude(D1611)</f>
        <v>556827437</v>
      </c>
      <c r="J1611" s="1" cm="1">
        <f t="array" ref="J1611">GetLongitude(D1611)</f>
        <v>125761169</v>
      </c>
      <c r="K1611" s="1">
        <f t="shared" si="76"/>
        <v>55.682743700000003</v>
      </c>
      <c r="L1611" s="1">
        <f t="shared" si="77"/>
        <v>12.576116900000001</v>
      </c>
    </row>
    <row r="1612" spans="1:12" ht="16" x14ac:dyDescent="0.2">
      <c r="A1612" s="1">
        <v>1611</v>
      </c>
      <c r="B1612" s="1" t="s">
        <v>3980</v>
      </c>
      <c r="C1612" s="1" t="s">
        <v>4863</v>
      </c>
      <c r="D1612" s="1" t="str">
        <f t="shared" si="75"/>
        <v>København KommuneHauser Plads 18</v>
      </c>
      <c r="E1612" s="1" t="s">
        <v>4864</v>
      </c>
      <c r="F1612" s="1" t="s">
        <v>4865</v>
      </c>
      <c r="G1612" s="1">
        <v>1945</v>
      </c>
      <c r="H1612" s="1" t="s">
        <v>11</v>
      </c>
      <c r="I1612" s="6" cm="1">
        <f t="array" ref="I1612">GetLatitude(D1612)</f>
        <v>556827337</v>
      </c>
      <c r="J1612" s="1" cm="1">
        <f t="array" ref="J1612">GetLongitude(D1612)</f>
        <v>125766381</v>
      </c>
      <c r="K1612" s="1">
        <f t="shared" si="76"/>
        <v>55.6827337</v>
      </c>
      <c r="L1612" s="1">
        <f t="shared" si="77"/>
        <v>12.5766381</v>
      </c>
    </row>
    <row r="1613" spans="1:12" ht="16" x14ac:dyDescent="0.2">
      <c r="A1613" s="1">
        <v>1612</v>
      </c>
      <c r="B1613" s="1" t="s">
        <v>3980</v>
      </c>
      <c r="C1613" s="1" t="s">
        <v>4866</v>
      </c>
      <c r="D1613" s="1" t="str">
        <f t="shared" si="75"/>
        <v>København KommuneHauser Plads 24 og Åbenrå 23</v>
      </c>
      <c r="E1613" s="1" t="s">
        <v>4867</v>
      </c>
      <c r="F1613" s="1" t="s">
        <v>4868</v>
      </c>
      <c r="G1613" s="1">
        <v>1945</v>
      </c>
      <c r="H1613" s="1" t="s">
        <v>11</v>
      </c>
      <c r="I1613" s="6" cm="1">
        <f t="array" ref="I1613">GetLatitude(D1613)</f>
        <v>556831673</v>
      </c>
      <c r="J1613" s="1" cm="1">
        <f t="array" ref="J1613">GetLongitude(D1613)</f>
        <v>125758596</v>
      </c>
      <c r="K1613" s="1">
        <f t="shared" si="76"/>
        <v>55.683167300000001</v>
      </c>
      <c r="L1613" s="1">
        <f t="shared" si="77"/>
        <v>12.575859599999999</v>
      </c>
    </row>
    <row r="1614" spans="1:12" ht="16" x14ac:dyDescent="0.2">
      <c r="A1614" s="1">
        <v>1613</v>
      </c>
      <c r="B1614" s="1" t="s">
        <v>3980</v>
      </c>
      <c r="C1614" s="1" t="s">
        <v>4869</v>
      </c>
      <c r="D1614" s="1" t="str">
        <f t="shared" si="75"/>
        <v>København KommuneHauser Plads 26</v>
      </c>
      <c r="E1614" s="1" t="s">
        <v>4870</v>
      </c>
      <c r="F1614" s="1" t="s">
        <v>4871</v>
      </c>
      <c r="G1614" s="1">
        <v>1945</v>
      </c>
      <c r="H1614" s="1" t="s">
        <v>99</v>
      </c>
      <c r="I1614" s="6" cm="1">
        <f t="array" ref="I1614">GetLatitude(D1614)</f>
        <v>556831383</v>
      </c>
      <c r="J1614" s="1" cm="1">
        <f t="array" ref="J1614">GetLongitude(D1614)</f>
        <v>125757142</v>
      </c>
      <c r="K1614" s="1">
        <f t="shared" si="76"/>
        <v>55.683138300000003</v>
      </c>
      <c r="L1614" s="1">
        <f t="shared" si="77"/>
        <v>12.5757142</v>
      </c>
    </row>
    <row r="1615" spans="1:12" ht="16" x14ac:dyDescent="0.2">
      <c r="A1615" s="1">
        <v>1614</v>
      </c>
      <c r="B1615" s="1" t="s">
        <v>3980</v>
      </c>
      <c r="C1615" s="1" t="s">
        <v>4872</v>
      </c>
      <c r="D1615" s="1" t="str">
        <f t="shared" si="75"/>
        <v>København KommuneHauser Plads 28</v>
      </c>
      <c r="E1615" s="1" t="s">
        <v>4873</v>
      </c>
      <c r="F1615" s="1" t="s">
        <v>4874</v>
      </c>
      <c r="G1615" s="1">
        <v>1945</v>
      </c>
      <c r="H1615" s="1" t="s">
        <v>11</v>
      </c>
      <c r="I1615" s="6" cm="1">
        <f t="array" ref="I1615">GetLatitude(D1615)</f>
        <v>556831000</v>
      </c>
      <c r="J1615" s="1" cm="1">
        <f t="array" ref="J1615">GetLongitude(D1615)</f>
        <v>125754130</v>
      </c>
      <c r="K1615" s="1">
        <f t="shared" si="76"/>
        <v>55.683100000000003</v>
      </c>
      <c r="L1615" s="1">
        <f t="shared" si="77"/>
        <v>12.575412999999999</v>
      </c>
    </row>
    <row r="1616" spans="1:12" ht="16" x14ac:dyDescent="0.2">
      <c r="A1616" s="1">
        <v>1615</v>
      </c>
      <c r="B1616" s="1" t="s">
        <v>3980</v>
      </c>
      <c r="C1616" s="1" t="s">
        <v>4875</v>
      </c>
      <c r="D1616" s="1" t="str">
        <f t="shared" si="75"/>
        <v>København KommuneHavnegade 23</v>
      </c>
      <c r="E1616" s="1" t="s">
        <v>4876</v>
      </c>
      <c r="F1616" s="1" t="s">
        <v>4877</v>
      </c>
      <c r="G1616" s="1">
        <v>1981</v>
      </c>
      <c r="H1616" s="1" t="s">
        <v>11</v>
      </c>
      <c r="I1616" s="6" cm="1">
        <f t="array" ref="I1616">GetLatitude(D1616)</f>
        <v>556764319</v>
      </c>
      <c r="J1616" s="1" cm="1">
        <f t="array" ref="J1616">GetLongitude(D1616)</f>
        <v>125878519</v>
      </c>
      <c r="K1616" s="1">
        <f t="shared" si="76"/>
        <v>55.676431899999997</v>
      </c>
      <c r="L1616" s="1">
        <f t="shared" si="77"/>
        <v>12.5878519</v>
      </c>
    </row>
    <row r="1617" spans="1:12" ht="16" x14ac:dyDescent="0.2">
      <c r="A1617" s="1">
        <v>1616</v>
      </c>
      <c r="B1617" s="1" t="s">
        <v>3980</v>
      </c>
      <c r="C1617" s="1" t="s">
        <v>4878</v>
      </c>
      <c r="D1617" s="1" t="str">
        <f t="shared" si="75"/>
        <v>København KommuneHavnegade 29, hj af Tordenskjoldsgade</v>
      </c>
      <c r="E1617" s="1" t="s">
        <v>4879</v>
      </c>
      <c r="F1617" s="1" t="s">
        <v>4880</v>
      </c>
      <c r="G1617" s="1">
        <v>1978</v>
      </c>
      <c r="H1617" s="1" t="s">
        <v>11</v>
      </c>
      <c r="I1617" s="6" cm="1">
        <f t="array" ref="I1617">GetLatitude(D1617)</f>
        <v>556767380</v>
      </c>
      <c r="J1617" s="1" cm="1">
        <f t="array" ref="J1617">GetLongitude(D1617)</f>
        <v>125888190</v>
      </c>
      <c r="K1617" s="1">
        <f t="shared" si="76"/>
        <v>55.676738</v>
      </c>
      <c r="L1617" s="1">
        <f t="shared" si="77"/>
        <v>12.588819000000001</v>
      </c>
    </row>
    <row r="1618" spans="1:12" ht="16" x14ac:dyDescent="0.2">
      <c r="A1618" s="1">
        <v>1617</v>
      </c>
      <c r="B1618" s="1" t="s">
        <v>3980</v>
      </c>
      <c r="C1618" s="1" t="s">
        <v>4881</v>
      </c>
      <c r="D1618" s="1" t="str">
        <f t="shared" si="75"/>
        <v>København KommuneHavnegade 39</v>
      </c>
      <c r="E1618" s="1" t="s">
        <v>4882</v>
      </c>
      <c r="F1618" s="1" t="s">
        <v>4883</v>
      </c>
      <c r="G1618" s="1">
        <v>1981</v>
      </c>
      <c r="H1618" s="1" t="s">
        <v>11</v>
      </c>
      <c r="I1618" s="6" cm="1">
        <f t="array" ref="I1618">GetLatitude(D1618)</f>
        <v>556775206</v>
      </c>
      <c r="J1618" s="1" cm="1">
        <f t="array" ref="J1618">GetLongitude(D1618)</f>
        <v>125903136</v>
      </c>
      <c r="K1618" s="1">
        <f t="shared" si="76"/>
        <v>55.677520600000001</v>
      </c>
      <c r="L1618" s="1">
        <f t="shared" si="77"/>
        <v>12.5903136</v>
      </c>
    </row>
    <row r="1619" spans="1:12" ht="16" x14ac:dyDescent="0.2">
      <c r="A1619" s="1">
        <v>1618</v>
      </c>
      <c r="B1619" s="1" t="s">
        <v>3980</v>
      </c>
      <c r="C1619" s="1" t="s">
        <v>4884</v>
      </c>
      <c r="D1619" s="1" t="str">
        <f t="shared" si="75"/>
        <v>København KommuneHavnegade 5</v>
      </c>
      <c r="E1619" s="1" t="s">
        <v>4885</v>
      </c>
      <c r="F1619" s="1" t="s">
        <v>4886</v>
      </c>
      <c r="G1619" s="1">
        <v>2009</v>
      </c>
      <c r="H1619" s="1" t="s">
        <v>15</v>
      </c>
      <c r="I1619" s="6" cm="1">
        <f t="array" ref="I1619">GetLatitude(D1619)</f>
        <v>556762564</v>
      </c>
      <c r="J1619" s="1" cm="1">
        <f t="array" ref="J1619">GetLongitude(D1619)</f>
        <v>125863113</v>
      </c>
      <c r="K1619" s="1">
        <f t="shared" si="76"/>
        <v>55.6762564</v>
      </c>
      <c r="L1619" s="1">
        <f t="shared" si="77"/>
        <v>12.5863113</v>
      </c>
    </row>
    <row r="1620" spans="1:12" ht="16" x14ac:dyDescent="0.2">
      <c r="A1620" s="1">
        <v>1619</v>
      </c>
      <c r="B1620" s="1" t="s">
        <v>3980</v>
      </c>
      <c r="C1620" s="1" t="s">
        <v>4887</v>
      </c>
      <c r="D1620" s="1" t="str">
        <f t="shared" si="75"/>
        <v>København KommuneHedebygade 24, 24 A, 26 og 26 A</v>
      </c>
      <c r="E1620" s="1" t="s">
        <v>4888</v>
      </c>
      <c r="F1620" s="1" t="s">
        <v>4889</v>
      </c>
      <c r="G1620" s="1">
        <v>1997</v>
      </c>
      <c r="H1620" s="1" t="s">
        <v>11</v>
      </c>
      <c r="I1620" s="6" cm="1">
        <f t="array" ref="I1620">GetLatitude(D1620)</f>
        <v>556688649</v>
      </c>
      <c r="J1620" s="1" cm="1">
        <f t="array" ref="J1620">GetLongitude(D1620)</f>
        <v>125442507</v>
      </c>
      <c r="K1620" s="1">
        <f t="shared" si="76"/>
        <v>55.668864900000003</v>
      </c>
      <c r="L1620" s="1">
        <f t="shared" si="77"/>
        <v>12.544250699999999</v>
      </c>
    </row>
    <row r="1621" spans="1:12" ht="16" x14ac:dyDescent="0.2">
      <c r="A1621" s="1">
        <v>1620</v>
      </c>
      <c r="B1621" s="1" t="s">
        <v>3980</v>
      </c>
      <c r="C1621" s="1" t="s">
        <v>4890</v>
      </c>
      <c r="D1621" s="1" t="str">
        <f t="shared" si="75"/>
        <v>København KommuneHedebygade 28 og 28 A</v>
      </c>
      <c r="E1621" s="1" t="s">
        <v>4891</v>
      </c>
      <c r="F1621" s="1" t="s">
        <v>4892</v>
      </c>
      <c r="G1621" s="1">
        <v>1997</v>
      </c>
      <c r="H1621" s="1" t="s">
        <v>15</v>
      </c>
      <c r="I1621" s="6" cm="1">
        <f t="array" ref="I1621">GetLatitude(D1621)</f>
        <v>556687201</v>
      </c>
      <c r="J1621" s="1" cm="1">
        <f t="array" ref="J1621">GetLongitude(D1621)</f>
        <v>125443705</v>
      </c>
      <c r="K1621" s="1">
        <f t="shared" si="76"/>
        <v>55.668720100000002</v>
      </c>
      <c r="L1621" s="1">
        <f t="shared" si="77"/>
        <v>12.544370499999999</v>
      </c>
    </row>
    <row r="1622" spans="1:12" ht="16" x14ac:dyDescent="0.2">
      <c r="A1622" s="1">
        <v>1621</v>
      </c>
      <c r="B1622" s="1" t="s">
        <v>3980</v>
      </c>
      <c r="C1622" s="1" t="s">
        <v>4893</v>
      </c>
      <c r="D1622" s="1" t="str">
        <f t="shared" si="75"/>
        <v>København KommuneHedebygade 30 og 30 A</v>
      </c>
      <c r="E1622" s="1" t="s">
        <v>4894</v>
      </c>
      <c r="F1622" s="1" t="s">
        <v>4892</v>
      </c>
      <c r="G1622" s="1">
        <v>1997</v>
      </c>
      <c r="H1622" s="1" t="s">
        <v>15</v>
      </c>
      <c r="I1622" s="6" cm="1">
        <f t="array" ref="I1622">GetLatitude(D1622)</f>
        <v>556686480</v>
      </c>
      <c r="J1622" s="1" cm="1">
        <f t="array" ref="J1622">GetLongitude(D1622)</f>
        <v>125444304</v>
      </c>
      <c r="K1622" s="1">
        <f t="shared" si="76"/>
        <v>55.668647999999997</v>
      </c>
      <c r="L1622" s="1">
        <f t="shared" si="77"/>
        <v>12.5444304</v>
      </c>
    </row>
    <row r="1623" spans="1:12" ht="16" x14ac:dyDescent="0.2">
      <c r="A1623" s="1">
        <v>1622</v>
      </c>
      <c r="B1623" s="1" t="s">
        <v>3980</v>
      </c>
      <c r="C1623" s="1" t="s">
        <v>4895</v>
      </c>
      <c r="D1623" s="1" t="str">
        <f t="shared" si="75"/>
        <v>København KommuneHeibergsgade 9</v>
      </c>
      <c r="E1623" s="1" t="s">
        <v>4896</v>
      </c>
      <c r="F1623" s="1" t="s">
        <v>4897</v>
      </c>
      <c r="G1623" s="1">
        <v>1992</v>
      </c>
      <c r="H1623" s="1" t="s">
        <v>11</v>
      </c>
      <c r="I1623" s="6" cm="1">
        <f t="array" ref="I1623">GetLatitude(D1623)</f>
        <v>556793421</v>
      </c>
      <c r="J1623" s="1" cm="1">
        <f t="array" ref="J1623">GetLongitude(D1623)</f>
        <v>125876365</v>
      </c>
      <c r="K1623" s="1">
        <f t="shared" si="76"/>
        <v>55.6793421</v>
      </c>
      <c r="L1623" s="1">
        <f t="shared" si="77"/>
        <v>12.5876365</v>
      </c>
    </row>
    <row r="1624" spans="1:12" ht="16" x14ac:dyDescent="0.2">
      <c r="A1624" s="1">
        <v>1623</v>
      </c>
      <c r="B1624" s="1" t="s">
        <v>3980</v>
      </c>
      <c r="C1624" s="1" t="s">
        <v>4898</v>
      </c>
      <c r="D1624" s="1" t="str">
        <f t="shared" si="75"/>
        <v>København KommuneHermodsgade 24 og Sigurdsgade 25</v>
      </c>
      <c r="E1624" s="1" t="s">
        <v>4899</v>
      </c>
      <c r="F1624" s="1" t="s">
        <v>4900</v>
      </c>
      <c r="G1624" s="1">
        <v>1994</v>
      </c>
      <c r="H1624" s="1" t="s">
        <v>11</v>
      </c>
      <c r="I1624" s="6" cm="1">
        <f t="array" ref="I1624">GetLatitude(D1624)</f>
        <v>557034628</v>
      </c>
      <c r="J1624" s="1" cm="1">
        <f t="array" ref="J1624">GetLongitude(D1624)</f>
        <v>125542530</v>
      </c>
      <c r="K1624" s="1">
        <f t="shared" si="76"/>
        <v>55.703462799999997</v>
      </c>
      <c r="L1624" s="1">
        <f t="shared" si="77"/>
        <v>12.554252999999999</v>
      </c>
    </row>
    <row r="1625" spans="1:12" ht="16" x14ac:dyDescent="0.2">
      <c r="A1625" s="1">
        <v>1624</v>
      </c>
      <c r="B1625" s="1" t="s">
        <v>3980</v>
      </c>
      <c r="C1625" s="1" t="s">
        <v>4901</v>
      </c>
      <c r="D1625" s="1" t="str">
        <f t="shared" si="75"/>
        <v>København KommuneHestemøllestræde 3</v>
      </c>
      <c r="E1625" s="1" t="s">
        <v>4902</v>
      </c>
      <c r="F1625" s="1" t="s">
        <v>4903</v>
      </c>
      <c r="G1625" s="1">
        <v>1964</v>
      </c>
      <c r="H1625" s="1" t="s">
        <v>11</v>
      </c>
      <c r="I1625" s="6" cm="1">
        <f t="array" ref="I1625">GetLatitude(D1625)</f>
        <v>556764926</v>
      </c>
      <c r="J1625" s="1" cm="1">
        <f t="array" ref="J1625">GetLongitude(D1625)</f>
        <v>125730568</v>
      </c>
      <c r="K1625" s="1">
        <f t="shared" si="76"/>
        <v>55.676492600000003</v>
      </c>
      <c r="L1625" s="1">
        <f t="shared" si="77"/>
        <v>12.5730568</v>
      </c>
    </row>
    <row r="1626" spans="1:12" ht="16" x14ac:dyDescent="0.2">
      <c r="A1626" s="1">
        <v>1625</v>
      </c>
      <c r="B1626" s="1" t="s">
        <v>3980</v>
      </c>
      <c r="C1626" s="1" t="s">
        <v>4904</v>
      </c>
      <c r="D1626" s="1" t="str">
        <f t="shared" si="75"/>
        <v>København KommuneHolmen</v>
      </c>
      <c r="E1626" s="1" t="s">
        <v>4905</v>
      </c>
      <c r="F1626" s="1" t="s">
        <v>4906</v>
      </c>
      <c r="G1626" s="1">
        <v>1918</v>
      </c>
      <c r="H1626" s="1" t="s">
        <v>4907</v>
      </c>
      <c r="I1626" s="6" cm="1">
        <f t="array" ref="I1626">GetLatitude(D1626)</f>
        <v>556855130</v>
      </c>
      <c r="J1626" s="1" cm="1">
        <f t="array" ref="J1626">GetLongitude(D1626)</f>
        <v>126071725</v>
      </c>
      <c r="K1626" s="1">
        <f t="shared" si="76"/>
        <v>55.685513</v>
      </c>
      <c r="L1626" s="1">
        <f t="shared" si="77"/>
        <v>12.607172500000001</v>
      </c>
    </row>
    <row r="1627" spans="1:12" ht="16" x14ac:dyDescent="0.2">
      <c r="A1627" s="1">
        <v>1626</v>
      </c>
      <c r="B1627" s="1" t="s">
        <v>3980</v>
      </c>
      <c r="C1627" s="1" t="s">
        <v>4908</v>
      </c>
      <c r="D1627" s="1" t="str">
        <f t="shared" si="75"/>
        <v>København KommuneHolmens Kanal</v>
      </c>
      <c r="E1627" s="1" t="s">
        <v>4909</v>
      </c>
      <c r="F1627" s="1" t="s">
        <v>4910</v>
      </c>
      <c r="G1627" s="1">
        <v>2004</v>
      </c>
      <c r="H1627" s="1" t="s">
        <v>15</v>
      </c>
      <c r="I1627" s="6" cm="1">
        <f t="array" ref="I1627">GetLatitude(D1627)</f>
        <v>556783835</v>
      </c>
      <c r="J1627" s="1" cm="1">
        <f t="array" ref="J1627">GetLongitude(D1627)</f>
        <v>125858462</v>
      </c>
      <c r="K1627" s="1">
        <f t="shared" si="76"/>
        <v>55.678383500000002</v>
      </c>
      <c r="L1627" s="1">
        <f t="shared" si="77"/>
        <v>12.585846200000001</v>
      </c>
    </row>
    <row r="1628" spans="1:12" ht="16" x14ac:dyDescent="0.2">
      <c r="A1628" s="1">
        <v>1627</v>
      </c>
      <c r="B1628" s="1" t="s">
        <v>3980</v>
      </c>
      <c r="C1628" s="1" t="s">
        <v>4911</v>
      </c>
      <c r="D1628" s="1" t="str">
        <f t="shared" si="75"/>
        <v>København KommuneHolmens Kanal 10-12</v>
      </c>
      <c r="E1628" s="1" t="s">
        <v>4912</v>
      </c>
      <c r="F1628" s="1" t="s">
        <v>4913</v>
      </c>
      <c r="G1628" s="1">
        <v>1918</v>
      </c>
      <c r="H1628" s="1" t="s">
        <v>11</v>
      </c>
      <c r="I1628" s="6" cm="1">
        <f t="array" ref="I1628">GetLatitude(D1628)</f>
        <v>556779686</v>
      </c>
      <c r="J1628" s="1" cm="1">
        <f t="array" ref="J1628">GetLongitude(D1628)</f>
        <v>125855205</v>
      </c>
      <c r="K1628" s="1">
        <f t="shared" si="76"/>
        <v>55.6779686</v>
      </c>
      <c r="L1628" s="1">
        <f t="shared" si="77"/>
        <v>12.585520499999999</v>
      </c>
    </row>
    <row r="1629" spans="1:12" ht="16" x14ac:dyDescent="0.2">
      <c r="A1629" s="1">
        <v>1628</v>
      </c>
      <c r="B1629" s="1" t="s">
        <v>3980</v>
      </c>
      <c r="C1629" s="1" t="s">
        <v>4914</v>
      </c>
      <c r="D1629" s="1" t="str">
        <f t="shared" si="75"/>
        <v>København KommuneHolmens Kanal 14</v>
      </c>
      <c r="E1629" s="1" t="s">
        <v>4915</v>
      </c>
      <c r="F1629" s="1" t="s">
        <v>4916</v>
      </c>
      <c r="G1629" s="1">
        <v>1996</v>
      </c>
      <c r="H1629" s="1" t="s">
        <v>11</v>
      </c>
      <c r="I1629" s="6" cm="1">
        <f t="array" ref="I1629">GetLatitude(D1629)</f>
        <v>556777036</v>
      </c>
      <c r="J1629" s="1" cm="1">
        <f t="array" ref="J1629">GetLongitude(D1629)</f>
        <v>125852149</v>
      </c>
      <c r="K1629" s="1">
        <f t="shared" si="76"/>
        <v>55.677703600000001</v>
      </c>
      <c r="L1629" s="1">
        <f t="shared" si="77"/>
        <v>12.5852149</v>
      </c>
    </row>
    <row r="1630" spans="1:12" ht="16" x14ac:dyDescent="0.2">
      <c r="A1630" s="1">
        <v>1629</v>
      </c>
      <c r="B1630" s="1" t="s">
        <v>3980</v>
      </c>
      <c r="C1630" s="1" t="s">
        <v>4917</v>
      </c>
      <c r="D1630" s="1" t="str">
        <f t="shared" si="75"/>
        <v>København KommuneHolmens Kanal 2, hj af Laksegade</v>
      </c>
      <c r="E1630" s="1" t="s">
        <v>4918</v>
      </c>
      <c r="F1630" s="1" t="s">
        <v>4919</v>
      </c>
      <c r="G1630" s="1">
        <v>1918</v>
      </c>
      <c r="H1630" s="1" t="s">
        <v>11</v>
      </c>
      <c r="I1630" s="6" cm="1">
        <f t="array" ref="I1630">GetLatitude(D1630)</f>
        <v>556780883</v>
      </c>
      <c r="J1630" s="1" cm="1">
        <f t="array" ref="J1630">GetLongitude(D1630)</f>
        <v>125854902</v>
      </c>
      <c r="K1630" s="1">
        <f t="shared" si="76"/>
        <v>55.678088299999999</v>
      </c>
      <c r="L1630" s="1">
        <f t="shared" si="77"/>
        <v>12.585490200000001</v>
      </c>
    </row>
    <row r="1631" spans="1:12" ht="16" x14ac:dyDescent="0.2">
      <c r="A1631" s="1">
        <v>1630</v>
      </c>
      <c r="B1631" s="1" t="s">
        <v>3980</v>
      </c>
      <c r="C1631" s="1" t="s">
        <v>4920</v>
      </c>
      <c r="D1631" s="1" t="str">
        <f t="shared" si="75"/>
        <v>København KommuneHolmens Kanal 7</v>
      </c>
      <c r="E1631" s="1" t="s">
        <v>4921</v>
      </c>
      <c r="F1631" s="1" t="s">
        <v>4922</v>
      </c>
      <c r="G1631" s="1">
        <v>1978</v>
      </c>
      <c r="H1631" s="1" t="s">
        <v>11</v>
      </c>
      <c r="I1631" s="6" cm="1">
        <f t="array" ref="I1631">GetLatitude(D1631)</f>
        <v>556782491</v>
      </c>
      <c r="J1631" s="1" cm="1">
        <f t="array" ref="J1631">GetLongitude(D1631)</f>
        <v>125864878</v>
      </c>
      <c r="K1631" s="1">
        <f t="shared" si="76"/>
        <v>55.678249100000002</v>
      </c>
      <c r="L1631" s="1">
        <f t="shared" si="77"/>
        <v>12.5864878</v>
      </c>
    </row>
    <row r="1632" spans="1:12" ht="16" x14ac:dyDescent="0.2">
      <c r="A1632" s="1">
        <v>1631</v>
      </c>
      <c r="B1632" s="1" t="s">
        <v>3980</v>
      </c>
      <c r="C1632" s="1" t="s">
        <v>4923</v>
      </c>
      <c r="D1632" s="1" t="str">
        <f t="shared" si="75"/>
        <v>København KommuneHulgårdsvej 19-73</v>
      </c>
      <c r="E1632" s="1" t="s">
        <v>4924</v>
      </c>
      <c r="F1632" s="1" t="s">
        <v>4925</v>
      </c>
      <c r="G1632" s="1">
        <v>1981</v>
      </c>
      <c r="H1632" s="1" t="s">
        <v>11</v>
      </c>
      <c r="I1632" s="6" cm="1">
        <f t="array" ref="I1632">GetLatitude(D1632)</f>
        <v>556959409</v>
      </c>
      <c r="J1632" s="1" cm="1">
        <f t="array" ref="J1632">GetLongitude(D1632)</f>
        <v>125118485</v>
      </c>
      <c r="K1632" s="1">
        <f t="shared" si="76"/>
        <v>55.695940899999997</v>
      </c>
      <c r="L1632" s="1">
        <f t="shared" si="77"/>
        <v>12.511848499999999</v>
      </c>
    </row>
    <row r="1633" spans="1:12" ht="16" x14ac:dyDescent="0.2">
      <c r="A1633" s="1">
        <v>1632</v>
      </c>
      <c r="B1633" s="1" t="s">
        <v>3980</v>
      </c>
      <c r="C1633" s="1" t="s">
        <v>4926</v>
      </c>
      <c r="D1633" s="1" t="str">
        <f t="shared" si="75"/>
        <v>København KommuneHyskenstræde 14</v>
      </c>
      <c r="E1633" s="1" t="s">
        <v>4927</v>
      </c>
      <c r="F1633" s="1" t="s">
        <v>4928</v>
      </c>
      <c r="G1633" s="1">
        <v>1977</v>
      </c>
      <c r="H1633" s="1" t="s">
        <v>99</v>
      </c>
      <c r="I1633" s="6" cm="1">
        <f t="array" ref="I1633">GetLatitude(D1633)</f>
        <v>556779889</v>
      </c>
      <c r="J1633" s="1" cm="1">
        <f t="array" ref="J1633">GetLongitude(D1633)</f>
        <v>125765837</v>
      </c>
      <c r="K1633" s="1">
        <f t="shared" si="76"/>
        <v>55.677988900000003</v>
      </c>
      <c r="L1633" s="1">
        <f t="shared" si="77"/>
        <v>12.5765837</v>
      </c>
    </row>
    <row r="1634" spans="1:12" ht="16" x14ac:dyDescent="0.2">
      <c r="A1634" s="1">
        <v>1633</v>
      </c>
      <c r="B1634" s="1" t="s">
        <v>3980</v>
      </c>
      <c r="C1634" s="1" t="s">
        <v>4929</v>
      </c>
      <c r="D1634" s="1" t="str">
        <f t="shared" si="75"/>
        <v>København KommuneHyskenstræde 16</v>
      </c>
      <c r="E1634" s="1" t="s">
        <v>4929</v>
      </c>
      <c r="F1634" s="1" t="s">
        <v>4930</v>
      </c>
      <c r="G1634" s="1">
        <v>1964</v>
      </c>
      <c r="H1634" s="1" t="s">
        <v>11</v>
      </c>
      <c r="I1634" s="6" cm="1">
        <f t="array" ref="I1634">GetLatitude(D1634)</f>
        <v>556779283</v>
      </c>
      <c r="J1634" s="1" cm="1">
        <f t="array" ref="J1634">GetLongitude(D1634)</f>
        <v>125766368</v>
      </c>
      <c r="K1634" s="1">
        <f t="shared" si="76"/>
        <v>55.677928299999998</v>
      </c>
      <c r="L1634" s="1">
        <f t="shared" si="77"/>
        <v>12.576636799999999</v>
      </c>
    </row>
    <row r="1635" spans="1:12" ht="16" x14ac:dyDescent="0.2">
      <c r="A1635" s="1">
        <v>1634</v>
      </c>
      <c r="B1635" s="1" t="s">
        <v>3980</v>
      </c>
      <c r="C1635" s="1" t="s">
        <v>4931</v>
      </c>
      <c r="D1635" s="1" t="str">
        <f t="shared" si="75"/>
        <v>København KommuneHyskenstræde 3-5</v>
      </c>
      <c r="E1635" s="1" t="s">
        <v>4932</v>
      </c>
      <c r="F1635" s="1" t="s">
        <v>4933</v>
      </c>
      <c r="G1635" s="1">
        <v>1964</v>
      </c>
      <c r="H1635" s="1" t="s">
        <v>11</v>
      </c>
      <c r="I1635" s="6" cm="1">
        <f t="array" ref="I1635">GetLatitude(D1635)</f>
        <v>556782214</v>
      </c>
      <c r="J1635" s="1" cm="1">
        <f t="array" ref="J1635">GetLongitude(D1635)</f>
        <v>125765830</v>
      </c>
      <c r="K1635" s="1">
        <f t="shared" si="76"/>
        <v>55.678221399999998</v>
      </c>
      <c r="L1635" s="1">
        <f t="shared" si="77"/>
        <v>12.576582999999999</v>
      </c>
    </row>
    <row r="1636" spans="1:12" ht="16" x14ac:dyDescent="0.2">
      <c r="A1636" s="1">
        <v>1635</v>
      </c>
      <c r="B1636" s="1" t="s">
        <v>3980</v>
      </c>
      <c r="C1636" s="1" t="s">
        <v>4934</v>
      </c>
      <c r="D1636" s="1" t="str">
        <f t="shared" si="75"/>
        <v>København KommuneHyskenstræde 7</v>
      </c>
      <c r="E1636" s="1" t="s">
        <v>4935</v>
      </c>
      <c r="F1636" s="1" t="s">
        <v>4936</v>
      </c>
      <c r="G1636" s="1">
        <v>1964</v>
      </c>
      <c r="H1636" s="1" t="s">
        <v>11</v>
      </c>
      <c r="I1636" s="6" cm="1">
        <f t="array" ref="I1636">GetLatitude(D1636)</f>
        <v>556780566</v>
      </c>
      <c r="J1636" s="1" cm="1">
        <f t="array" ref="J1636">GetLongitude(D1636)</f>
        <v>125767805</v>
      </c>
      <c r="K1636" s="1">
        <f t="shared" si="76"/>
        <v>55.678056599999998</v>
      </c>
      <c r="L1636" s="1">
        <f t="shared" si="77"/>
        <v>12.5767805</v>
      </c>
    </row>
    <row r="1637" spans="1:12" ht="16" x14ac:dyDescent="0.2">
      <c r="A1637" s="1">
        <v>1636</v>
      </c>
      <c r="B1637" s="1" t="s">
        <v>3980</v>
      </c>
      <c r="C1637" s="1" t="s">
        <v>4937</v>
      </c>
      <c r="D1637" s="1" t="str">
        <f t="shared" si="75"/>
        <v>København KommuneHyskenstræde 9</v>
      </c>
      <c r="E1637" s="1" t="s">
        <v>4938</v>
      </c>
      <c r="F1637" s="1" t="s">
        <v>4939</v>
      </c>
      <c r="G1637" s="1">
        <v>1964</v>
      </c>
      <c r="H1637" s="1" t="s">
        <v>11</v>
      </c>
      <c r="I1637" s="6" cm="1">
        <f t="array" ref="I1637">GetLatitude(D1637)</f>
        <v>556779806</v>
      </c>
      <c r="J1637" s="1" cm="1">
        <f t="array" ref="J1637">GetLongitude(D1637)</f>
        <v>125768755</v>
      </c>
      <c r="K1637" s="1">
        <f t="shared" si="76"/>
        <v>55.677980599999998</v>
      </c>
      <c r="L1637" s="1">
        <f t="shared" si="77"/>
        <v>12.5768755</v>
      </c>
    </row>
    <row r="1638" spans="1:12" ht="16" x14ac:dyDescent="0.2">
      <c r="A1638" s="1">
        <v>1637</v>
      </c>
      <c r="B1638" s="1" t="s">
        <v>3980</v>
      </c>
      <c r="C1638" s="1" t="s">
        <v>4940</v>
      </c>
      <c r="D1638" s="1" t="str">
        <f t="shared" si="75"/>
        <v>København KommuneHøjbro Plads 13, hj af Lille Kirkestræde</v>
      </c>
      <c r="E1638" s="1" t="s">
        <v>4941</v>
      </c>
      <c r="F1638" s="1" t="s">
        <v>4942</v>
      </c>
      <c r="G1638" s="1">
        <v>1950</v>
      </c>
      <c r="H1638" s="1" t="s">
        <v>11</v>
      </c>
      <c r="I1638" s="6" cm="1">
        <f t="array" ref="I1638">GetLatitude(D1638)</f>
        <v>556785649</v>
      </c>
      <c r="J1638" s="1" cm="1">
        <f t="array" ref="J1638">GetLongitude(D1638)</f>
        <v>125811156</v>
      </c>
      <c r="K1638" s="1">
        <f t="shared" si="76"/>
        <v>55.678564899999998</v>
      </c>
      <c r="L1638" s="1">
        <f t="shared" si="77"/>
        <v>12.5811156</v>
      </c>
    </row>
    <row r="1639" spans="1:12" ht="16" x14ac:dyDescent="0.2">
      <c r="A1639" s="1">
        <v>1638</v>
      </c>
      <c r="B1639" s="1" t="s">
        <v>3980</v>
      </c>
      <c r="C1639" s="1" t="s">
        <v>4943</v>
      </c>
      <c r="D1639" s="1" t="str">
        <f t="shared" si="75"/>
        <v>København KommuneHøjbro Plads 15</v>
      </c>
      <c r="E1639" s="1" t="s">
        <v>4944</v>
      </c>
      <c r="F1639" s="1" t="s">
        <v>4945</v>
      </c>
      <c r="G1639" s="1">
        <v>1950</v>
      </c>
      <c r="H1639" s="1" t="s">
        <v>99</v>
      </c>
      <c r="I1639" s="6" cm="1">
        <f t="array" ref="I1639">GetLatitude(D1639)</f>
        <v>556782577</v>
      </c>
      <c r="J1639" s="1" cm="1">
        <f t="array" ref="J1639">GetLongitude(D1639)</f>
        <v>125803611</v>
      </c>
      <c r="K1639" s="1">
        <f t="shared" si="76"/>
        <v>55.678257700000003</v>
      </c>
      <c r="L1639" s="1">
        <f t="shared" si="77"/>
        <v>12.580361099999999</v>
      </c>
    </row>
    <row r="1640" spans="1:12" ht="16" x14ac:dyDescent="0.2">
      <c r="A1640" s="1">
        <v>1639</v>
      </c>
      <c r="B1640" s="1" t="s">
        <v>3980</v>
      </c>
      <c r="C1640" s="1" t="s">
        <v>4946</v>
      </c>
      <c r="D1640" s="1" t="str">
        <f t="shared" si="75"/>
        <v>København KommuneHøjbro Plads 17</v>
      </c>
      <c r="E1640" s="1" t="s">
        <v>4947</v>
      </c>
      <c r="F1640" s="1" t="s">
        <v>4948</v>
      </c>
      <c r="G1640" s="1">
        <v>1924</v>
      </c>
      <c r="H1640" s="1" t="s">
        <v>11</v>
      </c>
      <c r="I1640" s="6" cm="1">
        <f t="array" ref="I1640">GetLatitude(D1640)</f>
        <v>556781882</v>
      </c>
      <c r="J1640" s="1" cm="1">
        <f t="array" ref="J1640">GetLongitude(D1640)</f>
        <v>125803935</v>
      </c>
      <c r="K1640" s="1">
        <f t="shared" si="76"/>
        <v>55.678188200000001</v>
      </c>
      <c r="L1640" s="1">
        <f t="shared" si="77"/>
        <v>12.5803935</v>
      </c>
    </row>
    <row r="1641" spans="1:12" ht="16" x14ac:dyDescent="0.2">
      <c r="A1641" s="1">
        <v>1640</v>
      </c>
      <c r="B1641" s="1" t="s">
        <v>3980</v>
      </c>
      <c r="C1641" s="1" t="s">
        <v>4949</v>
      </c>
      <c r="D1641" s="1" t="str">
        <f t="shared" si="75"/>
        <v>København KommuneHøjbro Plads 19</v>
      </c>
      <c r="E1641" s="1" t="s">
        <v>4950</v>
      </c>
      <c r="F1641" s="1" t="s">
        <v>4951</v>
      </c>
      <c r="G1641" s="1">
        <v>1924</v>
      </c>
      <c r="H1641" s="1" t="s">
        <v>11</v>
      </c>
      <c r="I1641" s="6" cm="1">
        <f t="array" ref="I1641">GetLatitude(D1641)</f>
        <v>556781098</v>
      </c>
      <c r="J1641" s="1" cm="1">
        <f t="array" ref="J1641">GetLongitude(D1641)</f>
        <v>125804053</v>
      </c>
      <c r="K1641" s="1">
        <f t="shared" si="76"/>
        <v>55.678109800000001</v>
      </c>
      <c r="L1641" s="1">
        <f t="shared" si="77"/>
        <v>12.580405300000001</v>
      </c>
    </row>
    <row r="1642" spans="1:12" ht="16" x14ac:dyDescent="0.2">
      <c r="A1642" s="1">
        <v>1641</v>
      </c>
      <c r="B1642" s="1" t="s">
        <v>3980</v>
      </c>
      <c r="C1642" s="1" t="s">
        <v>4952</v>
      </c>
      <c r="D1642" s="1" t="str">
        <f t="shared" si="75"/>
        <v>København KommuneHøjbro Plads 21, 21A, 21B, hj af Ved Stranden 20</v>
      </c>
      <c r="E1642" s="1" t="s">
        <v>2068</v>
      </c>
      <c r="F1642" s="1" t="s">
        <v>4953</v>
      </c>
      <c r="G1642" s="1">
        <v>1918</v>
      </c>
      <c r="H1642" s="1" t="s">
        <v>4954</v>
      </c>
      <c r="I1642" s="6" cm="1">
        <f t="array" ref="I1642">GetLatitude(D1642)</f>
        <v>556779691</v>
      </c>
      <c r="J1642" s="1" cm="1">
        <f t="array" ref="J1642">GetLongitude(D1642)</f>
        <v>125806994</v>
      </c>
      <c r="K1642" s="1">
        <f t="shared" si="76"/>
        <v>55.677969099999999</v>
      </c>
      <c r="L1642" s="1">
        <f t="shared" si="77"/>
        <v>12.5806994</v>
      </c>
    </row>
    <row r="1643" spans="1:12" ht="16" x14ac:dyDescent="0.2">
      <c r="A1643" s="1">
        <v>1642</v>
      </c>
      <c r="B1643" s="1" t="s">
        <v>3980</v>
      </c>
      <c r="C1643" s="1" t="s">
        <v>4955</v>
      </c>
      <c r="D1643" s="1" t="str">
        <f t="shared" si="75"/>
        <v>København KommuneHøjbro Plads 6</v>
      </c>
      <c r="E1643" s="1" t="s">
        <v>4956</v>
      </c>
      <c r="F1643" s="1" t="s">
        <v>4957</v>
      </c>
      <c r="G1643" s="1">
        <v>1918</v>
      </c>
      <c r="H1643" s="1" t="s">
        <v>11</v>
      </c>
      <c r="I1643" s="6" cm="1">
        <f t="array" ref="I1643">GetLatitude(D1643)</f>
        <v>556782560</v>
      </c>
      <c r="J1643" s="1" cm="1">
        <f t="array" ref="J1643">GetLongitude(D1643)</f>
        <v>125794234</v>
      </c>
      <c r="K1643" s="1">
        <f t="shared" si="76"/>
        <v>55.678255999999998</v>
      </c>
      <c r="L1643" s="1">
        <f t="shared" si="77"/>
        <v>12.5794234</v>
      </c>
    </row>
    <row r="1644" spans="1:12" ht="16" x14ac:dyDescent="0.2">
      <c r="A1644" s="1">
        <v>1643</v>
      </c>
      <c r="B1644" s="1" t="s">
        <v>3980</v>
      </c>
      <c r="C1644" s="1" t="s">
        <v>4958</v>
      </c>
      <c r="D1644" s="1" t="str">
        <f t="shared" si="75"/>
        <v>København KommuneHøjbro Plads 9-11 og Lille Kirkestræde 6-8</v>
      </c>
      <c r="E1644" s="1" t="s">
        <v>4959</v>
      </c>
      <c r="F1644" s="1" t="s">
        <v>4960</v>
      </c>
      <c r="G1644" s="1">
        <v>1918</v>
      </c>
      <c r="H1644" s="1" t="s">
        <v>11</v>
      </c>
      <c r="I1644" s="6" cm="1">
        <f t="array" ref="I1644">GetLatitude(D1644)</f>
        <v>556783217</v>
      </c>
      <c r="J1644" s="1" cm="1">
        <f t="array" ref="J1644">GetLongitude(D1644)</f>
        <v>125803804</v>
      </c>
      <c r="K1644" s="1">
        <f t="shared" si="76"/>
        <v>55.678321699999998</v>
      </c>
      <c r="L1644" s="1">
        <f t="shared" si="77"/>
        <v>12.580380399999999</v>
      </c>
    </row>
    <row r="1645" spans="1:12" ht="16" x14ac:dyDescent="0.2">
      <c r="A1645" s="1">
        <v>1644</v>
      </c>
      <c r="B1645" s="1" t="s">
        <v>3980</v>
      </c>
      <c r="C1645" s="1" t="s">
        <v>4961</v>
      </c>
      <c r="D1645" s="1" t="str">
        <f t="shared" si="75"/>
        <v>København KommuneJagtvej 200, Serridslevvej 34-40, Borgmester Jensens Allé 22, Ove Rodes Plads 1 og Kanslergade 2-8</v>
      </c>
      <c r="E1645" s="1" t="s">
        <v>4962</v>
      </c>
      <c r="F1645" s="1" t="s">
        <v>4963</v>
      </c>
      <c r="G1645" s="1">
        <v>2001</v>
      </c>
      <c r="H1645" s="1" t="s">
        <v>11</v>
      </c>
      <c r="I1645" s="6" cm="1">
        <f t="array" ref="I1645">GetLatitude(D1645)</f>
        <v>557069680</v>
      </c>
      <c r="J1645" s="1" cm="1">
        <f t="array" ref="J1645">GetLongitude(D1645)</f>
        <v>125725140</v>
      </c>
      <c r="K1645" s="1">
        <f t="shared" si="76"/>
        <v>55.706968000000003</v>
      </c>
      <c r="L1645" s="1">
        <f t="shared" si="77"/>
        <v>12.572514</v>
      </c>
    </row>
    <row r="1646" spans="1:12" ht="16" x14ac:dyDescent="0.2">
      <c r="A1646" s="1">
        <v>1645</v>
      </c>
      <c r="B1646" s="1" t="s">
        <v>3980</v>
      </c>
      <c r="C1646" s="1" t="s">
        <v>4964</v>
      </c>
      <c r="D1646" s="1" t="str">
        <f t="shared" si="75"/>
        <v>København KommuneJagtvej 226</v>
      </c>
      <c r="E1646" s="1" t="s">
        <v>4965</v>
      </c>
      <c r="F1646" s="1" t="s">
        <v>4966</v>
      </c>
      <c r="G1646" s="1">
        <v>1994</v>
      </c>
      <c r="H1646" s="1" t="s">
        <v>11</v>
      </c>
      <c r="I1646" s="6" cm="1">
        <f t="array" ref="I1646">GetLatitude(D1646)</f>
        <v>557088521</v>
      </c>
      <c r="J1646" s="1" cm="1">
        <f t="array" ref="J1646">GetLongitude(D1646)</f>
        <v>125771237</v>
      </c>
      <c r="K1646" s="1">
        <f t="shared" si="76"/>
        <v>55.708852100000001</v>
      </c>
      <c r="L1646" s="1">
        <f t="shared" si="77"/>
        <v>12.5771237</v>
      </c>
    </row>
    <row r="1647" spans="1:12" ht="16" x14ac:dyDescent="0.2">
      <c r="A1647" s="1">
        <v>1646</v>
      </c>
      <c r="B1647" s="1" t="s">
        <v>3980</v>
      </c>
      <c r="C1647" s="1" t="s">
        <v>4967</v>
      </c>
      <c r="D1647" s="1" t="str">
        <f t="shared" si="75"/>
        <v>København KommuneJernbanegade 8</v>
      </c>
      <c r="E1647" s="1" t="s">
        <v>4968</v>
      </c>
      <c r="F1647" s="1" t="s">
        <v>4969</v>
      </c>
      <c r="G1647" s="1">
        <v>1988</v>
      </c>
      <c r="H1647" s="1" t="s">
        <v>701</v>
      </c>
      <c r="I1647" s="6" cm="1">
        <f t="array" ref="I1647">GetLatitude(D1647)</f>
        <v>556768221</v>
      </c>
      <c r="J1647" s="1" cm="1">
        <f t="array" ref="J1647">GetLongitude(D1647)</f>
        <v>125654258</v>
      </c>
      <c r="K1647" s="1">
        <f t="shared" si="76"/>
        <v>55.676822100000003</v>
      </c>
      <c r="L1647" s="1">
        <f t="shared" si="77"/>
        <v>12.5654258</v>
      </c>
    </row>
    <row r="1648" spans="1:12" ht="16" x14ac:dyDescent="0.2">
      <c r="A1648" s="1">
        <v>1647</v>
      </c>
      <c r="B1648" s="1" t="s">
        <v>3980</v>
      </c>
      <c r="C1648" s="1" t="s">
        <v>4970</v>
      </c>
      <c r="D1648" s="1" t="str">
        <f t="shared" si="75"/>
        <v>København KommuneKalkbrænderiløbskaj 2</v>
      </c>
      <c r="E1648" s="1" t="s">
        <v>4971</v>
      </c>
      <c r="F1648" s="1" t="s">
        <v>4972</v>
      </c>
      <c r="G1648" s="1">
        <v>2012</v>
      </c>
      <c r="H1648" s="1" t="s">
        <v>11</v>
      </c>
      <c r="I1648" s="6" cm="1">
        <f t="array" ref="I1648">GetLatitude(D1648)</f>
        <v>557129616</v>
      </c>
      <c r="J1648" s="1" cm="1">
        <f t="array" ref="J1648">GetLongitude(D1648)</f>
        <v>125914946</v>
      </c>
      <c r="K1648" s="1">
        <f t="shared" si="76"/>
        <v>55.7129616</v>
      </c>
      <c r="L1648" s="1">
        <f t="shared" si="77"/>
        <v>12.591494600000001</v>
      </c>
    </row>
    <row r="1649" spans="1:12" ht="16" x14ac:dyDescent="0.2">
      <c r="A1649" s="1">
        <v>1648</v>
      </c>
      <c r="B1649" s="1" t="s">
        <v>3980</v>
      </c>
      <c r="C1649" s="1" t="s">
        <v>4973</v>
      </c>
      <c r="D1649" s="1" t="str">
        <f t="shared" si="75"/>
        <v>København KommuneKapelvej 2 og Nørrebrogade 56</v>
      </c>
      <c r="E1649" s="1" t="s">
        <v>4974</v>
      </c>
      <c r="F1649" s="1" t="s">
        <v>4975</v>
      </c>
      <c r="G1649" s="1">
        <v>2003</v>
      </c>
      <c r="H1649" s="1" t="s">
        <v>15</v>
      </c>
      <c r="I1649" s="6" cm="1">
        <f t="array" ref="I1649">GetLatitude(D1649)</f>
        <v>556875751</v>
      </c>
      <c r="J1649" s="1" cm="1">
        <f t="array" ref="J1649">GetLongitude(D1649)</f>
        <v>125624826</v>
      </c>
      <c r="K1649" s="1">
        <f t="shared" si="76"/>
        <v>55.687575099999997</v>
      </c>
      <c r="L1649" s="1">
        <f t="shared" si="77"/>
        <v>12.562482599999999</v>
      </c>
    </row>
    <row r="1650" spans="1:12" ht="16" x14ac:dyDescent="0.2">
      <c r="A1650" s="1">
        <v>1649</v>
      </c>
      <c r="B1650" s="1" t="s">
        <v>3980</v>
      </c>
      <c r="C1650" s="1" t="s">
        <v>4976</v>
      </c>
      <c r="D1650" s="1" t="str">
        <f t="shared" si="75"/>
        <v>København KommuneKarlslundevej 23</v>
      </c>
      <c r="E1650" s="1" t="s">
        <v>4977</v>
      </c>
      <c r="F1650" s="1" t="s">
        <v>4978</v>
      </c>
      <c r="G1650" s="1">
        <v>1996</v>
      </c>
      <c r="H1650" s="1" t="s">
        <v>15</v>
      </c>
      <c r="I1650" s="6" cm="1">
        <f t="array" ref="I1650">GetLatitude(D1650)</f>
        <v>557057539</v>
      </c>
      <c r="J1650" s="1" cm="1">
        <f t="array" ref="J1650">GetLongitude(D1650)</f>
        <v>124736345</v>
      </c>
      <c r="K1650" s="1">
        <f t="shared" si="76"/>
        <v>55.705753899999998</v>
      </c>
      <c r="L1650" s="1">
        <f t="shared" si="77"/>
        <v>12.473634499999999</v>
      </c>
    </row>
    <row r="1651" spans="1:12" ht="16" x14ac:dyDescent="0.2">
      <c r="A1651" s="1">
        <v>1650</v>
      </c>
      <c r="B1651" s="1" t="s">
        <v>3980</v>
      </c>
      <c r="C1651" s="1" t="s">
        <v>4979</v>
      </c>
      <c r="D1651" s="1" t="str">
        <f t="shared" si="75"/>
        <v>København KommuneKastellet 1-110</v>
      </c>
      <c r="E1651" s="1" t="s">
        <v>4980</v>
      </c>
      <c r="F1651" s="1" t="s">
        <v>4981</v>
      </c>
      <c r="G1651" s="1">
        <v>1918</v>
      </c>
      <c r="H1651" s="1" t="s">
        <v>15</v>
      </c>
      <c r="I1651" s="6" cm="1">
        <f t="array" ref="I1651">GetLatitude(D1651)</f>
        <v>556905044</v>
      </c>
      <c r="J1651" s="1" cm="1">
        <f t="array" ref="J1651">GetLongitude(D1651)</f>
        <v>125956221</v>
      </c>
      <c r="K1651" s="1">
        <f t="shared" si="76"/>
        <v>55.690504400000002</v>
      </c>
      <c r="L1651" s="1">
        <f t="shared" si="77"/>
        <v>12.5956221</v>
      </c>
    </row>
    <row r="1652" spans="1:12" ht="16" x14ac:dyDescent="0.2">
      <c r="A1652" s="1">
        <v>1651</v>
      </c>
      <c r="B1652" s="1" t="s">
        <v>3980</v>
      </c>
      <c r="C1652" s="1" t="s">
        <v>4982</v>
      </c>
      <c r="D1652" s="1" t="str">
        <f t="shared" si="75"/>
        <v>København KommuneKastelsvej 60</v>
      </c>
      <c r="E1652" s="1" t="s">
        <v>4983</v>
      </c>
      <c r="F1652" s="1" t="s">
        <v>4984</v>
      </c>
      <c r="G1652" s="1">
        <v>1977</v>
      </c>
      <c r="H1652" s="1" t="s">
        <v>15</v>
      </c>
      <c r="I1652" s="6" cm="1">
        <f t="array" ref="I1652">GetLatitude(D1652)</f>
        <v>556960349</v>
      </c>
      <c r="J1652" s="1" cm="1">
        <f t="array" ref="J1652">GetLongitude(D1652)</f>
        <v>125876234</v>
      </c>
      <c r="K1652" s="1">
        <f t="shared" si="76"/>
        <v>55.696034900000001</v>
      </c>
      <c r="L1652" s="1">
        <f t="shared" si="77"/>
        <v>12.5876234</v>
      </c>
    </row>
    <row r="1653" spans="1:12" ht="16" x14ac:dyDescent="0.2">
      <c r="A1653" s="1">
        <v>1652</v>
      </c>
      <c r="B1653" s="1" t="s">
        <v>3980</v>
      </c>
      <c r="C1653" s="1" t="s">
        <v>4985</v>
      </c>
      <c r="D1653" s="1" t="str">
        <f t="shared" si="75"/>
        <v>København KommuneKattesundet 10-10 A</v>
      </c>
      <c r="E1653" s="1" t="s">
        <v>4986</v>
      </c>
      <c r="F1653" s="1" t="s">
        <v>4987</v>
      </c>
      <c r="G1653" s="1">
        <v>1987</v>
      </c>
      <c r="H1653" s="1" t="s">
        <v>4164</v>
      </c>
      <c r="I1653" s="6" cm="1">
        <f t="array" ref="I1653">GetLatitude(D1653)</f>
        <v>556770460</v>
      </c>
      <c r="J1653" s="1" cm="1">
        <f t="array" ref="J1653">GetLongitude(D1653)</f>
        <v>125714949</v>
      </c>
      <c r="K1653" s="1">
        <f t="shared" si="76"/>
        <v>55.677045999999997</v>
      </c>
      <c r="L1653" s="1">
        <f t="shared" si="77"/>
        <v>12.571494899999999</v>
      </c>
    </row>
    <row r="1654" spans="1:12" ht="16" x14ac:dyDescent="0.2">
      <c r="A1654" s="1">
        <v>1653</v>
      </c>
      <c r="B1654" s="1" t="s">
        <v>3980</v>
      </c>
      <c r="C1654" s="1" t="s">
        <v>4988</v>
      </c>
      <c r="D1654" s="1" t="str">
        <f t="shared" si="75"/>
        <v>København KommuneKattesundet 12</v>
      </c>
      <c r="E1654" s="1" t="s">
        <v>4989</v>
      </c>
      <c r="F1654" s="1" t="s">
        <v>4990</v>
      </c>
      <c r="G1654" s="1">
        <v>1964</v>
      </c>
      <c r="H1654" s="1" t="s">
        <v>11</v>
      </c>
      <c r="I1654" s="6" cm="1">
        <f t="array" ref="I1654">GetLatitude(D1654)</f>
        <v>556769681</v>
      </c>
      <c r="J1654" s="1" cm="1">
        <f t="array" ref="J1654">GetLongitude(D1654)</f>
        <v>125716465</v>
      </c>
      <c r="K1654" s="1">
        <f t="shared" si="76"/>
        <v>55.676968100000003</v>
      </c>
      <c r="L1654" s="1">
        <f t="shared" si="77"/>
        <v>12.5716465</v>
      </c>
    </row>
    <row r="1655" spans="1:12" ht="16" x14ac:dyDescent="0.2">
      <c r="A1655" s="1">
        <v>1654</v>
      </c>
      <c r="B1655" s="1" t="s">
        <v>3980</v>
      </c>
      <c r="C1655" s="1" t="s">
        <v>4991</v>
      </c>
      <c r="D1655" s="1" t="str">
        <f t="shared" si="75"/>
        <v>København KommuneKattesundet 14</v>
      </c>
      <c r="E1655" s="1" t="s">
        <v>4992</v>
      </c>
      <c r="F1655" s="1" t="s">
        <v>4993</v>
      </c>
      <c r="G1655" s="1">
        <v>1964</v>
      </c>
      <c r="H1655" s="1" t="s">
        <v>15</v>
      </c>
      <c r="I1655" s="6" cm="1">
        <f t="array" ref="I1655">GetLatitude(D1655)</f>
        <v>556768578</v>
      </c>
      <c r="J1655" s="1" cm="1">
        <f t="array" ref="J1655">GetLongitude(D1655)</f>
        <v>125717692</v>
      </c>
      <c r="K1655" s="1">
        <f t="shared" si="76"/>
        <v>55.676857800000001</v>
      </c>
      <c r="L1655" s="1">
        <f t="shared" si="77"/>
        <v>12.5717692</v>
      </c>
    </row>
    <row r="1656" spans="1:12" ht="16" x14ac:dyDescent="0.2">
      <c r="A1656" s="1">
        <v>1655</v>
      </c>
      <c r="B1656" s="1" t="s">
        <v>3980</v>
      </c>
      <c r="C1656" s="1" t="s">
        <v>4994</v>
      </c>
      <c r="D1656" s="1" t="str">
        <f t="shared" si="75"/>
        <v>København KommuneKattesundet 16</v>
      </c>
      <c r="E1656" s="1" t="s">
        <v>4995</v>
      </c>
      <c r="F1656" s="1" t="s">
        <v>4996</v>
      </c>
      <c r="G1656" s="1">
        <v>1964</v>
      </c>
      <c r="H1656" s="1" t="s">
        <v>11</v>
      </c>
      <c r="I1656" s="6" cm="1">
        <f t="array" ref="I1656">GetLatitude(D1656)</f>
        <v>556768327</v>
      </c>
      <c r="J1656" s="1" cm="1">
        <f t="array" ref="J1656">GetLongitude(D1656)</f>
        <v>125719050</v>
      </c>
      <c r="K1656" s="1">
        <f t="shared" si="76"/>
        <v>55.676832699999999</v>
      </c>
      <c r="L1656" s="1">
        <f t="shared" si="77"/>
        <v>12.571904999999999</v>
      </c>
    </row>
    <row r="1657" spans="1:12" ht="16" x14ac:dyDescent="0.2">
      <c r="A1657" s="1">
        <v>1656</v>
      </c>
      <c r="B1657" s="1" t="s">
        <v>3980</v>
      </c>
      <c r="C1657" s="1" t="s">
        <v>4997</v>
      </c>
      <c r="D1657" s="1" t="str">
        <f t="shared" si="75"/>
        <v>København KommuneKattesundet 18, hj af Lavendelstræde</v>
      </c>
      <c r="E1657" s="1" t="s">
        <v>4998</v>
      </c>
      <c r="F1657" s="1" t="s">
        <v>4999</v>
      </c>
      <c r="G1657" s="1">
        <v>1964</v>
      </c>
      <c r="H1657" s="1" t="s">
        <v>11</v>
      </c>
      <c r="I1657" s="6" cm="1">
        <f t="array" ref="I1657">GetLatitude(D1657)</f>
        <v>556767292</v>
      </c>
      <c r="J1657" s="1" cm="1">
        <f t="array" ref="J1657">GetLongitude(D1657)</f>
        <v>125720526</v>
      </c>
      <c r="K1657" s="1">
        <f t="shared" si="76"/>
        <v>55.676729199999997</v>
      </c>
      <c r="L1657" s="1">
        <f t="shared" si="77"/>
        <v>12.572052599999999</v>
      </c>
    </row>
    <row r="1658" spans="1:12" ht="16" x14ac:dyDescent="0.2">
      <c r="A1658" s="1">
        <v>1657</v>
      </c>
      <c r="B1658" s="1" t="s">
        <v>3980</v>
      </c>
      <c r="C1658" s="1" t="s">
        <v>5000</v>
      </c>
      <c r="D1658" s="1" t="str">
        <f t="shared" si="75"/>
        <v>København KommuneKlareboderne 10</v>
      </c>
      <c r="E1658" s="1" t="s">
        <v>5001</v>
      </c>
      <c r="F1658" s="1" t="s">
        <v>5002</v>
      </c>
      <c r="G1658" s="1">
        <v>1985</v>
      </c>
      <c r="H1658" s="1" t="s">
        <v>15</v>
      </c>
      <c r="I1658" s="6" cm="1">
        <f t="array" ref="I1658">GetLatitude(D1658)</f>
        <v>556809569</v>
      </c>
      <c r="J1658" s="1" cm="1">
        <f t="array" ref="J1658">GetLongitude(D1658)</f>
        <v>125785268</v>
      </c>
      <c r="K1658" s="1">
        <f t="shared" si="76"/>
        <v>55.680956899999998</v>
      </c>
      <c r="L1658" s="1">
        <f t="shared" si="77"/>
        <v>12.578526800000001</v>
      </c>
    </row>
    <row r="1659" spans="1:12" ht="16" x14ac:dyDescent="0.2">
      <c r="A1659" s="1">
        <v>1658</v>
      </c>
      <c r="B1659" s="1" t="s">
        <v>3980</v>
      </c>
      <c r="C1659" s="1" t="s">
        <v>5003</v>
      </c>
      <c r="D1659" s="1" t="str">
        <f t="shared" si="75"/>
        <v>København KommuneKlareboderne 14</v>
      </c>
      <c r="E1659" s="1" t="s">
        <v>5004</v>
      </c>
      <c r="F1659" s="1" t="s">
        <v>5005</v>
      </c>
      <c r="G1659" s="1">
        <v>1988</v>
      </c>
      <c r="H1659" s="1" t="s">
        <v>11</v>
      </c>
      <c r="I1659" s="6" cm="1">
        <f t="array" ref="I1659">GetLatitude(D1659)</f>
        <v>556810699</v>
      </c>
      <c r="J1659" s="1" cm="1">
        <f t="array" ref="J1659">GetLongitude(D1659)</f>
        <v>125787124</v>
      </c>
      <c r="K1659" s="1">
        <f t="shared" si="76"/>
        <v>55.681069899999997</v>
      </c>
      <c r="L1659" s="1">
        <f t="shared" si="77"/>
        <v>12.578712400000001</v>
      </c>
    </row>
    <row r="1660" spans="1:12" ht="16" x14ac:dyDescent="0.2">
      <c r="A1660" s="1">
        <v>1659</v>
      </c>
      <c r="B1660" s="1" t="s">
        <v>3980</v>
      </c>
      <c r="C1660" s="1" t="s">
        <v>5006</v>
      </c>
      <c r="D1660" s="1" t="str">
        <f t="shared" si="75"/>
        <v>København KommuneKlareboderne 16</v>
      </c>
      <c r="E1660" s="1" t="s">
        <v>5007</v>
      </c>
      <c r="F1660" s="1" t="s">
        <v>5008</v>
      </c>
      <c r="G1660" s="1">
        <v>1975</v>
      </c>
      <c r="H1660" s="1" t="s">
        <v>11</v>
      </c>
      <c r="I1660" s="6" cm="1">
        <f t="array" ref="I1660">GetLatitude(D1660)</f>
        <v>556811385</v>
      </c>
      <c r="J1660" s="1" cm="1">
        <f t="array" ref="J1660">GetLongitude(D1660)</f>
        <v>125787946</v>
      </c>
      <c r="K1660" s="1">
        <f t="shared" si="76"/>
        <v>55.681138500000003</v>
      </c>
      <c r="L1660" s="1">
        <f t="shared" si="77"/>
        <v>12.5787946</v>
      </c>
    </row>
    <row r="1661" spans="1:12" ht="16" x14ac:dyDescent="0.2">
      <c r="A1661" s="1">
        <v>1660</v>
      </c>
      <c r="B1661" s="1" t="s">
        <v>3980</v>
      </c>
      <c r="C1661" s="1" t="s">
        <v>5009</v>
      </c>
      <c r="D1661" s="1" t="str">
        <f t="shared" si="75"/>
        <v>København KommuneKlareboderne 3</v>
      </c>
      <c r="E1661" s="1" t="s">
        <v>5010</v>
      </c>
      <c r="F1661" s="1" t="s">
        <v>5011</v>
      </c>
      <c r="G1661" s="1">
        <v>1918</v>
      </c>
      <c r="H1661" s="1" t="s">
        <v>15</v>
      </c>
      <c r="I1661" s="6" cm="1">
        <f t="array" ref="I1661">GetLatitude(D1661)</f>
        <v>556809700</v>
      </c>
      <c r="J1661" s="1" cm="1">
        <f t="array" ref="J1661">GetLongitude(D1661)</f>
        <v>125781460</v>
      </c>
      <c r="K1661" s="1">
        <f t="shared" si="76"/>
        <v>55.680970000000002</v>
      </c>
      <c r="L1661" s="1">
        <f t="shared" si="77"/>
        <v>12.578146</v>
      </c>
    </row>
    <row r="1662" spans="1:12" ht="16" x14ac:dyDescent="0.2">
      <c r="A1662" s="1">
        <v>1661</v>
      </c>
      <c r="B1662" s="1" t="s">
        <v>3980</v>
      </c>
      <c r="C1662" s="1" t="s">
        <v>5012</v>
      </c>
      <c r="D1662" s="1" t="str">
        <f t="shared" si="75"/>
        <v>København KommuneKlareboderne 8</v>
      </c>
      <c r="E1662" s="1" t="s">
        <v>5013</v>
      </c>
      <c r="F1662" s="1" t="s">
        <v>5014</v>
      </c>
      <c r="G1662" s="1">
        <v>1964</v>
      </c>
      <c r="H1662" s="1" t="s">
        <v>15</v>
      </c>
      <c r="I1662" s="6" cm="1">
        <f t="array" ref="I1662">GetLatitude(D1662)</f>
        <v>556809093</v>
      </c>
      <c r="J1662" s="1" cm="1">
        <f t="array" ref="J1662">GetLongitude(D1662)</f>
        <v>125784547</v>
      </c>
      <c r="K1662" s="1">
        <f t="shared" si="76"/>
        <v>55.680909300000003</v>
      </c>
      <c r="L1662" s="1">
        <f t="shared" si="77"/>
        <v>12.5784547</v>
      </c>
    </row>
    <row r="1663" spans="1:12" ht="16" x14ac:dyDescent="0.2">
      <c r="A1663" s="1">
        <v>1662</v>
      </c>
      <c r="B1663" s="1" t="s">
        <v>3980</v>
      </c>
      <c r="C1663" s="1" t="s">
        <v>5015</v>
      </c>
      <c r="D1663" s="1" t="str">
        <f t="shared" si="75"/>
        <v>København KommuneKlerkegade 10 A-B</v>
      </c>
      <c r="E1663" s="1" t="s">
        <v>5016</v>
      </c>
      <c r="F1663" s="1" t="s">
        <v>5017</v>
      </c>
      <c r="G1663" s="1">
        <v>1989</v>
      </c>
      <c r="H1663" s="1" t="s">
        <v>11</v>
      </c>
      <c r="I1663" s="6" cm="1">
        <f t="array" ref="I1663">GetLatitude(D1663)</f>
        <v>556865466</v>
      </c>
      <c r="J1663" s="1" cm="1">
        <f t="array" ref="J1663">GetLongitude(D1663)</f>
        <v>125851200</v>
      </c>
      <c r="K1663" s="1">
        <f t="shared" si="76"/>
        <v>55.6865466</v>
      </c>
      <c r="L1663" s="1">
        <f t="shared" si="77"/>
        <v>12.58512</v>
      </c>
    </row>
    <row r="1664" spans="1:12" ht="16" x14ac:dyDescent="0.2">
      <c r="A1664" s="1">
        <v>1663</v>
      </c>
      <c r="B1664" s="1" t="s">
        <v>3980</v>
      </c>
      <c r="C1664" s="1" t="s">
        <v>5018</v>
      </c>
      <c r="D1664" s="1" t="str">
        <f t="shared" si="75"/>
        <v>København KommuneKlerkegade 25</v>
      </c>
      <c r="E1664" s="1" t="s">
        <v>5019</v>
      </c>
      <c r="F1664" s="1" t="s">
        <v>5020</v>
      </c>
      <c r="G1664" s="1">
        <v>1978</v>
      </c>
      <c r="H1664" s="1" t="s">
        <v>11</v>
      </c>
      <c r="I1664" s="6" cm="1">
        <f t="array" ref="I1664">GetLatitude(D1664)</f>
        <v>556870370</v>
      </c>
      <c r="J1664" s="1" cm="1">
        <f t="array" ref="J1664">GetLongitude(D1664)</f>
        <v>125830150</v>
      </c>
      <c r="K1664" s="1">
        <f t="shared" si="76"/>
        <v>55.687036999999997</v>
      </c>
      <c r="L1664" s="1">
        <f t="shared" si="77"/>
        <v>12.583015</v>
      </c>
    </row>
    <row r="1665" spans="1:12" ht="16" x14ac:dyDescent="0.2">
      <c r="A1665" s="1">
        <v>1664</v>
      </c>
      <c r="B1665" s="1" t="s">
        <v>3980</v>
      </c>
      <c r="C1665" s="1" t="s">
        <v>5021</v>
      </c>
      <c r="D1665" s="1" t="str">
        <f t="shared" si="75"/>
        <v>København KommuneKlerkegade 25 G-H</v>
      </c>
      <c r="E1665" s="1" t="s">
        <v>5022</v>
      </c>
      <c r="F1665" s="1" t="s">
        <v>5023</v>
      </c>
      <c r="G1665" s="1">
        <v>1978</v>
      </c>
      <c r="H1665" s="1" t="s">
        <v>11</v>
      </c>
      <c r="I1665" s="6" cm="1">
        <f t="array" ref="I1665">GetLatitude(D1665)</f>
        <v>556868040</v>
      </c>
      <c r="J1665" s="1" cm="1">
        <f t="array" ref="J1665">GetLongitude(D1665)</f>
        <v>125828179</v>
      </c>
      <c r="K1665" s="1">
        <f t="shared" si="76"/>
        <v>55.686804000000002</v>
      </c>
      <c r="L1665" s="1">
        <f t="shared" si="77"/>
        <v>12.5828179</v>
      </c>
    </row>
    <row r="1666" spans="1:12" ht="16" x14ac:dyDescent="0.2">
      <c r="A1666" s="1">
        <v>1665</v>
      </c>
      <c r="B1666" s="1" t="s">
        <v>3980</v>
      </c>
      <c r="C1666" s="1" t="s">
        <v>3320</v>
      </c>
      <c r="D1666" s="1" t="str">
        <f t="shared" si="75"/>
        <v>København KommuneKlosterstræde 16</v>
      </c>
      <c r="E1666" s="1" t="s">
        <v>5024</v>
      </c>
      <c r="F1666" s="1" t="s">
        <v>5025</v>
      </c>
      <c r="G1666" s="1">
        <v>1992</v>
      </c>
      <c r="H1666" s="1" t="s">
        <v>11</v>
      </c>
      <c r="I1666" s="6" cm="1">
        <f t="array" ref="I1666">GetLatitude(D1666)</f>
        <v>556792500</v>
      </c>
      <c r="J1666" s="1" cm="1">
        <f t="array" ref="J1666">GetLongitude(D1666)</f>
        <v>125754786</v>
      </c>
      <c r="K1666" s="1">
        <f t="shared" si="76"/>
        <v>55.679250000000003</v>
      </c>
      <c r="L1666" s="1">
        <f t="shared" si="77"/>
        <v>12.5754786</v>
      </c>
    </row>
    <row r="1667" spans="1:12" ht="16" x14ac:dyDescent="0.2">
      <c r="A1667" s="1">
        <v>1666</v>
      </c>
      <c r="B1667" s="1" t="s">
        <v>3980</v>
      </c>
      <c r="C1667" s="1" t="s">
        <v>5026</v>
      </c>
      <c r="D1667" s="1" t="str">
        <f t="shared" ref="D1667:D1730" si="78">B1667&amp;C1667</f>
        <v>København KommuneKlosterstræde 21</v>
      </c>
      <c r="E1667" s="1" t="s">
        <v>5027</v>
      </c>
      <c r="F1667" s="1" t="s">
        <v>5028</v>
      </c>
      <c r="G1667" s="1">
        <v>1950</v>
      </c>
      <c r="H1667" s="1" t="s">
        <v>11</v>
      </c>
      <c r="I1667" s="6" cm="1">
        <f t="array" ref="I1667">GetLatitude(D1667)</f>
        <v>556792745</v>
      </c>
      <c r="J1667" s="1" cm="1">
        <f t="array" ref="J1667">GetLongitude(D1667)</f>
        <v>125750302</v>
      </c>
      <c r="K1667" s="1">
        <f t="shared" si="76"/>
        <v>55.679274499999998</v>
      </c>
      <c r="L1667" s="1">
        <f t="shared" si="77"/>
        <v>12.5750302</v>
      </c>
    </row>
    <row r="1668" spans="1:12" ht="16" x14ac:dyDescent="0.2">
      <c r="A1668" s="1">
        <v>1667</v>
      </c>
      <c r="B1668" s="1" t="s">
        <v>3980</v>
      </c>
      <c r="C1668" s="1" t="s">
        <v>5029</v>
      </c>
      <c r="D1668" s="1" t="str">
        <f t="shared" si="78"/>
        <v>København KommuneKlosterstræde 22, hj af Gråbrødrestræde</v>
      </c>
      <c r="E1668" s="1" t="s">
        <v>5030</v>
      </c>
      <c r="F1668" s="1" t="s">
        <v>5031</v>
      </c>
      <c r="G1668" s="1">
        <v>1964</v>
      </c>
      <c r="H1668" s="1" t="s">
        <v>15</v>
      </c>
      <c r="I1668" s="6" cm="1">
        <f t="array" ref="I1668">GetLatitude(D1668)</f>
        <v>556795002</v>
      </c>
      <c r="J1668" s="1" cm="1">
        <f t="array" ref="J1668">GetLongitude(D1668)</f>
        <v>125750496</v>
      </c>
      <c r="K1668" s="1">
        <f t="shared" ref="K1668:K1731" si="79">I1668/10000000</f>
        <v>55.6795002</v>
      </c>
      <c r="L1668" s="1">
        <f t="shared" ref="L1668:L1731" si="80">J1668/10000000</f>
        <v>12.5750496</v>
      </c>
    </row>
    <row r="1669" spans="1:12" ht="16" x14ac:dyDescent="0.2">
      <c r="A1669" s="1">
        <v>1668</v>
      </c>
      <c r="B1669" s="1" t="s">
        <v>3980</v>
      </c>
      <c r="C1669" s="1" t="s">
        <v>5032</v>
      </c>
      <c r="D1669" s="1" t="str">
        <f t="shared" si="78"/>
        <v>København KommuneKlosterstræde 23</v>
      </c>
      <c r="E1669" s="1" t="s">
        <v>5033</v>
      </c>
      <c r="F1669" s="1" t="s">
        <v>5034</v>
      </c>
      <c r="G1669" s="1">
        <v>1950</v>
      </c>
      <c r="H1669" s="1" t="s">
        <v>11</v>
      </c>
      <c r="I1669" s="6" cm="1">
        <f t="array" ref="I1669">GetLatitude(D1669)</f>
        <v>556793760</v>
      </c>
      <c r="J1669" s="1" cm="1">
        <f t="array" ref="J1669">GetLongitude(D1669)</f>
        <v>125748500</v>
      </c>
      <c r="K1669" s="1">
        <f t="shared" si="79"/>
        <v>55.679375999999998</v>
      </c>
      <c r="L1669" s="1">
        <f t="shared" si="80"/>
        <v>12.57485</v>
      </c>
    </row>
    <row r="1670" spans="1:12" ht="16" x14ac:dyDescent="0.2">
      <c r="A1670" s="1">
        <v>1669</v>
      </c>
      <c r="B1670" s="1" t="s">
        <v>3980</v>
      </c>
      <c r="C1670" s="1" t="s">
        <v>5035</v>
      </c>
      <c r="D1670" s="1" t="str">
        <f t="shared" si="78"/>
        <v>København KommuneKlosterstræde 24, hj af Skindergade</v>
      </c>
      <c r="E1670" s="1" t="s">
        <v>5036</v>
      </c>
      <c r="F1670" s="1" t="s">
        <v>5037</v>
      </c>
      <c r="G1670" s="1">
        <v>1964</v>
      </c>
      <c r="H1670" s="1" t="s">
        <v>11</v>
      </c>
      <c r="I1670" s="6" cm="1">
        <f t="array" ref="I1670">GetLatitude(D1670)</f>
        <v>556796587</v>
      </c>
      <c r="J1670" s="1" cm="1">
        <f t="array" ref="J1670">GetLongitude(D1670)</f>
        <v>125747969</v>
      </c>
      <c r="K1670" s="1">
        <f t="shared" si="79"/>
        <v>55.679658699999997</v>
      </c>
      <c r="L1670" s="1">
        <f t="shared" si="80"/>
        <v>12.574796900000001</v>
      </c>
    </row>
    <row r="1671" spans="1:12" ht="16" x14ac:dyDescent="0.2">
      <c r="A1671" s="1">
        <v>1670</v>
      </c>
      <c r="B1671" s="1" t="s">
        <v>3980</v>
      </c>
      <c r="C1671" s="1" t="s">
        <v>5038</v>
      </c>
      <c r="D1671" s="1" t="str">
        <f t="shared" si="78"/>
        <v>København KommuneKlosterstræde 8</v>
      </c>
      <c r="E1671" s="1" t="s">
        <v>5039</v>
      </c>
      <c r="F1671" s="1" t="s">
        <v>5040</v>
      </c>
      <c r="G1671" s="1">
        <v>1974</v>
      </c>
      <c r="H1671" s="1" t="s">
        <v>11</v>
      </c>
      <c r="I1671" s="6" cm="1">
        <f t="array" ref="I1671">GetLatitude(D1671)</f>
        <v>556789944</v>
      </c>
      <c r="J1671" s="1" cm="1">
        <f t="array" ref="J1671">GetLongitude(D1671)</f>
        <v>125758164</v>
      </c>
      <c r="K1671" s="1">
        <f t="shared" si="79"/>
        <v>55.678994400000001</v>
      </c>
      <c r="L1671" s="1">
        <f t="shared" si="80"/>
        <v>12.575816400000001</v>
      </c>
    </row>
    <row r="1672" spans="1:12" ht="16" x14ac:dyDescent="0.2">
      <c r="A1672" s="1">
        <v>1671</v>
      </c>
      <c r="B1672" s="1" t="s">
        <v>3980</v>
      </c>
      <c r="C1672" s="1" t="s">
        <v>5041</v>
      </c>
      <c r="D1672" s="1" t="str">
        <f t="shared" si="78"/>
        <v>København KommuneKnabrostræde 14, hj af Brolæggerstræde</v>
      </c>
      <c r="E1672" s="1" t="s">
        <v>5042</v>
      </c>
      <c r="F1672" s="1" t="s">
        <v>5043</v>
      </c>
      <c r="G1672" s="1">
        <v>1950</v>
      </c>
      <c r="H1672" s="1" t="s">
        <v>11</v>
      </c>
      <c r="I1672" s="6" cm="1">
        <f t="array" ref="I1672">GetLatitude(D1672)</f>
        <v>556775943</v>
      </c>
      <c r="J1672" s="1" cm="1">
        <f t="array" ref="J1672">GetLongitude(D1672)</f>
        <v>125746023</v>
      </c>
      <c r="K1672" s="1">
        <f t="shared" si="79"/>
        <v>55.677594300000003</v>
      </c>
      <c r="L1672" s="1">
        <f t="shared" si="80"/>
        <v>12.5746023</v>
      </c>
    </row>
    <row r="1673" spans="1:12" ht="16" x14ac:dyDescent="0.2">
      <c r="A1673" s="1">
        <v>1672</v>
      </c>
      <c r="B1673" s="1" t="s">
        <v>3980</v>
      </c>
      <c r="C1673" s="1" t="s">
        <v>5044</v>
      </c>
      <c r="D1673" s="1" t="str">
        <f t="shared" si="78"/>
        <v>København KommuneKnabrostræde 15</v>
      </c>
      <c r="E1673" s="1" t="s">
        <v>5045</v>
      </c>
      <c r="F1673" s="1" t="s">
        <v>5046</v>
      </c>
      <c r="G1673" s="1">
        <v>1945</v>
      </c>
      <c r="H1673" s="1" t="s">
        <v>11</v>
      </c>
      <c r="I1673" s="6" cm="1">
        <f t="array" ref="I1673">GetLatitude(D1673)</f>
        <v>556773701</v>
      </c>
      <c r="J1673" s="1" cm="1">
        <f t="array" ref="J1673">GetLongitude(D1673)</f>
        <v>125752695</v>
      </c>
      <c r="K1673" s="1">
        <f t="shared" si="79"/>
        <v>55.677370099999997</v>
      </c>
      <c r="L1673" s="1">
        <f t="shared" si="80"/>
        <v>12.575269499999999</v>
      </c>
    </row>
    <row r="1674" spans="1:12" ht="16" x14ac:dyDescent="0.2">
      <c r="A1674" s="1">
        <v>1673</v>
      </c>
      <c r="B1674" s="1" t="s">
        <v>3980</v>
      </c>
      <c r="C1674" s="1" t="s">
        <v>5047</v>
      </c>
      <c r="D1674" s="1" t="str">
        <f t="shared" si="78"/>
        <v>København KommuneKnabrostræde 19 og Kompagnistræde 19</v>
      </c>
      <c r="E1674" s="1" t="s">
        <v>5048</v>
      </c>
      <c r="F1674" s="1" t="s">
        <v>5049</v>
      </c>
      <c r="G1674" s="1">
        <v>1945</v>
      </c>
      <c r="H1674" s="1" t="s">
        <v>15</v>
      </c>
      <c r="I1674" s="6" cm="1">
        <f t="array" ref="I1674">GetLatitude(D1674)</f>
        <v>556771494</v>
      </c>
      <c r="J1674" s="1" cm="1">
        <f t="array" ref="J1674">GetLongitude(D1674)</f>
        <v>125756285</v>
      </c>
      <c r="K1674" s="1">
        <f t="shared" si="79"/>
        <v>55.677149399999998</v>
      </c>
      <c r="L1674" s="1">
        <f t="shared" si="80"/>
        <v>12.575628500000001</v>
      </c>
    </row>
    <row r="1675" spans="1:12" ht="16" x14ac:dyDescent="0.2">
      <c r="A1675" s="1">
        <v>1674</v>
      </c>
      <c r="B1675" s="1" t="s">
        <v>3980</v>
      </c>
      <c r="C1675" s="1" t="s">
        <v>5050</v>
      </c>
      <c r="D1675" s="1" t="str">
        <f t="shared" si="78"/>
        <v>København KommuneKnabrostræde 22</v>
      </c>
      <c r="E1675" s="1" t="s">
        <v>5051</v>
      </c>
      <c r="F1675" s="1" t="s">
        <v>5052</v>
      </c>
      <c r="G1675" s="1">
        <v>1945</v>
      </c>
      <c r="H1675" s="1" t="s">
        <v>11</v>
      </c>
      <c r="I1675" s="6" cm="1">
        <f t="array" ref="I1675">GetLatitude(D1675)</f>
        <v>556768943</v>
      </c>
      <c r="J1675" s="1" cm="1">
        <f t="array" ref="J1675">GetLongitude(D1675)</f>
        <v>125756364</v>
      </c>
      <c r="K1675" s="1">
        <f t="shared" si="79"/>
        <v>55.676894300000001</v>
      </c>
      <c r="L1675" s="1">
        <f t="shared" si="80"/>
        <v>12.5756364</v>
      </c>
    </row>
    <row r="1676" spans="1:12" ht="16" x14ac:dyDescent="0.2">
      <c r="A1676" s="1">
        <v>1675</v>
      </c>
      <c r="B1676" s="1" t="s">
        <v>3980</v>
      </c>
      <c r="C1676" s="1" t="s">
        <v>5053</v>
      </c>
      <c r="D1676" s="1" t="str">
        <f t="shared" si="78"/>
        <v>København KommuneKnabrostræde 25, hj af Snaregade</v>
      </c>
      <c r="E1676" s="1" t="s">
        <v>5054</v>
      </c>
      <c r="F1676" s="1" t="s">
        <v>5055</v>
      </c>
      <c r="G1676" s="1">
        <v>1945</v>
      </c>
      <c r="H1676" s="1" t="s">
        <v>11</v>
      </c>
      <c r="I1676" s="6" cm="1">
        <f t="array" ref="I1676">GetLatitude(D1676)</f>
        <v>556768518</v>
      </c>
      <c r="J1676" s="1" cm="1">
        <f t="array" ref="J1676">GetLongitude(D1676)</f>
        <v>125760718</v>
      </c>
      <c r="K1676" s="1">
        <f t="shared" si="79"/>
        <v>55.676851800000001</v>
      </c>
      <c r="L1676" s="1">
        <f t="shared" si="80"/>
        <v>12.576071799999999</v>
      </c>
    </row>
    <row r="1677" spans="1:12" ht="16" x14ac:dyDescent="0.2">
      <c r="A1677" s="1">
        <v>1676</v>
      </c>
      <c r="B1677" s="1" t="s">
        <v>3980</v>
      </c>
      <c r="C1677" s="1" t="s">
        <v>5056</v>
      </c>
      <c r="D1677" s="1" t="str">
        <f t="shared" si="78"/>
        <v>København KommuneKnabrostræde 26</v>
      </c>
      <c r="E1677" s="1" t="s">
        <v>5057</v>
      </c>
      <c r="F1677" s="1" t="s">
        <v>5058</v>
      </c>
      <c r="G1677" s="1">
        <v>1945</v>
      </c>
      <c r="H1677" s="1" t="s">
        <v>11</v>
      </c>
      <c r="I1677" s="6" cm="1">
        <f t="array" ref="I1677">GetLatitude(D1677)</f>
        <v>556767518</v>
      </c>
      <c r="J1677" s="1" cm="1">
        <f t="array" ref="J1677">GetLongitude(D1677)</f>
        <v>125757609</v>
      </c>
      <c r="K1677" s="1">
        <f t="shared" si="79"/>
        <v>55.676751799999998</v>
      </c>
      <c r="L1677" s="1">
        <f t="shared" si="80"/>
        <v>12.575760900000001</v>
      </c>
    </row>
    <row r="1678" spans="1:12" ht="16" x14ac:dyDescent="0.2">
      <c r="A1678" s="1">
        <v>1677</v>
      </c>
      <c r="B1678" s="1" t="s">
        <v>3980</v>
      </c>
      <c r="C1678" s="1" t="s">
        <v>5059</v>
      </c>
      <c r="D1678" s="1" t="str">
        <f t="shared" si="78"/>
        <v>København KommuneKnabrostræde 3</v>
      </c>
      <c r="E1678" s="1" t="s">
        <v>5060</v>
      </c>
      <c r="F1678" s="1" t="s">
        <v>5061</v>
      </c>
      <c r="G1678" s="1">
        <v>1950</v>
      </c>
      <c r="H1678" s="1" t="s">
        <v>11</v>
      </c>
      <c r="I1678" s="6" cm="1">
        <f t="array" ref="I1678">GetLatitude(D1678)</f>
        <v>556780170</v>
      </c>
      <c r="J1678" s="1" cm="1">
        <f t="array" ref="J1678">GetLongitude(D1678)</f>
        <v>125745100</v>
      </c>
      <c r="K1678" s="1">
        <f t="shared" si="79"/>
        <v>55.678016999999997</v>
      </c>
      <c r="L1678" s="1">
        <f t="shared" si="80"/>
        <v>12.57451</v>
      </c>
    </row>
    <row r="1679" spans="1:12" ht="16" x14ac:dyDescent="0.2">
      <c r="A1679" s="1">
        <v>1678</v>
      </c>
      <c r="B1679" s="1" t="s">
        <v>3980</v>
      </c>
      <c r="C1679" s="1" t="s">
        <v>5062</v>
      </c>
      <c r="D1679" s="1" t="str">
        <f t="shared" si="78"/>
        <v>København KommuneKnabrostræde 30, hj af Nybrogade</v>
      </c>
      <c r="E1679" s="1" t="s">
        <v>5063</v>
      </c>
      <c r="F1679" s="1" t="s">
        <v>5064</v>
      </c>
      <c r="G1679" s="1">
        <v>1918</v>
      </c>
      <c r="H1679" s="1" t="s">
        <v>11</v>
      </c>
      <c r="I1679" s="6" cm="1">
        <f t="array" ref="I1679">GetLatitude(D1679)</f>
        <v>556765699</v>
      </c>
      <c r="J1679" s="1" cm="1">
        <f t="array" ref="J1679">GetLongitude(D1679)</f>
        <v>125761895</v>
      </c>
      <c r="K1679" s="1">
        <f t="shared" si="79"/>
        <v>55.676569899999997</v>
      </c>
      <c r="L1679" s="1">
        <f t="shared" si="80"/>
        <v>12.5761895</v>
      </c>
    </row>
    <row r="1680" spans="1:12" ht="16" x14ac:dyDescent="0.2">
      <c r="A1680" s="1">
        <v>1679</v>
      </c>
      <c r="B1680" s="1" t="s">
        <v>3980</v>
      </c>
      <c r="C1680" s="1" t="s">
        <v>5065</v>
      </c>
      <c r="D1680" s="1" t="str">
        <f t="shared" si="78"/>
        <v>København KommuneKnabrostræde 5</v>
      </c>
      <c r="E1680" s="1" t="s">
        <v>5066</v>
      </c>
      <c r="F1680" s="1" t="s">
        <v>5067</v>
      </c>
      <c r="G1680" s="1">
        <v>1986</v>
      </c>
      <c r="H1680" s="1" t="s">
        <v>11</v>
      </c>
      <c r="I1680" s="6" cm="1">
        <f t="array" ref="I1680">GetLatitude(D1680)</f>
        <v>556778295</v>
      </c>
      <c r="J1680" s="1" cm="1">
        <f t="array" ref="J1680">GetLongitude(D1680)</f>
        <v>125746174</v>
      </c>
      <c r="K1680" s="1">
        <f t="shared" si="79"/>
        <v>55.677829500000001</v>
      </c>
      <c r="L1680" s="1">
        <f t="shared" si="80"/>
        <v>12.574617399999999</v>
      </c>
    </row>
    <row r="1681" spans="1:12" ht="16" x14ac:dyDescent="0.2">
      <c r="A1681" s="1">
        <v>1680</v>
      </c>
      <c r="B1681" s="1" t="s">
        <v>3980</v>
      </c>
      <c r="C1681" s="1" t="s">
        <v>5068</v>
      </c>
      <c r="D1681" s="1" t="str">
        <f t="shared" si="78"/>
        <v>København KommuneKnabrostræde 9, hj af Brolæggerstræde</v>
      </c>
      <c r="E1681" s="1" t="s">
        <v>5069</v>
      </c>
      <c r="F1681" s="1" t="s">
        <v>5070</v>
      </c>
      <c r="G1681" s="1">
        <v>1945</v>
      </c>
      <c r="H1681" s="1" t="s">
        <v>701</v>
      </c>
      <c r="I1681" s="6" cm="1">
        <f t="array" ref="I1681">GetLatitude(D1681)</f>
        <v>556775804</v>
      </c>
      <c r="J1681" s="1" cm="1">
        <f t="array" ref="J1681">GetLongitude(D1681)</f>
        <v>125748925</v>
      </c>
      <c r="K1681" s="1">
        <f t="shared" si="79"/>
        <v>55.677580399999997</v>
      </c>
      <c r="L1681" s="1">
        <f t="shared" si="80"/>
        <v>12.574892500000001</v>
      </c>
    </row>
    <row r="1682" spans="1:12" ht="16" x14ac:dyDescent="0.2">
      <c r="A1682" s="1">
        <v>1681</v>
      </c>
      <c r="B1682" s="1" t="s">
        <v>3980</v>
      </c>
      <c r="C1682" s="1" t="s">
        <v>5071</v>
      </c>
      <c r="D1682" s="1" t="str">
        <f t="shared" si="78"/>
        <v>København KommuneKompagnistræde 10, hj af Badstuestræde</v>
      </c>
      <c r="E1682" s="1" t="s">
        <v>5072</v>
      </c>
      <c r="F1682" s="1" t="s">
        <v>4189</v>
      </c>
      <c r="G1682" s="1">
        <v>1939</v>
      </c>
      <c r="H1682" s="1" t="s">
        <v>11</v>
      </c>
      <c r="I1682" s="6" cm="1">
        <f t="array" ref="I1682">GetLatitude(D1682)</f>
        <v>556779698</v>
      </c>
      <c r="J1682" s="1" cm="1">
        <f t="array" ref="J1682">GetLongitude(D1682)</f>
        <v>125754432</v>
      </c>
      <c r="K1682" s="1">
        <f t="shared" si="79"/>
        <v>55.6779698</v>
      </c>
      <c r="L1682" s="1">
        <f t="shared" si="80"/>
        <v>12.5754432</v>
      </c>
    </row>
    <row r="1683" spans="1:12" ht="16" x14ac:dyDescent="0.2">
      <c r="A1683" s="1">
        <v>1682</v>
      </c>
      <c r="B1683" s="1" t="s">
        <v>3980</v>
      </c>
      <c r="C1683" s="1" t="s">
        <v>5073</v>
      </c>
      <c r="D1683" s="1" t="str">
        <f t="shared" si="78"/>
        <v>København KommuneKompagnistræde 11</v>
      </c>
      <c r="E1683" s="1" t="s">
        <v>5074</v>
      </c>
      <c r="F1683" s="1" t="s">
        <v>5075</v>
      </c>
      <c r="G1683" s="1">
        <v>1945</v>
      </c>
      <c r="H1683" s="1" t="s">
        <v>11</v>
      </c>
      <c r="I1683" s="6" cm="1">
        <f t="array" ref="I1683">GetLatitude(D1683)</f>
        <v>556773599</v>
      </c>
      <c r="J1683" s="1" cm="1">
        <f t="array" ref="J1683">GetLongitude(D1683)</f>
        <v>125761673</v>
      </c>
      <c r="K1683" s="1">
        <f t="shared" si="79"/>
        <v>55.677359899999999</v>
      </c>
      <c r="L1683" s="1">
        <f t="shared" si="80"/>
        <v>12.5761673</v>
      </c>
    </row>
    <row r="1684" spans="1:12" ht="16" x14ac:dyDescent="0.2">
      <c r="A1684" s="1">
        <v>1683</v>
      </c>
      <c r="B1684" s="1" t="s">
        <v>3980</v>
      </c>
      <c r="C1684" s="1" t="s">
        <v>5076</v>
      </c>
      <c r="D1684" s="1" t="str">
        <f t="shared" si="78"/>
        <v>København KommuneKompagnistræde 12</v>
      </c>
      <c r="E1684" s="1" t="s">
        <v>5077</v>
      </c>
      <c r="F1684" s="1" t="s">
        <v>5078</v>
      </c>
      <c r="G1684" s="1">
        <v>1964</v>
      </c>
      <c r="H1684" s="1" t="s">
        <v>15</v>
      </c>
      <c r="I1684" s="6" cm="1">
        <f t="array" ref="I1684">GetLatitude(D1684)</f>
        <v>556774279</v>
      </c>
      <c r="J1684" s="1" cm="1">
        <f t="array" ref="J1684">GetLongitude(D1684)</f>
        <v>125759369</v>
      </c>
      <c r="K1684" s="1">
        <f t="shared" si="79"/>
        <v>55.677427899999998</v>
      </c>
      <c r="L1684" s="1">
        <f t="shared" si="80"/>
        <v>12.5759369</v>
      </c>
    </row>
    <row r="1685" spans="1:12" ht="16" x14ac:dyDescent="0.2">
      <c r="A1685" s="1">
        <v>1684</v>
      </c>
      <c r="B1685" s="1" t="s">
        <v>3980</v>
      </c>
      <c r="C1685" s="1" t="s">
        <v>5079</v>
      </c>
      <c r="D1685" s="1" t="str">
        <f t="shared" si="78"/>
        <v>København KommuneKompagnistræde 14</v>
      </c>
      <c r="E1685" s="1" t="s">
        <v>5080</v>
      </c>
      <c r="F1685" s="1" t="s">
        <v>5081</v>
      </c>
      <c r="G1685" s="1">
        <v>1939</v>
      </c>
      <c r="H1685" s="1" t="s">
        <v>11</v>
      </c>
      <c r="I1685" s="6" cm="1">
        <f t="array" ref="I1685">GetLatitude(D1685)</f>
        <v>556774052</v>
      </c>
      <c r="J1685" s="1" cm="1">
        <f t="array" ref="J1685">GetLongitude(D1685)</f>
        <v>125757474</v>
      </c>
      <c r="K1685" s="1">
        <f t="shared" si="79"/>
        <v>55.677405200000003</v>
      </c>
      <c r="L1685" s="1">
        <f t="shared" si="80"/>
        <v>12.575747399999999</v>
      </c>
    </row>
    <row r="1686" spans="1:12" ht="16" x14ac:dyDescent="0.2">
      <c r="A1686" s="1">
        <v>1685</v>
      </c>
      <c r="B1686" s="1" t="s">
        <v>3980</v>
      </c>
      <c r="C1686" s="1" t="s">
        <v>5082</v>
      </c>
      <c r="D1686" s="1" t="str">
        <f t="shared" si="78"/>
        <v>København KommuneKompagnistræde 16</v>
      </c>
      <c r="E1686" s="1" t="s">
        <v>5083</v>
      </c>
      <c r="F1686" s="1" t="s">
        <v>5084</v>
      </c>
      <c r="G1686" s="1">
        <v>1939</v>
      </c>
      <c r="H1686" s="1" t="s">
        <v>99</v>
      </c>
      <c r="I1686" s="6" cm="1">
        <f t="array" ref="I1686">GetLatitude(D1686)</f>
        <v>556772383</v>
      </c>
      <c r="J1686" s="1" cm="1">
        <f t="array" ref="J1686">GetLongitude(D1686)</f>
        <v>125755798</v>
      </c>
      <c r="K1686" s="1">
        <f t="shared" si="79"/>
        <v>55.677238299999999</v>
      </c>
      <c r="L1686" s="1">
        <f t="shared" si="80"/>
        <v>12.5755798</v>
      </c>
    </row>
    <row r="1687" spans="1:12" ht="16" x14ac:dyDescent="0.2">
      <c r="A1687" s="1">
        <v>1686</v>
      </c>
      <c r="B1687" s="1" t="s">
        <v>3980</v>
      </c>
      <c r="C1687" s="1" t="s">
        <v>5085</v>
      </c>
      <c r="D1687" s="1" t="str">
        <f t="shared" si="78"/>
        <v>København KommuneKompagnistræde 17</v>
      </c>
      <c r="E1687" s="1" t="s">
        <v>5085</v>
      </c>
      <c r="F1687" s="1" t="s">
        <v>5086</v>
      </c>
      <c r="G1687" s="1">
        <v>1945</v>
      </c>
      <c r="H1687" s="1" t="s">
        <v>15</v>
      </c>
      <c r="I1687" s="6" cm="1">
        <f t="array" ref="I1687">GetLatitude(D1687)</f>
        <v>556771824</v>
      </c>
      <c r="J1687" s="1" cm="1">
        <f t="array" ref="J1687">GetLongitude(D1687)</f>
        <v>125757536</v>
      </c>
      <c r="K1687" s="1">
        <f t="shared" si="79"/>
        <v>55.6771824</v>
      </c>
      <c r="L1687" s="1">
        <f t="shared" si="80"/>
        <v>12.575753600000001</v>
      </c>
    </row>
    <row r="1688" spans="1:12" ht="16" x14ac:dyDescent="0.2">
      <c r="A1688" s="1">
        <v>1687</v>
      </c>
      <c r="B1688" s="1" t="s">
        <v>3980</v>
      </c>
      <c r="C1688" s="1" t="s">
        <v>5087</v>
      </c>
      <c r="D1688" s="1" t="str">
        <f t="shared" si="78"/>
        <v>København KommuneKompagnistræde 18, hj af Knabrostræde</v>
      </c>
      <c r="E1688" s="1" t="s">
        <v>5088</v>
      </c>
      <c r="F1688" s="1" t="s">
        <v>5089</v>
      </c>
      <c r="G1688" s="1">
        <v>1984</v>
      </c>
      <c r="H1688" s="1" t="s">
        <v>11</v>
      </c>
      <c r="I1688" s="6" cm="1">
        <f t="array" ref="I1688">GetLatitude(D1688)</f>
        <v>556772316</v>
      </c>
      <c r="J1688" s="1" cm="1">
        <f t="array" ref="J1688">GetLongitude(D1688)</f>
        <v>125755709</v>
      </c>
      <c r="K1688" s="1">
        <f t="shared" si="79"/>
        <v>55.677231599999999</v>
      </c>
      <c r="L1688" s="1">
        <f t="shared" si="80"/>
        <v>12.575570900000001</v>
      </c>
    </row>
    <row r="1689" spans="1:12" ht="16" x14ac:dyDescent="0.2">
      <c r="A1689" s="1">
        <v>1688</v>
      </c>
      <c r="B1689" s="1" t="s">
        <v>3980</v>
      </c>
      <c r="C1689" s="1" t="s">
        <v>5090</v>
      </c>
      <c r="D1689" s="1" t="str">
        <f t="shared" si="78"/>
        <v>København KommuneKompagnistræde 2, hj af Hyskenstræde</v>
      </c>
      <c r="E1689" s="1" t="s">
        <v>5091</v>
      </c>
      <c r="F1689" s="1" t="s">
        <v>5092</v>
      </c>
      <c r="G1689" s="1">
        <v>1964</v>
      </c>
      <c r="H1689" s="1" t="s">
        <v>11</v>
      </c>
      <c r="I1689" s="6" cm="1">
        <f t="array" ref="I1689">GetLatitude(D1689)</f>
        <v>556778361</v>
      </c>
      <c r="J1689" s="1" cm="1">
        <f t="array" ref="J1689">GetLongitude(D1689)</f>
        <v>125768847</v>
      </c>
      <c r="K1689" s="1">
        <f t="shared" si="79"/>
        <v>55.6778361</v>
      </c>
      <c r="L1689" s="1">
        <f t="shared" si="80"/>
        <v>12.576884700000001</v>
      </c>
    </row>
    <row r="1690" spans="1:12" ht="16" x14ac:dyDescent="0.2">
      <c r="A1690" s="1">
        <v>1689</v>
      </c>
      <c r="B1690" s="1" t="s">
        <v>3980</v>
      </c>
      <c r="C1690" s="1" t="s">
        <v>5093</v>
      </c>
      <c r="D1690" s="1" t="str">
        <f t="shared" si="78"/>
        <v>København KommuneKompagnistræde 20 og Knabrostræde 18</v>
      </c>
      <c r="E1690" s="1" t="s">
        <v>5094</v>
      </c>
      <c r="F1690" s="1" t="s">
        <v>5095</v>
      </c>
      <c r="G1690" s="1">
        <v>1918</v>
      </c>
      <c r="H1690" s="1" t="s">
        <v>4047</v>
      </c>
      <c r="I1690" s="6" cm="1">
        <f t="array" ref="I1690">GetLatitude(D1690)</f>
        <v>556770624</v>
      </c>
      <c r="J1690" s="1" cm="1">
        <f t="array" ref="J1690">GetLongitude(D1690)</f>
        <v>125751381</v>
      </c>
      <c r="K1690" s="1">
        <f t="shared" si="79"/>
        <v>55.677062399999997</v>
      </c>
      <c r="L1690" s="1">
        <f t="shared" si="80"/>
        <v>12.5751381</v>
      </c>
    </row>
    <row r="1691" spans="1:12" ht="16" x14ac:dyDescent="0.2">
      <c r="A1691" s="1">
        <v>1690</v>
      </c>
      <c r="B1691" s="1" t="s">
        <v>3980</v>
      </c>
      <c r="C1691" s="1" t="s">
        <v>5096</v>
      </c>
      <c r="D1691" s="1" t="str">
        <f t="shared" si="78"/>
        <v>København KommuneKompagnistræde 21, hj af Knabrostræde</v>
      </c>
      <c r="E1691" s="1" t="s">
        <v>5097</v>
      </c>
      <c r="F1691" s="1" t="s">
        <v>5098</v>
      </c>
      <c r="G1691" s="1">
        <v>1918</v>
      </c>
      <c r="H1691" s="1" t="s">
        <v>5099</v>
      </c>
      <c r="I1691" s="6" cm="1">
        <f t="array" ref="I1691">GetLatitude(D1691)</f>
        <v>556773684</v>
      </c>
      <c r="J1691" s="1" cm="1">
        <f t="array" ref="J1691">GetLongitude(D1691)</f>
        <v>125750798</v>
      </c>
      <c r="K1691" s="1">
        <f t="shared" si="79"/>
        <v>55.677368399999999</v>
      </c>
      <c r="L1691" s="1">
        <f t="shared" si="80"/>
        <v>12.575079799999999</v>
      </c>
    </row>
    <row r="1692" spans="1:12" ht="16" x14ac:dyDescent="0.2">
      <c r="A1692" s="1">
        <v>1691</v>
      </c>
      <c r="B1692" s="1" t="s">
        <v>3980</v>
      </c>
      <c r="C1692" s="1" t="s">
        <v>5100</v>
      </c>
      <c r="D1692" s="1" t="str">
        <f t="shared" si="78"/>
        <v>København KommuneKompagnistræde 23</v>
      </c>
      <c r="E1692" s="1" t="s">
        <v>5101</v>
      </c>
      <c r="F1692" s="1" t="s">
        <v>5102</v>
      </c>
      <c r="G1692" s="1">
        <v>1918</v>
      </c>
      <c r="H1692" s="1" t="s">
        <v>15</v>
      </c>
      <c r="I1692" s="6" cm="1">
        <f t="array" ref="I1692">GetLatitude(D1692)</f>
        <v>556768500</v>
      </c>
      <c r="J1692" s="1" cm="1">
        <f t="array" ref="J1692">GetLongitude(D1692)</f>
        <v>125751342</v>
      </c>
      <c r="K1692" s="1">
        <f t="shared" si="79"/>
        <v>55.676850000000002</v>
      </c>
      <c r="L1692" s="1">
        <f t="shared" si="80"/>
        <v>12.575134200000001</v>
      </c>
    </row>
    <row r="1693" spans="1:12" ht="16" x14ac:dyDescent="0.2">
      <c r="A1693" s="1">
        <v>1692</v>
      </c>
      <c r="B1693" s="1" t="s">
        <v>3980</v>
      </c>
      <c r="C1693" s="1" t="s">
        <v>5103</v>
      </c>
      <c r="D1693" s="1" t="str">
        <f t="shared" si="78"/>
        <v>København KommuneKompagnistræde 24</v>
      </c>
      <c r="E1693" s="1" t="s">
        <v>5104</v>
      </c>
      <c r="F1693" s="1" t="s">
        <v>5105</v>
      </c>
      <c r="G1693" s="1">
        <v>1979</v>
      </c>
      <c r="H1693" s="1" t="s">
        <v>11</v>
      </c>
      <c r="I1693" s="6" cm="1">
        <f t="array" ref="I1693">GetLatitude(D1693)</f>
        <v>556768866</v>
      </c>
      <c r="J1693" s="1" cm="1">
        <f t="array" ref="J1693">GetLongitude(D1693)</f>
        <v>125746752</v>
      </c>
      <c r="K1693" s="1">
        <f t="shared" si="79"/>
        <v>55.676886600000003</v>
      </c>
      <c r="L1693" s="1">
        <f t="shared" si="80"/>
        <v>12.5746752</v>
      </c>
    </row>
    <row r="1694" spans="1:12" ht="16" x14ac:dyDescent="0.2">
      <c r="A1694" s="1">
        <v>1693</v>
      </c>
      <c r="B1694" s="1" t="s">
        <v>3980</v>
      </c>
      <c r="C1694" s="1" t="s">
        <v>5106</v>
      </c>
      <c r="D1694" s="1" t="str">
        <f t="shared" si="78"/>
        <v>København KommuneKompagnistræde 25</v>
      </c>
      <c r="E1694" s="1" t="s">
        <v>5107</v>
      </c>
      <c r="F1694" s="1" t="s">
        <v>5108</v>
      </c>
      <c r="G1694" s="1">
        <v>1945</v>
      </c>
      <c r="H1694" s="1" t="s">
        <v>11</v>
      </c>
      <c r="I1694" s="6" cm="1">
        <f t="array" ref="I1694">GetLatitude(D1694)</f>
        <v>556768089</v>
      </c>
      <c r="J1694" s="1" cm="1">
        <f t="array" ref="J1694">GetLongitude(D1694)</f>
        <v>125749995</v>
      </c>
      <c r="K1694" s="1">
        <f t="shared" si="79"/>
        <v>55.676808899999997</v>
      </c>
      <c r="L1694" s="1">
        <f t="shared" si="80"/>
        <v>12.574999500000001</v>
      </c>
    </row>
    <row r="1695" spans="1:12" ht="16" x14ac:dyDescent="0.2">
      <c r="A1695" s="1">
        <v>1694</v>
      </c>
      <c r="B1695" s="1" t="s">
        <v>3980</v>
      </c>
      <c r="C1695" s="1" t="s">
        <v>5109</v>
      </c>
      <c r="D1695" s="1" t="str">
        <f t="shared" si="78"/>
        <v>København KommuneKompagnistræde 29</v>
      </c>
      <c r="E1695" s="1" t="s">
        <v>5110</v>
      </c>
      <c r="F1695" s="1" t="s">
        <v>5111</v>
      </c>
      <c r="G1695" s="1">
        <v>1945</v>
      </c>
      <c r="H1695" s="1" t="s">
        <v>15</v>
      </c>
      <c r="I1695" s="6" cm="1">
        <f t="array" ref="I1695">GetLatitude(D1695)</f>
        <v>556767080</v>
      </c>
      <c r="J1695" s="1" cm="1">
        <f t="array" ref="J1695">GetLongitude(D1695)</f>
        <v>125748033</v>
      </c>
      <c r="K1695" s="1">
        <f t="shared" si="79"/>
        <v>55.676707999999998</v>
      </c>
      <c r="L1695" s="1">
        <f t="shared" si="80"/>
        <v>12.574803299999999</v>
      </c>
    </row>
    <row r="1696" spans="1:12" ht="16" x14ac:dyDescent="0.2">
      <c r="A1696" s="1">
        <v>1695</v>
      </c>
      <c r="B1696" s="1" t="s">
        <v>3980</v>
      </c>
      <c r="C1696" s="1" t="s">
        <v>5112</v>
      </c>
      <c r="D1696" s="1" t="str">
        <f t="shared" si="78"/>
        <v>København KommuneKompagnistræde 3</v>
      </c>
      <c r="E1696" s="1" t="s">
        <v>5113</v>
      </c>
      <c r="F1696" s="1" t="s">
        <v>5114</v>
      </c>
      <c r="G1696" s="1">
        <v>1945</v>
      </c>
      <c r="H1696" s="1" t="s">
        <v>1478</v>
      </c>
      <c r="I1696" s="6" cm="1">
        <f t="array" ref="I1696">GetLatitude(D1696)</f>
        <v>556775994</v>
      </c>
      <c r="J1696" s="1" cm="1">
        <f t="array" ref="J1696">GetLongitude(D1696)</f>
        <v>125767258</v>
      </c>
      <c r="K1696" s="1">
        <f t="shared" si="79"/>
        <v>55.677599399999998</v>
      </c>
      <c r="L1696" s="1">
        <f t="shared" si="80"/>
        <v>12.5767258</v>
      </c>
    </row>
    <row r="1697" spans="1:12" ht="16" x14ac:dyDescent="0.2">
      <c r="A1697" s="1">
        <v>1696</v>
      </c>
      <c r="B1697" s="1" t="s">
        <v>3980</v>
      </c>
      <c r="C1697" s="1" t="s">
        <v>5115</v>
      </c>
      <c r="D1697" s="1" t="str">
        <f t="shared" si="78"/>
        <v>København KommuneKompagnistræde 31</v>
      </c>
      <c r="E1697" s="1" t="s">
        <v>5116</v>
      </c>
      <c r="F1697" s="1" t="s">
        <v>5117</v>
      </c>
      <c r="G1697" s="1">
        <v>1945</v>
      </c>
      <c r="H1697" s="1" t="s">
        <v>11</v>
      </c>
      <c r="I1697" s="6" cm="1">
        <f t="array" ref="I1697">GetLatitude(D1697)</f>
        <v>556766846</v>
      </c>
      <c r="J1697" s="1" cm="1">
        <f t="array" ref="J1697">GetLongitude(D1697)</f>
        <v>125747099</v>
      </c>
      <c r="K1697" s="1">
        <f t="shared" si="79"/>
        <v>55.676684600000002</v>
      </c>
      <c r="L1697" s="1">
        <f t="shared" si="80"/>
        <v>12.5747099</v>
      </c>
    </row>
    <row r="1698" spans="1:12" ht="16" x14ac:dyDescent="0.2">
      <c r="A1698" s="1">
        <v>1697</v>
      </c>
      <c r="B1698" s="1" t="s">
        <v>3980</v>
      </c>
      <c r="C1698" s="1" t="s">
        <v>5118</v>
      </c>
      <c r="D1698" s="1" t="str">
        <f t="shared" si="78"/>
        <v>København KommuneKompagnistræde 32</v>
      </c>
      <c r="E1698" s="1" t="s">
        <v>5119</v>
      </c>
      <c r="F1698" s="1" t="s">
        <v>5120</v>
      </c>
      <c r="G1698" s="1">
        <v>1964</v>
      </c>
      <c r="H1698" s="1" t="s">
        <v>11</v>
      </c>
      <c r="I1698" s="6" cm="1">
        <f t="array" ref="I1698">GetLatitude(D1698)</f>
        <v>556765601</v>
      </c>
      <c r="J1698" s="1" cm="1">
        <f t="array" ref="J1698">GetLongitude(D1698)</f>
        <v>125736807</v>
      </c>
      <c r="K1698" s="1">
        <f t="shared" si="79"/>
        <v>55.676560100000003</v>
      </c>
      <c r="L1698" s="1">
        <f t="shared" si="80"/>
        <v>12.573680700000001</v>
      </c>
    </row>
    <row r="1699" spans="1:12" ht="16" x14ac:dyDescent="0.2">
      <c r="A1699" s="1">
        <v>1698</v>
      </c>
      <c r="B1699" s="1" t="s">
        <v>3980</v>
      </c>
      <c r="C1699" s="1" t="s">
        <v>5121</v>
      </c>
      <c r="D1699" s="1" t="str">
        <f t="shared" si="78"/>
        <v>København KommuneKompagnistræde 4</v>
      </c>
      <c r="E1699" s="1" t="s">
        <v>5122</v>
      </c>
      <c r="F1699" s="1" t="s">
        <v>5123</v>
      </c>
      <c r="G1699" s="1">
        <v>1978</v>
      </c>
      <c r="H1699" s="1" t="s">
        <v>11</v>
      </c>
      <c r="I1699" s="6" cm="1">
        <f t="array" ref="I1699">GetLatitude(D1699)</f>
        <v>556777482</v>
      </c>
      <c r="J1699" s="1" cm="1">
        <f t="array" ref="J1699">GetLongitude(D1699)</f>
        <v>125765670</v>
      </c>
      <c r="K1699" s="1">
        <f t="shared" si="79"/>
        <v>55.677748200000003</v>
      </c>
      <c r="L1699" s="1">
        <f t="shared" si="80"/>
        <v>12.576567000000001</v>
      </c>
    </row>
    <row r="1700" spans="1:12" ht="16" x14ac:dyDescent="0.2">
      <c r="A1700" s="1">
        <v>1699</v>
      </c>
      <c r="B1700" s="1" t="s">
        <v>3980</v>
      </c>
      <c r="C1700" s="1" t="s">
        <v>5124</v>
      </c>
      <c r="D1700" s="1" t="str">
        <f t="shared" si="78"/>
        <v>København KommuneKompagnistræde 5</v>
      </c>
      <c r="E1700" s="1" t="s">
        <v>5125</v>
      </c>
      <c r="F1700" s="1" t="s">
        <v>5126</v>
      </c>
      <c r="G1700" s="1">
        <v>1945</v>
      </c>
      <c r="H1700" s="1" t="s">
        <v>15</v>
      </c>
      <c r="I1700" s="6" cm="1">
        <f t="array" ref="I1700">GetLatitude(D1700)</f>
        <v>556775672</v>
      </c>
      <c r="J1700" s="1" cm="1">
        <f t="array" ref="J1700">GetLongitude(D1700)</f>
        <v>125766117</v>
      </c>
      <c r="K1700" s="1">
        <f t="shared" si="79"/>
        <v>55.677567199999999</v>
      </c>
      <c r="L1700" s="1">
        <f t="shared" si="80"/>
        <v>12.576611700000001</v>
      </c>
    </row>
    <row r="1701" spans="1:12" ht="16" x14ac:dyDescent="0.2">
      <c r="A1701" s="1">
        <v>1700</v>
      </c>
      <c r="B1701" s="1" t="s">
        <v>3980</v>
      </c>
      <c r="C1701" s="1" t="s">
        <v>5127</v>
      </c>
      <c r="D1701" s="1" t="str">
        <f t="shared" si="78"/>
        <v>København Kommune Kompagnistræde 7-7 A</v>
      </c>
      <c r="E1701" s="1" t="s">
        <v>5127</v>
      </c>
      <c r="F1701" s="1" t="s">
        <v>5128</v>
      </c>
      <c r="G1701" s="1">
        <v>1945</v>
      </c>
      <c r="H1701" s="1" t="s">
        <v>11</v>
      </c>
      <c r="I1701" s="6" cm="1">
        <f t="array" ref="I1701">GetLatitude(D1701)</f>
        <v>556775083</v>
      </c>
      <c r="J1701" s="1" cm="1">
        <f t="array" ref="J1701">GetLongitude(D1701)</f>
        <v>125764355</v>
      </c>
      <c r="K1701" s="1">
        <f t="shared" si="79"/>
        <v>55.6775083</v>
      </c>
      <c r="L1701" s="1">
        <f t="shared" si="80"/>
        <v>12.576435500000001</v>
      </c>
    </row>
    <row r="1702" spans="1:12" ht="16" x14ac:dyDescent="0.2">
      <c r="A1702" s="1">
        <v>1701</v>
      </c>
      <c r="B1702" s="1" t="s">
        <v>3980</v>
      </c>
      <c r="C1702" s="1" t="s">
        <v>5129</v>
      </c>
      <c r="D1702" s="1" t="str">
        <f t="shared" si="78"/>
        <v>København KommuneKompagnistræde 8, hj af Badstuestræde</v>
      </c>
      <c r="E1702" s="1" t="s">
        <v>5130</v>
      </c>
      <c r="F1702" s="1" t="s">
        <v>5131</v>
      </c>
      <c r="G1702" s="1">
        <v>1950</v>
      </c>
      <c r="H1702" s="1" t="s">
        <v>11</v>
      </c>
      <c r="I1702" s="6" cm="1">
        <f t="array" ref="I1702">GetLatitude(D1702)</f>
        <v>556776538</v>
      </c>
      <c r="J1702" s="1" cm="1">
        <f t="array" ref="J1702">GetLongitude(D1702)</f>
        <v>125763081</v>
      </c>
      <c r="K1702" s="1">
        <f t="shared" si="79"/>
        <v>55.677653800000002</v>
      </c>
      <c r="L1702" s="1">
        <f t="shared" si="80"/>
        <v>12.5763081</v>
      </c>
    </row>
    <row r="1703" spans="1:12" ht="16" x14ac:dyDescent="0.2">
      <c r="A1703" s="1">
        <v>1702</v>
      </c>
      <c r="B1703" s="1" t="s">
        <v>3980</v>
      </c>
      <c r="C1703" s="1" t="s">
        <v>5132</v>
      </c>
      <c r="D1703" s="1" t="str">
        <f t="shared" si="78"/>
        <v>København KommuneKompagnistræde 9</v>
      </c>
      <c r="E1703" s="1" t="s">
        <v>5133</v>
      </c>
      <c r="F1703" s="1" t="s">
        <v>5134</v>
      </c>
      <c r="G1703" s="1">
        <v>1945</v>
      </c>
      <c r="H1703" s="1" t="s">
        <v>5135</v>
      </c>
      <c r="I1703" s="6" cm="1">
        <f t="array" ref="I1703">GetLatitude(D1703)</f>
        <v>556774220</v>
      </c>
      <c r="J1703" s="1" cm="1">
        <f t="array" ref="J1703">GetLongitude(D1703)</f>
        <v>125763121</v>
      </c>
      <c r="K1703" s="1">
        <f t="shared" si="79"/>
        <v>55.677422</v>
      </c>
      <c r="L1703" s="1">
        <f t="shared" si="80"/>
        <v>12.576312100000001</v>
      </c>
    </row>
    <row r="1704" spans="1:12" ht="16" x14ac:dyDescent="0.2">
      <c r="A1704" s="1">
        <v>1703</v>
      </c>
      <c r="B1704" s="1" t="s">
        <v>3980</v>
      </c>
      <c r="C1704" s="1" t="s">
        <v>5136</v>
      </c>
      <c r="D1704" s="1" t="str">
        <f t="shared" si="78"/>
        <v>København KommuneKongens Nytorv</v>
      </c>
      <c r="E1704" s="1" t="s">
        <v>5137</v>
      </c>
      <c r="F1704" s="1" t="s">
        <v>5138</v>
      </c>
      <c r="G1704" s="1">
        <v>1918</v>
      </c>
      <c r="H1704" s="1" t="s">
        <v>5139</v>
      </c>
      <c r="I1704" s="6" cm="1">
        <f t="array" ref="I1704">GetLatitude(D1704)</f>
        <v>556799924</v>
      </c>
      <c r="J1704" s="1" cm="1">
        <f t="array" ref="J1704">GetLongitude(D1704)</f>
        <v>125864512</v>
      </c>
      <c r="K1704" s="1">
        <f t="shared" si="79"/>
        <v>55.679992400000003</v>
      </c>
      <c r="L1704" s="1">
        <f t="shared" si="80"/>
        <v>12.586451200000001</v>
      </c>
    </row>
    <row r="1705" spans="1:12" ht="16" x14ac:dyDescent="0.2">
      <c r="A1705" s="1">
        <v>1704</v>
      </c>
      <c r="B1705" s="1" t="s">
        <v>3980</v>
      </c>
      <c r="C1705" s="1" t="s">
        <v>5140</v>
      </c>
      <c r="D1705" s="1" t="str">
        <f t="shared" si="78"/>
        <v>København KommuneKongens Nytorv 1</v>
      </c>
      <c r="E1705" s="1" t="s">
        <v>5141</v>
      </c>
      <c r="F1705" s="1" t="s">
        <v>5142</v>
      </c>
      <c r="G1705" s="1">
        <v>1918</v>
      </c>
      <c r="H1705" s="1" t="s">
        <v>11</v>
      </c>
      <c r="I1705" s="6" cm="1">
        <f t="array" ref="I1705">GetLatitude(D1705)</f>
        <v>556803311</v>
      </c>
      <c r="J1705" s="1" cm="1">
        <f t="array" ref="J1705">GetLongitude(D1705)</f>
        <v>125874532</v>
      </c>
      <c r="K1705" s="1">
        <f t="shared" si="79"/>
        <v>55.680331099999997</v>
      </c>
      <c r="L1705" s="1">
        <f t="shared" si="80"/>
        <v>12.587453200000001</v>
      </c>
    </row>
    <row r="1706" spans="1:12" ht="16" x14ac:dyDescent="0.2">
      <c r="A1706" s="1">
        <v>1705</v>
      </c>
      <c r="B1706" s="1" t="s">
        <v>3980</v>
      </c>
      <c r="C1706" s="1" t="s">
        <v>5143</v>
      </c>
      <c r="D1706" s="1" t="str">
        <f t="shared" si="78"/>
        <v>København KommuneKongens Nytorv 19, hj af Lille Kongensgade</v>
      </c>
      <c r="E1706" s="1" t="s">
        <v>5144</v>
      </c>
      <c r="F1706" s="1" t="s">
        <v>5145</v>
      </c>
      <c r="G1706" s="1">
        <v>1964</v>
      </c>
      <c r="H1706" s="1" t="s">
        <v>15</v>
      </c>
      <c r="I1706" s="6" cm="1">
        <f t="array" ref="I1706">GetLatitude(D1706)</f>
        <v>556794772</v>
      </c>
      <c r="J1706" s="1" cm="1">
        <f t="array" ref="J1706">GetLongitude(D1706)</f>
        <v>125836468</v>
      </c>
      <c r="K1706" s="1">
        <f t="shared" si="79"/>
        <v>55.679477200000001</v>
      </c>
      <c r="L1706" s="1">
        <f t="shared" si="80"/>
        <v>12.5836468</v>
      </c>
    </row>
    <row r="1707" spans="1:12" ht="16" x14ac:dyDescent="0.2">
      <c r="A1707" s="1">
        <v>1706</v>
      </c>
      <c r="B1707" s="1" t="s">
        <v>3980</v>
      </c>
      <c r="C1707" s="1" t="s">
        <v>5146</v>
      </c>
      <c r="D1707" s="1" t="str">
        <f t="shared" si="78"/>
        <v>København KommuneKongens Nytorv 2, hj af Bredgade og Store Strandstræde</v>
      </c>
      <c r="E1707" s="1" t="s">
        <v>5147</v>
      </c>
      <c r="F1707" s="1" t="s">
        <v>5148</v>
      </c>
      <c r="G1707" s="1">
        <v>1918</v>
      </c>
      <c r="H1707" s="1" t="s">
        <v>15</v>
      </c>
      <c r="I1707" s="6" cm="1">
        <f t="array" ref="I1707">GetLatitude(D1707)</f>
        <v>556809200</v>
      </c>
      <c r="J1707" s="1" cm="1">
        <f t="array" ref="J1707">GetLongitude(D1707)</f>
        <v>125875790</v>
      </c>
      <c r="K1707" s="1">
        <f t="shared" si="79"/>
        <v>55.68092</v>
      </c>
      <c r="L1707" s="1">
        <f t="shared" si="80"/>
        <v>12.587579</v>
      </c>
    </row>
    <row r="1708" spans="1:12" ht="16" x14ac:dyDescent="0.2">
      <c r="A1708" s="1">
        <v>1707</v>
      </c>
      <c r="B1708" s="1" t="s">
        <v>3980</v>
      </c>
      <c r="C1708" s="1" t="s">
        <v>5149</v>
      </c>
      <c r="D1708" s="1" t="str">
        <f t="shared" si="78"/>
        <v>København KommuneKongens Nytorv 3-5</v>
      </c>
      <c r="E1708" s="1" t="s">
        <v>5150</v>
      </c>
      <c r="F1708" s="1" t="s">
        <v>5151</v>
      </c>
      <c r="G1708" s="1">
        <v>1918</v>
      </c>
      <c r="H1708" s="1" t="s">
        <v>11</v>
      </c>
      <c r="I1708" s="6" cm="1">
        <f t="array" ref="I1708">GetLatitude(D1708)</f>
        <v>556799554</v>
      </c>
      <c r="J1708" s="1" cm="1">
        <f t="array" ref="J1708">GetLongitude(D1708)</f>
        <v>125868723</v>
      </c>
      <c r="K1708" s="1">
        <f t="shared" si="79"/>
        <v>55.679955399999997</v>
      </c>
      <c r="L1708" s="1">
        <f t="shared" si="80"/>
        <v>12.5868723</v>
      </c>
    </row>
    <row r="1709" spans="1:12" ht="16" x14ac:dyDescent="0.2">
      <c r="A1709" s="1">
        <v>1708</v>
      </c>
      <c r="B1709" s="1" t="s">
        <v>3980</v>
      </c>
      <c r="C1709" s="1" t="s">
        <v>5152</v>
      </c>
      <c r="D1709" s="1" t="str">
        <f t="shared" si="78"/>
        <v>København KommuneKongens Nytorv 9</v>
      </c>
      <c r="E1709" s="1" t="s">
        <v>5153</v>
      </c>
      <c r="F1709" s="1" t="s">
        <v>5154</v>
      </c>
      <c r="G1709" s="1">
        <v>1985</v>
      </c>
      <c r="H1709" s="1" t="s">
        <v>11</v>
      </c>
      <c r="I1709" s="6" cm="1">
        <f t="array" ref="I1709">GetLatitude(D1709)</f>
        <v>556794579</v>
      </c>
      <c r="J1709" s="1" cm="1">
        <f t="array" ref="J1709">GetLongitude(D1709)</f>
        <v>125862094</v>
      </c>
      <c r="K1709" s="1">
        <f t="shared" si="79"/>
        <v>55.679457900000003</v>
      </c>
      <c r="L1709" s="1">
        <f t="shared" si="80"/>
        <v>12.5862094</v>
      </c>
    </row>
    <row r="1710" spans="1:12" ht="16" x14ac:dyDescent="0.2">
      <c r="A1710" s="1">
        <v>1709</v>
      </c>
      <c r="B1710" s="1" t="s">
        <v>3980</v>
      </c>
      <c r="C1710" s="1" t="s">
        <v>5155</v>
      </c>
      <c r="D1710" s="1" t="str">
        <f t="shared" si="78"/>
        <v>København KommuneKronprinsensgade 5</v>
      </c>
      <c r="E1710" s="1" t="s">
        <v>5156</v>
      </c>
      <c r="F1710" s="1" t="s">
        <v>5157</v>
      </c>
      <c r="G1710" s="1">
        <v>1918</v>
      </c>
      <c r="H1710" s="1" t="s">
        <v>5158</v>
      </c>
      <c r="I1710" s="6" cm="1">
        <f t="array" ref="I1710">GetLatitude(D1710)</f>
        <v>556807349</v>
      </c>
      <c r="J1710" s="1" cm="1">
        <f t="array" ref="J1710">GetLongitude(D1710)</f>
        <v>125789020</v>
      </c>
      <c r="K1710" s="1">
        <f t="shared" si="79"/>
        <v>55.680734899999997</v>
      </c>
      <c r="L1710" s="1">
        <f t="shared" si="80"/>
        <v>12.578901999999999</v>
      </c>
    </row>
    <row r="1711" spans="1:12" ht="16" x14ac:dyDescent="0.2">
      <c r="A1711" s="1">
        <v>1710</v>
      </c>
      <c r="B1711" s="1" t="s">
        <v>3980</v>
      </c>
      <c r="C1711" s="1" t="s">
        <v>5159</v>
      </c>
      <c r="D1711" s="1" t="str">
        <f t="shared" si="78"/>
        <v>København KommuneKronprinsensgade 7</v>
      </c>
      <c r="E1711" s="1" t="s">
        <v>5160</v>
      </c>
      <c r="F1711" s="1" t="s">
        <v>5161</v>
      </c>
      <c r="G1711" s="1">
        <v>1918</v>
      </c>
      <c r="H1711" s="1" t="s">
        <v>11</v>
      </c>
      <c r="I1711" s="6" cm="1">
        <f t="array" ref="I1711">GetLatitude(D1711)</f>
        <v>556807419</v>
      </c>
      <c r="J1711" s="1" cm="1">
        <f t="array" ref="J1711">GetLongitude(D1711)</f>
        <v>125791331</v>
      </c>
      <c r="K1711" s="1">
        <f t="shared" si="79"/>
        <v>55.680741900000001</v>
      </c>
      <c r="L1711" s="1">
        <f t="shared" si="80"/>
        <v>12.5791331</v>
      </c>
    </row>
    <row r="1712" spans="1:12" ht="16" x14ac:dyDescent="0.2">
      <c r="A1712" s="1">
        <v>1711</v>
      </c>
      <c r="B1712" s="1" t="s">
        <v>3980</v>
      </c>
      <c r="C1712" s="1" t="s">
        <v>5162</v>
      </c>
      <c r="D1712" s="1" t="str">
        <f t="shared" si="78"/>
        <v>København KommuneKronprinsessegade 10-12</v>
      </c>
      <c r="E1712" s="1" t="s">
        <v>5163</v>
      </c>
      <c r="F1712" s="1" t="s">
        <v>5164</v>
      </c>
      <c r="G1712" s="1">
        <v>1945</v>
      </c>
      <c r="H1712" s="1" t="s">
        <v>11</v>
      </c>
      <c r="I1712" s="6" cm="1">
        <f t="array" ref="I1712">GetLatitude(D1712)</f>
        <v>556831954</v>
      </c>
      <c r="J1712" s="1" cm="1">
        <f t="array" ref="J1712">GetLongitude(D1712)</f>
        <v>125817862</v>
      </c>
      <c r="K1712" s="1">
        <f t="shared" si="79"/>
        <v>55.683195400000002</v>
      </c>
      <c r="L1712" s="1">
        <f t="shared" si="80"/>
        <v>12.5817862</v>
      </c>
    </row>
    <row r="1713" spans="1:12" ht="16" x14ac:dyDescent="0.2">
      <c r="A1713" s="1">
        <v>1712</v>
      </c>
      <c r="B1713" s="1" t="s">
        <v>3980</v>
      </c>
      <c r="C1713" s="1" t="s">
        <v>5165</v>
      </c>
      <c r="D1713" s="1" t="str">
        <f t="shared" si="78"/>
        <v>København KommuneKronprinsessegade 1-25, Gothersgade 60 og Sølvgade 23 Z</v>
      </c>
      <c r="E1713" s="1" t="s">
        <v>5166</v>
      </c>
      <c r="F1713" s="1" t="s">
        <v>5167</v>
      </c>
      <c r="G1713" s="1">
        <v>1918</v>
      </c>
      <c r="H1713" s="1" t="s">
        <v>15</v>
      </c>
      <c r="I1713" s="6" cm="1">
        <f t="array" ref="I1713">GetLatitude(D1713)</f>
        <v>556814716</v>
      </c>
      <c r="J1713" s="1" cm="1">
        <f t="array" ref="J1713">GetLongitude(D1713)</f>
        <v>125847592</v>
      </c>
      <c r="K1713" s="1">
        <f t="shared" si="79"/>
        <v>55.681471600000002</v>
      </c>
      <c r="L1713" s="1">
        <f t="shared" si="80"/>
        <v>12.584759200000001</v>
      </c>
    </row>
    <row r="1714" spans="1:12" ht="16" x14ac:dyDescent="0.2">
      <c r="A1714" s="1">
        <v>1713</v>
      </c>
      <c r="B1714" s="1" t="s">
        <v>3980</v>
      </c>
      <c r="C1714" s="1" t="s">
        <v>5168</v>
      </c>
      <c r="D1714" s="1" t="str">
        <f t="shared" si="78"/>
        <v>København KommuneKronprinsessegade 14</v>
      </c>
      <c r="E1714" s="1" t="s">
        <v>5169</v>
      </c>
      <c r="F1714" s="1" t="s">
        <v>5170</v>
      </c>
      <c r="G1714" s="1">
        <v>1918</v>
      </c>
      <c r="H1714" s="1" t="s">
        <v>4047</v>
      </c>
      <c r="I1714" s="6" cm="1">
        <f t="array" ref="I1714">GetLatitude(D1714)</f>
        <v>556834293</v>
      </c>
      <c r="J1714" s="1" cm="1">
        <f t="array" ref="J1714">GetLongitude(D1714)</f>
        <v>125815120</v>
      </c>
      <c r="K1714" s="1">
        <f t="shared" si="79"/>
        <v>55.6834293</v>
      </c>
      <c r="L1714" s="1">
        <f t="shared" si="80"/>
        <v>12.581512</v>
      </c>
    </row>
    <row r="1715" spans="1:12" ht="16" x14ac:dyDescent="0.2">
      <c r="A1715" s="1">
        <v>1714</v>
      </c>
      <c r="B1715" s="1" t="s">
        <v>3980</v>
      </c>
      <c r="C1715" s="1" t="s">
        <v>5171</v>
      </c>
      <c r="D1715" s="1" t="str">
        <f t="shared" si="78"/>
        <v>København KommuneKronprinsessegade 16</v>
      </c>
      <c r="E1715" s="1" t="s">
        <v>5172</v>
      </c>
      <c r="F1715" s="1" t="s">
        <v>5173</v>
      </c>
      <c r="G1715" s="1">
        <v>1945</v>
      </c>
      <c r="H1715" s="1" t="s">
        <v>11</v>
      </c>
      <c r="I1715" s="6" cm="1">
        <f t="array" ref="I1715">GetLatitude(D1715)</f>
        <v>556835162</v>
      </c>
      <c r="J1715" s="1" cm="1">
        <f t="array" ref="J1715">GetLongitude(D1715)</f>
        <v>125817308</v>
      </c>
      <c r="K1715" s="1">
        <f t="shared" si="79"/>
        <v>55.6835162</v>
      </c>
      <c r="L1715" s="1">
        <f t="shared" si="80"/>
        <v>12.581730800000001</v>
      </c>
    </row>
    <row r="1716" spans="1:12" ht="16" x14ac:dyDescent="0.2">
      <c r="A1716" s="1">
        <v>1715</v>
      </c>
      <c r="B1716" s="1" t="s">
        <v>3980</v>
      </c>
      <c r="C1716" s="1" t="s">
        <v>5174</v>
      </c>
      <c r="D1716" s="1" t="str">
        <f t="shared" si="78"/>
        <v>København KommuneKronprinsessegade 18</v>
      </c>
      <c r="E1716" s="1" t="s">
        <v>5175</v>
      </c>
      <c r="F1716" s="1" t="s">
        <v>5176</v>
      </c>
      <c r="G1716" s="1">
        <v>1945</v>
      </c>
      <c r="H1716" s="1" t="s">
        <v>11</v>
      </c>
      <c r="I1716" s="6" cm="1">
        <f t="array" ref="I1716">GetLatitude(D1716)</f>
        <v>556835670</v>
      </c>
      <c r="J1716" s="1" cm="1">
        <f t="array" ref="J1716">GetLongitude(D1716)</f>
        <v>125817716</v>
      </c>
      <c r="K1716" s="1">
        <f t="shared" si="79"/>
        <v>55.683566999999996</v>
      </c>
      <c r="L1716" s="1">
        <f t="shared" si="80"/>
        <v>12.5817716</v>
      </c>
    </row>
    <row r="1717" spans="1:12" ht="16" x14ac:dyDescent="0.2">
      <c r="A1717" s="1">
        <v>1716</v>
      </c>
      <c r="B1717" s="1" t="s">
        <v>3980</v>
      </c>
      <c r="C1717" s="1" t="s">
        <v>5177</v>
      </c>
      <c r="D1717" s="1" t="str">
        <f t="shared" si="78"/>
        <v>København KommuneKronprinsessegade 2, hj af Gothersgade</v>
      </c>
      <c r="E1717" s="1" t="s">
        <v>5178</v>
      </c>
      <c r="F1717" s="1" t="s">
        <v>5179</v>
      </c>
      <c r="G1717" s="1">
        <v>1918</v>
      </c>
      <c r="H1717" s="1" t="s">
        <v>11</v>
      </c>
      <c r="I1717" s="6" cm="1">
        <f t="array" ref="I1717">GetLatitude(D1717)</f>
        <v>556863928</v>
      </c>
      <c r="J1717" s="1" cm="1">
        <f t="array" ref="J1717">GetLongitude(D1717)</f>
        <v>125840257</v>
      </c>
      <c r="K1717" s="1">
        <f t="shared" si="79"/>
        <v>55.6863928</v>
      </c>
      <c r="L1717" s="1">
        <f t="shared" si="80"/>
        <v>12.5840257</v>
      </c>
    </row>
    <row r="1718" spans="1:12" ht="16" x14ac:dyDescent="0.2">
      <c r="A1718" s="1">
        <v>1717</v>
      </c>
      <c r="B1718" s="1" t="s">
        <v>3980</v>
      </c>
      <c r="C1718" s="1" t="s">
        <v>5180</v>
      </c>
      <c r="D1718" s="1" t="str">
        <f t="shared" si="78"/>
        <v>København KommuneKronprinsessegade 20</v>
      </c>
      <c r="E1718" s="1" t="s">
        <v>5181</v>
      </c>
      <c r="F1718" s="1" t="s">
        <v>5182</v>
      </c>
      <c r="G1718" s="1">
        <v>1945</v>
      </c>
      <c r="H1718" s="1" t="s">
        <v>11</v>
      </c>
      <c r="I1718" s="6" cm="1">
        <f t="array" ref="I1718">GetLatitude(D1718)</f>
        <v>556837230</v>
      </c>
      <c r="J1718" s="1" cm="1">
        <f t="array" ref="J1718">GetLongitude(D1718)</f>
        <v>125817700</v>
      </c>
      <c r="K1718" s="1">
        <f t="shared" si="79"/>
        <v>55.683723000000001</v>
      </c>
      <c r="L1718" s="1">
        <f t="shared" si="80"/>
        <v>12.581770000000001</v>
      </c>
    </row>
    <row r="1719" spans="1:12" ht="16" x14ac:dyDescent="0.2">
      <c r="A1719" s="1">
        <v>1718</v>
      </c>
      <c r="B1719" s="1" t="s">
        <v>3980</v>
      </c>
      <c r="C1719" s="1" t="s">
        <v>11399</v>
      </c>
      <c r="D1719" s="1" t="str">
        <f t="shared" si="78"/>
        <v>København KommuneKronprinsessegade 22</v>
      </c>
      <c r="E1719" s="1" t="s">
        <v>11399</v>
      </c>
      <c r="F1719" s="1" t="s">
        <v>5183</v>
      </c>
      <c r="G1719" s="1">
        <v>1918</v>
      </c>
      <c r="H1719" s="1"/>
      <c r="I1719" s="6" cm="1">
        <f t="array" ref="I1719">GetLatitude(D1719)</f>
        <v>556838965</v>
      </c>
      <c r="J1719" s="1" cm="1">
        <f t="array" ref="J1719">GetLongitude(D1719)</f>
        <v>125819953</v>
      </c>
      <c r="K1719" s="1">
        <f t="shared" si="79"/>
        <v>55.683896500000003</v>
      </c>
      <c r="L1719" s="1">
        <f t="shared" si="80"/>
        <v>12.581995300000001</v>
      </c>
    </row>
    <row r="1720" spans="1:12" ht="16" x14ac:dyDescent="0.2">
      <c r="A1720" s="1">
        <v>1719</v>
      </c>
      <c r="B1720" s="1" t="s">
        <v>3980</v>
      </c>
      <c r="C1720" s="1" t="s">
        <v>11400</v>
      </c>
      <c r="D1720" s="1" t="str">
        <f t="shared" si="78"/>
        <v>København KommuneKronprinsessegade 24</v>
      </c>
      <c r="E1720" s="1" t="s">
        <v>11401</v>
      </c>
      <c r="F1720" s="1" t="s">
        <v>5183</v>
      </c>
      <c r="G1720" s="1">
        <v>1945</v>
      </c>
      <c r="H1720" s="1" t="s">
        <v>11</v>
      </c>
      <c r="I1720" s="6" cm="1">
        <f t="array" ref="I1720">GetLatitude(D1720)</f>
        <v>556839529</v>
      </c>
      <c r="J1720" s="1" cm="1">
        <f t="array" ref="J1720">GetLongitude(D1720)</f>
        <v>125820436</v>
      </c>
      <c r="K1720" s="1">
        <f t="shared" si="79"/>
        <v>55.683952900000001</v>
      </c>
      <c r="L1720" s="1">
        <f t="shared" si="80"/>
        <v>12.5820436</v>
      </c>
    </row>
    <row r="1721" spans="1:12" ht="16" x14ac:dyDescent="0.2">
      <c r="A1721" s="1">
        <v>1720</v>
      </c>
      <c r="B1721" s="1" t="s">
        <v>3980</v>
      </c>
      <c r="C1721" s="1" t="s">
        <v>5184</v>
      </c>
      <c r="D1721" s="1" t="str">
        <f t="shared" si="78"/>
        <v>København KommuneKronprinsessegade 26</v>
      </c>
      <c r="E1721" s="1" t="s">
        <v>5185</v>
      </c>
      <c r="F1721" s="1" t="s">
        <v>5186</v>
      </c>
      <c r="G1721" s="1">
        <v>1932</v>
      </c>
      <c r="H1721" s="1" t="s">
        <v>11</v>
      </c>
      <c r="I1721" s="6" cm="1">
        <f t="array" ref="I1721">GetLatitude(D1721)</f>
        <v>556840435</v>
      </c>
      <c r="J1721" s="1" cm="1">
        <f t="array" ref="J1721">GetLongitude(D1721)</f>
        <v>125820402</v>
      </c>
      <c r="K1721" s="1">
        <f t="shared" si="79"/>
        <v>55.684043500000001</v>
      </c>
      <c r="L1721" s="1">
        <f t="shared" si="80"/>
        <v>12.5820402</v>
      </c>
    </row>
    <row r="1722" spans="1:12" ht="16" x14ac:dyDescent="0.2">
      <c r="A1722" s="1">
        <v>1721</v>
      </c>
      <c r="B1722" s="1" t="s">
        <v>3980</v>
      </c>
      <c r="C1722" s="1" t="s">
        <v>5187</v>
      </c>
      <c r="D1722" s="1" t="str">
        <f t="shared" si="78"/>
        <v>København KommuneKronprinsessegade 28</v>
      </c>
      <c r="E1722" s="1" t="s">
        <v>5188</v>
      </c>
      <c r="F1722" s="1" t="s">
        <v>5189</v>
      </c>
      <c r="G1722" s="1">
        <v>1945</v>
      </c>
      <c r="H1722" s="1" t="s">
        <v>15</v>
      </c>
      <c r="I1722" s="6" cm="1">
        <f t="array" ref="I1722">GetLatitude(D1722)</f>
        <v>556841648</v>
      </c>
      <c r="J1722" s="1" cm="1">
        <f t="array" ref="J1722">GetLongitude(D1722)</f>
        <v>125821454</v>
      </c>
      <c r="K1722" s="1">
        <f t="shared" si="79"/>
        <v>55.684164799999998</v>
      </c>
      <c r="L1722" s="1">
        <f t="shared" si="80"/>
        <v>12.5821454</v>
      </c>
    </row>
    <row r="1723" spans="1:12" ht="16" x14ac:dyDescent="0.2">
      <c r="A1723" s="1">
        <v>1722</v>
      </c>
      <c r="B1723" s="1" t="s">
        <v>3980</v>
      </c>
      <c r="C1723" s="1" t="s">
        <v>5190</v>
      </c>
      <c r="D1723" s="1" t="str">
        <f t="shared" si="78"/>
        <v>København KommuneKronprinsessegade 30</v>
      </c>
      <c r="E1723" s="1" t="s">
        <v>5191</v>
      </c>
      <c r="F1723" s="1" t="s">
        <v>5192</v>
      </c>
      <c r="G1723" s="1">
        <v>1945</v>
      </c>
      <c r="H1723" s="1" t="s">
        <v>11</v>
      </c>
      <c r="I1723" s="6" cm="1">
        <f t="array" ref="I1723">GetLatitude(D1723)</f>
        <v>556842905</v>
      </c>
      <c r="J1723" s="1" cm="1">
        <f t="array" ref="J1723">GetLongitude(D1723)</f>
        <v>125824472</v>
      </c>
      <c r="K1723" s="1">
        <f t="shared" si="79"/>
        <v>55.684290500000003</v>
      </c>
      <c r="L1723" s="1">
        <f t="shared" si="80"/>
        <v>12.582447200000001</v>
      </c>
    </row>
    <row r="1724" spans="1:12" ht="16" x14ac:dyDescent="0.2">
      <c r="A1724" s="1">
        <v>1723</v>
      </c>
      <c r="B1724" s="1" t="s">
        <v>3980</v>
      </c>
      <c r="C1724" s="1" t="s">
        <v>5193</v>
      </c>
      <c r="D1724" s="1" t="str">
        <f t="shared" si="78"/>
        <v>København KommuneKronprinsessegade 32</v>
      </c>
      <c r="E1724" s="1" t="s">
        <v>5194</v>
      </c>
      <c r="F1724" s="1" t="s">
        <v>5195</v>
      </c>
      <c r="G1724" s="1">
        <v>1918</v>
      </c>
      <c r="H1724" s="1" t="s">
        <v>11</v>
      </c>
      <c r="I1724" s="6" cm="1">
        <f t="array" ref="I1724">GetLatitude(D1724)</f>
        <v>556843753</v>
      </c>
      <c r="J1724" s="1" cm="1">
        <f t="array" ref="J1724">GetLongitude(D1724)</f>
        <v>125823161</v>
      </c>
      <c r="K1724" s="1">
        <f t="shared" si="79"/>
        <v>55.684375299999999</v>
      </c>
      <c r="L1724" s="1">
        <f t="shared" si="80"/>
        <v>12.5823161</v>
      </c>
    </row>
    <row r="1725" spans="1:12" ht="16" x14ac:dyDescent="0.2">
      <c r="A1725" s="1">
        <v>1724</v>
      </c>
      <c r="B1725" s="1" t="s">
        <v>3980</v>
      </c>
      <c r="C1725" s="1" t="s">
        <v>5196</v>
      </c>
      <c r="D1725" s="1" t="str">
        <f t="shared" si="78"/>
        <v>København KommuneKronprinsessegade 34</v>
      </c>
      <c r="E1725" s="1" t="s">
        <v>5197</v>
      </c>
      <c r="F1725" s="1" t="s">
        <v>5198</v>
      </c>
      <c r="G1725" s="1">
        <v>1945</v>
      </c>
      <c r="H1725" s="1" t="s">
        <v>11</v>
      </c>
      <c r="I1725" s="6" cm="1">
        <f t="array" ref="I1725">GetLatitude(D1725)</f>
        <v>556844705</v>
      </c>
      <c r="J1725" s="1" cm="1">
        <f t="array" ref="J1725">GetLongitude(D1725)</f>
        <v>125826399</v>
      </c>
      <c r="K1725" s="1">
        <f t="shared" si="79"/>
        <v>55.684470500000003</v>
      </c>
      <c r="L1725" s="1">
        <f t="shared" si="80"/>
        <v>12.5826399</v>
      </c>
    </row>
    <row r="1726" spans="1:12" ht="16" x14ac:dyDescent="0.2">
      <c r="A1726" s="1">
        <v>1725</v>
      </c>
      <c r="B1726" s="1" t="s">
        <v>3980</v>
      </c>
      <c r="C1726" s="1" t="s">
        <v>5199</v>
      </c>
      <c r="D1726" s="1" t="str">
        <f t="shared" si="78"/>
        <v>København KommuneKronprinsessegade 36</v>
      </c>
      <c r="E1726" s="1" t="s">
        <v>5200</v>
      </c>
      <c r="F1726" s="1" t="s">
        <v>5201</v>
      </c>
      <c r="G1726" s="1">
        <v>1945</v>
      </c>
      <c r="H1726" s="1" t="s">
        <v>11</v>
      </c>
      <c r="I1726" s="6" cm="1">
        <f t="array" ref="I1726">GetLatitude(D1726)</f>
        <v>556846199</v>
      </c>
      <c r="J1726" s="1" cm="1">
        <f t="array" ref="J1726">GetLongitude(D1726)</f>
        <v>125826709</v>
      </c>
      <c r="K1726" s="1">
        <f t="shared" si="79"/>
        <v>55.684619900000001</v>
      </c>
      <c r="L1726" s="1">
        <f t="shared" si="80"/>
        <v>12.5826709</v>
      </c>
    </row>
    <row r="1727" spans="1:12" ht="16" x14ac:dyDescent="0.2">
      <c r="A1727" s="1">
        <v>1726</v>
      </c>
      <c r="B1727" s="1" t="s">
        <v>3980</v>
      </c>
      <c r="C1727" s="1" t="s">
        <v>5202</v>
      </c>
      <c r="D1727" s="1" t="str">
        <f t="shared" si="78"/>
        <v>København KommuneKronprinsessegade 38, hj af Dronningens Tværgade</v>
      </c>
      <c r="E1727" s="1" t="s">
        <v>5203</v>
      </c>
      <c r="F1727" s="1" t="s">
        <v>5204</v>
      </c>
      <c r="G1727" s="1">
        <v>1945</v>
      </c>
      <c r="H1727" s="1" t="s">
        <v>11</v>
      </c>
      <c r="I1727" s="6" cm="1">
        <f t="array" ref="I1727">GetLatitude(D1727)</f>
        <v>556840634</v>
      </c>
      <c r="J1727" s="1" cm="1">
        <f t="array" ref="J1727">GetLongitude(D1727)</f>
        <v>125855590</v>
      </c>
      <c r="K1727" s="1">
        <f t="shared" si="79"/>
        <v>55.684063399999999</v>
      </c>
      <c r="L1727" s="1">
        <f t="shared" si="80"/>
        <v>12.585559</v>
      </c>
    </row>
    <row r="1728" spans="1:12" ht="16" x14ac:dyDescent="0.2">
      <c r="A1728" s="1">
        <v>1727</v>
      </c>
      <c r="B1728" s="1" t="s">
        <v>3980</v>
      </c>
      <c r="C1728" s="1" t="s">
        <v>5205</v>
      </c>
      <c r="D1728" s="1" t="str">
        <f t="shared" si="78"/>
        <v>København KommuneKronprinsessegade 40, hj af Dronningens Tværgade</v>
      </c>
      <c r="E1728" s="1" t="s">
        <v>5206</v>
      </c>
      <c r="F1728" s="1" t="s">
        <v>5207</v>
      </c>
      <c r="G1728" s="1">
        <v>1950</v>
      </c>
      <c r="H1728" s="1" t="s">
        <v>15</v>
      </c>
      <c r="I1728" s="6" cm="1">
        <f t="array" ref="I1728">GetLatitude(D1728)</f>
        <v>556840634</v>
      </c>
      <c r="J1728" s="1" cm="1">
        <f t="array" ref="J1728">GetLongitude(D1728)</f>
        <v>125855590</v>
      </c>
      <c r="K1728" s="1">
        <f t="shared" si="79"/>
        <v>55.684063399999999</v>
      </c>
      <c r="L1728" s="1">
        <f t="shared" si="80"/>
        <v>12.585559</v>
      </c>
    </row>
    <row r="1729" spans="1:12" ht="16" x14ac:dyDescent="0.2">
      <c r="A1729" s="1">
        <v>1728</v>
      </c>
      <c r="B1729" s="1" t="s">
        <v>3980</v>
      </c>
      <c r="C1729" s="1" t="s">
        <v>5208</v>
      </c>
      <c r="D1729" s="1" t="str">
        <f t="shared" si="78"/>
        <v>København KommuneKronprinsessegade 42</v>
      </c>
      <c r="E1729" s="1" t="s">
        <v>5209</v>
      </c>
      <c r="F1729" s="1" t="s">
        <v>5210</v>
      </c>
      <c r="G1729" s="1">
        <v>1945</v>
      </c>
      <c r="H1729" s="1" t="s">
        <v>11</v>
      </c>
      <c r="I1729" s="6" cm="1">
        <f t="array" ref="I1729">GetLatitude(D1729)</f>
        <v>556850801</v>
      </c>
      <c r="J1729" s="1" cm="1">
        <f t="array" ref="J1729">GetLongitude(D1729)</f>
        <v>125829271</v>
      </c>
      <c r="K1729" s="1">
        <f t="shared" si="79"/>
        <v>55.6850801</v>
      </c>
      <c r="L1729" s="1">
        <f t="shared" si="80"/>
        <v>12.582927099999999</v>
      </c>
    </row>
    <row r="1730" spans="1:12" ht="16" x14ac:dyDescent="0.2">
      <c r="A1730" s="1">
        <v>1729</v>
      </c>
      <c r="B1730" s="1" t="s">
        <v>3980</v>
      </c>
      <c r="C1730" s="1" t="s">
        <v>5211</v>
      </c>
      <c r="D1730" s="1" t="str">
        <f t="shared" si="78"/>
        <v>København KommuneKronprinsessegade 44</v>
      </c>
      <c r="E1730" s="1" t="s">
        <v>5212</v>
      </c>
      <c r="F1730" s="1" t="s">
        <v>5213</v>
      </c>
      <c r="G1730" s="1">
        <v>1945</v>
      </c>
      <c r="H1730" s="1" t="s">
        <v>1319</v>
      </c>
      <c r="I1730" s="6" cm="1">
        <f t="array" ref="I1730">GetLatitude(D1730)</f>
        <v>556851142</v>
      </c>
      <c r="J1730" s="1" cm="1">
        <f t="array" ref="J1730">GetLongitude(D1730)</f>
        <v>125829343</v>
      </c>
      <c r="K1730" s="1">
        <f t="shared" si="79"/>
        <v>55.685114200000001</v>
      </c>
      <c r="L1730" s="1">
        <f t="shared" si="80"/>
        <v>12.5829343</v>
      </c>
    </row>
    <row r="1731" spans="1:12" ht="16" x14ac:dyDescent="0.2">
      <c r="A1731" s="1">
        <v>1730</v>
      </c>
      <c r="B1731" s="1" t="s">
        <v>3980</v>
      </c>
      <c r="C1731" s="1" t="s">
        <v>5214</v>
      </c>
      <c r="D1731" s="1" t="str">
        <f t="shared" ref="D1731:D1794" si="81">B1731&amp;C1731</f>
        <v>København KommuneKronprinsessegade 46 A-E</v>
      </c>
      <c r="E1731" s="1" t="s">
        <v>5215</v>
      </c>
      <c r="F1731" s="1" t="s">
        <v>5216</v>
      </c>
      <c r="G1731" s="1">
        <v>1918</v>
      </c>
      <c r="H1731" s="1" t="s">
        <v>5217</v>
      </c>
      <c r="I1731" s="6" cm="1">
        <f t="array" ref="I1731">GetLatitude(D1731)</f>
        <v>556852268</v>
      </c>
      <c r="J1731" s="1" cm="1">
        <f t="array" ref="J1731">GetLongitude(D1731)</f>
        <v>125836194</v>
      </c>
      <c r="K1731" s="1">
        <f t="shared" si="79"/>
        <v>55.685226800000002</v>
      </c>
      <c r="L1731" s="1">
        <f t="shared" si="80"/>
        <v>12.5836194</v>
      </c>
    </row>
    <row r="1732" spans="1:12" ht="16" x14ac:dyDescent="0.2">
      <c r="A1732" s="1">
        <v>1731</v>
      </c>
      <c r="B1732" s="1" t="s">
        <v>3980</v>
      </c>
      <c r="C1732" s="1" t="s">
        <v>5218</v>
      </c>
      <c r="D1732" s="1" t="str">
        <f t="shared" si="81"/>
        <v>København KommuneKronprinsessegade 46 A og E</v>
      </c>
      <c r="E1732" s="1" t="s">
        <v>5219</v>
      </c>
      <c r="F1732" s="1" t="s">
        <v>5220</v>
      </c>
      <c r="G1732" s="1">
        <v>1918</v>
      </c>
      <c r="H1732" s="1" t="s">
        <v>2620</v>
      </c>
      <c r="I1732" s="6" cm="1">
        <f t="array" ref="I1732">GetLatitude(D1732)</f>
        <v>556853144</v>
      </c>
      <c r="J1732" s="1" cm="1">
        <f t="array" ref="J1732">GetLongitude(D1732)</f>
        <v>125832010</v>
      </c>
      <c r="K1732" s="1">
        <f t="shared" ref="K1732:K1795" si="82">I1732/10000000</f>
        <v>55.685314400000003</v>
      </c>
      <c r="L1732" s="1">
        <f t="shared" ref="L1732:L1795" si="83">J1732/10000000</f>
        <v>12.583201000000001</v>
      </c>
    </row>
    <row r="1733" spans="1:12" ht="16" x14ac:dyDescent="0.2">
      <c r="A1733" s="1">
        <v>1732</v>
      </c>
      <c r="B1733" s="1" t="s">
        <v>3980</v>
      </c>
      <c r="C1733" s="1" t="s">
        <v>5221</v>
      </c>
      <c r="D1733" s="1" t="str">
        <f t="shared" si="81"/>
        <v>København KommuneKronprinsessegade 6</v>
      </c>
      <c r="E1733" s="1" t="s">
        <v>5222</v>
      </c>
      <c r="F1733" s="1" t="s">
        <v>5223</v>
      </c>
      <c r="G1733" s="1">
        <v>1945</v>
      </c>
      <c r="H1733" s="1" t="s">
        <v>11</v>
      </c>
      <c r="I1733" s="6" cm="1">
        <f t="array" ref="I1733">GetLatitude(D1733)</f>
        <v>556830406</v>
      </c>
      <c r="J1733" s="1" cm="1">
        <f t="array" ref="J1733">GetLongitude(D1733)</f>
        <v>125813220</v>
      </c>
      <c r="K1733" s="1">
        <f t="shared" si="82"/>
        <v>55.683040599999998</v>
      </c>
      <c r="L1733" s="1">
        <f t="shared" si="83"/>
        <v>12.581322</v>
      </c>
    </row>
    <row r="1734" spans="1:12" ht="16" x14ac:dyDescent="0.2">
      <c r="A1734" s="1">
        <v>1733</v>
      </c>
      <c r="B1734" s="1" t="s">
        <v>3980</v>
      </c>
      <c r="C1734" s="1" t="s">
        <v>5224</v>
      </c>
      <c r="D1734" s="1" t="str">
        <f t="shared" si="81"/>
        <v>København KommuneKronprinsessegade 8</v>
      </c>
      <c r="E1734" s="1" t="s">
        <v>5225</v>
      </c>
      <c r="F1734" s="1" t="s">
        <v>5226</v>
      </c>
      <c r="G1734" s="1">
        <v>1945</v>
      </c>
      <c r="H1734" s="1" t="s">
        <v>11</v>
      </c>
      <c r="I1734" s="6" cm="1">
        <f t="array" ref="I1734">GetLatitude(D1734)</f>
        <v>556831601</v>
      </c>
      <c r="J1734" s="1" cm="1">
        <f t="array" ref="J1734">GetLongitude(D1734)</f>
        <v>125814450</v>
      </c>
      <c r="K1734" s="1">
        <f t="shared" si="82"/>
        <v>55.683160100000002</v>
      </c>
      <c r="L1734" s="1">
        <f t="shared" si="83"/>
        <v>12.581445</v>
      </c>
    </row>
    <row r="1735" spans="1:12" ht="16" x14ac:dyDescent="0.2">
      <c r="A1735" s="1">
        <v>1734</v>
      </c>
      <c r="B1735" s="1" t="s">
        <v>3980</v>
      </c>
      <c r="C1735" s="1" t="s">
        <v>5227</v>
      </c>
      <c r="D1735" s="1" t="str">
        <f t="shared" si="81"/>
        <v>København KommuneKrystalgade 11</v>
      </c>
      <c r="E1735" s="1" t="s">
        <v>5228</v>
      </c>
      <c r="F1735" s="1" t="s">
        <v>5229</v>
      </c>
      <c r="G1735" s="1">
        <v>1982</v>
      </c>
      <c r="H1735" s="1" t="s">
        <v>11</v>
      </c>
      <c r="I1735" s="6" cm="1">
        <f t="array" ref="I1735">GetLatitude(D1735)</f>
        <v>556808570</v>
      </c>
      <c r="J1735" s="1" cm="1">
        <f t="array" ref="J1735">GetLongitude(D1735)</f>
        <v>125740133</v>
      </c>
      <c r="K1735" s="1">
        <f t="shared" si="82"/>
        <v>55.680857000000003</v>
      </c>
      <c r="L1735" s="1">
        <f t="shared" si="83"/>
        <v>12.574013300000001</v>
      </c>
    </row>
    <row r="1736" spans="1:12" ht="16" x14ac:dyDescent="0.2">
      <c r="A1736" s="1">
        <v>1735</v>
      </c>
      <c r="B1736" s="1" t="s">
        <v>3980</v>
      </c>
      <c r="C1736" s="1" t="s">
        <v>5230</v>
      </c>
      <c r="D1736" s="1" t="str">
        <f t="shared" si="81"/>
        <v>København KommuneKrystalgade 12 Z</v>
      </c>
      <c r="E1736" s="1" t="s">
        <v>5231</v>
      </c>
      <c r="F1736" s="1" t="s">
        <v>5232</v>
      </c>
      <c r="G1736" s="1">
        <v>1939</v>
      </c>
      <c r="H1736" s="1" t="s">
        <v>11</v>
      </c>
      <c r="I1736" s="6" cm="1">
        <f t="array" ref="I1736">GetLatitude(D1736)</f>
        <v>556810552</v>
      </c>
      <c r="J1736" s="1" cm="1">
        <f t="array" ref="J1736">GetLongitude(D1736)</f>
        <v>125739166</v>
      </c>
      <c r="K1736" s="1">
        <f t="shared" si="82"/>
        <v>55.681055200000003</v>
      </c>
      <c r="L1736" s="1">
        <f t="shared" si="83"/>
        <v>12.5739166</v>
      </c>
    </row>
    <row r="1737" spans="1:12" ht="16" x14ac:dyDescent="0.2">
      <c r="A1737" s="1">
        <v>1736</v>
      </c>
      <c r="B1737" s="1" t="s">
        <v>3980</v>
      </c>
      <c r="C1737" s="1" t="s">
        <v>5233</v>
      </c>
      <c r="D1737" s="1" t="str">
        <f t="shared" si="81"/>
        <v>København KommuneKrystalgade 25-27</v>
      </c>
      <c r="E1737" s="1" t="s">
        <v>5234</v>
      </c>
      <c r="F1737" s="1" t="s">
        <v>5235</v>
      </c>
      <c r="G1737" s="1">
        <v>1980</v>
      </c>
      <c r="H1737" s="1" t="s">
        <v>15</v>
      </c>
      <c r="I1737" s="6" cm="1">
        <f t="array" ref="I1737">GetLatitude(D1737)</f>
        <v>556805540</v>
      </c>
      <c r="J1737" s="1" cm="1">
        <f t="array" ref="J1737">GetLongitude(D1737)</f>
        <v>125723182</v>
      </c>
      <c r="K1737" s="1">
        <f t="shared" si="82"/>
        <v>55.680554000000001</v>
      </c>
      <c r="L1737" s="1">
        <f t="shared" si="83"/>
        <v>12.5723182</v>
      </c>
    </row>
    <row r="1738" spans="1:12" ht="16" x14ac:dyDescent="0.2">
      <c r="A1738" s="1">
        <v>1737</v>
      </c>
      <c r="B1738" s="1" t="s">
        <v>3980</v>
      </c>
      <c r="C1738" s="1" t="s">
        <v>5236</v>
      </c>
      <c r="D1738" s="1" t="str">
        <f t="shared" si="81"/>
        <v>København KommuneKrystalgade 3</v>
      </c>
      <c r="E1738" s="1" t="s">
        <v>5237</v>
      </c>
      <c r="F1738" s="1" t="s">
        <v>5238</v>
      </c>
      <c r="G1738" s="1">
        <v>1986</v>
      </c>
      <c r="H1738" s="1" t="s">
        <v>11</v>
      </c>
      <c r="I1738" s="6" cm="1">
        <f t="array" ref="I1738">GetLatitude(D1738)</f>
        <v>556810579</v>
      </c>
      <c r="J1738" s="1" cm="1">
        <f t="array" ref="J1738">GetLongitude(D1738)</f>
        <v>125745204</v>
      </c>
      <c r="K1738" s="1">
        <f t="shared" si="82"/>
        <v>55.681057899999999</v>
      </c>
      <c r="L1738" s="1">
        <f t="shared" si="83"/>
        <v>12.574520400000001</v>
      </c>
    </row>
    <row r="1739" spans="1:12" ht="16" x14ac:dyDescent="0.2">
      <c r="A1739" s="1">
        <v>1738</v>
      </c>
      <c r="B1739" s="1" t="s">
        <v>3980</v>
      </c>
      <c r="C1739" s="1" t="s">
        <v>5239</v>
      </c>
      <c r="D1739" s="1" t="str">
        <f t="shared" si="81"/>
        <v>København KommuneKrystalgade 5-5 B</v>
      </c>
      <c r="E1739" s="1" t="s">
        <v>5240</v>
      </c>
      <c r="F1739" s="1" t="s">
        <v>5241</v>
      </c>
      <c r="G1739" s="1">
        <v>1986</v>
      </c>
      <c r="H1739" s="1" t="s">
        <v>5242</v>
      </c>
      <c r="I1739" s="6" cm="1">
        <f t="array" ref="I1739">GetLatitude(D1739)</f>
        <v>556810289</v>
      </c>
      <c r="J1739" s="1" cm="1">
        <f t="array" ref="J1739">GetLongitude(D1739)</f>
        <v>125743750</v>
      </c>
      <c r="K1739" s="1">
        <f t="shared" si="82"/>
        <v>55.681028900000001</v>
      </c>
      <c r="L1739" s="1">
        <f t="shared" si="83"/>
        <v>12.574375</v>
      </c>
    </row>
    <row r="1740" spans="1:12" ht="16" x14ac:dyDescent="0.2">
      <c r="A1740" s="1">
        <v>1739</v>
      </c>
      <c r="B1740" s="1" t="s">
        <v>3980</v>
      </c>
      <c r="C1740" s="1" t="s">
        <v>5243</v>
      </c>
      <c r="D1740" s="1" t="str">
        <f t="shared" si="81"/>
        <v>København KommuneKrystalgade 6, hj af Peder Hvitfeldts Stræde</v>
      </c>
      <c r="E1740" s="1" t="s">
        <v>5244</v>
      </c>
      <c r="F1740" s="1" t="s">
        <v>5245</v>
      </c>
      <c r="G1740" s="1">
        <v>1939</v>
      </c>
      <c r="H1740" s="1" t="s">
        <v>11</v>
      </c>
      <c r="I1740" s="6" cm="1">
        <f t="array" ref="I1740">GetLatitude(D1740)</f>
        <v>556817164</v>
      </c>
      <c r="J1740" s="1" cm="1">
        <f t="array" ref="J1740">GetLongitude(D1740)</f>
        <v>125739225</v>
      </c>
      <c r="K1740" s="1">
        <f t="shared" si="82"/>
        <v>55.681716399999999</v>
      </c>
      <c r="L1740" s="1">
        <f t="shared" si="83"/>
        <v>12.5739225</v>
      </c>
    </row>
    <row r="1741" spans="1:12" ht="16" x14ac:dyDescent="0.2">
      <c r="A1741" s="1">
        <v>1740</v>
      </c>
      <c r="B1741" s="1" t="s">
        <v>3980</v>
      </c>
      <c r="C1741" s="1" t="s">
        <v>5246</v>
      </c>
      <c r="D1741" s="1" t="str">
        <f t="shared" si="81"/>
        <v>København KommuneKrystalgade 9-9 A</v>
      </c>
      <c r="E1741" s="1" t="s">
        <v>5247</v>
      </c>
      <c r="F1741" s="1" t="s">
        <v>5248</v>
      </c>
      <c r="G1741" s="1">
        <v>1986</v>
      </c>
      <c r="H1741" s="1" t="s">
        <v>11</v>
      </c>
      <c r="I1741" s="6" cm="1">
        <f t="array" ref="I1741">GetLatitude(D1741)</f>
        <v>556809606</v>
      </c>
      <c r="J1741" s="1" cm="1">
        <f t="array" ref="J1741">GetLongitude(D1741)</f>
        <v>125741008</v>
      </c>
      <c r="K1741" s="1">
        <f t="shared" si="82"/>
        <v>55.680960599999999</v>
      </c>
      <c r="L1741" s="1">
        <f t="shared" si="83"/>
        <v>12.5741008</v>
      </c>
    </row>
    <row r="1742" spans="1:12" ht="16" x14ac:dyDescent="0.2">
      <c r="A1742" s="1">
        <v>1741</v>
      </c>
      <c r="B1742" s="1" t="s">
        <v>3980</v>
      </c>
      <c r="C1742" s="1" t="s">
        <v>5249</v>
      </c>
      <c r="D1742" s="1" t="str">
        <f t="shared" si="81"/>
        <v>København KommuneKvæsthusgade 3</v>
      </c>
      <c r="E1742" s="1" t="s">
        <v>5250</v>
      </c>
      <c r="F1742" s="1" t="s">
        <v>5251</v>
      </c>
      <c r="G1742" s="1">
        <v>1959</v>
      </c>
      <c r="H1742" s="1" t="s">
        <v>15</v>
      </c>
      <c r="I1742" s="6" cm="1">
        <f t="array" ref="I1742">GetLatitude(D1742)</f>
        <v>556796768</v>
      </c>
      <c r="J1742" s="1" cm="1">
        <f t="array" ref="J1742">GetLongitude(D1742)</f>
        <v>125933206</v>
      </c>
      <c r="K1742" s="1">
        <f t="shared" si="82"/>
        <v>55.679676800000003</v>
      </c>
      <c r="L1742" s="1">
        <f t="shared" si="83"/>
        <v>12.5933206</v>
      </c>
    </row>
    <row r="1743" spans="1:12" ht="16" x14ac:dyDescent="0.2">
      <c r="A1743" s="1">
        <v>1742</v>
      </c>
      <c r="B1743" s="1" t="s">
        <v>3980</v>
      </c>
      <c r="C1743" s="1" t="s">
        <v>5252</v>
      </c>
      <c r="D1743" s="1" t="str">
        <f t="shared" si="81"/>
        <v>København KommuneKvæsthusgade 5</v>
      </c>
      <c r="E1743" s="1" t="s">
        <v>5253</v>
      </c>
      <c r="F1743" s="1" t="s">
        <v>5254</v>
      </c>
      <c r="G1743" s="1">
        <v>1959</v>
      </c>
      <c r="H1743" s="1" t="s">
        <v>11</v>
      </c>
      <c r="I1743" s="6" cm="1">
        <f t="array" ref="I1743">GetLatitude(D1743)</f>
        <v>556798691</v>
      </c>
      <c r="J1743" s="1" cm="1">
        <f t="array" ref="J1743">GetLongitude(D1743)</f>
        <v>125935040</v>
      </c>
      <c r="K1743" s="1">
        <f t="shared" si="82"/>
        <v>55.679869099999998</v>
      </c>
      <c r="L1743" s="1">
        <f t="shared" si="83"/>
        <v>12.593503999999999</v>
      </c>
    </row>
    <row r="1744" spans="1:12" ht="16" x14ac:dyDescent="0.2">
      <c r="A1744" s="1">
        <v>1743</v>
      </c>
      <c r="B1744" s="1" t="s">
        <v>3980</v>
      </c>
      <c r="C1744" s="1" t="s">
        <v>5255</v>
      </c>
      <c r="D1744" s="1" t="str">
        <f t="shared" si="81"/>
        <v>København KommuneKøbenhavns Havn</v>
      </c>
      <c r="E1744" s="1" t="s">
        <v>5256</v>
      </c>
      <c r="F1744" s="1" t="s">
        <v>5257</v>
      </c>
      <c r="G1744" s="1">
        <v>2007</v>
      </c>
      <c r="H1744" s="1" t="s">
        <v>15</v>
      </c>
      <c r="I1744" s="6" cm="1">
        <f t="array" ref="I1744">GetLatitude(D1744)</f>
        <v>556760968</v>
      </c>
      <c r="J1744" s="1" cm="1">
        <f t="array" ref="J1744">GetLongitude(D1744)</f>
        <v>125683371</v>
      </c>
      <c r="K1744" s="1">
        <f t="shared" si="82"/>
        <v>55.676096800000003</v>
      </c>
      <c r="L1744" s="1">
        <f t="shared" si="83"/>
        <v>12.568337100000001</v>
      </c>
    </row>
    <row r="1745" spans="1:12" ht="16" x14ac:dyDescent="0.2">
      <c r="A1745" s="1">
        <v>1744</v>
      </c>
      <c r="B1745" s="1" t="s">
        <v>3980</v>
      </c>
      <c r="C1745" s="1" t="s">
        <v>5255</v>
      </c>
      <c r="D1745" s="1" t="str">
        <f t="shared" si="81"/>
        <v>København KommuneKøbenhavns Havn</v>
      </c>
      <c r="E1745" s="1" t="s">
        <v>5258</v>
      </c>
      <c r="F1745" s="1" t="s">
        <v>5259</v>
      </c>
      <c r="G1745" s="1">
        <v>2007</v>
      </c>
      <c r="H1745" s="1" t="s">
        <v>15</v>
      </c>
      <c r="I1745" s="6" cm="1">
        <f t="array" ref="I1745">GetLatitude(D1745)</f>
        <v>556760968</v>
      </c>
      <c r="J1745" s="1" cm="1">
        <f t="array" ref="J1745">GetLongitude(D1745)</f>
        <v>125683371</v>
      </c>
      <c r="K1745" s="1">
        <f t="shared" si="82"/>
        <v>55.676096800000003</v>
      </c>
      <c r="L1745" s="1">
        <f t="shared" si="83"/>
        <v>12.568337100000001</v>
      </c>
    </row>
    <row r="1746" spans="1:12" ht="16" x14ac:dyDescent="0.2">
      <c r="A1746" s="1">
        <v>1745</v>
      </c>
      <c r="B1746" s="1" t="s">
        <v>3980</v>
      </c>
      <c r="C1746" s="1" t="s">
        <v>5260</v>
      </c>
      <c r="D1746" s="1" t="str">
        <f t="shared" si="81"/>
        <v>København KommuneKøbmagergade 13</v>
      </c>
      <c r="E1746" s="1" t="s">
        <v>5261</v>
      </c>
      <c r="F1746" s="1" t="s">
        <v>5262</v>
      </c>
      <c r="G1746" s="1">
        <v>1974</v>
      </c>
      <c r="H1746" s="1" t="s">
        <v>11</v>
      </c>
      <c r="I1746" s="6" cm="1">
        <f t="array" ref="I1746">GetLatitude(D1746)</f>
        <v>556798503</v>
      </c>
      <c r="J1746" s="1" cm="1">
        <f t="array" ref="J1746">GetLongitude(D1746)</f>
        <v>125788233</v>
      </c>
      <c r="K1746" s="1">
        <f t="shared" si="82"/>
        <v>55.679850299999998</v>
      </c>
      <c r="L1746" s="1">
        <f t="shared" si="83"/>
        <v>12.5788233</v>
      </c>
    </row>
    <row r="1747" spans="1:12" ht="16" x14ac:dyDescent="0.2">
      <c r="A1747" s="1">
        <v>1746</v>
      </c>
      <c r="B1747" s="1" t="s">
        <v>3980</v>
      </c>
      <c r="C1747" s="1" t="s">
        <v>5263</v>
      </c>
      <c r="D1747" s="1" t="str">
        <f t="shared" si="81"/>
        <v>København KommuneKøbmagergade 33 og Valkendorfsgade 2-4</v>
      </c>
      <c r="E1747" s="1" t="s">
        <v>5264</v>
      </c>
      <c r="F1747" s="1" t="s">
        <v>5265</v>
      </c>
      <c r="G1747" s="1">
        <v>1918</v>
      </c>
      <c r="H1747" s="1" t="s">
        <v>11</v>
      </c>
      <c r="I1747" s="6" cm="1">
        <f t="array" ref="I1747">GetLatitude(D1747)</f>
        <v>556790064</v>
      </c>
      <c r="J1747" s="1" cm="1">
        <f t="array" ref="J1747">GetLongitude(D1747)</f>
        <v>125763901</v>
      </c>
      <c r="K1747" s="1">
        <f t="shared" si="82"/>
        <v>55.679006399999999</v>
      </c>
      <c r="L1747" s="1">
        <f t="shared" si="83"/>
        <v>12.576390099999999</v>
      </c>
    </row>
    <row r="1748" spans="1:12" ht="16" x14ac:dyDescent="0.2">
      <c r="A1748" s="1">
        <v>1747</v>
      </c>
      <c r="B1748" s="1" t="s">
        <v>3980</v>
      </c>
      <c r="C1748" s="1" t="s">
        <v>5266</v>
      </c>
      <c r="D1748" s="1" t="str">
        <f t="shared" si="81"/>
        <v>København KommuneKøbmagergade 5</v>
      </c>
      <c r="E1748" s="1" t="s">
        <v>5267</v>
      </c>
      <c r="F1748" s="1" t="s">
        <v>5268</v>
      </c>
      <c r="G1748" s="1">
        <v>1991</v>
      </c>
      <c r="H1748" s="1" t="s">
        <v>11</v>
      </c>
      <c r="I1748" s="6" cm="1">
        <f t="array" ref="I1748">GetLatitude(D1748)</f>
        <v>556793831</v>
      </c>
      <c r="J1748" s="1" cm="1">
        <f t="array" ref="J1748">GetLongitude(D1748)</f>
        <v>125792897</v>
      </c>
      <c r="K1748" s="1">
        <f t="shared" si="82"/>
        <v>55.679383100000003</v>
      </c>
      <c r="L1748" s="1">
        <f t="shared" si="83"/>
        <v>12.5792897</v>
      </c>
    </row>
    <row r="1749" spans="1:12" ht="16" x14ac:dyDescent="0.2">
      <c r="A1749" s="1">
        <v>1748</v>
      </c>
      <c r="B1749" s="1" t="s">
        <v>3980</v>
      </c>
      <c r="C1749" s="1" t="s">
        <v>5269</v>
      </c>
      <c r="D1749" s="1" t="str">
        <f t="shared" si="81"/>
        <v>København KommuneKøbmagergade 52</v>
      </c>
      <c r="E1749" s="1" t="s">
        <v>5270</v>
      </c>
      <c r="F1749" s="1" t="s">
        <v>5271</v>
      </c>
      <c r="G1749" s="1">
        <v>1945</v>
      </c>
      <c r="H1749" s="1" t="s">
        <v>11</v>
      </c>
      <c r="I1749" s="6" cm="1">
        <f t="array" ref="I1749">GetLatitude(D1749)</f>
        <v>556811405</v>
      </c>
      <c r="J1749" s="1" cm="1">
        <f t="array" ref="J1749">GetLongitude(D1749)</f>
        <v>125763850</v>
      </c>
      <c r="K1749" s="1">
        <f t="shared" si="82"/>
        <v>55.681140499999998</v>
      </c>
      <c r="L1749" s="1">
        <f t="shared" si="83"/>
        <v>12.576385</v>
      </c>
    </row>
    <row r="1750" spans="1:12" ht="16" x14ac:dyDescent="0.2">
      <c r="A1750" s="1">
        <v>1749</v>
      </c>
      <c r="B1750" s="1" t="s">
        <v>3980</v>
      </c>
      <c r="C1750" s="1" t="s">
        <v>5272</v>
      </c>
      <c r="D1750" s="1" t="str">
        <f t="shared" si="81"/>
        <v>København KommuneKøbmagergade 52A</v>
      </c>
      <c r="E1750" s="1" t="s">
        <v>5273</v>
      </c>
      <c r="F1750" s="1" t="s">
        <v>5274</v>
      </c>
      <c r="G1750" s="1">
        <v>2020</v>
      </c>
      <c r="H1750" s="1" t="s">
        <v>15</v>
      </c>
      <c r="I1750" s="6" cm="1">
        <f t="array" ref="I1750">GetLatitude(D1750)</f>
        <v>556813650</v>
      </c>
      <c r="J1750" s="1" cm="1">
        <f t="array" ref="J1750">GetLongitude(D1750)</f>
        <v>125757825</v>
      </c>
      <c r="K1750" s="1">
        <f t="shared" si="82"/>
        <v>55.681365</v>
      </c>
      <c r="L1750" s="1">
        <f t="shared" si="83"/>
        <v>12.575782500000001</v>
      </c>
    </row>
    <row r="1751" spans="1:12" ht="16" x14ac:dyDescent="0.2">
      <c r="A1751" s="1">
        <v>1750</v>
      </c>
      <c r="B1751" s="1" t="s">
        <v>3980</v>
      </c>
      <c r="C1751" s="1" t="s">
        <v>5275</v>
      </c>
      <c r="D1751" s="1" t="str">
        <f t="shared" si="81"/>
        <v>København KommuneKøbmagergade 52 A</v>
      </c>
      <c r="E1751" s="1" t="s">
        <v>5276</v>
      </c>
      <c r="F1751" s="1" t="s">
        <v>5277</v>
      </c>
      <c r="G1751" s="1">
        <v>1932</v>
      </c>
      <c r="H1751" s="1" t="s">
        <v>11</v>
      </c>
      <c r="I1751" s="6" cm="1">
        <f t="array" ref="I1751">GetLatitude(D1751)</f>
        <v>556813650</v>
      </c>
      <c r="J1751" s="1" cm="1">
        <f t="array" ref="J1751">GetLongitude(D1751)</f>
        <v>125757825</v>
      </c>
      <c r="K1751" s="1">
        <f t="shared" si="82"/>
        <v>55.681365</v>
      </c>
      <c r="L1751" s="1">
        <f t="shared" si="83"/>
        <v>12.575782500000001</v>
      </c>
    </row>
    <row r="1752" spans="1:12" ht="16" x14ac:dyDescent="0.2">
      <c r="A1752" s="1">
        <v>1751</v>
      </c>
      <c r="B1752" s="1" t="s">
        <v>3980</v>
      </c>
      <c r="C1752" s="1" t="s">
        <v>5278</v>
      </c>
      <c r="D1752" s="1" t="str">
        <f t="shared" si="81"/>
        <v>København KommuneKøbmagergade 7</v>
      </c>
      <c r="E1752" s="1" t="s">
        <v>5279</v>
      </c>
      <c r="F1752" s="1" t="s">
        <v>5280</v>
      </c>
      <c r="G1752" s="1">
        <v>1973</v>
      </c>
      <c r="H1752" s="1" t="s">
        <v>11</v>
      </c>
      <c r="I1752" s="6" cm="1">
        <f t="array" ref="I1752">GetLatitude(D1752)</f>
        <v>556794679</v>
      </c>
      <c r="J1752" s="1" cm="1">
        <f t="array" ref="J1752">GetLongitude(D1752)</f>
        <v>125792153</v>
      </c>
      <c r="K1752" s="1">
        <f t="shared" si="82"/>
        <v>55.679467899999999</v>
      </c>
      <c r="L1752" s="1">
        <f t="shared" si="83"/>
        <v>12.5792153</v>
      </c>
    </row>
    <row r="1753" spans="1:12" ht="16" x14ac:dyDescent="0.2">
      <c r="A1753" s="1">
        <v>1752</v>
      </c>
      <c r="B1753" s="1" t="s">
        <v>3980</v>
      </c>
      <c r="C1753" s="1" t="s">
        <v>5281</v>
      </c>
      <c r="D1753" s="1" t="str">
        <f t="shared" si="81"/>
        <v>København KommuneLaksegade 26 og Nikolajgade 24</v>
      </c>
      <c r="E1753" s="1" t="s">
        <v>5282</v>
      </c>
      <c r="F1753" s="1" t="s">
        <v>4009</v>
      </c>
      <c r="G1753" s="1">
        <v>1939</v>
      </c>
      <c r="H1753" s="1" t="s">
        <v>11</v>
      </c>
      <c r="I1753" s="6" cm="1">
        <f t="array" ref="I1753">GetLatitude(D1753)</f>
        <v>556772403</v>
      </c>
      <c r="J1753" s="1" cm="1">
        <f t="array" ref="J1753">GetLongitude(D1753)</f>
        <v>125834167</v>
      </c>
      <c r="K1753" s="1">
        <f t="shared" si="82"/>
        <v>55.677240300000001</v>
      </c>
      <c r="L1753" s="1">
        <f t="shared" si="83"/>
        <v>12.583416700000001</v>
      </c>
    </row>
    <row r="1754" spans="1:12" ht="16" x14ac:dyDescent="0.2">
      <c r="A1754" s="1">
        <v>1753</v>
      </c>
      <c r="B1754" s="1" t="s">
        <v>3980</v>
      </c>
      <c r="C1754" s="1" t="s">
        <v>5283</v>
      </c>
      <c r="D1754" s="1" t="str">
        <f t="shared" si="81"/>
        <v>København KommuneLaksegade 30</v>
      </c>
      <c r="E1754" s="1" t="s">
        <v>5284</v>
      </c>
      <c r="F1754" s="1" t="s">
        <v>4948</v>
      </c>
      <c r="G1754" s="1">
        <v>1939</v>
      </c>
      <c r="H1754" s="1" t="s">
        <v>11</v>
      </c>
      <c r="I1754" s="6" cm="1">
        <f t="array" ref="I1754">GetLatitude(D1754)</f>
        <v>556776777</v>
      </c>
      <c r="J1754" s="1" cm="1">
        <f t="array" ref="J1754">GetLongitude(D1754)</f>
        <v>125825485</v>
      </c>
      <c r="K1754" s="1">
        <f t="shared" si="82"/>
        <v>55.677677699999997</v>
      </c>
      <c r="L1754" s="1">
        <f t="shared" si="83"/>
        <v>12.5825485</v>
      </c>
    </row>
    <row r="1755" spans="1:12" ht="16" x14ac:dyDescent="0.2">
      <c r="A1755" s="1">
        <v>1754</v>
      </c>
      <c r="B1755" s="1" t="s">
        <v>3980</v>
      </c>
      <c r="C1755" s="1" t="s">
        <v>5285</v>
      </c>
      <c r="D1755" s="1" t="str">
        <f t="shared" si="81"/>
        <v>København KommuneLandemærket 53</v>
      </c>
      <c r="E1755" s="1" t="s">
        <v>5286</v>
      </c>
      <c r="F1755" s="1" t="s">
        <v>5287</v>
      </c>
      <c r="G1755" s="1">
        <v>1978</v>
      </c>
      <c r="H1755" s="1" t="s">
        <v>11</v>
      </c>
      <c r="I1755" s="6" cm="1">
        <f t="array" ref="I1755">GetLatitude(D1755)</f>
        <v>556831602</v>
      </c>
      <c r="J1755" s="1" cm="1">
        <f t="array" ref="J1755">GetLongitude(D1755)</f>
        <v>125779438</v>
      </c>
      <c r="K1755" s="1">
        <f t="shared" si="82"/>
        <v>55.683160200000003</v>
      </c>
      <c r="L1755" s="1">
        <f t="shared" si="83"/>
        <v>12.5779438</v>
      </c>
    </row>
    <row r="1756" spans="1:12" ht="16" x14ac:dyDescent="0.2">
      <c r="A1756" s="1">
        <v>1755</v>
      </c>
      <c r="B1756" s="1" t="s">
        <v>3980</v>
      </c>
      <c r="C1756" s="1" t="s">
        <v>5288</v>
      </c>
      <c r="D1756" s="1" t="str">
        <f t="shared" si="81"/>
        <v>København KommuneLandemærket 55</v>
      </c>
      <c r="E1756" s="1" t="s">
        <v>5289</v>
      </c>
      <c r="F1756" s="1" t="s">
        <v>5290</v>
      </c>
      <c r="G1756" s="1">
        <v>1973</v>
      </c>
      <c r="H1756" s="1" t="s">
        <v>11</v>
      </c>
      <c r="I1756" s="6" cm="1">
        <f t="array" ref="I1756">GetLatitude(D1756)</f>
        <v>556831957</v>
      </c>
      <c r="J1756" s="1" cm="1">
        <f t="array" ref="J1756">GetLongitude(D1756)</f>
        <v>125780265</v>
      </c>
      <c r="K1756" s="1">
        <f t="shared" si="82"/>
        <v>55.683195699999999</v>
      </c>
      <c r="L1756" s="1">
        <f t="shared" si="83"/>
        <v>12.5780265</v>
      </c>
    </row>
    <row r="1757" spans="1:12" ht="16" x14ac:dyDescent="0.2">
      <c r="A1757" s="1">
        <v>1756</v>
      </c>
      <c r="B1757" s="1" t="s">
        <v>3980</v>
      </c>
      <c r="C1757" s="1" t="s">
        <v>5291</v>
      </c>
      <c r="D1757" s="1" t="str">
        <f t="shared" si="81"/>
        <v>København KommuneLangebrogade 8-8 A</v>
      </c>
      <c r="E1757" s="1" t="s">
        <v>5292</v>
      </c>
      <c r="F1757" s="1" t="s">
        <v>5293</v>
      </c>
      <c r="G1757" s="1">
        <v>1988</v>
      </c>
      <c r="H1757" s="1" t="s">
        <v>11</v>
      </c>
      <c r="I1757" s="6" cm="1">
        <f t="array" ref="I1757">GetLatitude(D1757)</f>
        <v>556701756</v>
      </c>
      <c r="J1757" s="1" cm="1">
        <f t="array" ref="J1757">GetLongitude(D1757)</f>
        <v>125861161</v>
      </c>
      <c r="K1757" s="1">
        <f t="shared" si="82"/>
        <v>55.6701756</v>
      </c>
      <c r="L1757" s="1">
        <f t="shared" si="83"/>
        <v>12.5861161</v>
      </c>
    </row>
    <row r="1758" spans="1:12" ht="16" x14ac:dyDescent="0.2">
      <c r="A1758" s="1">
        <v>1757</v>
      </c>
      <c r="B1758" s="1" t="s">
        <v>3980</v>
      </c>
      <c r="C1758" s="1" t="s">
        <v>5294</v>
      </c>
      <c r="D1758" s="1" t="str">
        <f t="shared" si="81"/>
        <v>København KommuneLangelinie (beliggende syd for)</v>
      </c>
      <c r="E1758" s="1" t="s">
        <v>5295</v>
      </c>
      <c r="F1758" s="1" t="s">
        <v>5296</v>
      </c>
      <c r="G1758" s="1">
        <v>1997</v>
      </c>
      <c r="H1758" s="1" t="s">
        <v>15</v>
      </c>
      <c r="I1758" s="6" cm="1">
        <f t="array" ref="I1758">GetLatitude(D1758)</f>
        <v>556916285</v>
      </c>
      <c r="J1758" s="1" cm="1">
        <f t="array" ref="J1758">GetLongitude(D1758)</f>
        <v>125985476</v>
      </c>
      <c r="K1758" s="1">
        <f t="shared" si="82"/>
        <v>55.6916285</v>
      </c>
      <c r="L1758" s="1">
        <f t="shared" si="83"/>
        <v>12.5985476</v>
      </c>
    </row>
    <row r="1759" spans="1:12" ht="16" x14ac:dyDescent="0.2">
      <c r="A1759" s="1">
        <v>1758</v>
      </c>
      <c r="B1759" s="1" t="s">
        <v>3980</v>
      </c>
      <c r="C1759" s="1" t="s">
        <v>5297</v>
      </c>
      <c r="D1759" s="1" t="str">
        <f t="shared" si="81"/>
        <v>København KommuneLangelinie 10</v>
      </c>
      <c r="E1759" s="1" t="s">
        <v>5298</v>
      </c>
      <c r="F1759" s="1" t="s">
        <v>5299</v>
      </c>
      <c r="G1759" s="1">
        <v>2006</v>
      </c>
      <c r="H1759" s="1" t="s">
        <v>15</v>
      </c>
      <c r="I1759" s="6" cm="1">
        <f t="array" ref="I1759">GetLatitude(D1759)</f>
        <v>556913924</v>
      </c>
      <c r="J1759" s="1" cm="1">
        <f t="array" ref="J1759">GetLongitude(D1759)</f>
        <v>125983180</v>
      </c>
      <c r="K1759" s="1">
        <f t="shared" si="82"/>
        <v>55.691392399999998</v>
      </c>
      <c r="L1759" s="1">
        <f t="shared" si="83"/>
        <v>12.598318000000001</v>
      </c>
    </row>
    <row r="1760" spans="1:12" ht="16" x14ac:dyDescent="0.2">
      <c r="A1760" s="1">
        <v>1759</v>
      </c>
      <c r="B1760" s="1" t="s">
        <v>3980</v>
      </c>
      <c r="C1760" s="1" t="s">
        <v>5300</v>
      </c>
      <c r="D1760" s="1" t="str">
        <f t="shared" si="81"/>
        <v>København KommuneLangelinie Allé 15-21, tidl Langelinievej 7</v>
      </c>
      <c r="E1760" s="1" t="s">
        <v>5301</v>
      </c>
      <c r="F1760" s="1" t="s">
        <v>5302</v>
      </c>
      <c r="G1760" s="1">
        <v>1993</v>
      </c>
      <c r="H1760" s="1" t="s">
        <v>11</v>
      </c>
      <c r="I1760" s="6" cm="1">
        <f t="array" ref="I1760">GetLatitude(D1760)</f>
        <v>556972143</v>
      </c>
      <c r="J1760" s="1" cm="1">
        <f t="array" ref="J1760">GetLongitude(D1760)</f>
        <v>125995692</v>
      </c>
      <c r="K1760" s="1">
        <f t="shared" si="82"/>
        <v>55.697214299999999</v>
      </c>
      <c r="L1760" s="1">
        <f t="shared" si="83"/>
        <v>12.599569199999999</v>
      </c>
    </row>
    <row r="1761" spans="1:12" ht="16" x14ac:dyDescent="0.2">
      <c r="A1761" s="1">
        <v>1760</v>
      </c>
      <c r="B1761" s="1" t="s">
        <v>3980</v>
      </c>
      <c r="C1761" s="1" t="s">
        <v>5303</v>
      </c>
      <c r="D1761" s="1" t="str">
        <f t="shared" si="81"/>
        <v>København KommuneLangelinie Allé 4-58 og Langeliniekaj 5-7, tidl Langelinievej 4</v>
      </c>
      <c r="E1761" s="1" t="s">
        <v>5304</v>
      </c>
      <c r="F1761" s="1" t="s">
        <v>5305</v>
      </c>
      <c r="G1761" s="1">
        <v>1993</v>
      </c>
      <c r="H1761" s="1" t="s">
        <v>11</v>
      </c>
      <c r="I1761" s="6" cm="1">
        <f t="array" ref="I1761">GetLatitude(D1761)</f>
        <v>556955643</v>
      </c>
      <c r="J1761" s="1" cm="1">
        <f t="array" ref="J1761">GetLongitude(D1761)</f>
        <v>125997859</v>
      </c>
      <c r="K1761" s="1">
        <f t="shared" si="82"/>
        <v>55.695564300000001</v>
      </c>
      <c r="L1761" s="1">
        <f t="shared" si="83"/>
        <v>12.599785900000001</v>
      </c>
    </row>
    <row r="1762" spans="1:12" ht="16" x14ac:dyDescent="0.2">
      <c r="A1762" s="1">
        <v>1761</v>
      </c>
      <c r="B1762" s="1" t="s">
        <v>3980</v>
      </c>
      <c r="C1762" s="1" t="s">
        <v>5306</v>
      </c>
      <c r="D1762" s="1" t="str">
        <f t="shared" si="81"/>
        <v>København KommuneLarsbjørnsstræde 11</v>
      </c>
      <c r="E1762" s="1" t="s">
        <v>5307</v>
      </c>
      <c r="F1762" s="1" t="s">
        <v>5308</v>
      </c>
      <c r="G1762" s="1">
        <v>1959</v>
      </c>
      <c r="H1762" s="1" t="s">
        <v>11</v>
      </c>
      <c r="I1762" s="6" cm="1">
        <f t="array" ref="I1762">GetLatitude(D1762)</f>
        <v>556781947</v>
      </c>
      <c r="J1762" s="1" cm="1">
        <f t="array" ref="J1762">GetLongitude(D1762)</f>
        <v>125694021</v>
      </c>
      <c r="K1762" s="1">
        <f t="shared" si="82"/>
        <v>55.678194699999999</v>
      </c>
      <c r="L1762" s="1">
        <f t="shared" si="83"/>
        <v>12.5694021</v>
      </c>
    </row>
    <row r="1763" spans="1:12" ht="16" x14ac:dyDescent="0.2">
      <c r="A1763" s="1">
        <v>1762</v>
      </c>
      <c r="B1763" s="1" t="s">
        <v>3980</v>
      </c>
      <c r="C1763" s="1" t="s">
        <v>5309</v>
      </c>
      <c r="D1763" s="1" t="str">
        <f t="shared" si="81"/>
        <v>København KommuneLarsbjørnsstræde 13</v>
      </c>
      <c r="E1763" s="1" t="s">
        <v>5310</v>
      </c>
      <c r="F1763" s="1" t="s">
        <v>5311</v>
      </c>
      <c r="G1763" s="1">
        <v>1959</v>
      </c>
      <c r="H1763" s="1" t="s">
        <v>5312</v>
      </c>
      <c r="I1763" s="6" cm="1">
        <f t="array" ref="I1763">GetLatitude(D1763)</f>
        <v>556782763</v>
      </c>
      <c r="J1763" s="1" cm="1">
        <f t="array" ref="J1763">GetLongitude(D1763)</f>
        <v>125693591</v>
      </c>
      <c r="K1763" s="1">
        <f t="shared" si="82"/>
        <v>55.6782763</v>
      </c>
      <c r="L1763" s="1">
        <f t="shared" si="83"/>
        <v>12.5693591</v>
      </c>
    </row>
    <row r="1764" spans="1:12" ht="16" x14ac:dyDescent="0.2">
      <c r="A1764" s="1">
        <v>1763</v>
      </c>
      <c r="B1764" s="1" t="s">
        <v>3980</v>
      </c>
      <c r="C1764" s="1" t="s">
        <v>5313</v>
      </c>
      <c r="D1764" s="1" t="str">
        <f t="shared" si="81"/>
        <v>København KommuneLarsbjørnsstræde 14</v>
      </c>
      <c r="E1764" s="1" t="s">
        <v>5314</v>
      </c>
      <c r="F1764" s="1" t="s">
        <v>4288</v>
      </c>
      <c r="G1764" s="1">
        <v>1973</v>
      </c>
      <c r="H1764" s="1" t="s">
        <v>11</v>
      </c>
      <c r="I1764" s="6" cm="1">
        <f t="array" ref="I1764">GetLatitude(D1764)</f>
        <v>556783796</v>
      </c>
      <c r="J1764" s="1" cm="1">
        <f t="array" ref="J1764">GetLongitude(D1764)</f>
        <v>125696385</v>
      </c>
      <c r="K1764" s="1">
        <f t="shared" si="82"/>
        <v>55.6783796</v>
      </c>
      <c r="L1764" s="1">
        <f t="shared" si="83"/>
        <v>12.5696385</v>
      </c>
    </row>
    <row r="1765" spans="1:12" ht="16" x14ac:dyDescent="0.2">
      <c r="A1765" s="1">
        <v>1764</v>
      </c>
      <c r="B1765" s="1" t="s">
        <v>3980</v>
      </c>
      <c r="C1765" s="1" t="s">
        <v>5315</v>
      </c>
      <c r="D1765" s="1" t="str">
        <f t="shared" si="81"/>
        <v>København KommuneLarsbjørnsstræde 16, hj af Studiestræde</v>
      </c>
      <c r="E1765" s="1" t="s">
        <v>5316</v>
      </c>
      <c r="F1765" s="1" t="s">
        <v>5317</v>
      </c>
      <c r="G1765" s="1">
        <v>1964</v>
      </c>
      <c r="H1765" s="1" t="s">
        <v>11</v>
      </c>
      <c r="I1765" s="6" cm="1">
        <f t="array" ref="I1765">GetLatitude(D1765)</f>
        <v>556784887</v>
      </c>
      <c r="J1765" s="1" cm="1">
        <f t="array" ref="J1765">GetLongitude(D1765)</f>
        <v>125695429</v>
      </c>
      <c r="K1765" s="1">
        <f t="shared" si="82"/>
        <v>55.678488700000003</v>
      </c>
      <c r="L1765" s="1">
        <f t="shared" si="83"/>
        <v>12.5695429</v>
      </c>
    </row>
    <row r="1766" spans="1:12" ht="16" x14ac:dyDescent="0.2">
      <c r="A1766" s="1">
        <v>1765</v>
      </c>
      <c r="B1766" s="1" t="s">
        <v>3980</v>
      </c>
      <c r="C1766" s="1" t="s">
        <v>5318</v>
      </c>
      <c r="D1766" s="1" t="str">
        <f t="shared" si="81"/>
        <v>København KommuneLarsbjørnsstræde 17, hj af Studiestræde</v>
      </c>
      <c r="E1766" s="1" t="s">
        <v>5319</v>
      </c>
      <c r="F1766" s="1" t="s">
        <v>5320</v>
      </c>
      <c r="G1766" s="1">
        <v>1959</v>
      </c>
      <c r="H1766" s="1" t="s">
        <v>11</v>
      </c>
      <c r="I1766" s="6" cm="1">
        <f t="array" ref="I1766">GetLatitude(D1766)</f>
        <v>556785407</v>
      </c>
      <c r="J1766" s="1" cm="1">
        <f t="array" ref="J1766">GetLongitude(D1766)</f>
        <v>125690420</v>
      </c>
      <c r="K1766" s="1">
        <f t="shared" si="82"/>
        <v>55.678540699999999</v>
      </c>
      <c r="L1766" s="1">
        <f t="shared" si="83"/>
        <v>12.569042</v>
      </c>
    </row>
    <row r="1767" spans="1:12" ht="16" x14ac:dyDescent="0.2">
      <c r="A1767" s="1">
        <v>1766</v>
      </c>
      <c r="B1767" s="1" t="s">
        <v>3980</v>
      </c>
      <c r="C1767" s="1" t="s">
        <v>5321</v>
      </c>
      <c r="D1767" s="1" t="str">
        <f t="shared" si="81"/>
        <v>København KommuneLarsbjørnsstræde 18, hj af Studiestræde</v>
      </c>
      <c r="E1767" s="1" t="s">
        <v>5322</v>
      </c>
      <c r="F1767" s="1" t="s">
        <v>5323</v>
      </c>
      <c r="G1767" s="1">
        <v>1981</v>
      </c>
      <c r="H1767" s="1" t="s">
        <v>11</v>
      </c>
      <c r="I1767" s="6" cm="1">
        <f t="array" ref="I1767">GetLatitude(D1767)</f>
        <v>556786561</v>
      </c>
      <c r="J1767" s="1" cm="1">
        <f t="array" ref="J1767">GetLongitude(D1767)</f>
        <v>125693108</v>
      </c>
      <c r="K1767" s="1">
        <f t="shared" si="82"/>
        <v>55.678656099999998</v>
      </c>
      <c r="L1767" s="1">
        <f t="shared" si="83"/>
        <v>12.5693108</v>
      </c>
    </row>
    <row r="1768" spans="1:12" ht="16" x14ac:dyDescent="0.2">
      <c r="A1768" s="1">
        <v>1767</v>
      </c>
      <c r="B1768" s="1" t="s">
        <v>3980</v>
      </c>
      <c r="C1768" s="1" t="s">
        <v>5324</v>
      </c>
      <c r="D1768" s="1" t="str">
        <f t="shared" si="81"/>
        <v>København KommuneLarsbjørnsstræde 19</v>
      </c>
      <c r="E1768" s="1" t="s">
        <v>5325</v>
      </c>
      <c r="F1768" s="1" t="s">
        <v>1235</v>
      </c>
      <c r="G1768" s="1">
        <v>1977</v>
      </c>
      <c r="H1768" s="1" t="s">
        <v>11</v>
      </c>
      <c r="I1768" s="6" cm="1">
        <f t="array" ref="I1768">GetLatitude(D1768)</f>
        <v>556786797</v>
      </c>
      <c r="J1768" s="1" cm="1">
        <f t="array" ref="J1768">GetLongitude(D1768)</f>
        <v>125689770</v>
      </c>
      <c r="K1768" s="1">
        <f t="shared" si="82"/>
        <v>55.678679700000004</v>
      </c>
      <c r="L1768" s="1">
        <f t="shared" si="83"/>
        <v>12.568977</v>
      </c>
    </row>
    <row r="1769" spans="1:12" ht="16" x14ac:dyDescent="0.2">
      <c r="A1769" s="1">
        <v>1768</v>
      </c>
      <c r="B1769" s="1" t="s">
        <v>3980</v>
      </c>
      <c r="C1769" s="1" t="s">
        <v>5326</v>
      </c>
      <c r="D1769" s="1" t="str">
        <f t="shared" si="81"/>
        <v>København KommuneLarsbjørnsstræde 21</v>
      </c>
      <c r="E1769" s="1" t="s">
        <v>5327</v>
      </c>
      <c r="F1769" s="1" t="s">
        <v>5308</v>
      </c>
      <c r="G1769" s="1">
        <v>1959</v>
      </c>
      <c r="H1769" s="1" t="s">
        <v>11</v>
      </c>
      <c r="I1769" s="6" cm="1">
        <f t="array" ref="I1769">GetLatitude(D1769)</f>
        <v>556787711</v>
      </c>
      <c r="J1769" s="1" cm="1">
        <f t="array" ref="J1769">GetLongitude(D1769)</f>
        <v>125688400</v>
      </c>
      <c r="K1769" s="1">
        <f t="shared" si="82"/>
        <v>55.678771099999999</v>
      </c>
      <c r="L1769" s="1">
        <f t="shared" si="83"/>
        <v>12.56884</v>
      </c>
    </row>
    <row r="1770" spans="1:12" ht="16" x14ac:dyDescent="0.2">
      <c r="A1770" s="1">
        <v>1769</v>
      </c>
      <c r="B1770" s="1" t="s">
        <v>3980</v>
      </c>
      <c r="C1770" s="1" t="s">
        <v>5328</v>
      </c>
      <c r="D1770" s="1" t="str">
        <f t="shared" si="81"/>
        <v>København KommuneLarsbjørnsstræde 23</v>
      </c>
      <c r="E1770" s="1" t="s">
        <v>5329</v>
      </c>
      <c r="F1770" s="1" t="s">
        <v>5330</v>
      </c>
      <c r="G1770" s="1">
        <v>1959</v>
      </c>
      <c r="H1770" s="1" t="s">
        <v>11</v>
      </c>
      <c r="I1770" s="6" cm="1">
        <f t="array" ref="I1770">GetLatitude(D1770)</f>
        <v>556788502</v>
      </c>
      <c r="J1770" s="1" cm="1">
        <f t="array" ref="J1770">GetLongitude(D1770)</f>
        <v>125688914</v>
      </c>
      <c r="K1770" s="1">
        <f t="shared" si="82"/>
        <v>55.678850199999999</v>
      </c>
      <c r="L1770" s="1">
        <f t="shared" si="83"/>
        <v>12.5688914</v>
      </c>
    </row>
    <row r="1771" spans="1:12" ht="16" x14ac:dyDescent="0.2">
      <c r="A1771" s="1">
        <v>1770</v>
      </c>
      <c r="B1771" s="1" t="s">
        <v>3980</v>
      </c>
      <c r="C1771" s="1" t="s">
        <v>5331</v>
      </c>
      <c r="D1771" s="1" t="str">
        <f t="shared" si="81"/>
        <v>København KommuneLarsbjørnsstræde 25</v>
      </c>
      <c r="E1771" s="1" t="s">
        <v>5332</v>
      </c>
      <c r="F1771" s="1" t="s">
        <v>4288</v>
      </c>
      <c r="G1771" s="1">
        <v>1959</v>
      </c>
      <c r="H1771" s="1" t="s">
        <v>11</v>
      </c>
      <c r="I1771" s="6" cm="1">
        <f t="array" ref="I1771">GetLatitude(D1771)</f>
        <v>556789376</v>
      </c>
      <c r="J1771" s="1" cm="1">
        <f t="array" ref="J1771">GetLongitude(D1771)</f>
        <v>125687225</v>
      </c>
      <c r="K1771" s="1">
        <f t="shared" si="82"/>
        <v>55.678937599999998</v>
      </c>
      <c r="L1771" s="1">
        <f t="shared" si="83"/>
        <v>12.5687225</v>
      </c>
    </row>
    <row r="1772" spans="1:12" ht="16" x14ac:dyDescent="0.2">
      <c r="A1772" s="1">
        <v>1771</v>
      </c>
      <c r="B1772" s="1" t="s">
        <v>3980</v>
      </c>
      <c r="C1772" s="1" t="s">
        <v>5333</v>
      </c>
      <c r="D1772" s="1" t="str">
        <f t="shared" si="81"/>
        <v>København KommuneLarsbjørnsstræde 5</v>
      </c>
      <c r="E1772" s="1" t="s">
        <v>5334</v>
      </c>
      <c r="F1772" s="1" t="s">
        <v>5335</v>
      </c>
      <c r="G1772" s="1">
        <v>1959</v>
      </c>
      <c r="H1772" s="1" t="s">
        <v>2881</v>
      </c>
      <c r="I1772" s="6" cm="1">
        <f t="array" ref="I1772">GetLatitude(D1772)</f>
        <v>556779844</v>
      </c>
      <c r="J1772" s="1" cm="1">
        <f t="array" ref="J1772">GetLongitude(D1772)</f>
        <v>125697216</v>
      </c>
      <c r="K1772" s="1">
        <f t="shared" si="82"/>
        <v>55.6779844</v>
      </c>
      <c r="L1772" s="1">
        <f t="shared" si="83"/>
        <v>12.569721599999999</v>
      </c>
    </row>
    <row r="1773" spans="1:12" ht="16" x14ac:dyDescent="0.2">
      <c r="A1773" s="1">
        <v>1772</v>
      </c>
      <c r="B1773" s="1" t="s">
        <v>3980</v>
      </c>
      <c r="C1773" s="1" t="s">
        <v>5336</v>
      </c>
      <c r="D1773" s="1" t="str">
        <f t="shared" si="81"/>
        <v>København KommuneLarsbjørnsstræde 6</v>
      </c>
      <c r="E1773" s="1" t="s">
        <v>5337</v>
      </c>
      <c r="F1773" s="1" t="s">
        <v>5338</v>
      </c>
      <c r="G1773" s="1">
        <v>1982</v>
      </c>
      <c r="H1773" s="1" t="s">
        <v>11</v>
      </c>
      <c r="I1773" s="6" cm="1">
        <f t="array" ref="I1773">GetLatitude(D1773)</f>
        <v>556779981</v>
      </c>
      <c r="J1773" s="1" cm="1">
        <f t="array" ref="J1773">GetLongitude(D1773)</f>
        <v>125700384</v>
      </c>
      <c r="K1773" s="1">
        <f t="shared" si="82"/>
        <v>55.677998100000003</v>
      </c>
      <c r="L1773" s="1">
        <f t="shared" si="83"/>
        <v>12.5700384</v>
      </c>
    </row>
    <row r="1774" spans="1:12" ht="16" x14ac:dyDescent="0.2">
      <c r="A1774" s="1">
        <v>1773</v>
      </c>
      <c r="B1774" s="1" t="s">
        <v>3980</v>
      </c>
      <c r="C1774" s="1" t="s">
        <v>5339</v>
      </c>
      <c r="D1774" s="1" t="str">
        <f t="shared" si="81"/>
        <v>København KommuneLarsbjørnsstræde 7</v>
      </c>
      <c r="E1774" s="1" t="s">
        <v>5340</v>
      </c>
      <c r="F1774" s="1" t="s">
        <v>1235</v>
      </c>
      <c r="G1774" s="1">
        <v>1959</v>
      </c>
      <c r="H1774" s="1" t="s">
        <v>11</v>
      </c>
      <c r="I1774" s="6" cm="1">
        <f t="array" ref="I1774">GetLatitude(D1774)</f>
        <v>556781001</v>
      </c>
      <c r="J1774" s="1" cm="1">
        <f t="array" ref="J1774">GetLongitude(D1774)</f>
        <v>125695705</v>
      </c>
      <c r="K1774" s="1">
        <f t="shared" si="82"/>
        <v>55.678100100000002</v>
      </c>
      <c r="L1774" s="1">
        <f t="shared" si="83"/>
        <v>12.569570499999999</v>
      </c>
    </row>
    <row r="1775" spans="1:12" ht="16" x14ac:dyDescent="0.2">
      <c r="A1775" s="1">
        <v>1774</v>
      </c>
      <c r="B1775" s="1" t="s">
        <v>3980</v>
      </c>
      <c r="C1775" s="1" t="s">
        <v>5341</v>
      </c>
      <c r="D1775" s="1" t="str">
        <f t="shared" si="81"/>
        <v>København KommuneLarsbjørnsstræde 8</v>
      </c>
      <c r="E1775" s="1" t="s">
        <v>5342</v>
      </c>
      <c r="F1775" s="1" t="s">
        <v>5343</v>
      </c>
      <c r="G1775" s="1">
        <v>1959</v>
      </c>
      <c r="H1775" s="1" t="s">
        <v>11</v>
      </c>
      <c r="I1775" s="6" cm="1">
        <f t="array" ref="I1775">GetLatitude(D1775)</f>
        <v>556780853</v>
      </c>
      <c r="J1775" s="1" cm="1">
        <f t="array" ref="J1775">GetLongitude(D1775)</f>
        <v>125699249</v>
      </c>
      <c r="K1775" s="1">
        <f t="shared" si="82"/>
        <v>55.678085299999999</v>
      </c>
      <c r="L1775" s="1">
        <f t="shared" si="83"/>
        <v>12.5699249</v>
      </c>
    </row>
    <row r="1776" spans="1:12" ht="16" x14ac:dyDescent="0.2">
      <c r="A1776" s="1">
        <v>1775</v>
      </c>
      <c r="B1776" s="1" t="s">
        <v>3980</v>
      </c>
      <c r="C1776" s="1" t="s">
        <v>5344</v>
      </c>
      <c r="D1776" s="1" t="str">
        <f t="shared" si="81"/>
        <v>København KommuneLarslejsstræde 1, hj af Sankt Peders Stræde</v>
      </c>
      <c r="E1776" s="1" t="s">
        <v>5345</v>
      </c>
      <c r="F1776" s="1" t="s">
        <v>5346</v>
      </c>
      <c r="G1776" s="1">
        <v>1959</v>
      </c>
      <c r="H1776" s="1" t="s">
        <v>11</v>
      </c>
      <c r="I1776" s="6" cm="1">
        <f t="array" ref="I1776">GetLatitude(D1776)</f>
        <v>556791439</v>
      </c>
      <c r="J1776" s="1" cm="1">
        <f t="array" ref="J1776">GetLongitude(D1776)</f>
        <v>125689981</v>
      </c>
      <c r="K1776" s="1">
        <f t="shared" si="82"/>
        <v>55.6791439</v>
      </c>
      <c r="L1776" s="1">
        <f t="shared" si="83"/>
        <v>12.5689981</v>
      </c>
    </row>
    <row r="1777" spans="1:12" ht="16" x14ac:dyDescent="0.2">
      <c r="A1777" s="1">
        <v>1776</v>
      </c>
      <c r="B1777" s="1" t="s">
        <v>3980</v>
      </c>
      <c r="C1777" s="1" t="s">
        <v>5347</v>
      </c>
      <c r="D1777" s="1" t="str">
        <f t="shared" si="81"/>
        <v>København KommuneLarslejsstræde 2, hj af Sankt Peders Stræde</v>
      </c>
      <c r="E1777" s="1" t="s">
        <v>5348</v>
      </c>
      <c r="F1777" s="1" t="s">
        <v>5349</v>
      </c>
      <c r="G1777" s="1">
        <v>1959</v>
      </c>
      <c r="H1777" s="1" t="s">
        <v>15</v>
      </c>
      <c r="I1777" s="6" cm="1">
        <f t="array" ref="I1777">GetLatitude(D1777)</f>
        <v>556791439</v>
      </c>
      <c r="J1777" s="1" cm="1">
        <f t="array" ref="J1777">GetLongitude(D1777)</f>
        <v>125689981</v>
      </c>
      <c r="K1777" s="1">
        <f t="shared" si="82"/>
        <v>55.6791439</v>
      </c>
      <c r="L1777" s="1">
        <f t="shared" si="83"/>
        <v>12.5689981</v>
      </c>
    </row>
    <row r="1778" spans="1:12" ht="16" x14ac:dyDescent="0.2">
      <c r="A1778" s="1">
        <v>1777</v>
      </c>
      <c r="B1778" s="1" t="s">
        <v>3980</v>
      </c>
      <c r="C1778" s="1" t="s">
        <v>5350</v>
      </c>
      <c r="D1778" s="1" t="str">
        <f t="shared" si="81"/>
        <v>København KommuneLarslejsstræde 3</v>
      </c>
      <c r="E1778" s="1" t="s">
        <v>5351</v>
      </c>
      <c r="F1778" s="1" t="s">
        <v>5352</v>
      </c>
      <c r="G1778" s="1">
        <v>1959</v>
      </c>
      <c r="H1778" s="1" t="s">
        <v>15</v>
      </c>
      <c r="I1778" s="6" cm="1">
        <f t="array" ref="I1778">GetLatitude(D1778)</f>
        <v>556795898</v>
      </c>
      <c r="J1778" s="1" cm="1">
        <f t="array" ref="J1778">GetLongitude(D1778)</f>
        <v>125696593</v>
      </c>
      <c r="K1778" s="1">
        <f t="shared" si="82"/>
        <v>55.679589800000002</v>
      </c>
      <c r="L1778" s="1">
        <f t="shared" si="83"/>
        <v>12.5696593</v>
      </c>
    </row>
    <row r="1779" spans="1:12" ht="16" x14ac:dyDescent="0.2">
      <c r="A1779" s="1">
        <v>1778</v>
      </c>
      <c r="B1779" s="1" t="s">
        <v>3980</v>
      </c>
      <c r="C1779" s="1" t="s">
        <v>5353</v>
      </c>
      <c r="D1779" s="1" t="str">
        <f t="shared" si="81"/>
        <v>København KommuneLarslejsstræde 7</v>
      </c>
      <c r="E1779" s="1" t="s">
        <v>5354</v>
      </c>
      <c r="F1779" s="1" t="s">
        <v>5355</v>
      </c>
      <c r="G1779" s="1">
        <v>1990</v>
      </c>
      <c r="H1779" s="1" t="s">
        <v>11</v>
      </c>
      <c r="I1779" s="6" cm="1">
        <f t="array" ref="I1779">GetLatitude(D1779)</f>
        <v>556800077</v>
      </c>
      <c r="J1779" s="1" cm="1">
        <f t="array" ref="J1779">GetLongitude(D1779)</f>
        <v>125693499</v>
      </c>
      <c r="K1779" s="1">
        <f t="shared" si="82"/>
        <v>55.680007699999997</v>
      </c>
      <c r="L1779" s="1">
        <f t="shared" si="83"/>
        <v>12.569349900000001</v>
      </c>
    </row>
    <row r="1780" spans="1:12" ht="16" x14ac:dyDescent="0.2">
      <c r="A1780" s="1">
        <v>1779</v>
      </c>
      <c r="B1780" s="1" t="s">
        <v>3980</v>
      </c>
      <c r="C1780" s="1" t="s">
        <v>5356</v>
      </c>
      <c r="D1780" s="1" t="str">
        <f t="shared" si="81"/>
        <v>København KommuneLavendelstræde 10</v>
      </c>
      <c r="E1780" s="1" t="s">
        <v>5357</v>
      </c>
      <c r="F1780" s="1" t="s">
        <v>5358</v>
      </c>
      <c r="G1780" s="1">
        <v>1979</v>
      </c>
      <c r="H1780" s="1" t="s">
        <v>11</v>
      </c>
      <c r="I1780" s="6" cm="1">
        <f t="array" ref="I1780">GetLatitude(D1780)</f>
        <v>556765032</v>
      </c>
      <c r="J1780" s="1" cm="1">
        <f t="array" ref="J1780">GetLongitude(D1780)</f>
        <v>125716815</v>
      </c>
      <c r="K1780" s="1">
        <f t="shared" si="82"/>
        <v>55.676503199999999</v>
      </c>
      <c r="L1780" s="1">
        <f t="shared" si="83"/>
        <v>12.5716815</v>
      </c>
    </row>
    <row r="1781" spans="1:12" ht="16" x14ac:dyDescent="0.2">
      <c r="A1781" s="1">
        <v>1780</v>
      </c>
      <c r="B1781" s="1" t="s">
        <v>3980</v>
      </c>
      <c r="C1781" s="1" t="s">
        <v>5359</v>
      </c>
      <c r="D1781" s="1" t="str">
        <f t="shared" si="81"/>
        <v>København KommuneLavendelstræde 1 og Hestemøllestræde 2</v>
      </c>
      <c r="E1781" s="1" t="s">
        <v>5360</v>
      </c>
      <c r="F1781" s="1" t="s">
        <v>5361</v>
      </c>
      <c r="G1781" s="1">
        <v>1918</v>
      </c>
      <c r="H1781" s="1" t="s">
        <v>15</v>
      </c>
      <c r="I1781" s="6" cm="1">
        <f t="array" ref="I1781">GetLatitude(D1781)</f>
        <v>556765772</v>
      </c>
      <c r="J1781" s="1" cm="1">
        <f t="array" ref="J1781">GetLongitude(D1781)</f>
        <v>125722428</v>
      </c>
      <c r="K1781" s="1">
        <f t="shared" si="82"/>
        <v>55.676577199999997</v>
      </c>
      <c r="L1781" s="1">
        <f t="shared" si="83"/>
        <v>12.5722428</v>
      </c>
    </row>
    <row r="1782" spans="1:12" ht="16" x14ac:dyDescent="0.2">
      <c r="A1782" s="1">
        <v>1781</v>
      </c>
      <c r="B1782" s="1" t="s">
        <v>3980</v>
      </c>
      <c r="C1782" s="1" t="s">
        <v>5362</v>
      </c>
      <c r="D1782" s="1" t="str">
        <f t="shared" si="81"/>
        <v>København KommuneLavendelstræde 4-6</v>
      </c>
      <c r="E1782" s="1" t="s">
        <v>5363</v>
      </c>
      <c r="F1782" s="1" t="s">
        <v>5364</v>
      </c>
      <c r="G1782" s="1">
        <v>1979</v>
      </c>
      <c r="H1782" s="1" t="s">
        <v>11</v>
      </c>
      <c r="I1782" s="6" cm="1">
        <f t="array" ref="I1782">GetLatitude(D1782)</f>
        <v>556766816</v>
      </c>
      <c r="J1782" s="1" cm="1">
        <f t="array" ref="J1782">GetLongitude(D1782)</f>
        <v>125719805</v>
      </c>
      <c r="K1782" s="1">
        <f t="shared" si="82"/>
        <v>55.676681600000002</v>
      </c>
      <c r="L1782" s="1">
        <f t="shared" si="83"/>
        <v>12.5719805</v>
      </c>
    </row>
    <row r="1783" spans="1:12" ht="16" x14ac:dyDescent="0.2">
      <c r="A1783" s="1">
        <v>1782</v>
      </c>
      <c r="B1783" s="1" t="s">
        <v>3980</v>
      </c>
      <c r="C1783" s="1" t="s">
        <v>5365</v>
      </c>
      <c r="D1783" s="1" t="str">
        <f t="shared" si="81"/>
        <v>København KommuneLille Kannikestræde 3</v>
      </c>
      <c r="E1783" s="1" t="s">
        <v>5366</v>
      </c>
      <c r="F1783" s="1" t="s">
        <v>5367</v>
      </c>
      <c r="G1783" s="1">
        <v>1979</v>
      </c>
      <c r="H1783" s="1" t="s">
        <v>11</v>
      </c>
      <c r="I1783" s="6" cm="1">
        <f t="array" ref="I1783">GetLatitude(D1783)</f>
        <v>556800553</v>
      </c>
      <c r="J1783" s="1" cm="1">
        <f t="array" ref="J1783">GetLongitude(D1783)</f>
        <v>125745167</v>
      </c>
      <c r="K1783" s="1">
        <f t="shared" si="82"/>
        <v>55.680055299999999</v>
      </c>
      <c r="L1783" s="1">
        <f t="shared" si="83"/>
        <v>12.5745167</v>
      </c>
    </row>
    <row r="1784" spans="1:12" ht="16" x14ac:dyDescent="0.2">
      <c r="A1784" s="1">
        <v>1783</v>
      </c>
      <c r="B1784" s="1" t="s">
        <v>3980</v>
      </c>
      <c r="C1784" s="1" t="s">
        <v>5368</v>
      </c>
      <c r="D1784" s="1" t="str">
        <f t="shared" si="81"/>
        <v>København KommuneLille Kannikestræde 4</v>
      </c>
      <c r="E1784" s="1" t="s">
        <v>5369</v>
      </c>
      <c r="F1784" s="1" t="s">
        <v>5370</v>
      </c>
      <c r="G1784" s="1">
        <v>1950</v>
      </c>
      <c r="H1784" s="1" t="s">
        <v>11</v>
      </c>
      <c r="I1784" s="6" cm="1">
        <f t="array" ref="I1784">GetLatitude(D1784)</f>
        <v>556801900</v>
      </c>
      <c r="J1784" s="1" cm="1">
        <f t="array" ref="J1784">GetLongitude(D1784)</f>
        <v>125746850</v>
      </c>
      <c r="K1784" s="1">
        <f t="shared" si="82"/>
        <v>55.680190000000003</v>
      </c>
      <c r="L1784" s="1">
        <f t="shared" si="83"/>
        <v>12.574685000000001</v>
      </c>
    </row>
    <row r="1785" spans="1:12" ht="16" x14ac:dyDescent="0.2">
      <c r="A1785" s="1">
        <v>1784</v>
      </c>
      <c r="B1785" s="1" t="s">
        <v>3980</v>
      </c>
      <c r="C1785" s="1" t="s">
        <v>5371</v>
      </c>
      <c r="D1785" s="1" t="str">
        <f t="shared" si="81"/>
        <v>København KommuneLille Kirkestræde 1 og Nikolaj Plads 28</v>
      </c>
      <c r="E1785" s="1" t="s">
        <v>5372</v>
      </c>
      <c r="F1785" s="1" t="s">
        <v>5373</v>
      </c>
      <c r="G1785" s="1">
        <v>1945</v>
      </c>
      <c r="H1785" s="1" t="s">
        <v>11</v>
      </c>
      <c r="I1785" s="6" cm="1">
        <f t="array" ref="I1785">GetLatitude(D1785)</f>
        <v>556793460</v>
      </c>
      <c r="J1785" s="1" cm="1">
        <f t="array" ref="J1785">GetLongitude(D1785)</f>
        <v>125820784</v>
      </c>
      <c r="K1785" s="1">
        <f t="shared" si="82"/>
        <v>55.679346000000002</v>
      </c>
      <c r="L1785" s="1">
        <f t="shared" si="83"/>
        <v>12.5820784</v>
      </c>
    </row>
    <row r="1786" spans="1:12" ht="16" x14ac:dyDescent="0.2">
      <c r="A1786" s="1">
        <v>1785</v>
      </c>
      <c r="B1786" s="1" t="s">
        <v>3980</v>
      </c>
      <c r="C1786" s="1" t="s">
        <v>5374</v>
      </c>
      <c r="D1786" s="1" t="str">
        <f t="shared" si="81"/>
        <v>København KommuneLille Kirkestræde 3</v>
      </c>
      <c r="E1786" s="1" t="s">
        <v>5375</v>
      </c>
      <c r="F1786" s="1" t="s">
        <v>5376</v>
      </c>
      <c r="G1786" s="1">
        <v>1974</v>
      </c>
      <c r="H1786" s="1" t="s">
        <v>11</v>
      </c>
      <c r="I1786" s="6" cm="1">
        <f t="array" ref="I1786">GetLatitude(D1786)</f>
        <v>556784029</v>
      </c>
      <c r="J1786" s="1" cm="1">
        <f t="array" ref="J1786">GetLongitude(D1786)</f>
        <v>125808230</v>
      </c>
      <c r="K1786" s="1">
        <f t="shared" si="82"/>
        <v>55.678402900000002</v>
      </c>
      <c r="L1786" s="1">
        <f t="shared" si="83"/>
        <v>12.580823000000001</v>
      </c>
    </row>
    <row r="1787" spans="1:12" ht="16" x14ac:dyDescent="0.2">
      <c r="A1787" s="1">
        <v>1786</v>
      </c>
      <c r="B1787" s="1" t="s">
        <v>3980</v>
      </c>
      <c r="C1787" s="1" t="s">
        <v>5377</v>
      </c>
      <c r="D1787" s="1" t="str">
        <f t="shared" si="81"/>
        <v>København KommuneLille Kongensgade 6</v>
      </c>
      <c r="E1787" s="1" t="s">
        <v>5378</v>
      </c>
      <c r="F1787" s="1" t="s">
        <v>5379</v>
      </c>
      <c r="G1787" s="1">
        <v>1918</v>
      </c>
      <c r="H1787" s="1" t="s">
        <v>11</v>
      </c>
      <c r="I1787" s="6" cm="1">
        <f t="array" ref="I1787">GetLatitude(D1787)</f>
        <v>556797380</v>
      </c>
      <c r="J1787" s="1" cm="1">
        <f t="array" ref="J1787">GetLongitude(D1787)</f>
        <v>125843580</v>
      </c>
      <c r="K1787" s="1">
        <f t="shared" si="82"/>
        <v>55.679738</v>
      </c>
      <c r="L1787" s="1">
        <f t="shared" si="83"/>
        <v>12.584358</v>
      </c>
    </row>
    <row r="1788" spans="1:12" ht="16" x14ac:dyDescent="0.2">
      <c r="A1788" s="1">
        <v>1787</v>
      </c>
      <c r="B1788" s="1" t="s">
        <v>3980</v>
      </c>
      <c r="C1788" s="1" t="s">
        <v>5380</v>
      </c>
      <c r="D1788" s="1" t="str">
        <f t="shared" si="81"/>
        <v>København KommuneLille Strandstræde 10</v>
      </c>
      <c r="E1788" s="1" t="s">
        <v>5381</v>
      </c>
      <c r="F1788" s="1" t="s">
        <v>5382</v>
      </c>
      <c r="G1788" s="1">
        <v>1988</v>
      </c>
      <c r="H1788" s="1" t="s">
        <v>5383</v>
      </c>
      <c r="I1788" s="6" cm="1">
        <f t="array" ref="I1788">GetLatitude(D1788)</f>
        <v>556806822</v>
      </c>
      <c r="J1788" s="1" cm="1">
        <f t="array" ref="J1788">GetLongitude(D1788)</f>
        <v>125899066</v>
      </c>
      <c r="K1788" s="1">
        <f t="shared" si="82"/>
        <v>55.6806822</v>
      </c>
      <c r="L1788" s="1">
        <f t="shared" si="83"/>
        <v>12.589906600000001</v>
      </c>
    </row>
    <row r="1789" spans="1:12" ht="16" x14ac:dyDescent="0.2">
      <c r="A1789" s="1">
        <v>1788</v>
      </c>
      <c r="B1789" s="1" t="s">
        <v>3980</v>
      </c>
      <c r="C1789" s="1" t="s">
        <v>5384</v>
      </c>
      <c r="D1789" s="1" t="str">
        <f t="shared" si="81"/>
        <v>København KommuneLille Strandstræde 12</v>
      </c>
      <c r="E1789" s="1" t="s">
        <v>5385</v>
      </c>
      <c r="F1789" s="1" t="s">
        <v>5386</v>
      </c>
      <c r="G1789" s="1">
        <v>1950</v>
      </c>
      <c r="H1789" s="1" t="s">
        <v>11</v>
      </c>
      <c r="I1789" s="6" cm="1">
        <f t="array" ref="I1789">GetLatitude(D1789)</f>
        <v>556807562</v>
      </c>
      <c r="J1789" s="1" cm="1">
        <f t="array" ref="J1789">GetLongitude(D1789)</f>
        <v>125898107</v>
      </c>
      <c r="K1789" s="1">
        <f t="shared" si="82"/>
        <v>55.680756199999998</v>
      </c>
      <c r="L1789" s="1">
        <f t="shared" si="83"/>
        <v>12.589810699999999</v>
      </c>
    </row>
    <row r="1790" spans="1:12" ht="16" x14ac:dyDescent="0.2">
      <c r="A1790" s="1">
        <v>1789</v>
      </c>
      <c r="B1790" s="1" t="s">
        <v>3980</v>
      </c>
      <c r="C1790" s="1" t="s">
        <v>5387</v>
      </c>
      <c r="D1790" s="1" t="str">
        <f t="shared" si="81"/>
        <v>København KommuneLille Strandstræde 13-15</v>
      </c>
      <c r="E1790" s="1" t="s">
        <v>5388</v>
      </c>
      <c r="F1790" s="1" t="s">
        <v>5389</v>
      </c>
      <c r="G1790" s="1">
        <v>1950</v>
      </c>
      <c r="H1790" s="1" t="s">
        <v>11</v>
      </c>
      <c r="I1790" s="6" cm="1">
        <f t="array" ref="I1790">GetLatitude(D1790)</f>
        <v>556810419</v>
      </c>
      <c r="J1790" s="1" cm="1">
        <f t="array" ref="J1790">GetLongitude(D1790)</f>
        <v>125897506</v>
      </c>
      <c r="K1790" s="1">
        <f t="shared" si="82"/>
        <v>55.681041899999997</v>
      </c>
      <c r="L1790" s="1">
        <f t="shared" si="83"/>
        <v>12.5897506</v>
      </c>
    </row>
    <row r="1791" spans="1:12" ht="16" x14ac:dyDescent="0.2">
      <c r="A1791" s="1">
        <v>1790</v>
      </c>
      <c r="B1791" s="1" t="s">
        <v>3980</v>
      </c>
      <c r="C1791" s="1" t="s">
        <v>5390</v>
      </c>
      <c r="D1791" s="1" t="str">
        <f t="shared" si="81"/>
        <v>København KommuneLille Strandstræde 14 A</v>
      </c>
      <c r="E1791" s="1" t="s">
        <v>5391</v>
      </c>
      <c r="F1791" s="1" t="s">
        <v>5392</v>
      </c>
      <c r="G1791" s="1">
        <v>1918</v>
      </c>
      <c r="H1791" s="1" t="s">
        <v>11</v>
      </c>
      <c r="I1791" s="6" cm="1">
        <f t="array" ref="I1791">GetLatitude(D1791)</f>
        <v>556809075</v>
      </c>
      <c r="J1791" s="1" cm="1">
        <f t="array" ref="J1791">GetLongitude(D1791)</f>
        <v>125899654</v>
      </c>
      <c r="K1791" s="1">
        <f t="shared" si="82"/>
        <v>55.680907500000004</v>
      </c>
      <c r="L1791" s="1">
        <f t="shared" si="83"/>
        <v>12.589965400000001</v>
      </c>
    </row>
    <row r="1792" spans="1:12" ht="16" x14ac:dyDescent="0.2">
      <c r="A1792" s="1">
        <v>1791</v>
      </c>
      <c r="B1792" s="1" t="s">
        <v>3980</v>
      </c>
      <c r="C1792" s="1" t="s">
        <v>5393</v>
      </c>
      <c r="D1792" s="1" t="str">
        <f t="shared" si="81"/>
        <v>København KommuneLille Strandstræde 16</v>
      </c>
      <c r="E1792" s="1" t="s">
        <v>5394</v>
      </c>
      <c r="F1792" s="1" t="s">
        <v>5395</v>
      </c>
      <c r="G1792" s="1">
        <v>1950</v>
      </c>
      <c r="H1792" s="1" t="s">
        <v>15</v>
      </c>
      <c r="I1792" s="6" cm="1">
        <f t="array" ref="I1792">GetLatitude(D1792)</f>
        <v>556809559</v>
      </c>
      <c r="J1792" s="1" cm="1">
        <f t="array" ref="J1792">GetLongitude(D1792)</f>
        <v>125899837</v>
      </c>
      <c r="K1792" s="1">
        <f t="shared" si="82"/>
        <v>55.680955900000001</v>
      </c>
      <c r="L1792" s="1">
        <f t="shared" si="83"/>
        <v>12.589983699999999</v>
      </c>
    </row>
    <row r="1793" spans="1:12" ht="16" x14ac:dyDescent="0.2">
      <c r="A1793" s="1">
        <v>1792</v>
      </c>
      <c r="B1793" s="1" t="s">
        <v>3980</v>
      </c>
      <c r="C1793" s="1" t="s">
        <v>5396</v>
      </c>
      <c r="D1793" s="1" t="str">
        <f t="shared" si="81"/>
        <v>København KommuneLille Strandstræde 18</v>
      </c>
      <c r="E1793" s="1" t="s">
        <v>5397</v>
      </c>
      <c r="F1793" s="1" t="s">
        <v>5398</v>
      </c>
      <c r="G1793" s="1">
        <v>1950</v>
      </c>
      <c r="H1793" s="1" t="s">
        <v>11</v>
      </c>
      <c r="I1793" s="6" cm="1">
        <f t="array" ref="I1793">GetLatitude(D1793)</f>
        <v>556810625</v>
      </c>
      <c r="J1793" s="1" cm="1">
        <f t="array" ref="J1793">GetLongitude(D1793)</f>
        <v>125901713</v>
      </c>
      <c r="K1793" s="1">
        <f t="shared" si="82"/>
        <v>55.681062500000003</v>
      </c>
      <c r="L1793" s="1">
        <f t="shared" si="83"/>
        <v>12.5901713</v>
      </c>
    </row>
    <row r="1794" spans="1:12" ht="16" x14ac:dyDescent="0.2">
      <c r="A1794" s="1">
        <v>1793</v>
      </c>
      <c r="B1794" s="1" t="s">
        <v>3980</v>
      </c>
      <c r="C1794" s="1" t="s">
        <v>5399</v>
      </c>
      <c r="D1794" s="1" t="str">
        <f t="shared" si="81"/>
        <v>København KommuneLille Strandstræde 20</v>
      </c>
      <c r="E1794" s="1" t="s">
        <v>5400</v>
      </c>
      <c r="F1794" s="1" t="s">
        <v>5401</v>
      </c>
      <c r="G1794" s="1">
        <v>1918</v>
      </c>
      <c r="H1794" s="1" t="s">
        <v>4663</v>
      </c>
      <c r="I1794" s="6" cm="1">
        <f t="array" ref="I1794">GetLatitude(D1794)</f>
        <v>556812053</v>
      </c>
      <c r="J1794" s="1" cm="1">
        <f t="array" ref="J1794">GetLongitude(D1794)</f>
        <v>125901749</v>
      </c>
      <c r="K1794" s="1">
        <f t="shared" si="82"/>
        <v>55.681205300000002</v>
      </c>
      <c r="L1794" s="1">
        <f t="shared" si="83"/>
        <v>12.590174899999999</v>
      </c>
    </row>
    <row r="1795" spans="1:12" ht="16" x14ac:dyDescent="0.2">
      <c r="A1795" s="1">
        <v>1794</v>
      </c>
      <c r="B1795" s="1" t="s">
        <v>3980</v>
      </c>
      <c r="C1795" s="1" t="s">
        <v>5402</v>
      </c>
      <c r="D1795" s="1" t="str">
        <f t="shared" ref="D1795:D1858" si="84">B1795&amp;C1795</f>
        <v>København KommuneLille Strandstræde 3</v>
      </c>
      <c r="E1795" s="1" t="s">
        <v>5403</v>
      </c>
      <c r="F1795" s="1" t="s">
        <v>5404</v>
      </c>
      <c r="G1795" s="1">
        <v>1979</v>
      </c>
      <c r="H1795" s="1" t="s">
        <v>11</v>
      </c>
      <c r="I1795" s="6" cm="1">
        <f t="array" ref="I1795">GetLatitude(D1795)</f>
        <v>556806601</v>
      </c>
      <c r="J1795" s="1" cm="1">
        <f t="array" ref="J1795">GetLongitude(D1795)</f>
        <v>125892713</v>
      </c>
      <c r="K1795" s="1">
        <f t="shared" si="82"/>
        <v>55.680660099999997</v>
      </c>
      <c r="L1795" s="1">
        <f t="shared" si="83"/>
        <v>12.5892713</v>
      </c>
    </row>
    <row r="1796" spans="1:12" ht="16" x14ac:dyDescent="0.2">
      <c r="A1796" s="1">
        <v>1795</v>
      </c>
      <c r="B1796" s="1" t="s">
        <v>3980</v>
      </c>
      <c r="C1796" s="1" t="s">
        <v>5405</v>
      </c>
      <c r="D1796" s="1" t="str">
        <f t="shared" si="84"/>
        <v>København KommuneLille Strandstræde 6</v>
      </c>
      <c r="E1796" s="1" t="s">
        <v>5406</v>
      </c>
      <c r="F1796" s="1" t="s">
        <v>5407</v>
      </c>
      <c r="G1796" s="1">
        <v>1945</v>
      </c>
      <c r="H1796" s="1" t="s">
        <v>4164</v>
      </c>
      <c r="I1796" s="6" cm="1">
        <f t="array" ref="I1796">GetLatitude(D1796)</f>
        <v>556805911</v>
      </c>
      <c r="J1796" s="1" cm="1">
        <f t="array" ref="J1796">GetLongitude(D1796)</f>
        <v>125896164</v>
      </c>
      <c r="K1796" s="1">
        <f t="shared" ref="K1796:K1859" si="85">I1796/10000000</f>
        <v>55.680591100000001</v>
      </c>
      <c r="L1796" s="1">
        <f t="shared" ref="L1796:L1859" si="86">J1796/10000000</f>
        <v>12.589616400000001</v>
      </c>
    </row>
    <row r="1797" spans="1:12" ht="16" x14ac:dyDescent="0.2">
      <c r="A1797" s="1">
        <v>1796</v>
      </c>
      <c r="B1797" s="1" t="s">
        <v>3980</v>
      </c>
      <c r="C1797" s="1" t="s">
        <v>5408</v>
      </c>
      <c r="D1797" s="1" t="str">
        <f t="shared" si="84"/>
        <v>København KommuneLille Strandstræde 8</v>
      </c>
      <c r="E1797" s="1" t="s">
        <v>5409</v>
      </c>
      <c r="F1797" s="1" t="s">
        <v>5410</v>
      </c>
      <c r="G1797" s="1">
        <v>1959</v>
      </c>
      <c r="H1797" s="1" t="s">
        <v>3269</v>
      </c>
      <c r="I1797" s="6" cm="1">
        <f t="array" ref="I1797">GetLatitude(D1797)</f>
        <v>556806565</v>
      </c>
      <c r="J1797" s="1" cm="1">
        <f t="array" ref="J1797">GetLongitude(D1797)</f>
        <v>125897299</v>
      </c>
      <c r="K1797" s="1">
        <f t="shared" si="85"/>
        <v>55.680656499999998</v>
      </c>
      <c r="L1797" s="1">
        <f t="shared" si="86"/>
        <v>12.5897299</v>
      </c>
    </row>
    <row r="1798" spans="1:12" ht="16" x14ac:dyDescent="0.2">
      <c r="A1798" s="1">
        <v>1797</v>
      </c>
      <c r="B1798" s="1" t="s">
        <v>3980</v>
      </c>
      <c r="C1798" s="1" t="s">
        <v>5411</v>
      </c>
      <c r="D1798" s="1" t="str">
        <f t="shared" si="84"/>
        <v>København KommuneLundevangsvej 12</v>
      </c>
      <c r="E1798" s="1" t="s">
        <v>5412</v>
      </c>
      <c r="F1798" s="1" t="s">
        <v>5413</v>
      </c>
      <c r="G1798" s="1">
        <v>1985</v>
      </c>
      <c r="H1798" s="1" t="s">
        <v>11</v>
      </c>
      <c r="I1798" s="6" cm="1">
        <f t="array" ref="I1798">GetLatitude(D1798)</f>
        <v>557251380</v>
      </c>
      <c r="J1798" s="1" cm="1">
        <f t="array" ref="J1798">GetLongitude(D1798)</f>
        <v>125712985</v>
      </c>
      <c r="K1798" s="1">
        <f t="shared" si="85"/>
        <v>55.725138000000001</v>
      </c>
      <c r="L1798" s="1">
        <f t="shared" si="86"/>
        <v>12.571298499999999</v>
      </c>
    </row>
    <row r="1799" spans="1:12" ht="16" x14ac:dyDescent="0.2">
      <c r="A1799" s="1">
        <v>1798</v>
      </c>
      <c r="B1799" s="1" t="s">
        <v>3980</v>
      </c>
      <c r="C1799" s="1" t="s">
        <v>5414</v>
      </c>
      <c r="D1799" s="1" t="str">
        <f t="shared" si="84"/>
        <v>København KommuneLygten 2 A</v>
      </c>
      <c r="E1799" s="1" t="s">
        <v>5415</v>
      </c>
      <c r="F1799" s="1" t="s">
        <v>5416</v>
      </c>
      <c r="G1799" s="1">
        <v>1992</v>
      </c>
      <c r="H1799" s="1" t="s">
        <v>15</v>
      </c>
      <c r="I1799" s="6" cm="1">
        <f t="array" ref="I1799">GetLatitude(D1799)</f>
        <v>557015931</v>
      </c>
      <c r="J1799" s="1" cm="1">
        <f t="array" ref="J1799">GetLongitude(D1799)</f>
        <v>125377938</v>
      </c>
      <c r="K1799" s="1">
        <f t="shared" si="85"/>
        <v>55.701593099999997</v>
      </c>
      <c r="L1799" s="1">
        <f t="shared" si="86"/>
        <v>12.537793799999999</v>
      </c>
    </row>
    <row r="1800" spans="1:12" ht="16" x14ac:dyDescent="0.2">
      <c r="A1800" s="1">
        <v>1799</v>
      </c>
      <c r="B1800" s="1" t="s">
        <v>3980</v>
      </c>
      <c r="C1800" s="1" t="s">
        <v>5417</v>
      </c>
      <c r="D1800" s="1" t="str">
        <f t="shared" si="84"/>
        <v>København KommuneLæderstræde 11 B</v>
      </c>
      <c r="E1800" s="1" t="s">
        <v>5418</v>
      </c>
      <c r="F1800" s="1" t="s">
        <v>5419</v>
      </c>
      <c r="G1800" s="1">
        <v>1939</v>
      </c>
      <c r="H1800" s="1" t="s">
        <v>11</v>
      </c>
      <c r="I1800" s="6" cm="1">
        <f t="array" ref="I1800">GetLatitude(D1800)</f>
        <v>556779332</v>
      </c>
      <c r="J1800" s="1" cm="1">
        <f t="array" ref="J1800">GetLongitude(D1800)</f>
        <v>125777065</v>
      </c>
      <c r="K1800" s="1">
        <f t="shared" si="85"/>
        <v>55.677933199999998</v>
      </c>
      <c r="L1800" s="1">
        <f t="shared" si="86"/>
        <v>12.5777065</v>
      </c>
    </row>
    <row r="1801" spans="1:12" ht="16" x14ac:dyDescent="0.2">
      <c r="A1801" s="1">
        <v>1800</v>
      </c>
      <c r="B1801" s="1" t="s">
        <v>3980</v>
      </c>
      <c r="C1801" s="1" t="s">
        <v>5420</v>
      </c>
      <c r="D1801" s="1" t="str">
        <f t="shared" si="84"/>
        <v>København KommuneLæderstræde 13</v>
      </c>
      <c r="E1801" s="1" t="s">
        <v>5421</v>
      </c>
      <c r="F1801" s="1" t="s">
        <v>5422</v>
      </c>
      <c r="G1801" s="1">
        <v>1945</v>
      </c>
      <c r="H1801" s="1" t="s">
        <v>11</v>
      </c>
      <c r="I1801" s="6" cm="1">
        <f t="array" ref="I1801">GetLatitude(D1801)</f>
        <v>556778662</v>
      </c>
      <c r="J1801" s="1" cm="1">
        <f t="array" ref="J1801">GetLongitude(D1801)</f>
        <v>125776589</v>
      </c>
      <c r="K1801" s="1">
        <f t="shared" si="85"/>
        <v>55.677866199999997</v>
      </c>
      <c r="L1801" s="1">
        <f t="shared" si="86"/>
        <v>12.577658899999999</v>
      </c>
    </row>
    <row r="1802" spans="1:12" ht="16" x14ac:dyDescent="0.2">
      <c r="A1802" s="1">
        <v>1801</v>
      </c>
      <c r="B1802" s="1" t="s">
        <v>3980</v>
      </c>
      <c r="C1802" s="1" t="s">
        <v>5423</v>
      </c>
      <c r="D1802" s="1" t="str">
        <f t="shared" si="84"/>
        <v>København KommuneLæderstræde 36, hj af Hyskenstræde</v>
      </c>
      <c r="E1802" s="1" t="s">
        <v>5424</v>
      </c>
      <c r="F1802" s="1" t="s">
        <v>5425</v>
      </c>
      <c r="G1802" s="1">
        <v>1964</v>
      </c>
      <c r="H1802" s="1" t="s">
        <v>11</v>
      </c>
      <c r="I1802" s="6" cm="1">
        <f t="array" ref="I1802">GetLatitude(D1802)</f>
        <v>556778957</v>
      </c>
      <c r="J1802" s="1" cm="1">
        <f t="array" ref="J1802">GetLongitude(D1802)</f>
        <v>125769499</v>
      </c>
      <c r="K1802" s="1">
        <f t="shared" si="85"/>
        <v>55.677895700000001</v>
      </c>
      <c r="L1802" s="1">
        <f t="shared" si="86"/>
        <v>12.576949900000001</v>
      </c>
    </row>
    <row r="1803" spans="1:12" ht="16" x14ac:dyDescent="0.2">
      <c r="A1803" s="1">
        <v>1802</v>
      </c>
      <c r="B1803" s="1" t="s">
        <v>3980</v>
      </c>
      <c r="C1803" s="1" t="s">
        <v>5426</v>
      </c>
      <c r="D1803" s="1" t="str">
        <f t="shared" si="84"/>
        <v>København KommuneLæderstræde 5</v>
      </c>
      <c r="E1803" s="1" t="s">
        <v>5427</v>
      </c>
      <c r="F1803" s="1" t="s">
        <v>5428</v>
      </c>
      <c r="G1803" s="1">
        <v>1945</v>
      </c>
      <c r="H1803" s="1" t="s">
        <v>11</v>
      </c>
      <c r="I1803" s="6" cm="1">
        <f t="array" ref="I1803">GetLatitude(D1803)</f>
        <v>556782612</v>
      </c>
      <c r="J1803" s="1" cm="1">
        <f t="array" ref="J1803">GetLongitude(D1803)</f>
        <v>125786241</v>
      </c>
      <c r="K1803" s="1">
        <f t="shared" si="85"/>
        <v>55.678261200000001</v>
      </c>
      <c r="L1803" s="1">
        <f t="shared" si="86"/>
        <v>12.578624100000001</v>
      </c>
    </row>
    <row r="1804" spans="1:12" ht="16" x14ac:dyDescent="0.2">
      <c r="A1804" s="1">
        <v>1803</v>
      </c>
      <c r="B1804" s="1" t="s">
        <v>3980</v>
      </c>
      <c r="C1804" s="1" t="s">
        <v>5429</v>
      </c>
      <c r="D1804" s="1" t="str">
        <f t="shared" si="84"/>
        <v>København KommuneLæderstræde 7</v>
      </c>
      <c r="E1804" s="1" t="s">
        <v>5430</v>
      </c>
      <c r="F1804" s="1" t="s">
        <v>5431</v>
      </c>
      <c r="G1804" s="1">
        <v>1945</v>
      </c>
      <c r="H1804" s="1" t="s">
        <v>15</v>
      </c>
      <c r="I1804" s="6" cm="1">
        <f t="array" ref="I1804">GetLatitude(D1804)</f>
        <v>556781250</v>
      </c>
      <c r="J1804" s="1" cm="1">
        <f t="array" ref="J1804">GetLongitude(D1804)</f>
        <v>125784567</v>
      </c>
      <c r="K1804" s="1">
        <f t="shared" si="85"/>
        <v>55.678125000000001</v>
      </c>
      <c r="L1804" s="1">
        <f t="shared" si="86"/>
        <v>12.5784567</v>
      </c>
    </row>
    <row r="1805" spans="1:12" ht="16" x14ac:dyDescent="0.2">
      <c r="A1805" s="1">
        <v>1804</v>
      </c>
      <c r="B1805" s="1" t="s">
        <v>3980</v>
      </c>
      <c r="C1805" s="1" t="s">
        <v>5432</v>
      </c>
      <c r="D1805" s="1" t="str">
        <f t="shared" si="84"/>
        <v>København KommuneMagstræde 12</v>
      </c>
      <c r="E1805" s="1" t="s">
        <v>5433</v>
      </c>
      <c r="F1805" s="1" t="s">
        <v>5434</v>
      </c>
      <c r="G1805" s="1">
        <v>1945</v>
      </c>
      <c r="H1805" s="1" t="s">
        <v>15</v>
      </c>
      <c r="I1805" s="6" cm="1">
        <f t="array" ref="I1805">GetLatitude(D1805)</f>
        <v>556765365</v>
      </c>
      <c r="J1805" s="1" cm="1">
        <f t="array" ref="J1805">GetLongitude(D1805)</f>
        <v>125751812</v>
      </c>
      <c r="K1805" s="1">
        <f t="shared" si="85"/>
        <v>55.676536499999997</v>
      </c>
      <c r="L1805" s="1">
        <f t="shared" si="86"/>
        <v>12.575181199999999</v>
      </c>
    </row>
    <row r="1806" spans="1:12" ht="16" x14ac:dyDescent="0.2">
      <c r="A1806" s="1">
        <v>1805</v>
      </c>
      <c r="B1806" s="1" t="s">
        <v>3980</v>
      </c>
      <c r="C1806" s="1" t="s">
        <v>5435</v>
      </c>
      <c r="D1806" s="1" t="str">
        <f t="shared" si="84"/>
        <v>København KommuneMagstræde 16</v>
      </c>
      <c r="E1806" s="1" t="s">
        <v>5436</v>
      </c>
      <c r="F1806" s="1" t="s">
        <v>5437</v>
      </c>
      <c r="G1806" s="1">
        <v>1945</v>
      </c>
      <c r="H1806" s="1" t="s">
        <v>11</v>
      </c>
      <c r="I1806" s="6" cm="1">
        <f t="array" ref="I1806">GetLatitude(D1806)</f>
        <v>556763321</v>
      </c>
      <c r="J1806" s="1" cm="1">
        <f t="array" ref="J1806">GetLongitude(D1806)</f>
        <v>125751326</v>
      </c>
      <c r="K1806" s="1">
        <f t="shared" si="85"/>
        <v>55.676332100000003</v>
      </c>
      <c r="L1806" s="1">
        <f t="shared" si="86"/>
        <v>12.5751326</v>
      </c>
    </row>
    <row r="1807" spans="1:12" ht="16" x14ac:dyDescent="0.2">
      <c r="A1807" s="1">
        <v>1806</v>
      </c>
      <c r="B1807" s="1" t="s">
        <v>3980</v>
      </c>
      <c r="C1807" s="1" t="s">
        <v>5438</v>
      </c>
      <c r="D1807" s="1" t="str">
        <f t="shared" si="84"/>
        <v>København KommuneMagstræde 17-19 og Nybrogade 30</v>
      </c>
      <c r="E1807" s="1" t="s">
        <v>5439</v>
      </c>
      <c r="F1807" s="1" t="s">
        <v>5440</v>
      </c>
      <c r="G1807" s="1">
        <v>1945</v>
      </c>
      <c r="H1807" s="1" t="s">
        <v>11</v>
      </c>
      <c r="I1807" s="6" cm="1">
        <f t="array" ref="I1807">GetLatitude(D1807)</f>
        <v>556761931</v>
      </c>
      <c r="J1807" s="1" cm="1">
        <f t="array" ref="J1807">GetLongitude(D1807)</f>
        <v>125751975</v>
      </c>
      <c r="K1807" s="1">
        <f t="shared" si="85"/>
        <v>55.676193099999999</v>
      </c>
      <c r="L1807" s="1">
        <f t="shared" si="86"/>
        <v>12.5751975</v>
      </c>
    </row>
    <row r="1808" spans="1:12" ht="16" x14ac:dyDescent="0.2">
      <c r="A1808" s="1">
        <v>1807</v>
      </c>
      <c r="B1808" s="1" t="s">
        <v>3980</v>
      </c>
      <c r="C1808" s="1" t="s">
        <v>5441</v>
      </c>
      <c r="D1808" s="1" t="str">
        <f t="shared" si="84"/>
        <v>København KommuneMagstræde 18</v>
      </c>
      <c r="E1808" s="1" t="s">
        <v>5442</v>
      </c>
      <c r="F1808" s="1" t="s">
        <v>5443</v>
      </c>
      <c r="G1808" s="1">
        <v>1945</v>
      </c>
      <c r="H1808" s="1" t="s">
        <v>11</v>
      </c>
      <c r="I1808" s="6" cm="1">
        <f t="array" ref="I1808">GetLatitude(D1808)</f>
        <v>556763209</v>
      </c>
      <c r="J1808" s="1" cm="1">
        <f t="array" ref="J1808">GetLongitude(D1808)</f>
        <v>125750287</v>
      </c>
      <c r="K1808" s="1">
        <f t="shared" si="85"/>
        <v>55.6763209</v>
      </c>
      <c r="L1808" s="1">
        <f t="shared" si="86"/>
        <v>12.575028700000001</v>
      </c>
    </row>
    <row r="1809" spans="1:12" ht="16" x14ac:dyDescent="0.2">
      <c r="A1809" s="1">
        <v>1808</v>
      </c>
      <c r="B1809" s="1" t="s">
        <v>3980</v>
      </c>
      <c r="C1809" s="1" t="s">
        <v>5444</v>
      </c>
      <c r="D1809" s="1" t="str">
        <f t="shared" si="84"/>
        <v>København KommuneMagstræde 20</v>
      </c>
      <c r="E1809" s="1" t="s">
        <v>5445</v>
      </c>
      <c r="F1809" s="1" t="s">
        <v>5446</v>
      </c>
      <c r="G1809" s="1">
        <v>1945</v>
      </c>
      <c r="H1809" s="1" t="s">
        <v>11</v>
      </c>
      <c r="I1809" s="6" cm="1">
        <f t="array" ref="I1809">GetLatitude(D1809)</f>
        <v>556762854</v>
      </c>
      <c r="J1809" s="1" cm="1">
        <f t="array" ref="J1809">GetLongitude(D1809)</f>
        <v>125749459</v>
      </c>
      <c r="K1809" s="1">
        <f t="shared" si="85"/>
        <v>55.676285399999998</v>
      </c>
      <c r="L1809" s="1">
        <f t="shared" si="86"/>
        <v>12.574945899999999</v>
      </c>
    </row>
    <row r="1810" spans="1:12" ht="16" x14ac:dyDescent="0.2">
      <c r="A1810" s="1">
        <v>1809</v>
      </c>
      <c r="B1810" s="1" t="s">
        <v>3980</v>
      </c>
      <c r="C1810" s="1" t="s">
        <v>5447</v>
      </c>
      <c r="D1810" s="1" t="str">
        <f t="shared" si="84"/>
        <v>København KommuneMagstræde 6</v>
      </c>
      <c r="E1810" s="1" t="s">
        <v>5448</v>
      </c>
      <c r="F1810" s="1" t="s">
        <v>5449</v>
      </c>
      <c r="G1810" s="1">
        <v>1945</v>
      </c>
      <c r="H1810" s="1" t="s">
        <v>11</v>
      </c>
      <c r="I1810" s="6" cm="1">
        <f t="array" ref="I1810">GetLatitude(D1810)</f>
        <v>556765490</v>
      </c>
      <c r="J1810" s="1" cm="1">
        <f t="array" ref="J1810">GetLongitude(D1810)</f>
        <v>125757556</v>
      </c>
      <c r="K1810" s="1">
        <f t="shared" si="85"/>
        <v>55.676549000000001</v>
      </c>
      <c r="L1810" s="1">
        <f t="shared" si="86"/>
        <v>12.575755600000001</v>
      </c>
    </row>
    <row r="1811" spans="1:12" ht="16" x14ac:dyDescent="0.2">
      <c r="A1811" s="1">
        <v>1810</v>
      </c>
      <c r="B1811" s="1" t="s">
        <v>3980</v>
      </c>
      <c r="C1811" s="1" t="s">
        <v>5450</v>
      </c>
      <c r="D1811" s="1" t="str">
        <f t="shared" si="84"/>
        <v>København KommuneMagstræde 7</v>
      </c>
      <c r="E1811" s="1" t="s">
        <v>5451</v>
      </c>
      <c r="F1811" s="1" t="s">
        <v>5452</v>
      </c>
      <c r="G1811" s="1">
        <v>1945</v>
      </c>
      <c r="H1811" s="1" t="s">
        <v>11</v>
      </c>
      <c r="I1811" s="6" cm="1">
        <f t="array" ref="I1811">GetLatitude(D1811)</f>
        <v>556764738</v>
      </c>
      <c r="J1811" s="1" cm="1">
        <f t="array" ref="J1811">GetLongitude(D1811)</f>
        <v>125758907</v>
      </c>
      <c r="K1811" s="1">
        <f t="shared" si="85"/>
        <v>55.676473799999997</v>
      </c>
      <c r="L1811" s="1">
        <f t="shared" si="86"/>
        <v>12.5758907</v>
      </c>
    </row>
    <row r="1812" spans="1:12" ht="16" x14ac:dyDescent="0.2">
      <c r="A1812" s="1">
        <v>1811</v>
      </c>
      <c r="B1812" s="1" t="s">
        <v>3980</v>
      </c>
      <c r="C1812" s="1" t="s">
        <v>5453</v>
      </c>
      <c r="D1812" s="1" t="str">
        <f t="shared" si="84"/>
        <v>København KommuneMagstræde 8</v>
      </c>
      <c r="E1812" s="1" t="s">
        <v>5454</v>
      </c>
      <c r="F1812" s="1" t="s">
        <v>5455</v>
      </c>
      <c r="G1812" s="1">
        <v>1945</v>
      </c>
      <c r="H1812" s="1" t="s">
        <v>11</v>
      </c>
      <c r="I1812" s="6" cm="1">
        <f t="array" ref="I1812">GetLatitude(D1812)</f>
        <v>556765241</v>
      </c>
      <c r="J1812" s="1" cm="1">
        <f t="array" ref="J1812">GetLongitude(D1812)</f>
        <v>125756190</v>
      </c>
      <c r="K1812" s="1">
        <f t="shared" si="85"/>
        <v>55.676524100000002</v>
      </c>
      <c r="L1812" s="1">
        <f t="shared" si="86"/>
        <v>12.575619</v>
      </c>
    </row>
    <row r="1813" spans="1:12" ht="16" x14ac:dyDescent="0.2">
      <c r="A1813" s="1">
        <v>1812</v>
      </c>
      <c r="B1813" s="1" t="s">
        <v>3980</v>
      </c>
      <c r="C1813" s="1" t="s">
        <v>5456</v>
      </c>
      <c r="D1813" s="1" t="str">
        <f t="shared" si="84"/>
        <v>København KommuneMarkvej 1-51 og 2-54</v>
      </c>
      <c r="E1813" s="1" t="s">
        <v>5457</v>
      </c>
      <c r="F1813" s="1" t="s">
        <v>4167</v>
      </c>
      <c r="G1813" s="1">
        <v>1981</v>
      </c>
      <c r="H1813" s="1" t="s">
        <v>11</v>
      </c>
      <c r="I1813" s="6" cm="1">
        <f t="array" ref="I1813">GetLatitude(D1813)</f>
        <v>556965787</v>
      </c>
      <c r="J1813" s="1" cm="1">
        <f t="array" ref="J1813">GetLongitude(D1813)</f>
        <v>125110847</v>
      </c>
      <c r="K1813" s="1">
        <f t="shared" si="85"/>
        <v>55.696578700000003</v>
      </c>
      <c r="L1813" s="1">
        <f t="shared" si="86"/>
        <v>12.5110847</v>
      </c>
    </row>
    <row r="1814" spans="1:12" ht="16" x14ac:dyDescent="0.2">
      <c r="A1814" s="1">
        <v>1813</v>
      </c>
      <c r="B1814" s="1" t="s">
        <v>3980</v>
      </c>
      <c r="C1814" s="1" t="s">
        <v>5458</v>
      </c>
      <c r="D1814" s="1" t="str">
        <f t="shared" si="84"/>
        <v>København KommuneMiddelgrundsfortet 1</v>
      </c>
      <c r="E1814" s="1" t="s">
        <v>5459</v>
      </c>
      <c r="F1814" s="1" t="s">
        <v>5460</v>
      </c>
      <c r="G1814" s="1">
        <v>1984</v>
      </c>
      <c r="H1814" s="1" t="s">
        <v>11</v>
      </c>
      <c r="I1814" s="6" cm="1">
        <f t="array" ref="I1814">GetLatitude(D1814)</f>
        <v>557204698</v>
      </c>
      <c r="J1814" s="1" cm="1">
        <f t="array" ref="J1814">GetLongitude(D1814)</f>
        <v>126658576</v>
      </c>
      <c r="K1814" s="1">
        <f t="shared" si="85"/>
        <v>55.720469799999996</v>
      </c>
      <c r="L1814" s="1">
        <f t="shared" si="86"/>
        <v>12.665857600000001</v>
      </c>
    </row>
    <row r="1815" spans="1:12" ht="16" x14ac:dyDescent="0.2">
      <c r="A1815" s="1">
        <v>1814</v>
      </c>
      <c r="B1815" s="1" t="s">
        <v>3980</v>
      </c>
      <c r="C1815" s="1" t="s">
        <v>5461</v>
      </c>
      <c r="D1815" s="1" t="str">
        <f t="shared" si="84"/>
        <v>København KommuneMidtdyssen 35</v>
      </c>
      <c r="E1815" s="1" t="s">
        <v>5462</v>
      </c>
      <c r="F1815" s="1" t="s">
        <v>5463</v>
      </c>
      <c r="G1815" s="1">
        <v>2007</v>
      </c>
      <c r="H1815" s="1" t="s">
        <v>15</v>
      </c>
      <c r="I1815" s="6" cm="1">
        <f t="array" ref="I1815">GetLatitude(D1815)</f>
        <v>556742885</v>
      </c>
      <c r="J1815" s="1" cm="1">
        <f t="array" ref="J1815">GetLongitude(D1815)</f>
        <v>126090815</v>
      </c>
      <c r="K1815" s="1">
        <f t="shared" si="85"/>
        <v>55.674288500000003</v>
      </c>
      <c r="L1815" s="1">
        <f t="shared" si="86"/>
        <v>12.6090815</v>
      </c>
    </row>
    <row r="1816" spans="1:12" ht="16" x14ac:dyDescent="0.2">
      <c r="A1816" s="1">
        <v>1815</v>
      </c>
      <c r="B1816" s="1" t="s">
        <v>3980</v>
      </c>
      <c r="C1816" s="1" t="s">
        <v>5464</v>
      </c>
      <c r="D1816" s="1" t="str">
        <f t="shared" si="84"/>
        <v>København KommuneMidtdyssen 55</v>
      </c>
      <c r="E1816" s="1" t="s">
        <v>5465</v>
      </c>
      <c r="F1816" s="1" t="s">
        <v>5466</v>
      </c>
      <c r="G1816" s="1">
        <v>2007</v>
      </c>
      <c r="H1816" s="1" t="s">
        <v>15</v>
      </c>
      <c r="I1816" s="6" cm="1">
        <f t="array" ref="I1816">GetLatitude(D1816)</f>
        <v>556769978</v>
      </c>
      <c r="J1816" s="1" cm="1">
        <f t="array" ref="J1816">GetLongitude(D1816)</f>
        <v>126117478</v>
      </c>
      <c r="K1816" s="1">
        <f t="shared" si="85"/>
        <v>55.676997800000002</v>
      </c>
      <c r="L1816" s="1">
        <f t="shared" si="86"/>
        <v>12.6117478</v>
      </c>
    </row>
    <row r="1817" spans="1:12" ht="16" x14ac:dyDescent="0.2">
      <c r="A1817" s="1">
        <v>1816</v>
      </c>
      <c r="B1817" s="1" t="s">
        <v>3980</v>
      </c>
      <c r="C1817" s="1" t="s">
        <v>5467</v>
      </c>
      <c r="D1817" s="1" t="str">
        <f t="shared" si="84"/>
        <v>København KommuneMælkebøtten 162 A-E, 192 A, 170A-D</v>
      </c>
      <c r="E1817" s="1" t="s">
        <v>5468</v>
      </c>
      <c r="F1817" s="1" t="s">
        <v>5469</v>
      </c>
      <c r="G1817" s="1">
        <v>2007</v>
      </c>
      <c r="H1817" s="1" t="s">
        <v>11</v>
      </c>
      <c r="I1817" s="6" cm="1">
        <f t="array" ref="I1817">GetLatitude(D1817)</f>
        <v>556744220</v>
      </c>
      <c r="J1817" s="1" cm="1">
        <f t="array" ref="J1817">GetLongitude(D1817)</f>
        <v>126049320</v>
      </c>
      <c r="K1817" s="1">
        <f t="shared" si="85"/>
        <v>55.674422</v>
      </c>
      <c r="L1817" s="1">
        <f t="shared" si="86"/>
        <v>12.604932</v>
      </c>
    </row>
    <row r="1818" spans="1:12" ht="16" x14ac:dyDescent="0.2">
      <c r="A1818" s="1">
        <v>1817</v>
      </c>
      <c r="B1818" s="1" t="s">
        <v>3980</v>
      </c>
      <c r="C1818" s="1" t="s">
        <v>5470</v>
      </c>
      <c r="D1818" s="1" t="str">
        <f t="shared" si="84"/>
        <v>København KommuneMælkevejen 63</v>
      </c>
      <c r="E1818" s="1" t="s">
        <v>5471</v>
      </c>
      <c r="F1818" s="1" t="s">
        <v>5472</v>
      </c>
      <c r="G1818" s="1">
        <v>2007</v>
      </c>
      <c r="H1818" s="1" t="s">
        <v>11</v>
      </c>
      <c r="I1818" s="6" cm="1">
        <f t="array" ref="I1818">GetLatitude(D1818)</f>
        <v>556745498</v>
      </c>
      <c r="J1818" s="1" cm="1">
        <f t="array" ref="J1818">GetLongitude(D1818)</f>
        <v>126003969</v>
      </c>
      <c r="K1818" s="1">
        <f t="shared" si="85"/>
        <v>55.674549800000001</v>
      </c>
      <c r="L1818" s="1">
        <f t="shared" si="86"/>
        <v>12.6003969</v>
      </c>
    </row>
    <row r="1819" spans="1:12" ht="16" x14ac:dyDescent="0.2">
      <c r="A1819" s="1">
        <v>1818</v>
      </c>
      <c r="B1819" s="1" t="s">
        <v>3980</v>
      </c>
      <c r="C1819" s="1" t="s">
        <v>5473</v>
      </c>
      <c r="D1819" s="1" t="str">
        <f t="shared" si="84"/>
        <v>København KommuneMøllegade 12</v>
      </c>
      <c r="E1819" s="1" t="s">
        <v>1456</v>
      </c>
      <c r="F1819" s="1" t="s">
        <v>5474</v>
      </c>
      <c r="G1819" s="1">
        <v>1983</v>
      </c>
      <c r="H1819" s="1" t="s">
        <v>11</v>
      </c>
      <c r="I1819" s="6" cm="1">
        <f t="array" ref="I1819">GetLatitude(D1819)</f>
        <v>556912324</v>
      </c>
      <c r="J1819" s="1" cm="1">
        <f t="array" ref="J1819">GetLongitude(D1819)</f>
        <v>125567752</v>
      </c>
      <c r="K1819" s="1">
        <f t="shared" si="85"/>
        <v>55.691232399999997</v>
      </c>
      <c r="L1819" s="1">
        <f t="shared" si="86"/>
        <v>12.556775200000001</v>
      </c>
    </row>
    <row r="1820" spans="1:12" ht="16" x14ac:dyDescent="0.2">
      <c r="A1820" s="1">
        <v>1819</v>
      </c>
      <c r="B1820" s="1" t="s">
        <v>3980</v>
      </c>
      <c r="C1820" s="1" t="s">
        <v>5475</v>
      </c>
      <c r="D1820" s="1" t="str">
        <f t="shared" si="84"/>
        <v>København KommuneMøntergade 10</v>
      </c>
      <c r="E1820" s="1" t="s">
        <v>5476</v>
      </c>
      <c r="F1820" s="1" t="s">
        <v>5477</v>
      </c>
      <c r="G1820" s="1">
        <v>1959</v>
      </c>
      <c r="H1820" s="1" t="s">
        <v>11</v>
      </c>
      <c r="I1820" s="6" cm="1">
        <f t="array" ref="I1820">GetLatitude(D1820)</f>
        <v>556816580</v>
      </c>
      <c r="J1820" s="1" cm="1">
        <f t="array" ref="J1820">GetLongitude(D1820)</f>
        <v>125794594</v>
      </c>
      <c r="K1820" s="1">
        <f t="shared" si="85"/>
        <v>55.681657999999999</v>
      </c>
      <c r="L1820" s="1">
        <f t="shared" si="86"/>
        <v>12.579459399999999</v>
      </c>
    </row>
    <row r="1821" spans="1:12" ht="16" x14ac:dyDescent="0.2">
      <c r="A1821" s="1">
        <v>1820</v>
      </c>
      <c r="B1821" s="1" t="s">
        <v>3980</v>
      </c>
      <c r="C1821" s="1" t="s">
        <v>5478</v>
      </c>
      <c r="D1821" s="1" t="str">
        <f t="shared" si="84"/>
        <v>København KommuneMøntergade 12</v>
      </c>
      <c r="E1821" s="1" t="s">
        <v>5479</v>
      </c>
      <c r="F1821" s="1" t="s">
        <v>5480</v>
      </c>
      <c r="G1821" s="1">
        <v>1978</v>
      </c>
      <c r="H1821" s="1" t="s">
        <v>11</v>
      </c>
      <c r="I1821" s="6" cm="1">
        <f t="array" ref="I1821">GetLatitude(D1821)</f>
        <v>556816935</v>
      </c>
      <c r="J1821" s="1" cm="1">
        <f t="array" ref="J1821">GetLongitude(D1821)</f>
        <v>125795422</v>
      </c>
      <c r="K1821" s="1">
        <f t="shared" si="85"/>
        <v>55.681693500000002</v>
      </c>
      <c r="L1821" s="1">
        <f t="shared" si="86"/>
        <v>12.579542200000001</v>
      </c>
    </row>
    <row r="1822" spans="1:12" ht="16" x14ac:dyDescent="0.2">
      <c r="A1822" s="1">
        <v>1821</v>
      </c>
      <c r="B1822" s="1" t="s">
        <v>3980</v>
      </c>
      <c r="C1822" s="1" t="s">
        <v>5481</v>
      </c>
      <c r="D1822" s="1" t="str">
        <f t="shared" si="84"/>
        <v>København KommuneMøntergade 14</v>
      </c>
      <c r="E1822" s="1" t="s">
        <v>5482</v>
      </c>
      <c r="F1822" s="1" t="s">
        <v>5483</v>
      </c>
      <c r="G1822" s="1">
        <v>1979</v>
      </c>
      <c r="H1822" s="1" t="s">
        <v>11</v>
      </c>
      <c r="I1822" s="6" cm="1">
        <f t="array" ref="I1822">GetLatitude(D1822)</f>
        <v>556817532</v>
      </c>
      <c r="J1822" s="1" cm="1">
        <f t="array" ref="J1822">GetLongitude(D1822)</f>
        <v>125796037</v>
      </c>
      <c r="K1822" s="1">
        <f t="shared" si="85"/>
        <v>55.681753200000003</v>
      </c>
      <c r="L1822" s="1">
        <f t="shared" si="86"/>
        <v>12.5796037</v>
      </c>
    </row>
    <row r="1823" spans="1:12" ht="16" x14ac:dyDescent="0.2">
      <c r="A1823" s="1">
        <v>1822</v>
      </c>
      <c r="B1823" s="1" t="s">
        <v>3980</v>
      </c>
      <c r="C1823" s="1" t="s">
        <v>5484</v>
      </c>
      <c r="D1823" s="1" t="str">
        <f t="shared" si="84"/>
        <v>København KommuneMøntergade 16</v>
      </c>
      <c r="E1823" s="1" t="s">
        <v>5485</v>
      </c>
      <c r="F1823" s="1" t="s">
        <v>5486</v>
      </c>
      <c r="G1823" s="1">
        <v>1983</v>
      </c>
      <c r="H1823" s="1" t="s">
        <v>15</v>
      </c>
      <c r="I1823" s="6" cm="1">
        <f t="array" ref="I1823">GetLatitude(D1823)</f>
        <v>556818130</v>
      </c>
      <c r="J1823" s="1" cm="1">
        <f t="array" ref="J1823">GetLongitude(D1823)</f>
        <v>125796652</v>
      </c>
      <c r="K1823" s="1">
        <f t="shared" si="85"/>
        <v>55.681812999999998</v>
      </c>
      <c r="L1823" s="1">
        <f t="shared" si="86"/>
        <v>12.579665200000001</v>
      </c>
    </row>
    <row r="1824" spans="1:12" ht="16" x14ac:dyDescent="0.2">
      <c r="A1824" s="1">
        <v>1823</v>
      </c>
      <c r="B1824" s="1" t="s">
        <v>3980</v>
      </c>
      <c r="C1824" s="1" t="s">
        <v>5487</v>
      </c>
      <c r="D1824" s="1" t="str">
        <f t="shared" si="84"/>
        <v>København KommuneMøntergade 4</v>
      </c>
      <c r="E1824" s="1" t="s">
        <v>5488</v>
      </c>
      <c r="F1824" s="1" t="s">
        <v>5489</v>
      </c>
      <c r="G1824" s="1">
        <v>1982</v>
      </c>
      <c r="H1824" s="1" t="s">
        <v>11</v>
      </c>
      <c r="I1824" s="6" cm="1">
        <f t="array" ref="I1824">GetLatitude(D1824)</f>
        <v>556814867</v>
      </c>
      <c r="J1824" s="1" cm="1">
        <f t="array" ref="J1824">GetLongitude(D1824)</f>
        <v>125792628</v>
      </c>
      <c r="K1824" s="1">
        <f t="shared" si="85"/>
        <v>55.681486700000001</v>
      </c>
      <c r="L1824" s="1">
        <f t="shared" si="86"/>
        <v>12.5792628</v>
      </c>
    </row>
    <row r="1825" spans="1:12" ht="16" x14ac:dyDescent="0.2">
      <c r="A1825" s="1">
        <v>1824</v>
      </c>
      <c r="B1825" s="1" t="s">
        <v>3980</v>
      </c>
      <c r="C1825" s="1" t="s">
        <v>5490</v>
      </c>
      <c r="D1825" s="1" t="str">
        <f t="shared" si="84"/>
        <v>København KommuneMøntergade 6</v>
      </c>
      <c r="E1825" s="1" t="s">
        <v>5491</v>
      </c>
      <c r="F1825" s="1" t="s">
        <v>5492</v>
      </c>
      <c r="G1825" s="1">
        <v>1978</v>
      </c>
      <c r="H1825" s="1" t="s">
        <v>11</v>
      </c>
      <c r="I1825" s="6" cm="1">
        <f t="array" ref="I1825">GetLatitude(D1825)</f>
        <v>556815466</v>
      </c>
      <c r="J1825" s="1" cm="1">
        <f t="array" ref="J1825">GetLongitude(D1825)</f>
        <v>125792490</v>
      </c>
      <c r="K1825" s="1">
        <f t="shared" si="85"/>
        <v>55.681546599999997</v>
      </c>
      <c r="L1825" s="1">
        <f t="shared" si="86"/>
        <v>12.579249000000001</v>
      </c>
    </row>
    <row r="1826" spans="1:12" ht="16" x14ac:dyDescent="0.2">
      <c r="A1826" s="1">
        <v>1825</v>
      </c>
      <c r="B1826" s="1" t="s">
        <v>3980</v>
      </c>
      <c r="C1826" s="1" t="s">
        <v>5493</v>
      </c>
      <c r="D1826" s="1" t="str">
        <f t="shared" si="84"/>
        <v>København KommuneMøntergade 8</v>
      </c>
      <c r="E1826" s="1" t="s">
        <v>5494</v>
      </c>
      <c r="F1826" s="1" t="s">
        <v>5495</v>
      </c>
      <c r="G1826" s="1">
        <v>1978</v>
      </c>
      <c r="H1826" s="1" t="s">
        <v>5496</v>
      </c>
      <c r="I1826" s="6" cm="1">
        <f t="array" ref="I1826">GetLatitude(D1826)</f>
        <v>556815982</v>
      </c>
      <c r="J1826" s="1" cm="1">
        <f t="array" ref="J1826">GetLongitude(D1826)</f>
        <v>125793979</v>
      </c>
      <c r="K1826" s="1">
        <f t="shared" si="85"/>
        <v>55.681598200000003</v>
      </c>
      <c r="L1826" s="1">
        <f t="shared" si="86"/>
        <v>12.5793979</v>
      </c>
    </row>
    <row r="1827" spans="1:12" ht="16" x14ac:dyDescent="0.2">
      <c r="A1827" s="1">
        <v>1826</v>
      </c>
      <c r="B1827" s="1" t="s">
        <v>3980</v>
      </c>
      <c r="C1827" s="1" t="s">
        <v>5497</v>
      </c>
      <c r="D1827" s="1" t="str">
        <f t="shared" si="84"/>
        <v>København KommuneNaboløs 1, hj af Læderstræde</v>
      </c>
      <c r="E1827" s="1" t="s">
        <v>5498</v>
      </c>
      <c r="F1827" s="1" t="s">
        <v>5499</v>
      </c>
      <c r="G1827" s="1">
        <v>1945</v>
      </c>
      <c r="H1827" s="1" t="s">
        <v>11</v>
      </c>
      <c r="I1827" s="6" cm="1">
        <f t="array" ref="I1827">GetLatitude(D1827)</f>
        <v>556777017</v>
      </c>
      <c r="J1827" s="1" cm="1">
        <f t="array" ref="J1827">GetLongitude(D1827)</f>
        <v>125771199</v>
      </c>
      <c r="K1827" s="1">
        <f t="shared" si="85"/>
        <v>55.6777017</v>
      </c>
      <c r="L1827" s="1">
        <f t="shared" si="86"/>
        <v>12.5771199</v>
      </c>
    </row>
    <row r="1828" spans="1:12" ht="16" x14ac:dyDescent="0.2">
      <c r="A1828" s="1">
        <v>1827</v>
      </c>
      <c r="B1828" s="1" t="s">
        <v>3980</v>
      </c>
      <c r="C1828" s="1" t="s">
        <v>5500</v>
      </c>
      <c r="D1828" s="1" t="str">
        <f t="shared" si="84"/>
        <v>København KommuneNaboløs 2, hj af Kompagnistræde</v>
      </c>
      <c r="E1828" s="1" t="s">
        <v>5501</v>
      </c>
      <c r="F1828" s="1" t="s">
        <v>5502</v>
      </c>
      <c r="G1828" s="1">
        <v>1945</v>
      </c>
      <c r="H1828" s="1" t="s">
        <v>11</v>
      </c>
      <c r="I1828" s="6" cm="1">
        <f t="array" ref="I1828">GetLatitude(D1828)</f>
        <v>556776094</v>
      </c>
      <c r="J1828" s="1" cm="1">
        <f t="array" ref="J1828">GetLongitude(D1828)</f>
        <v>125768742</v>
      </c>
      <c r="K1828" s="1">
        <f t="shared" si="85"/>
        <v>55.677609400000001</v>
      </c>
      <c r="L1828" s="1">
        <f t="shared" si="86"/>
        <v>12.576874200000001</v>
      </c>
    </row>
    <row r="1829" spans="1:12" ht="16" x14ac:dyDescent="0.2">
      <c r="A1829" s="1">
        <v>1828</v>
      </c>
      <c r="B1829" s="1" t="s">
        <v>3980</v>
      </c>
      <c r="C1829" s="1" t="s">
        <v>5503</v>
      </c>
      <c r="D1829" s="1" t="str">
        <f t="shared" si="84"/>
        <v>København KommuneNaboløs 3</v>
      </c>
      <c r="E1829" s="1" t="s">
        <v>5504</v>
      </c>
      <c r="F1829" s="1" t="s">
        <v>5505</v>
      </c>
      <c r="G1829" s="1">
        <v>1945</v>
      </c>
      <c r="H1829" s="1" t="s">
        <v>11</v>
      </c>
      <c r="I1829" s="6" cm="1">
        <f t="array" ref="I1829">GetLatitude(D1829)</f>
        <v>556775871</v>
      </c>
      <c r="J1829" s="1" cm="1">
        <f t="array" ref="J1829">GetLongitude(D1829)</f>
        <v>125771293</v>
      </c>
      <c r="K1829" s="1">
        <f t="shared" si="85"/>
        <v>55.677587099999997</v>
      </c>
      <c r="L1829" s="1">
        <f t="shared" si="86"/>
        <v>12.577129299999999</v>
      </c>
    </row>
    <row r="1830" spans="1:12" ht="16" x14ac:dyDescent="0.2">
      <c r="A1830" s="1">
        <v>1829</v>
      </c>
      <c r="B1830" s="1" t="s">
        <v>3980</v>
      </c>
      <c r="C1830" s="1" t="s">
        <v>5506</v>
      </c>
      <c r="D1830" s="1" t="str">
        <f t="shared" si="84"/>
        <v>København KommuneNaboløs 4 og Snaregade 4</v>
      </c>
      <c r="E1830" s="1" t="s">
        <v>5507</v>
      </c>
      <c r="F1830" s="1" t="s">
        <v>5508</v>
      </c>
      <c r="G1830" s="1">
        <v>1945</v>
      </c>
      <c r="H1830" s="1" t="s">
        <v>11</v>
      </c>
      <c r="I1830" s="6" cm="1">
        <f t="array" ref="I1830">GetLatitude(D1830)</f>
        <v>556773303</v>
      </c>
      <c r="J1830" s="1" cm="1">
        <f t="array" ref="J1830">GetLongitude(D1830)</f>
        <v>125768762</v>
      </c>
      <c r="K1830" s="1">
        <f t="shared" si="85"/>
        <v>55.677330300000001</v>
      </c>
      <c r="L1830" s="1">
        <f t="shared" si="86"/>
        <v>12.576876199999999</v>
      </c>
    </row>
    <row r="1831" spans="1:12" ht="16" x14ac:dyDescent="0.2">
      <c r="A1831" s="1">
        <v>1830</v>
      </c>
      <c r="B1831" s="1" t="s">
        <v>3980</v>
      </c>
      <c r="C1831" s="1" t="s">
        <v>5509</v>
      </c>
      <c r="D1831" s="1" t="str">
        <f t="shared" si="84"/>
        <v>København KommuneNaboløs 6, hj af Snaregade</v>
      </c>
      <c r="E1831" s="1" t="s">
        <v>5510</v>
      </c>
      <c r="F1831" s="1" t="s">
        <v>5511</v>
      </c>
      <c r="G1831" s="1">
        <v>1945</v>
      </c>
      <c r="H1831" s="1" t="s">
        <v>11</v>
      </c>
      <c r="I1831" s="6" cm="1">
        <f t="array" ref="I1831">GetLatitude(D1831)</f>
        <v>556773980</v>
      </c>
      <c r="J1831" s="1" cm="1">
        <f t="array" ref="J1831">GetLongitude(D1831)</f>
        <v>125770704</v>
      </c>
      <c r="K1831" s="1">
        <f t="shared" si="85"/>
        <v>55.677397999999997</v>
      </c>
      <c r="L1831" s="1">
        <f t="shared" si="86"/>
        <v>12.5770704</v>
      </c>
    </row>
    <row r="1832" spans="1:12" ht="16" x14ac:dyDescent="0.2">
      <c r="A1832" s="1">
        <v>1831</v>
      </c>
      <c r="B1832" s="1" t="s">
        <v>3980</v>
      </c>
      <c r="C1832" s="1" t="s">
        <v>5512</v>
      </c>
      <c r="D1832" s="1" t="str">
        <f t="shared" si="84"/>
        <v>København KommuneNansensgade 1</v>
      </c>
      <c r="E1832" s="1" t="s">
        <v>5513</v>
      </c>
      <c r="F1832" s="1" t="s">
        <v>5514</v>
      </c>
      <c r="G1832" s="1">
        <v>1979</v>
      </c>
      <c r="H1832" s="1" t="s">
        <v>5515</v>
      </c>
      <c r="I1832" s="6" cm="1">
        <f t="array" ref="I1832">GetLatitude(D1832)</f>
        <v>556811869</v>
      </c>
      <c r="J1832" s="1" cm="1">
        <f t="array" ref="J1832">GetLongitude(D1832)</f>
        <v>125615996</v>
      </c>
      <c r="K1832" s="1">
        <f t="shared" si="85"/>
        <v>55.6811869</v>
      </c>
      <c r="L1832" s="1">
        <f t="shared" si="86"/>
        <v>12.561599599999999</v>
      </c>
    </row>
    <row r="1833" spans="1:12" ht="16" x14ac:dyDescent="0.2">
      <c r="A1833" s="1">
        <v>1832</v>
      </c>
      <c r="B1833" s="1" t="s">
        <v>3980</v>
      </c>
      <c r="C1833" s="1" t="s">
        <v>5516</v>
      </c>
      <c r="D1833" s="1" t="str">
        <f t="shared" si="84"/>
        <v>København KommuneNiels Hemmingsens Gade 1, hj af Amagertorv</v>
      </c>
      <c r="E1833" s="1" t="s">
        <v>5517</v>
      </c>
      <c r="F1833" s="1" t="s">
        <v>5518</v>
      </c>
      <c r="G1833" s="1">
        <v>1959</v>
      </c>
      <c r="H1833" s="1" t="s">
        <v>11</v>
      </c>
      <c r="I1833" s="6" cm="1">
        <f t="array" ref="I1833">GetLatitude(D1833)</f>
        <v>556788670</v>
      </c>
      <c r="J1833" s="1" cm="1">
        <f t="array" ref="J1833">GetLongitude(D1833)</f>
        <v>125778269</v>
      </c>
      <c r="K1833" s="1">
        <f t="shared" si="85"/>
        <v>55.678866999999997</v>
      </c>
      <c r="L1833" s="1">
        <f t="shared" si="86"/>
        <v>12.5778269</v>
      </c>
    </row>
    <row r="1834" spans="1:12" ht="16" x14ac:dyDescent="0.2">
      <c r="A1834" s="1">
        <v>1833</v>
      </c>
      <c r="B1834" s="1" t="s">
        <v>3980</v>
      </c>
      <c r="C1834" s="1" t="s">
        <v>5519</v>
      </c>
      <c r="D1834" s="1" t="str">
        <f t="shared" si="84"/>
        <v>København KommuneNiels Hemmingsens Gade 23</v>
      </c>
      <c r="E1834" s="1" t="s">
        <v>5520</v>
      </c>
      <c r="F1834" s="1" t="s">
        <v>5521</v>
      </c>
      <c r="G1834" s="1">
        <v>1973</v>
      </c>
      <c r="H1834" s="1" t="s">
        <v>11</v>
      </c>
      <c r="I1834" s="6" cm="1">
        <f t="array" ref="I1834">GetLatitude(D1834)</f>
        <v>556803049</v>
      </c>
      <c r="J1834" s="1" cm="1">
        <f t="array" ref="J1834">GetLongitude(D1834)</f>
        <v>125757210</v>
      </c>
      <c r="K1834" s="1">
        <f t="shared" si="85"/>
        <v>55.680304900000003</v>
      </c>
      <c r="L1834" s="1">
        <f t="shared" si="86"/>
        <v>12.575721</v>
      </c>
    </row>
    <row r="1835" spans="1:12" ht="16" x14ac:dyDescent="0.2">
      <c r="A1835" s="1">
        <v>1834</v>
      </c>
      <c r="B1835" s="1" t="s">
        <v>3980</v>
      </c>
      <c r="C1835" s="1" t="s">
        <v>5522</v>
      </c>
      <c r="D1835" s="1" t="str">
        <f t="shared" si="84"/>
        <v>København KommuneNiels Hemmingsens Gade 3</v>
      </c>
      <c r="E1835" s="1" t="s">
        <v>5523</v>
      </c>
      <c r="F1835" s="1" t="s">
        <v>5524</v>
      </c>
      <c r="G1835" s="1">
        <v>1959</v>
      </c>
      <c r="H1835" s="1" t="s">
        <v>11</v>
      </c>
      <c r="I1835" s="6" cm="1">
        <f t="array" ref="I1835">GetLatitude(D1835)</f>
        <v>556789616</v>
      </c>
      <c r="J1835" s="1" cm="1">
        <f t="array" ref="J1835">GetLongitude(D1835)</f>
        <v>125777236</v>
      </c>
      <c r="K1835" s="1">
        <f t="shared" si="85"/>
        <v>55.678961600000001</v>
      </c>
      <c r="L1835" s="1">
        <f t="shared" si="86"/>
        <v>12.577723600000001</v>
      </c>
    </row>
    <row r="1836" spans="1:12" ht="16" x14ac:dyDescent="0.2">
      <c r="A1836" s="1">
        <v>1835</v>
      </c>
      <c r="B1836" s="1" t="s">
        <v>3980</v>
      </c>
      <c r="C1836" s="1" t="s">
        <v>5525</v>
      </c>
      <c r="D1836" s="1" t="str">
        <f t="shared" si="84"/>
        <v>København KommuneNiels Hemmingsens Gade 32</v>
      </c>
      <c r="E1836" s="1" t="s">
        <v>5526</v>
      </c>
      <c r="F1836" s="1" t="s">
        <v>5527</v>
      </c>
      <c r="G1836" s="1">
        <v>1981</v>
      </c>
      <c r="H1836" s="1" t="s">
        <v>11</v>
      </c>
      <c r="I1836" s="6" cm="1">
        <f t="array" ref="I1836">GetLatitude(D1836)</f>
        <v>556803011</v>
      </c>
      <c r="J1836" s="1" cm="1">
        <f t="array" ref="J1836">GetLongitude(D1836)</f>
        <v>125760638</v>
      </c>
      <c r="K1836" s="1">
        <f t="shared" si="85"/>
        <v>55.680301100000001</v>
      </c>
      <c r="L1836" s="1">
        <f t="shared" si="86"/>
        <v>12.5760638</v>
      </c>
    </row>
    <row r="1837" spans="1:12" ht="16" x14ac:dyDescent="0.2">
      <c r="A1837" s="1">
        <v>1836</v>
      </c>
      <c r="B1837" s="1" t="s">
        <v>3980</v>
      </c>
      <c r="C1837" s="1" t="s">
        <v>5528</v>
      </c>
      <c r="D1837" s="1" t="str">
        <f t="shared" si="84"/>
        <v>København KommuneNikolajgade 18</v>
      </c>
      <c r="E1837" s="1" t="s">
        <v>5529</v>
      </c>
      <c r="F1837" s="1" t="s">
        <v>5530</v>
      </c>
      <c r="G1837" s="1">
        <v>1959</v>
      </c>
      <c r="H1837" s="1" t="s">
        <v>15</v>
      </c>
      <c r="I1837" s="6" cm="1">
        <f t="array" ref="I1837">GetLatitude(D1837)</f>
        <v>556781892</v>
      </c>
      <c r="J1837" s="1" cm="1">
        <f t="array" ref="J1837">GetLongitude(D1837)</f>
        <v>125823463</v>
      </c>
      <c r="K1837" s="1">
        <f t="shared" si="85"/>
        <v>55.678189199999998</v>
      </c>
      <c r="L1837" s="1">
        <f t="shared" si="86"/>
        <v>12.582346299999999</v>
      </c>
    </row>
    <row r="1838" spans="1:12" ht="16" x14ac:dyDescent="0.2">
      <c r="A1838" s="1">
        <v>1837</v>
      </c>
      <c r="B1838" s="1" t="s">
        <v>3980</v>
      </c>
      <c r="C1838" s="1" t="s">
        <v>5531</v>
      </c>
      <c r="D1838" s="1" t="str">
        <f t="shared" si="84"/>
        <v>København KommuneNikolajgade 20, hj af Dybensgade</v>
      </c>
      <c r="E1838" s="1" t="s">
        <v>5532</v>
      </c>
      <c r="F1838" s="1" t="s">
        <v>5533</v>
      </c>
      <c r="G1838" s="1">
        <v>1959</v>
      </c>
      <c r="H1838" s="1" t="s">
        <v>11</v>
      </c>
      <c r="I1838" s="6" cm="1">
        <f t="array" ref="I1838">GetLatitude(D1838)</f>
        <v>556780607</v>
      </c>
      <c r="J1838" s="1" cm="1">
        <f t="array" ref="J1838">GetLongitude(D1838)</f>
        <v>125824692</v>
      </c>
      <c r="K1838" s="1">
        <f t="shared" si="85"/>
        <v>55.678060700000003</v>
      </c>
      <c r="L1838" s="1">
        <f t="shared" si="86"/>
        <v>12.5824692</v>
      </c>
    </row>
    <row r="1839" spans="1:12" ht="16" x14ac:dyDescent="0.2">
      <c r="A1839" s="1">
        <v>1838</v>
      </c>
      <c r="B1839" s="1" t="s">
        <v>3980</v>
      </c>
      <c r="C1839" s="1" t="s">
        <v>5534</v>
      </c>
      <c r="D1839" s="1" t="str">
        <f t="shared" si="84"/>
        <v>København KommuneNikolajgade 22, Dybensgade 19</v>
      </c>
      <c r="E1839" s="1" t="s">
        <v>5535</v>
      </c>
      <c r="F1839" s="1" t="s">
        <v>5536</v>
      </c>
      <c r="G1839" s="1">
        <v>1945</v>
      </c>
      <c r="H1839" s="1" t="s">
        <v>11</v>
      </c>
      <c r="I1839" s="6" cm="1">
        <f t="array" ref="I1839">GetLatitude(D1839)</f>
        <v>556778340</v>
      </c>
      <c r="J1839" s="1" cm="1">
        <f t="array" ref="J1839">GetLongitude(D1839)</f>
        <v>125826970</v>
      </c>
      <c r="K1839" s="1">
        <f t="shared" si="85"/>
        <v>55.677833999999997</v>
      </c>
      <c r="L1839" s="1">
        <f t="shared" si="86"/>
        <v>12.582697</v>
      </c>
    </row>
    <row r="1840" spans="1:12" ht="16" x14ac:dyDescent="0.2">
      <c r="A1840" s="1">
        <v>1839</v>
      </c>
      <c r="B1840" s="1" t="s">
        <v>3980</v>
      </c>
      <c r="C1840" s="1" t="s">
        <v>5537</v>
      </c>
      <c r="D1840" s="1" t="str">
        <f t="shared" si="84"/>
        <v>København KommuneNikolaj Plads 10</v>
      </c>
      <c r="E1840" s="1" t="s">
        <v>5538</v>
      </c>
      <c r="F1840" s="1" t="s">
        <v>5539</v>
      </c>
      <c r="G1840" s="1">
        <v>1950</v>
      </c>
      <c r="H1840" s="1" t="s">
        <v>15</v>
      </c>
      <c r="I1840" s="6" cm="1">
        <f t="array" ref="I1840">GetLatitude(D1840)</f>
        <v>556787970</v>
      </c>
      <c r="J1840" s="1" cm="1">
        <f t="array" ref="J1840">GetLongitude(D1840)</f>
        <v>125814330</v>
      </c>
      <c r="K1840" s="1">
        <f t="shared" si="85"/>
        <v>55.678797000000003</v>
      </c>
      <c r="L1840" s="1">
        <f t="shared" si="86"/>
        <v>12.581433000000001</v>
      </c>
    </row>
    <row r="1841" spans="1:12" ht="16" x14ac:dyDescent="0.2">
      <c r="A1841" s="1">
        <v>1840</v>
      </c>
      <c r="B1841" s="1" t="s">
        <v>3980</v>
      </c>
      <c r="C1841" s="1" t="s">
        <v>5540</v>
      </c>
      <c r="D1841" s="1" t="str">
        <f t="shared" si="84"/>
        <v>København KommuneNikolaj Plads 11</v>
      </c>
      <c r="E1841" s="1" t="s">
        <v>5541</v>
      </c>
      <c r="F1841" s="1" t="s">
        <v>5542</v>
      </c>
      <c r="G1841" s="1">
        <v>1959</v>
      </c>
      <c r="H1841" s="1" t="s">
        <v>11</v>
      </c>
      <c r="I1841" s="6" cm="1">
        <f t="array" ref="I1841">GetLatitude(D1841)</f>
        <v>556786900</v>
      </c>
      <c r="J1841" s="1" cm="1">
        <f t="array" ref="J1841">GetLongitude(D1841)</f>
        <v>125824584</v>
      </c>
      <c r="K1841" s="1">
        <f t="shared" si="85"/>
        <v>55.678690000000003</v>
      </c>
      <c r="L1841" s="1">
        <f t="shared" si="86"/>
        <v>12.5824584</v>
      </c>
    </row>
    <row r="1842" spans="1:12" ht="16" x14ac:dyDescent="0.2">
      <c r="A1842" s="1">
        <v>1841</v>
      </c>
      <c r="B1842" s="1" t="s">
        <v>3980</v>
      </c>
      <c r="C1842" s="1" t="s">
        <v>5543</v>
      </c>
      <c r="D1842" s="1" t="str">
        <f t="shared" si="84"/>
        <v>København KommuneNikolaj Plads 23, hj af Nikolajgade</v>
      </c>
      <c r="E1842" s="1" t="s">
        <v>5544</v>
      </c>
      <c r="F1842" s="1" t="s">
        <v>5545</v>
      </c>
      <c r="G1842" s="1">
        <v>1945</v>
      </c>
      <c r="H1842" s="1" t="s">
        <v>11</v>
      </c>
      <c r="I1842" s="6" cm="1">
        <f t="array" ref="I1842">GetLatitude(D1842)</f>
        <v>556783186</v>
      </c>
      <c r="J1842" s="1" cm="1">
        <f t="array" ref="J1842">GetLongitude(D1842)</f>
        <v>125822147</v>
      </c>
      <c r="K1842" s="1">
        <f t="shared" si="85"/>
        <v>55.678318599999997</v>
      </c>
      <c r="L1842" s="1">
        <f t="shared" si="86"/>
        <v>12.5822147</v>
      </c>
    </row>
    <row r="1843" spans="1:12" ht="16" x14ac:dyDescent="0.2">
      <c r="A1843" s="1">
        <v>1842</v>
      </c>
      <c r="B1843" s="1" t="s">
        <v>3980</v>
      </c>
      <c r="C1843" s="1" t="s">
        <v>5546</v>
      </c>
      <c r="D1843" s="1" t="str">
        <f t="shared" si="84"/>
        <v>København KommuneNikolaj Plads 27, hj af Admiralgade</v>
      </c>
      <c r="E1843" s="1" t="s">
        <v>5547</v>
      </c>
      <c r="F1843" s="1" t="s">
        <v>5548</v>
      </c>
      <c r="G1843" s="1">
        <v>1945</v>
      </c>
      <c r="H1843" s="1" t="s">
        <v>5549</v>
      </c>
      <c r="I1843" s="6" cm="1">
        <f t="array" ref="I1843">GetLatitude(D1843)</f>
        <v>556774964</v>
      </c>
      <c r="J1843" s="1" cm="1">
        <f t="array" ref="J1843">GetLongitude(D1843)</f>
        <v>125823338</v>
      </c>
      <c r="K1843" s="1">
        <f t="shared" si="85"/>
        <v>55.677496400000003</v>
      </c>
      <c r="L1843" s="1">
        <f t="shared" si="86"/>
        <v>12.582333800000001</v>
      </c>
    </row>
    <row r="1844" spans="1:12" ht="16" x14ac:dyDescent="0.2">
      <c r="A1844" s="1">
        <v>1843</v>
      </c>
      <c r="B1844" s="1" t="s">
        <v>3980</v>
      </c>
      <c r="C1844" s="1" t="s">
        <v>5550</v>
      </c>
      <c r="D1844" s="1" t="str">
        <f t="shared" si="84"/>
        <v>København KommuneNikolaj Plads 3, hj af Lille Kongensgade</v>
      </c>
      <c r="E1844" s="1" t="s">
        <v>5551</v>
      </c>
      <c r="F1844" s="1" t="s">
        <v>5552</v>
      </c>
      <c r="G1844" s="1">
        <v>1959</v>
      </c>
      <c r="H1844" s="1" t="s">
        <v>11</v>
      </c>
      <c r="I1844" s="6" cm="1">
        <f t="array" ref="I1844">GetLatitude(D1844)</f>
        <v>556793320</v>
      </c>
      <c r="J1844" s="1" cm="1">
        <f t="array" ref="J1844">GetLongitude(D1844)</f>
        <v>125820107</v>
      </c>
      <c r="K1844" s="1">
        <f t="shared" si="85"/>
        <v>55.679332000000002</v>
      </c>
      <c r="L1844" s="1">
        <f t="shared" si="86"/>
        <v>12.5820107</v>
      </c>
    </row>
    <row r="1845" spans="1:12" ht="16" x14ac:dyDescent="0.2">
      <c r="A1845" s="1">
        <v>1844</v>
      </c>
      <c r="B1845" s="1" t="s">
        <v>3980</v>
      </c>
      <c r="C1845" s="1" t="s">
        <v>5553</v>
      </c>
      <c r="D1845" s="1" t="str">
        <f t="shared" si="84"/>
        <v>København KommuneNikolaj Plads 30</v>
      </c>
      <c r="E1845" s="1" t="s">
        <v>5554</v>
      </c>
      <c r="F1845" s="1" t="s">
        <v>5555</v>
      </c>
      <c r="G1845" s="1">
        <v>1945</v>
      </c>
      <c r="H1845" s="1" t="s">
        <v>11</v>
      </c>
      <c r="I1845" s="6" cm="1">
        <f t="array" ref="I1845">GetLatitude(D1845)</f>
        <v>556783476</v>
      </c>
      <c r="J1845" s="1" cm="1">
        <f t="array" ref="J1845">GetLongitude(D1845)</f>
        <v>125811931</v>
      </c>
      <c r="K1845" s="1">
        <f t="shared" si="85"/>
        <v>55.678347600000002</v>
      </c>
      <c r="L1845" s="1">
        <f t="shared" si="86"/>
        <v>12.5811931</v>
      </c>
    </row>
    <row r="1846" spans="1:12" ht="16" x14ac:dyDescent="0.2">
      <c r="A1846" s="1">
        <v>1845</v>
      </c>
      <c r="B1846" s="1" t="s">
        <v>3980</v>
      </c>
      <c r="C1846" s="1" t="s">
        <v>5556</v>
      </c>
      <c r="D1846" s="1" t="str">
        <f t="shared" si="84"/>
        <v>København KommuneNikolaj Plads 32</v>
      </c>
      <c r="E1846" s="1" t="s">
        <v>5557</v>
      </c>
      <c r="F1846" s="1" t="s">
        <v>5558</v>
      </c>
      <c r="G1846" s="1">
        <v>1945</v>
      </c>
      <c r="H1846" s="1" t="s">
        <v>15</v>
      </c>
      <c r="I1846" s="6" cm="1">
        <f t="array" ref="I1846">GetLatitude(D1846)</f>
        <v>556782902</v>
      </c>
      <c r="J1846" s="1" cm="1">
        <f t="array" ref="J1846">GetLongitude(D1846)</f>
        <v>125812149</v>
      </c>
      <c r="K1846" s="1">
        <f t="shared" si="85"/>
        <v>55.678290199999999</v>
      </c>
      <c r="L1846" s="1">
        <f t="shared" si="86"/>
        <v>12.581214900000001</v>
      </c>
    </row>
    <row r="1847" spans="1:12" ht="16" x14ac:dyDescent="0.2">
      <c r="A1847" s="1">
        <v>1846</v>
      </c>
      <c r="B1847" s="1" t="s">
        <v>3980</v>
      </c>
      <c r="C1847" s="1" t="s">
        <v>5559</v>
      </c>
      <c r="D1847" s="1" t="str">
        <f t="shared" si="84"/>
        <v>København KommuneNikolaj Plads 7</v>
      </c>
      <c r="E1847" s="1" t="s">
        <v>5560</v>
      </c>
      <c r="F1847" s="1" t="s">
        <v>5542</v>
      </c>
      <c r="G1847" s="1">
        <v>1959</v>
      </c>
      <c r="H1847" s="1" t="s">
        <v>99</v>
      </c>
      <c r="I1847" s="6" cm="1">
        <f t="array" ref="I1847">GetLatitude(D1847)</f>
        <v>556789260</v>
      </c>
      <c r="J1847" s="1" cm="1">
        <f t="array" ref="J1847">GetLongitude(D1847)</f>
        <v>125823086</v>
      </c>
      <c r="K1847" s="1">
        <f t="shared" si="85"/>
        <v>55.678925999999997</v>
      </c>
      <c r="L1847" s="1">
        <f t="shared" si="86"/>
        <v>12.582308599999999</v>
      </c>
    </row>
    <row r="1848" spans="1:12" ht="16" x14ac:dyDescent="0.2">
      <c r="A1848" s="1">
        <v>1847</v>
      </c>
      <c r="B1848" s="1" t="s">
        <v>3980</v>
      </c>
      <c r="C1848" s="1" t="s">
        <v>5561</v>
      </c>
      <c r="D1848" s="1" t="str">
        <f t="shared" si="84"/>
        <v>København KommuneNikolaj Plads 9</v>
      </c>
      <c r="E1848" s="1" t="s">
        <v>5562</v>
      </c>
      <c r="F1848" s="1" t="s">
        <v>5542</v>
      </c>
      <c r="G1848" s="1">
        <v>1959</v>
      </c>
      <c r="H1848" s="1" t="s">
        <v>11</v>
      </c>
      <c r="I1848" s="6" cm="1">
        <f t="array" ref="I1848">GetLatitude(D1848)</f>
        <v>556787870</v>
      </c>
      <c r="J1848" s="1" cm="1">
        <f t="array" ref="J1848">GetLongitude(D1848)</f>
        <v>125823734</v>
      </c>
      <c r="K1848" s="1">
        <f t="shared" si="85"/>
        <v>55.678787</v>
      </c>
      <c r="L1848" s="1">
        <f t="shared" si="86"/>
        <v>12.5823734</v>
      </c>
    </row>
    <row r="1849" spans="1:12" ht="16" x14ac:dyDescent="0.2">
      <c r="A1849" s="1">
        <v>1848</v>
      </c>
      <c r="B1849" s="1" t="s">
        <v>3980</v>
      </c>
      <c r="C1849" s="1" t="s">
        <v>5563</v>
      </c>
      <c r="D1849" s="1" t="str">
        <f t="shared" si="84"/>
        <v>København KommuneNorddyssen 63 A-G</v>
      </c>
      <c r="E1849" s="1" t="s">
        <v>5564</v>
      </c>
      <c r="F1849" s="1" t="s">
        <v>5565</v>
      </c>
      <c r="G1849" s="1">
        <v>2007</v>
      </c>
      <c r="H1849" s="1" t="s">
        <v>15</v>
      </c>
      <c r="I1849" s="6" cm="1">
        <f t="array" ref="I1849">GetLatitude(D1849)</f>
        <v>556798842</v>
      </c>
      <c r="J1849" s="1" cm="1">
        <f t="array" ref="J1849">GetLongitude(D1849)</f>
        <v>126133485</v>
      </c>
      <c r="K1849" s="1">
        <f t="shared" si="85"/>
        <v>55.679884199999996</v>
      </c>
      <c r="L1849" s="1">
        <f t="shared" si="86"/>
        <v>12.613348500000001</v>
      </c>
    </row>
    <row r="1850" spans="1:12" ht="16" x14ac:dyDescent="0.2">
      <c r="A1850" s="1">
        <v>1849</v>
      </c>
      <c r="B1850" s="1" t="s">
        <v>3980</v>
      </c>
      <c r="C1850" s="1" t="s">
        <v>5566</v>
      </c>
      <c r="D1850" s="1" t="str">
        <f t="shared" si="84"/>
        <v>København KommuneNordområdet 262 A og B</v>
      </c>
      <c r="E1850" s="1" t="s">
        <v>5567</v>
      </c>
      <c r="F1850" s="1" t="s">
        <v>5568</v>
      </c>
      <c r="G1850" s="1">
        <v>2007</v>
      </c>
      <c r="H1850" s="1" t="s">
        <v>11</v>
      </c>
      <c r="I1850" s="6" cm="1">
        <f t="array" ref="I1850">GetLatitude(D1850)</f>
        <v>556762150</v>
      </c>
      <c r="J1850" s="1" cm="1">
        <f t="array" ref="J1850">GetLongitude(D1850)</f>
        <v>126087890</v>
      </c>
      <c r="K1850" s="1">
        <f t="shared" si="85"/>
        <v>55.676214999999999</v>
      </c>
      <c r="L1850" s="1">
        <f t="shared" si="86"/>
        <v>12.608789</v>
      </c>
    </row>
    <row r="1851" spans="1:12" ht="16" x14ac:dyDescent="0.2">
      <c r="A1851" s="1">
        <v>1850</v>
      </c>
      <c r="B1851" s="1" t="s">
        <v>3980</v>
      </c>
      <c r="C1851" s="1" t="s">
        <v>5569</v>
      </c>
      <c r="D1851" s="1" t="str">
        <f t="shared" si="84"/>
        <v>København KommuneNordområdet 270</v>
      </c>
      <c r="E1851" s="1" t="s">
        <v>5570</v>
      </c>
      <c r="F1851" s="1" t="s">
        <v>5571</v>
      </c>
      <c r="G1851" s="1">
        <v>2007</v>
      </c>
      <c r="H1851" s="1" t="s">
        <v>11</v>
      </c>
      <c r="I1851" s="6" cm="1">
        <f t="array" ref="I1851">GetLatitude(D1851)</f>
        <v>556763559</v>
      </c>
      <c r="J1851" s="1" cm="1">
        <f t="array" ref="J1851">GetLongitude(D1851)</f>
        <v>126080687</v>
      </c>
      <c r="K1851" s="1">
        <f t="shared" si="85"/>
        <v>55.676355899999997</v>
      </c>
      <c r="L1851" s="1">
        <f t="shared" si="86"/>
        <v>12.6080687</v>
      </c>
    </row>
    <row r="1852" spans="1:12" ht="16" x14ac:dyDescent="0.2">
      <c r="A1852" s="1">
        <v>1851</v>
      </c>
      <c r="B1852" s="1" t="s">
        <v>3980</v>
      </c>
      <c r="C1852" s="1" t="s">
        <v>5572</v>
      </c>
      <c r="D1852" s="1" t="str">
        <f t="shared" si="84"/>
        <v>København KommuneNordre Toldbod 2</v>
      </c>
      <c r="E1852" s="1" t="s">
        <v>5573</v>
      </c>
      <c r="F1852" s="1" t="s">
        <v>5574</v>
      </c>
      <c r="G1852" s="1">
        <v>1979</v>
      </c>
      <c r="H1852" s="1" t="s">
        <v>15</v>
      </c>
      <c r="I1852" s="6" cm="1">
        <f t="array" ref="I1852">GetLatitude(D1852)</f>
        <v>556881459</v>
      </c>
      <c r="J1852" s="1" cm="1">
        <f t="array" ref="J1852">GetLongitude(D1852)</f>
        <v>125983714</v>
      </c>
      <c r="K1852" s="1">
        <f t="shared" si="85"/>
        <v>55.688145900000002</v>
      </c>
      <c r="L1852" s="1">
        <f t="shared" si="86"/>
        <v>12.5983714</v>
      </c>
    </row>
    <row r="1853" spans="1:12" ht="16" x14ac:dyDescent="0.2">
      <c r="A1853" s="1">
        <v>1852</v>
      </c>
      <c r="B1853" s="1" t="s">
        <v>3980</v>
      </c>
      <c r="C1853" s="1" t="s">
        <v>5575</v>
      </c>
      <c r="D1853" s="1" t="str">
        <f t="shared" si="84"/>
        <v>København KommuneNordre Toldbod 3 (tidl nr 1)</v>
      </c>
      <c r="E1853" s="1" t="s">
        <v>5576</v>
      </c>
      <c r="F1853" s="1" t="s">
        <v>5577</v>
      </c>
      <c r="G1853" s="1">
        <v>1979</v>
      </c>
      <c r="H1853" s="1" t="s">
        <v>11</v>
      </c>
      <c r="I1853" s="6" cm="1">
        <f t="array" ref="I1853">GetLatitude(D1853)</f>
        <v>556883850</v>
      </c>
      <c r="J1853" s="1" cm="1">
        <f t="array" ref="J1853">GetLongitude(D1853)</f>
        <v>125983469</v>
      </c>
      <c r="K1853" s="1">
        <f t="shared" si="85"/>
        <v>55.688384999999997</v>
      </c>
      <c r="L1853" s="1">
        <f t="shared" si="86"/>
        <v>12.598346899999999</v>
      </c>
    </row>
    <row r="1854" spans="1:12" ht="16" x14ac:dyDescent="0.2">
      <c r="A1854" s="1">
        <v>1853</v>
      </c>
      <c r="B1854" s="1" t="s">
        <v>3980</v>
      </c>
      <c r="C1854" s="1" t="s">
        <v>5578</v>
      </c>
      <c r="D1854" s="1" t="str">
        <f t="shared" si="84"/>
        <v>København KommuneNordre Toldbod 7-11</v>
      </c>
      <c r="E1854" s="1" t="s">
        <v>5579</v>
      </c>
      <c r="F1854" s="1" t="s">
        <v>5580</v>
      </c>
      <c r="G1854" s="1">
        <v>1979</v>
      </c>
      <c r="H1854" s="1" t="s">
        <v>5581</v>
      </c>
      <c r="I1854" s="6" cm="1">
        <f t="array" ref="I1854">GetLatitude(D1854)</f>
        <v>556886307</v>
      </c>
      <c r="J1854" s="1" cm="1">
        <f t="array" ref="J1854">GetLongitude(D1854)</f>
        <v>125985917</v>
      </c>
      <c r="K1854" s="1">
        <f t="shared" si="85"/>
        <v>55.688630699999997</v>
      </c>
      <c r="L1854" s="1">
        <f t="shared" si="86"/>
        <v>12.5985917</v>
      </c>
    </row>
    <row r="1855" spans="1:12" ht="16" x14ac:dyDescent="0.2">
      <c r="A1855" s="1">
        <v>1854</v>
      </c>
      <c r="B1855" s="1" t="s">
        <v>3980</v>
      </c>
      <c r="C1855" s="1" t="s">
        <v>5582</v>
      </c>
      <c r="D1855" s="1" t="str">
        <f t="shared" si="84"/>
        <v>København KommuneNy Adelgade 6-6 A</v>
      </c>
      <c r="E1855" s="1" t="s">
        <v>5583</v>
      </c>
      <c r="F1855" s="1" t="s">
        <v>5584</v>
      </c>
      <c r="G1855" s="1">
        <v>1986</v>
      </c>
      <c r="H1855" s="1" t="s">
        <v>11</v>
      </c>
      <c r="I1855" s="6" cm="1">
        <f t="array" ref="I1855">GetLatitude(D1855)</f>
        <v>556813153</v>
      </c>
      <c r="J1855" s="1" cm="1">
        <f t="array" ref="J1855">GetLongitude(D1855)</f>
        <v>125840292</v>
      </c>
      <c r="K1855" s="1">
        <f t="shared" si="85"/>
        <v>55.681315300000001</v>
      </c>
      <c r="L1855" s="1">
        <f t="shared" si="86"/>
        <v>12.5840292</v>
      </c>
    </row>
    <row r="1856" spans="1:12" ht="16" x14ac:dyDescent="0.2">
      <c r="A1856" s="1">
        <v>1855</v>
      </c>
      <c r="B1856" s="1" t="s">
        <v>3980</v>
      </c>
      <c r="C1856" s="1" t="s">
        <v>5585</v>
      </c>
      <c r="D1856" s="1" t="str">
        <f t="shared" si="84"/>
        <v>København KommuneNy Adelgade 9</v>
      </c>
      <c r="E1856" s="1" t="s">
        <v>5586</v>
      </c>
      <c r="F1856" s="1" t="s">
        <v>5587</v>
      </c>
      <c r="G1856" s="1">
        <v>1982</v>
      </c>
      <c r="H1856" s="1" t="s">
        <v>11</v>
      </c>
      <c r="I1856" s="6" cm="1">
        <f t="array" ref="I1856">GetLatitude(D1856)</f>
        <v>556813328</v>
      </c>
      <c r="J1856" s="1" cm="1">
        <f t="array" ref="J1856">GetLongitude(D1856)</f>
        <v>125833308</v>
      </c>
      <c r="K1856" s="1">
        <f t="shared" si="85"/>
        <v>55.6813328</v>
      </c>
      <c r="L1856" s="1">
        <f t="shared" si="86"/>
        <v>12.583330800000001</v>
      </c>
    </row>
    <row r="1857" spans="1:12" ht="16" x14ac:dyDescent="0.2">
      <c r="A1857" s="1">
        <v>1856</v>
      </c>
      <c r="B1857" s="1" t="s">
        <v>3980</v>
      </c>
      <c r="C1857" s="1" t="s">
        <v>5588</v>
      </c>
      <c r="D1857" s="1" t="str">
        <f t="shared" si="84"/>
        <v>København KommuneNyborggade 17</v>
      </c>
      <c r="E1857" s="1" t="s">
        <v>5589</v>
      </c>
      <c r="F1857" s="1" t="s">
        <v>5590</v>
      </c>
      <c r="G1857" s="1">
        <v>1984</v>
      </c>
      <c r="H1857" s="1" t="s">
        <v>15</v>
      </c>
      <c r="I1857" s="6" cm="1">
        <f t="array" ref="I1857">GetLatitude(D1857)</f>
        <v>557099644</v>
      </c>
      <c r="J1857" s="1" cm="1">
        <f t="array" ref="J1857">GetLongitude(D1857)</f>
        <v>125818103</v>
      </c>
      <c r="K1857" s="1">
        <f t="shared" si="85"/>
        <v>55.709964399999997</v>
      </c>
      <c r="L1857" s="1">
        <f t="shared" si="86"/>
        <v>12.581810300000001</v>
      </c>
    </row>
    <row r="1858" spans="1:12" ht="16" x14ac:dyDescent="0.2">
      <c r="A1858" s="1">
        <v>1857</v>
      </c>
      <c r="B1858" s="1" t="s">
        <v>3980</v>
      </c>
      <c r="C1858" s="1" t="s">
        <v>5591</v>
      </c>
      <c r="D1858" s="1" t="str">
        <f t="shared" si="84"/>
        <v>København KommuneNybrogade 10 og Snaregade 7</v>
      </c>
      <c r="E1858" s="1" t="s">
        <v>5592</v>
      </c>
      <c r="F1858" s="1" t="s">
        <v>5593</v>
      </c>
      <c r="G1858" s="1">
        <v>1945</v>
      </c>
      <c r="H1858" s="1" t="s">
        <v>11</v>
      </c>
      <c r="I1858" s="6" cm="1">
        <f t="array" ref="I1858">GetLatitude(D1858)</f>
        <v>556771295</v>
      </c>
      <c r="J1858" s="1" cm="1">
        <f t="array" ref="J1858">GetLongitude(D1858)</f>
        <v>125765831</v>
      </c>
      <c r="K1858" s="1">
        <f t="shared" si="85"/>
        <v>55.677129499999999</v>
      </c>
      <c r="L1858" s="1">
        <f t="shared" si="86"/>
        <v>12.576583100000001</v>
      </c>
    </row>
    <row r="1859" spans="1:12" ht="16" x14ac:dyDescent="0.2">
      <c r="A1859" s="1">
        <v>1858</v>
      </c>
      <c r="B1859" s="1" t="s">
        <v>3980</v>
      </c>
      <c r="C1859" s="1" t="s">
        <v>5594</v>
      </c>
      <c r="D1859" s="1" t="str">
        <f t="shared" ref="D1859:D1922" si="87">B1859&amp;C1859</f>
        <v>København KommuneNybrogade 12, hj af Knabrostræde</v>
      </c>
      <c r="E1859" s="1" t="s">
        <v>5595</v>
      </c>
      <c r="F1859" s="1" t="s">
        <v>5596</v>
      </c>
      <c r="G1859" s="1">
        <v>1918</v>
      </c>
      <c r="H1859" s="1" t="s">
        <v>11</v>
      </c>
      <c r="I1859" s="6" cm="1">
        <f t="array" ref="I1859">GetLatitude(D1859)</f>
        <v>556766540</v>
      </c>
      <c r="J1859" s="1" cm="1">
        <f t="array" ref="J1859">GetLongitude(D1859)</f>
        <v>125764970</v>
      </c>
      <c r="K1859" s="1">
        <f t="shared" si="85"/>
        <v>55.676653999999999</v>
      </c>
      <c r="L1859" s="1">
        <f t="shared" si="86"/>
        <v>12.576497</v>
      </c>
    </row>
    <row r="1860" spans="1:12" ht="16" x14ac:dyDescent="0.2">
      <c r="A1860" s="1">
        <v>1859</v>
      </c>
      <c r="B1860" s="1" t="s">
        <v>3980</v>
      </c>
      <c r="C1860" s="1" t="s">
        <v>5597</v>
      </c>
      <c r="D1860" s="1" t="str">
        <f t="shared" si="87"/>
        <v>København KommuneNybrogade 16 og Magstræde 3</v>
      </c>
      <c r="E1860" s="1" t="s">
        <v>5598</v>
      </c>
      <c r="F1860" s="1" t="s">
        <v>5599</v>
      </c>
      <c r="G1860" s="1">
        <v>1918</v>
      </c>
      <c r="H1860" s="1" t="s">
        <v>11</v>
      </c>
      <c r="I1860" s="6" cm="1">
        <f t="array" ref="I1860">GetLatitude(D1860)</f>
        <v>556763321</v>
      </c>
      <c r="J1860" s="1" cm="1">
        <f t="array" ref="J1860">GetLongitude(D1860)</f>
        <v>125751326</v>
      </c>
      <c r="K1860" s="1">
        <f t="shared" ref="K1860:K1923" si="88">I1860/10000000</f>
        <v>55.676332100000003</v>
      </c>
      <c r="L1860" s="1">
        <f t="shared" ref="L1860:L1923" si="89">J1860/10000000</f>
        <v>12.5751326</v>
      </c>
    </row>
    <row r="1861" spans="1:12" ht="16" x14ac:dyDescent="0.2">
      <c r="A1861" s="1">
        <v>1860</v>
      </c>
      <c r="B1861" s="1" t="s">
        <v>3980</v>
      </c>
      <c r="C1861" s="1" t="s">
        <v>5600</v>
      </c>
      <c r="D1861" s="1" t="str">
        <f t="shared" si="87"/>
        <v>København KommuneNybrogade 18</v>
      </c>
      <c r="E1861" s="1" t="s">
        <v>5601</v>
      </c>
      <c r="F1861" s="1" t="s">
        <v>5602</v>
      </c>
      <c r="G1861" s="1">
        <v>1918</v>
      </c>
      <c r="H1861" s="1" t="s">
        <v>15</v>
      </c>
      <c r="I1861" s="6" cm="1">
        <f t="array" ref="I1861">GetLatitude(D1861)</f>
        <v>556764300</v>
      </c>
      <c r="J1861" s="1" cm="1">
        <f t="array" ref="J1861">GetLongitude(D1861)</f>
        <v>125760998</v>
      </c>
      <c r="K1861" s="1">
        <f t="shared" si="88"/>
        <v>55.676430000000003</v>
      </c>
      <c r="L1861" s="1">
        <f t="shared" si="89"/>
        <v>12.5760998</v>
      </c>
    </row>
    <row r="1862" spans="1:12" ht="16" x14ac:dyDescent="0.2">
      <c r="A1862" s="1">
        <v>1861</v>
      </c>
      <c r="B1862" s="1" t="s">
        <v>3980</v>
      </c>
      <c r="C1862" s="1" t="s">
        <v>5603</v>
      </c>
      <c r="D1862" s="1" t="str">
        <f t="shared" si="87"/>
        <v>København KommuneNybrogade 2</v>
      </c>
      <c r="E1862" s="1" t="s">
        <v>5604</v>
      </c>
      <c r="F1862" s="1" t="s">
        <v>5605</v>
      </c>
      <c r="G1862" s="1">
        <v>1918</v>
      </c>
      <c r="H1862" s="1" t="s">
        <v>15</v>
      </c>
      <c r="I1862" s="6" cm="1">
        <f t="array" ref="I1862">GetLatitude(D1862)</f>
        <v>556770798</v>
      </c>
      <c r="J1862" s="1" cm="1">
        <f t="array" ref="J1862">GetLongitude(D1862)</f>
        <v>125771838</v>
      </c>
      <c r="K1862" s="1">
        <f t="shared" si="88"/>
        <v>55.677079800000001</v>
      </c>
      <c r="L1862" s="1">
        <f t="shared" si="89"/>
        <v>12.5771838</v>
      </c>
    </row>
    <row r="1863" spans="1:12" ht="16" x14ac:dyDescent="0.2">
      <c r="A1863" s="1">
        <v>1862</v>
      </c>
      <c r="B1863" s="1" t="s">
        <v>3980</v>
      </c>
      <c r="C1863" s="1" t="s">
        <v>5606</v>
      </c>
      <c r="D1863" s="1" t="str">
        <f t="shared" si="87"/>
        <v>København KommuneNybrogade 20</v>
      </c>
      <c r="E1863" s="1" t="s">
        <v>5607</v>
      </c>
      <c r="F1863" s="1" t="s">
        <v>5608</v>
      </c>
      <c r="G1863" s="1">
        <v>1918</v>
      </c>
      <c r="H1863" s="1" t="s">
        <v>11</v>
      </c>
      <c r="I1863" s="6" cm="1">
        <f t="array" ref="I1863">GetLatitude(D1863)</f>
        <v>556763945</v>
      </c>
      <c r="J1863" s="1" cm="1">
        <f t="array" ref="J1863">GetLongitude(D1863)</f>
        <v>125760171</v>
      </c>
      <c r="K1863" s="1">
        <f t="shared" si="88"/>
        <v>55.676394500000001</v>
      </c>
      <c r="L1863" s="1">
        <f t="shared" si="89"/>
        <v>12.5760171</v>
      </c>
    </row>
    <row r="1864" spans="1:12" ht="16" x14ac:dyDescent="0.2">
      <c r="A1864" s="1">
        <v>1863</v>
      </c>
      <c r="B1864" s="1" t="s">
        <v>3980</v>
      </c>
      <c r="C1864" s="1" t="s">
        <v>5609</v>
      </c>
      <c r="D1864" s="1" t="str">
        <f t="shared" si="87"/>
        <v>København KommuneNybrogade 22 og Magstræde 9</v>
      </c>
      <c r="E1864" s="1" t="s">
        <v>5610</v>
      </c>
      <c r="F1864" s="1" t="s">
        <v>5611</v>
      </c>
      <c r="G1864" s="1">
        <v>1945</v>
      </c>
      <c r="H1864" s="1" t="s">
        <v>15</v>
      </c>
      <c r="I1864" s="6" cm="1">
        <f t="array" ref="I1864">GetLatitude(D1864)</f>
        <v>556763996</v>
      </c>
      <c r="J1864" s="1" cm="1">
        <f t="array" ref="J1864">GetLongitude(D1864)</f>
        <v>125757566</v>
      </c>
      <c r="K1864" s="1">
        <f t="shared" si="88"/>
        <v>55.676399600000003</v>
      </c>
      <c r="L1864" s="1">
        <f t="shared" si="89"/>
        <v>12.5757566</v>
      </c>
    </row>
    <row r="1865" spans="1:12" ht="16" x14ac:dyDescent="0.2">
      <c r="A1865" s="1">
        <v>1864</v>
      </c>
      <c r="B1865" s="1" t="s">
        <v>3980</v>
      </c>
      <c r="C1865" s="1" t="s">
        <v>5612</v>
      </c>
      <c r="D1865" s="1" t="str">
        <f t="shared" si="87"/>
        <v>København KommuneNybrogade 24 og Magstræde 11</v>
      </c>
      <c r="E1865" s="1" t="s">
        <v>5613</v>
      </c>
      <c r="F1865" s="1" t="s">
        <v>5614</v>
      </c>
      <c r="G1865" s="1">
        <v>1918</v>
      </c>
      <c r="H1865" s="1" t="s">
        <v>11</v>
      </c>
      <c r="I1865" s="6" cm="1">
        <f t="array" ref="I1865">GetLatitude(D1865)</f>
        <v>556763541</v>
      </c>
      <c r="J1865" s="1" cm="1">
        <f t="array" ref="J1865">GetLongitude(D1865)</f>
        <v>125748744</v>
      </c>
      <c r="K1865" s="1">
        <f t="shared" si="88"/>
        <v>55.676354099999998</v>
      </c>
      <c r="L1865" s="1">
        <f t="shared" si="89"/>
        <v>12.574874400000001</v>
      </c>
    </row>
    <row r="1866" spans="1:12" ht="16" x14ac:dyDescent="0.2">
      <c r="A1866" s="1">
        <v>1865</v>
      </c>
      <c r="B1866" s="1" t="s">
        <v>3980</v>
      </c>
      <c r="C1866" s="1" t="s">
        <v>5615</v>
      </c>
      <c r="D1866" s="1" t="str">
        <f t="shared" si="87"/>
        <v>København KommuneNybrogade 26 og Magstræde 13</v>
      </c>
      <c r="E1866" s="1" t="s">
        <v>5616</v>
      </c>
      <c r="F1866" s="1" t="s">
        <v>5617</v>
      </c>
      <c r="G1866" s="1">
        <v>1918</v>
      </c>
      <c r="H1866" s="1" t="s">
        <v>11</v>
      </c>
      <c r="I1866" s="6" cm="1">
        <f t="array" ref="I1866">GetLatitude(D1866)</f>
        <v>556762847</v>
      </c>
      <c r="J1866" s="1" cm="1">
        <f t="array" ref="J1866">GetLongitude(D1866)</f>
        <v>125754107</v>
      </c>
      <c r="K1866" s="1">
        <f t="shared" si="88"/>
        <v>55.676284699999997</v>
      </c>
      <c r="L1866" s="1">
        <f t="shared" si="89"/>
        <v>12.575410700000001</v>
      </c>
    </row>
    <row r="1867" spans="1:12" ht="16" x14ac:dyDescent="0.2">
      <c r="A1867" s="1">
        <v>1866</v>
      </c>
      <c r="B1867" s="1" t="s">
        <v>3980</v>
      </c>
      <c r="C1867" s="1" t="s">
        <v>5618</v>
      </c>
      <c r="D1867" s="1" t="str">
        <f t="shared" si="87"/>
        <v>København KommuneNybrogade 28 og Magstræde 15</v>
      </c>
      <c r="E1867" s="1" t="s">
        <v>5619</v>
      </c>
      <c r="F1867" s="1" t="s">
        <v>5620</v>
      </c>
      <c r="G1867" s="1">
        <v>1945</v>
      </c>
      <c r="H1867" s="1" t="s">
        <v>11</v>
      </c>
      <c r="I1867" s="6" cm="1">
        <f t="array" ref="I1867">GetLatitude(D1867)</f>
        <v>556762496</v>
      </c>
      <c r="J1867" s="1" cm="1">
        <f t="array" ref="J1867">GetLongitude(D1867)</f>
        <v>125752903</v>
      </c>
      <c r="K1867" s="1">
        <f t="shared" si="88"/>
        <v>55.676249599999998</v>
      </c>
      <c r="L1867" s="1">
        <f t="shared" si="89"/>
        <v>12.575290300000001</v>
      </c>
    </row>
    <row r="1868" spans="1:12" ht="16" x14ac:dyDescent="0.2">
      <c r="A1868" s="1">
        <v>1867</v>
      </c>
      <c r="B1868" s="1" t="s">
        <v>3980</v>
      </c>
      <c r="C1868" s="1" t="s">
        <v>5621</v>
      </c>
      <c r="D1868" s="1" t="str">
        <f t="shared" si="87"/>
        <v>København KommuneNybrogade 4</v>
      </c>
      <c r="E1868" s="1" t="s">
        <v>5622</v>
      </c>
      <c r="F1868" s="1" t="s">
        <v>5623</v>
      </c>
      <c r="G1868" s="1">
        <v>1918</v>
      </c>
      <c r="H1868" s="1" t="s">
        <v>15</v>
      </c>
      <c r="I1868" s="6" cm="1">
        <f t="array" ref="I1868">GetLatitude(D1868)</f>
        <v>556770112</v>
      </c>
      <c r="J1868" s="1" cm="1">
        <f t="array" ref="J1868">GetLongitude(D1868)</f>
        <v>125768712</v>
      </c>
      <c r="K1868" s="1">
        <f t="shared" si="88"/>
        <v>55.677011200000003</v>
      </c>
      <c r="L1868" s="1">
        <f t="shared" si="89"/>
        <v>12.576871199999999</v>
      </c>
    </row>
    <row r="1869" spans="1:12" ht="16" x14ac:dyDescent="0.2">
      <c r="A1869" s="1">
        <v>1868</v>
      </c>
      <c r="B1869" s="1" t="s">
        <v>3980</v>
      </c>
      <c r="C1869" s="1" t="s">
        <v>5624</v>
      </c>
      <c r="D1869" s="1" t="str">
        <f t="shared" si="87"/>
        <v>København KommuneNybrogade 6 og Snaregade 3</v>
      </c>
      <c r="E1869" s="1" t="s">
        <v>5625</v>
      </c>
      <c r="F1869" s="1" t="s">
        <v>5626</v>
      </c>
      <c r="G1869" s="1">
        <v>1945</v>
      </c>
      <c r="H1869" s="1" t="s">
        <v>15</v>
      </c>
      <c r="I1869" s="6" cm="1">
        <f t="array" ref="I1869">GetLatitude(D1869)</f>
        <v>556768908</v>
      </c>
      <c r="J1869" s="1" cm="1">
        <f t="array" ref="J1869">GetLongitude(D1869)</f>
        <v>125768629</v>
      </c>
      <c r="K1869" s="1">
        <f t="shared" si="88"/>
        <v>55.676890800000002</v>
      </c>
      <c r="L1869" s="1">
        <f t="shared" si="89"/>
        <v>12.5768629</v>
      </c>
    </row>
    <row r="1870" spans="1:12" ht="16" x14ac:dyDescent="0.2">
      <c r="A1870" s="1">
        <v>1869</v>
      </c>
      <c r="B1870" s="1" t="s">
        <v>3980</v>
      </c>
      <c r="C1870" s="1" t="s">
        <v>5627</v>
      </c>
      <c r="D1870" s="1" t="str">
        <f t="shared" si="87"/>
        <v>København KommuneNybrogade 8 og Snaregade 5</v>
      </c>
      <c r="E1870" s="1" t="s">
        <v>5628</v>
      </c>
      <c r="F1870" s="1" t="s">
        <v>5629</v>
      </c>
      <c r="G1870" s="1">
        <v>1945</v>
      </c>
      <c r="H1870" s="1" t="s">
        <v>11</v>
      </c>
      <c r="I1870" s="6" cm="1">
        <f t="array" ref="I1870">GetLatitude(D1870)</f>
        <v>556772149</v>
      </c>
      <c r="J1870" s="1" cm="1">
        <f t="array" ref="J1870">GetLongitude(D1870)</f>
        <v>125766073</v>
      </c>
      <c r="K1870" s="1">
        <f t="shared" si="88"/>
        <v>55.677214900000003</v>
      </c>
      <c r="L1870" s="1">
        <f t="shared" si="89"/>
        <v>12.576607299999999</v>
      </c>
    </row>
    <row r="1871" spans="1:12" ht="16" x14ac:dyDescent="0.2">
      <c r="A1871" s="1">
        <v>1870</v>
      </c>
      <c r="B1871" s="1" t="s">
        <v>3980</v>
      </c>
      <c r="C1871" s="1" t="s">
        <v>5630</v>
      </c>
      <c r="D1871" s="1" t="str">
        <f t="shared" si="87"/>
        <v>København KommuneNyhavn 1, hj af Store Strandstræde</v>
      </c>
      <c r="E1871" s="1" t="s">
        <v>5631</v>
      </c>
      <c r="F1871" s="1" t="s">
        <v>5632</v>
      </c>
      <c r="G1871" s="1">
        <v>1945</v>
      </c>
      <c r="H1871" s="1" t="s">
        <v>11</v>
      </c>
      <c r="I1871" s="6" cm="1">
        <f t="array" ref="I1871">GetLatitude(D1871)</f>
        <v>556811872</v>
      </c>
      <c r="J1871" s="1" cm="1">
        <f t="array" ref="J1871">GetLongitude(D1871)</f>
        <v>125889517</v>
      </c>
      <c r="K1871" s="1">
        <f t="shared" si="88"/>
        <v>55.681187199999997</v>
      </c>
      <c r="L1871" s="1">
        <f t="shared" si="89"/>
        <v>12.588951700000001</v>
      </c>
    </row>
    <row r="1872" spans="1:12" ht="16" x14ac:dyDescent="0.2">
      <c r="A1872" s="1">
        <v>1871</v>
      </c>
      <c r="B1872" s="1" t="s">
        <v>3980</v>
      </c>
      <c r="C1872" s="1" t="s">
        <v>5633</v>
      </c>
      <c r="D1872" s="1" t="str">
        <f t="shared" si="87"/>
        <v>København KommuneNyhavn 10-12</v>
      </c>
      <c r="E1872" s="1" t="s">
        <v>5634</v>
      </c>
      <c r="F1872" s="1" t="s">
        <v>5635</v>
      </c>
      <c r="G1872" s="1">
        <v>1918</v>
      </c>
      <c r="H1872" s="1" t="s">
        <v>2953</v>
      </c>
      <c r="I1872" s="6" cm="1">
        <f t="array" ref="I1872">GetLatitude(D1872)</f>
        <v>556797885</v>
      </c>
      <c r="J1872" s="1" cm="1">
        <f t="array" ref="J1872">GetLongitude(D1872)</f>
        <v>125895235</v>
      </c>
      <c r="K1872" s="1">
        <f t="shared" si="88"/>
        <v>55.679788500000001</v>
      </c>
      <c r="L1872" s="1">
        <f t="shared" si="89"/>
        <v>12.5895235</v>
      </c>
    </row>
    <row r="1873" spans="1:12" ht="16" x14ac:dyDescent="0.2">
      <c r="A1873" s="1">
        <v>1872</v>
      </c>
      <c r="B1873" s="1" t="s">
        <v>3980</v>
      </c>
      <c r="C1873" s="1" t="s">
        <v>5636</v>
      </c>
      <c r="D1873" s="1" t="str">
        <f t="shared" si="87"/>
        <v>København KommuneNyhavn 11</v>
      </c>
      <c r="E1873" s="1" t="s">
        <v>5637</v>
      </c>
      <c r="F1873" s="1" t="s">
        <v>5638</v>
      </c>
      <c r="G1873" s="1">
        <v>1932</v>
      </c>
      <c r="H1873" s="1" t="s">
        <v>15</v>
      </c>
      <c r="I1873" s="6" cm="1">
        <f t="array" ref="I1873">GetLatitude(D1873)</f>
        <v>556806338</v>
      </c>
      <c r="J1873" s="1" cm="1">
        <f t="array" ref="J1873">GetLongitude(D1873)</f>
        <v>125887820</v>
      </c>
      <c r="K1873" s="1">
        <f t="shared" si="88"/>
        <v>55.680633800000003</v>
      </c>
      <c r="L1873" s="1">
        <f t="shared" si="89"/>
        <v>12.588782</v>
      </c>
    </row>
    <row r="1874" spans="1:12" ht="16" x14ac:dyDescent="0.2">
      <c r="A1874" s="1">
        <v>1873</v>
      </c>
      <c r="B1874" s="1" t="s">
        <v>3980</v>
      </c>
      <c r="C1874" s="1" t="s">
        <v>5639</v>
      </c>
      <c r="D1874" s="1" t="str">
        <f t="shared" si="87"/>
        <v>København KommuneNyhavn 13</v>
      </c>
      <c r="E1874" s="1" t="s">
        <v>5640</v>
      </c>
      <c r="F1874" s="1" t="s">
        <v>5641</v>
      </c>
      <c r="G1874" s="1">
        <v>1945</v>
      </c>
      <c r="H1874" s="1" t="s">
        <v>15</v>
      </c>
      <c r="I1874" s="6" cm="1">
        <f t="array" ref="I1874">GetLatitude(D1874)</f>
        <v>556806119</v>
      </c>
      <c r="J1874" s="1" cm="1">
        <f t="array" ref="J1874">GetLongitude(D1874)</f>
        <v>125888866</v>
      </c>
      <c r="K1874" s="1">
        <f t="shared" si="88"/>
        <v>55.680611900000002</v>
      </c>
      <c r="L1874" s="1">
        <f t="shared" si="89"/>
        <v>12.5888866</v>
      </c>
    </row>
    <row r="1875" spans="1:12" ht="16" x14ac:dyDescent="0.2">
      <c r="A1875" s="1">
        <v>1874</v>
      </c>
      <c r="B1875" s="1" t="s">
        <v>3980</v>
      </c>
      <c r="C1875" s="1" t="s">
        <v>11402</v>
      </c>
      <c r="D1875" s="1" t="str">
        <f t="shared" si="87"/>
        <v>København KommuneNyhavn 14</v>
      </c>
      <c r="E1875" s="1" t="s">
        <v>5643</v>
      </c>
      <c r="F1875" s="1" t="s">
        <v>5644</v>
      </c>
      <c r="G1875" s="1">
        <v>1918</v>
      </c>
      <c r="H1875" s="1"/>
      <c r="I1875" s="6" cm="1">
        <f t="array" ref="I1875">GetLatitude(D1875)</f>
        <v>556796376</v>
      </c>
      <c r="J1875" s="1" cm="1">
        <f t="array" ref="J1875">GetLongitude(D1875)</f>
        <v>125898824</v>
      </c>
      <c r="K1875" s="1">
        <f t="shared" si="88"/>
        <v>55.6796376</v>
      </c>
      <c r="L1875" s="1">
        <f t="shared" si="89"/>
        <v>12.5898824</v>
      </c>
    </row>
    <row r="1876" spans="1:12" ht="16" x14ac:dyDescent="0.2">
      <c r="A1876" s="1">
        <v>1875</v>
      </c>
      <c r="B1876" s="1" t="s">
        <v>3980</v>
      </c>
      <c r="C1876" s="1" t="s">
        <v>5642</v>
      </c>
      <c r="D1876" s="1" t="str">
        <f t="shared" si="87"/>
        <v>København KommuneNyhavn 14-16</v>
      </c>
      <c r="E1876" s="1" t="s">
        <v>5643</v>
      </c>
      <c r="F1876" s="1" t="s">
        <v>5644</v>
      </c>
      <c r="G1876" s="1">
        <v>1924</v>
      </c>
      <c r="H1876" s="1" t="s">
        <v>11</v>
      </c>
      <c r="I1876" s="6" cm="1">
        <f t="array" ref="I1876">GetLatitude(D1876)</f>
        <v>556796376</v>
      </c>
      <c r="J1876" s="1" cm="1">
        <f t="array" ref="J1876">GetLongitude(D1876)</f>
        <v>125898824</v>
      </c>
      <c r="K1876" s="1">
        <f t="shared" si="88"/>
        <v>55.6796376</v>
      </c>
      <c r="L1876" s="1">
        <f t="shared" si="89"/>
        <v>12.5898824</v>
      </c>
    </row>
    <row r="1877" spans="1:12" ht="16" x14ac:dyDescent="0.2">
      <c r="A1877" s="1">
        <v>1876</v>
      </c>
      <c r="B1877" s="1" t="s">
        <v>3980</v>
      </c>
      <c r="C1877" s="1" t="s">
        <v>5645</v>
      </c>
      <c r="D1877" s="1" t="str">
        <f t="shared" si="87"/>
        <v>København KommuneNyhavn 15</v>
      </c>
      <c r="E1877" s="1" t="s">
        <v>5646</v>
      </c>
      <c r="F1877" s="1" t="s">
        <v>5647</v>
      </c>
      <c r="G1877" s="1">
        <v>1945</v>
      </c>
      <c r="H1877" s="1" t="s">
        <v>11</v>
      </c>
      <c r="I1877" s="6" cm="1">
        <f t="array" ref="I1877">GetLatitude(D1877)</f>
        <v>556805779</v>
      </c>
      <c r="J1877" s="1" cm="1">
        <f t="array" ref="J1877">GetLongitude(D1877)</f>
        <v>125890018</v>
      </c>
      <c r="K1877" s="1">
        <f t="shared" si="88"/>
        <v>55.680577900000003</v>
      </c>
      <c r="L1877" s="1">
        <f t="shared" si="89"/>
        <v>12.5890018</v>
      </c>
    </row>
    <row r="1878" spans="1:12" ht="16" x14ac:dyDescent="0.2">
      <c r="A1878" s="1">
        <v>1877</v>
      </c>
      <c r="B1878" s="1" t="s">
        <v>3980</v>
      </c>
      <c r="C1878" s="1" t="s">
        <v>5648</v>
      </c>
      <c r="D1878" s="1" t="str">
        <f t="shared" si="87"/>
        <v>København KommuneNyhavn 17, hj af Lille Strandstræde</v>
      </c>
      <c r="E1878" s="1" t="s">
        <v>5649</v>
      </c>
      <c r="F1878" s="1" t="s">
        <v>5650</v>
      </c>
      <c r="G1878" s="1">
        <v>1951</v>
      </c>
      <c r="H1878" s="1" t="s">
        <v>11</v>
      </c>
      <c r="I1878" s="6" cm="1">
        <f t="array" ref="I1878">GetLatitude(D1878)</f>
        <v>556809939</v>
      </c>
      <c r="J1878" s="1" cm="1">
        <f t="array" ref="J1878">GetLongitude(D1878)</f>
        <v>125898542</v>
      </c>
      <c r="K1878" s="1">
        <f t="shared" si="88"/>
        <v>55.680993899999997</v>
      </c>
      <c r="L1878" s="1">
        <f t="shared" si="89"/>
        <v>12.5898542</v>
      </c>
    </row>
    <row r="1879" spans="1:12" ht="16" x14ac:dyDescent="0.2">
      <c r="A1879" s="1">
        <v>1878</v>
      </c>
      <c r="B1879" s="1" t="s">
        <v>3980</v>
      </c>
      <c r="C1879" s="1" t="s">
        <v>5651</v>
      </c>
      <c r="D1879" s="1" t="str">
        <f t="shared" si="87"/>
        <v>København KommuneNyhavn 18</v>
      </c>
      <c r="E1879" s="1" t="s">
        <v>5652</v>
      </c>
      <c r="F1879" s="1" t="s">
        <v>5653</v>
      </c>
      <c r="G1879" s="1">
        <v>1932</v>
      </c>
      <c r="H1879" s="1" t="s">
        <v>11</v>
      </c>
      <c r="I1879" s="6" cm="1">
        <f t="array" ref="I1879">GetLatitude(D1879)</f>
        <v>556795080</v>
      </c>
      <c r="J1879" s="1" cm="1">
        <f t="array" ref="J1879">GetLongitude(D1879)</f>
        <v>125902805</v>
      </c>
      <c r="K1879" s="1">
        <f t="shared" si="88"/>
        <v>55.679507999999998</v>
      </c>
      <c r="L1879" s="1">
        <f t="shared" si="89"/>
        <v>12.5902805</v>
      </c>
    </row>
    <row r="1880" spans="1:12" ht="16" x14ac:dyDescent="0.2">
      <c r="A1880" s="1">
        <v>1879</v>
      </c>
      <c r="B1880" s="1" t="s">
        <v>3980</v>
      </c>
      <c r="C1880" s="1" t="s">
        <v>5654</v>
      </c>
      <c r="D1880" s="1" t="str">
        <f t="shared" si="87"/>
        <v>København KommuneNyhavn 19, hj af Lille Strandstræde</v>
      </c>
      <c r="E1880" s="1" t="s">
        <v>5655</v>
      </c>
      <c r="F1880" s="1" t="s">
        <v>5656</v>
      </c>
      <c r="G1880" s="1">
        <v>1973</v>
      </c>
      <c r="H1880" s="1" t="s">
        <v>11</v>
      </c>
      <c r="I1880" s="6" cm="1">
        <f t="array" ref="I1880">GetLatitude(D1880)</f>
        <v>556809939</v>
      </c>
      <c r="J1880" s="1" cm="1">
        <f t="array" ref="J1880">GetLongitude(D1880)</f>
        <v>125898542</v>
      </c>
      <c r="K1880" s="1">
        <f t="shared" si="88"/>
        <v>55.680993899999997</v>
      </c>
      <c r="L1880" s="1">
        <f t="shared" si="89"/>
        <v>12.5898542</v>
      </c>
    </row>
    <row r="1881" spans="1:12" ht="16" x14ac:dyDescent="0.2">
      <c r="A1881" s="1">
        <v>1880</v>
      </c>
      <c r="B1881" s="1" t="s">
        <v>3980</v>
      </c>
      <c r="C1881" s="1" t="s">
        <v>5657</v>
      </c>
      <c r="D1881" s="1" t="str">
        <f t="shared" si="87"/>
        <v>København KommuneNyhavn 2</v>
      </c>
      <c r="E1881" s="1" t="s">
        <v>5658</v>
      </c>
      <c r="F1881" s="1" t="s">
        <v>5659</v>
      </c>
      <c r="G1881" s="1">
        <v>1988</v>
      </c>
      <c r="H1881" s="1" t="s">
        <v>5549</v>
      </c>
      <c r="I1881" s="6" cm="1">
        <f t="array" ref="I1881">GetLatitude(D1881)</f>
        <v>556798241</v>
      </c>
      <c r="J1881" s="1" cm="1">
        <f t="array" ref="J1881">GetLongitude(D1881)</f>
        <v>125883004</v>
      </c>
      <c r="K1881" s="1">
        <f t="shared" si="88"/>
        <v>55.679824099999998</v>
      </c>
      <c r="L1881" s="1">
        <f t="shared" si="89"/>
        <v>12.5883004</v>
      </c>
    </row>
    <row r="1882" spans="1:12" ht="16" x14ac:dyDescent="0.2">
      <c r="A1882" s="1">
        <v>1881</v>
      </c>
      <c r="B1882" s="1" t="s">
        <v>3980</v>
      </c>
      <c r="C1882" s="1" t="s">
        <v>5660</v>
      </c>
      <c r="D1882" s="1" t="str">
        <f t="shared" si="87"/>
        <v>København KommuneNyhavn 20</v>
      </c>
      <c r="E1882" s="1" t="s">
        <v>5661</v>
      </c>
      <c r="F1882" s="1" t="s">
        <v>5662</v>
      </c>
      <c r="G1882" s="1">
        <v>1918</v>
      </c>
      <c r="H1882" s="1" t="s">
        <v>701</v>
      </c>
      <c r="I1882" s="6" cm="1">
        <f t="array" ref="I1882">GetLatitude(D1882)</f>
        <v>556795386</v>
      </c>
      <c r="J1882" s="1" cm="1">
        <f t="array" ref="J1882">GetLongitude(D1882)</f>
        <v>125904606</v>
      </c>
      <c r="K1882" s="1">
        <f t="shared" si="88"/>
        <v>55.679538600000001</v>
      </c>
      <c r="L1882" s="1">
        <f t="shared" si="89"/>
        <v>12.5904606</v>
      </c>
    </row>
    <row r="1883" spans="1:12" ht="16" x14ac:dyDescent="0.2">
      <c r="A1883" s="1">
        <v>1882</v>
      </c>
      <c r="B1883" s="1" t="s">
        <v>3980</v>
      </c>
      <c r="C1883" s="1" t="s">
        <v>5663</v>
      </c>
      <c r="D1883" s="1" t="str">
        <f t="shared" si="87"/>
        <v>København KommuneNyhavn 21 og Lille Strandstræde 4</v>
      </c>
      <c r="E1883" s="1" t="s">
        <v>5664</v>
      </c>
      <c r="F1883" s="1" t="s">
        <v>5665</v>
      </c>
      <c r="G1883" s="1">
        <v>1945</v>
      </c>
      <c r="H1883" s="1" t="s">
        <v>11</v>
      </c>
      <c r="I1883" s="6" cm="1">
        <f t="array" ref="I1883">GetLatitude(D1883)</f>
        <v>556814628</v>
      </c>
      <c r="J1883" s="1" cm="1">
        <f t="array" ref="J1883">GetLongitude(D1883)</f>
        <v>125902979</v>
      </c>
      <c r="K1883" s="1">
        <f t="shared" si="88"/>
        <v>55.681462799999998</v>
      </c>
      <c r="L1883" s="1">
        <f t="shared" si="89"/>
        <v>12.590297899999999</v>
      </c>
    </row>
    <row r="1884" spans="1:12" ht="16" x14ac:dyDescent="0.2">
      <c r="A1884" s="1">
        <v>1883</v>
      </c>
      <c r="B1884" s="1" t="s">
        <v>3980</v>
      </c>
      <c r="C1884" s="1" t="s">
        <v>5666</v>
      </c>
      <c r="D1884" s="1" t="str">
        <f t="shared" si="87"/>
        <v>København KommuneNyhavn 23</v>
      </c>
      <c r="E1884" s="1" t="s">
        <v>5667</v>
      </c>
      <c r="F1884" s="1" t="s">
        <v>5668</v>
      </c>
      <c r="G1884" s="1">
        <v>1918</v>
      </c>
      <c r="H1884" s="1" t="s">
        <v>11</v>
      </c>
      <c r="I1884" s="6" cm="1">
        <f t="array" ref="I1884">GetLatitude(D1884)</f>
        <v>556803980</v>
      </c>
      <c r="J1884" s="1" cm="1">
        <f t="array" ref="J1884">GetLongitude(D1884)</f>
        <v>125896717</v>
      </c>
      <c r="K1884" s="1">
        <f t="shared" si="88"/>
        <v>55.680397999999997</v>
      </c>
      <c r="L1884" s="1">
        <f t="shared" si="89"/>
        <v>12.5896717</v>
      </c>
    </row>
    <row r="1885" spans="1:12" ht="16" x14ac:dyDescent="0.2">
      <c r="A1885" s="1">
        <v>1884</v>
      </c>
      <c r="B1885" s="1" t="s">
        <v>3980</v>
      </c>
      <c r="C1885" s="1" t="s">
        <v>5669</v>
      </c>
      <c r="D1885" s="1" t="str">
        <f t="shared" si="87"/>
        <v>København KommuneNyhavn 25</v>
      </c>
      <c r="E1885" s="1" t="s">
        <v>5670</v>
      </c>
      <c r="F1885" s="1" t="s">
        <v>5671</v>
      </c>
      <c r="G1885" s="1">
        <v>1945</v>
      </c>
      <c r="H1885" s="1" t="s">
        <v>11</v>
      </c>
      <c r="I1885" s="6" cm="1">
        <f t="array" ref="I1885">GetLatitude(D1885)</f>
        <v>556803366</v>
      </c>
      <c r="J1885" s="1" cm="1">
        <f t="array" ref="J1885">GetLongitude(D1885)</f>
        <v>125898385</v>
      </c>
      <c r="K1885" s="1">
        <f t="shared" si="88"/>
        <v>55.680336599999997</v>
      </c>
      <c r="L1885" s="1">
        <f t="shared" si="89"/>
        <v>12.589838500000001</v>
      </c>
    </row>
    <row r="1886" spans="1:12" ht="16" x14ac:dyDescent="0.2">
      <c r="A1886" s="1">
        <v>1885</v>
      </c>
      <c r="B1886" s="1" t="s">
        <v>3980</v>
      </c>
      <c r="C1886" s="1" t="s">
        <v>5672</v>
      </c>
      <c r="D1886" s="1" t="str">
        <f t="shared" si="87"/>
        <v>København KommuneNyhavn 27</v>
      </c>
      <c r="E1886" s="1" t="s">
        <v>5673</v>
      </c>
      <c r="F1886" s="1" t="s">
        <v>5674</v>
      </c>
      <c r="G1886" s="1">
        <v>1945</v>
      </c>
      <c r="H1886" s="1" t="s">
        <v>11</v>
      </c>
      <c r="I1886" s="6" cm="1">
        <f t="array" ref="I1886">GetLatitude(D1886)</f>
        <v>556803421</v>
      </c>
      <c r="J1886" s="1" cm="1">
        <f t="array" ref="J1886">GetLongitude(D1886)</f>
        <v>125898915</v>
      </c>
      <c r="K1886" s="1">
        <f t="shared" si="88"/>
        <v>55.680342099999997</v>
      </c>
      <c r="L1886" s="1">
        <f t="shared" si="89"/>
        <v>12.5898915</v>
      </c>
    </row>
    <row r="1887" spans="1:12" ht="16" x14ac:dyDescent="0.2">
      <c r="A1887" s="1">
        <v>1886</v>
      </c>
      <c r="B1887" s="1" t="s">
        <v>3980</v>
      </c>
      <c r="C1887" s="1" t="s">
        <v>5675</v>
      </c>
      <c r="D1887" s="1" t="str">
        <f t="shared" si="87"/>
        <v>København KommuneNyhavn 29</v>
      </c>
      <c r="E1887" s="1" t="s">
        <v>5676</v>
      </c>
      <c r="F1887" s="1" t="s">
        <v>5677</v>
      </c>
      <c r="G1887" s="1">
        <v>1945</v>
      </c>
      <c r="H1887" s="1" t="s">
        <v>11</v>
      </c>
      <c r="I1887" s="6" cm="1">
        <f t="array" ref="I1887">GetLatitude(D1887)</f>
        <v>556802805</v>
      </c>
      <c r="J1887" s="1" cm="1">
        <f t="array" ref="J1887">GetLongitude(D1887)</f>
        <v>125900592</v>
      </c>
      <c r="K1887" s="1">
        <f t="shared" si="88"/>
        <v>55.680280500000002</v>
      </c>
      <c r="L1887" s="1">
        <f t="shared" si="89"/>
        <v>12.590059200000001</v>
      </c>
    </row>
    <row r="1888" spans="1:12" ht="16" x14ac:dyDescent="0.2">
      <c r="A1888" s="1">
        <v>1887</v>
      </c>
      <c r="B1888" s="1" t="s">
        <v>3980</v>
      </c>
      <c r="C1888" s="1" t="s">
        <v>5678</v>
      </c>
      <c r="D1888" s="1" t="str">
        <f t="shared" si="87"/>
        <v>København KommuneNyhavn 3</v>
      </c>
      <c r="E1888" s="1" t="s">
        <v>5679</v>
      </c>
      <c r="F1888" s="1" t="s">
        <v>5680</v>
      </c>
      <c r="G1888" s="1">
        <v>1945</v>
      </c>
      <c r="H1888" s="1" t="s">
        <v>4663</v>
      </c>
      <c r="I1888" s="6" cm="1">
        <f t="array" ref="I1888">GetLatitude(D1888)</f>
        <v>556807670</v>
      </c>
      <c r="J1888" s="1" cm="1">
        <f t="array" ref="J1888">GetLongitude(D1888)</f>
        <v>125882441</v>
      </c>
      <c r="K1888" s="1">
        <f t="shared" si="88"/>
        <v>55.680767000000003</v>
      </c>
      <c r="L1888" s="1">
        <f t="shared" si="89"/>
        <v>12.588244100000001</v>
      </c>
    </row>
    <row r="1889" spans="1:12" ht="16" x14ac:dyDescent="0.2">
      <c r="A1889" s="1">
        <v>1888</v>
      </c>
      <c r="B1889" s="1" t="s">
        <v>3980</v>
      </c>
      <c r="C1889" s="1" t="s">
        <v>5681</v>
      </c>
      <c r="D1889" s="1" t="str">
        <f t="shared" si="87"/>
        <v>København KommuneNyhavn 31</v>
      </c>
      <c r="E1889" s="1" t="s">
        <v>5682</v>
      </c>
      <c r="F1889" s="1" t="s">
        <v>5683</v>
      </c>
      <c r="G1889" s="1">
        <v>1945</v>
      </c>
      <c r="H1889" s="1" t="s">
        <v>2620</v>
      </c>
      <c r="I1889" s="6" cm="1">
        <f t="array" ref="I1889">GetLatitude(D1889)</f>
        <v>556802182</v>
      </c>
      <c r="J1889" s="1" cm="1">
        <f t="array" ref="J1889">GetLongitude(D1889)</f>
        <v>125902059</v>
      </c>
      <c r="K1889" s="1">
        <f t="shared" si="88"/>
        <v>55.680218199999999</v>
      </c>
      <c r="L1889" s="1">
        <f t="shared" si="89"/>
        <v>12.590205900000001</v>
      </c>
    </row>
    <row r="1890" spans="1:12" ht="16" x14ac:dyDescent="0.2">
      <c r="A1890" s="1">
        <v>1889</v>
      </c>
      <c r="B1890" s="1" t="s">
        <v>3980</v>
      </c>
      <c r="C1890" s="1" t="s">
        <v>5684</v>
      </c>
      <c r="D1890" s="1" t="str">
        <f t="shared" si="87"/>
        <v>København KommuneNyhavn 33</v>
      </c>
      <c r="E1890" s="1" t="s">
        <v>5685</v>
      </c>
      <c r="F1890" s="1" t="s">
        <v>5686</v>
      </c>
      <c r="G1890" s="1">
        <v>1945</v>
      </c>
      <c r="H1890" s="1" t="s">
        <v>5687</v>
      </c>
      <c r="I1890" s="6" cm="1">
        <f t="array" ref="I1890">GetLatitude(D1890)</f>
        <v>556802125</v>
      </c>
      <c r="J1890" s="1" cm="1">
        <f t="array" ref="J1890">GetLongitude(D1890)</f>
        <v>125902896</v>
      </c>
      <c r="K1890" s="1">
        <f t="shared" si="88"/>
        <v>55.680212500000003</v>
      </c>
      <c r="L1890" s="1">
        <f t="shared" si="89"/>
        <v>12.5902896</v>
      </c>
    </row>
    <row r="1891" spans="1:12" ht="16" x14ac:dyDescent="0.2">
      <c r="A1891" s="1">
        <v>1890</v>
      </c>
      <c r="B1891" s="1" t="s">
        <v>3980</v>
      </c>
      <c r="C1891" s="1" t="s">
        <v>5688</v>
      </c>
      <c r="D1891" s="1" t="str">
        <f t="shared" si="87"/>
        <v>København KommuneNyhavn 35</v>
      </c>
      <c r="E1891" s="1" t="s">
        <v>5689</v>
      </c>
      <c r="F1891" s="1" t="s">
        <v>5690</v>
      </c>
      <c r="G1891" s="1">
        <v>1945</v>
      </c>
      <c r="H1891" s="1" t="s">
        <v>2620</v>
      </c>
      <c r="I1891" s="6" cm="1">
        <f t="array" ref="I1891">GetLatitude(D1891)</f>
        <v>556801994</v>
      </c>
      <c r="J1891" s="1" cm="1">
        <f t="array" ref="J1891">GetLongitude(D1891)</f>
        <v>125904149</v>
      </c>
      <c r="K1891" s="1">
        <f t="shared" si="88"/>
        <v>55.680199399999999</v>
      </c>
      <c r="L1891" s="1">
        <f t="shared" si="89"/>
        <v>12.590414900000001</v>
      </c>
    </row>
    <row r="1892" spans="1:12" ht="16" x14ac:dyDescent="0.2">
      <c r="A1892" s="1">
        <v>1891</v>
      </c>
      <c r="B1892" s="1" t="s">
        <v>3980</v>
      </c>
      <c r="C1892" s="1" t="s">
        <v>5691</v>
      </c>
      <c r="D1892" s="1" t="str">
        <f t="shared" si="87"/>
        <v>København KommuneNyhavn 37</v>
      </c>
      <c r="E1892" s="1" t="s">
        <v>5692</v>
      </c>
      <c r="F1892" s="1" t="s">
        <v>5693</v>
      </c>
      <c r="G1892" s="1">
        <v>1923</v>
      </c>
      <c r="H1892" s="1" t="s">
        <v>11</v>
      </c>
      <c r="I1892" s="6" cm="1">
        <f t="array" ref="I1892">GetLatitude(D1892)</f>
        <v>556801533</v>
      </c>
      <c r="J1892" s="1" cm="1">
        <f t="array" ref="J1892">GetLongitude(D1892)</f>
        <v>125905407</v>
      </c>
      <c r="K1892" s="1">
        <f t="shared" si="88"/>
        <v>55.680153300000001</v>
      </c>
      <c r="L1892" s="1">
        <f t="shared" si="89"/>
        <v>12.5905407</v>
      </c>
    </row>
    <row r="1893" spans="1:12" ht="16" x14ac:dyDescent="0.2">
      <c r="A1893" s="1">
        <v>1892</v>
      </c>
      <c r="B1893" s="1" t="s">
        <v>3980</v>
      </c>
      <c r="C1893" s="1" t="s">
        <v>5694</v>
      </c>
      <c r="D1893" s="1" t="str">
        <f t="shared" si="87"/>
        <v>København KommuneNyhavn 39</v>
      </c>
      <c r="E1893" s="1" t="s">
        <v>5695</v>
      </c>
      <c r="F1893" s="1" t="s">
        <v>5696</v>
      </c>
      <c r="G1893" s="1">
        <v>1945</v>
      </c>
      <c r="H1893" s="1" t="s">
        <v>15</v>
      </c>
      <c r="I1893" s="6" cm="1">
        <f t="array" ref="I1893">GetLatitude(D1893)</f>
        <v>556801370</v>
      </c>
      <c r="J1893" s="1" cm="1">
        <f t="array" ref="J1893">GetLongitude(D1893)</f>
        <v>125906973</v>
      </c>
      <c r="K1893" s="1">
        <f t="shared" si="88"/>
        <v>55.680137000000002</v>
      </c>
      <c r="L1893" s="1">
        <f t="shared" si="89"/>
        <v>12.5906973</v>
      </c>
    </row>
    <row r="1894" spans="1:12" ht="16" x14ac:dyDescent="0.2">
      <c r="A1894" s="1">
        <v>1893</v>
      </c>
      <c r="B1894" s="1" t="s">
        <v>3980</v>
      </c>
      <c r="C1894" s="1" t="s">
        <v>5697</v>
      </c>
      <c r="D1894" s="1" t="str">
        <f t="shared" si="87"/>
        <v>København KommuneNyhavn 41</v>
      </c>
      <c r="E1894" s="1" t="s">
        <v>5698</v>
      </c>
      <c r="F1894" s="1" t="s">
        <v>5699</v>
      </c>
      <c r="G1894" s="1">
        <v>1918</v>
      </c>
      <c r="H1894" s="1" t="s">
        <v>2323</v>
      </c>
      <c r="I1894" s="6" cm="1">
        <f t="array" ref="I1894">GetLatitude(D1894)</f>
        <v>556801119</v>
      </c>
      <c r="J1894" s="1" cm="1">
        <f t="array" ref="J1894">GetLongitude(D1894)</f>
        <v>125908332</v>
      </c>
      <c r="K1894" s="1">
        <f t="shared" si="88"/>
        <v>55.6801119</v>
      </c>
      <c r="L1894" s="1">
        <f t="shared" si="89"/>
        <v>12.590833200000001</v>
      </c>
    </row>
    <row r="1895" spans="1:12" ht="16" x14ac:dyDescent="0.2">
      <c r="A1895" s="1">
        <v>1894</v>
      </c>
      <c r="B1895" s="1" t="s">
        <v>3980</v>
      </c>
      <c r="C1895" s="1" t="s">
        <v>5700</v>
      </c>
      <c r="D1895" s="1" t="str">
        <f t="shared" si="87"/>
        <v>København KommuneNyhavn 43</v>
      </c>
      <c r="E1895" s="1" t="s">
        <v>5701</v>
      </c>
      <c r="F1895" s="1" t="s">
        <v>5702</v>
      </c>
      <c r="G1895" s="1">
        <v>1945</v>
      </c>
      <c r="H1895" s="1" t="s">
        <v>11</v>
      </c>
      <c r="I1895" s="6" cm="1">
        <f t="array" ref="I1895">GetLatitude(D1895)</f>
        <v>556800425</v>
      </c>
      <c r="J1895" s="1" cm="1">
        <f t="array" ref="J1895">GetLongitude(D1895)</f>
        <v>125909869</v>
      </c>
      <c r="K1895" s="1">
        <f t="shared" si="88"/>
        <v>55.680042499999999</v>
      </c>
      <c r="L1895" s="1">
        <f t="shared" si="89"/>
        <v>12.590986900000001</v>
      </c>
    </row>
    <row r="1896" spans="1:12" ht="16" x14ac:dyDescent="0.2">
      <c r="A1896" s="1">
        <v>1895</v>
      </c>
      <c r="B1896" s="1" t="s">
        <v>3980</v>
      </c>
      <c r="C1896" s="1" t="s">
        <v>5703</v>
      </c>
      <c r="D1896" s="1" t="str">
        <f t="shared" si="87"/>
        <v>København KommuneNyhavn 45</v>
      </c>
      <c r="E1896" s="1" t="s">
        <v>5704</v>
      </c>
      <c r="F1896" s="1" t="s">
        <v>5705</v>
      </c>
      <c r="G1896" s="1">
        <v>1945</v>
      </c>
      <c r="H1896" s="1" t="s">
        <v>4663</v>
      </c>
      <c r="I1896" s="6" cm="1">
        <f t="array" ref="I1896">GetLatitude(D1896)</f>
        <v>556800373</v>
      </c>
      <c r="J1896" s="1" cm="1">
        <f t="array" ref="J1896">GetLongitude(D1896)</f>
        <v>125911262</v>
      </c>
      <c r="K1896" s="1">
        <f t="shared" si="88"/>
        <v>55.680037300000002</v>
      </c>
      <c r="L1896" s="1">
        <f t="shared" si="89"/>
        <v>12.5911262</v>
      </c>
    </row>
    <row r="1897" spans="1:12" ht="16" x14ac:dyDescent="0.2">
      <c r="A1897" s="1">
        <v>1896</v>
      </c>
      <c r="B1897" s="1" t="s">
        <v>3980</v>
      </c>
      <c r="C1897" s="1" t="s">
        <v>5706</v>
      </c>
      <c r="D1897" s="1" t="str">
        <f t="shared" si="87"/>
        <v>København KommuneNyhavn 47, hj af Toldbodgade</v>
      </c>
      <c r="E1897" s="1" t="s">
        <v>5707</v>
      </c>
      <c r="F1897" s="1" t="s">
        <v>5708</v>
      </c>
      <c r="G1897" s="1">
        <v>1932</v>
      </c>
      <c r="H1897" s="1" t="s">
        <v>11</v>
      </c>
      <c r="I1897" s="6" cm="1">
        <f t="array" ref="I1897">GetLatitude(D1897)</f>
        <v>556799342</v>
      </c>
      <c r="J1897" s="1" cm="1">
        <f t="array" ref="J1897">GetLongitude(D1897)</f>
        <v>125913320</v>
      </c>
      <c r="K1897" s="1">
        <f t="shared" si="88"/>
        <v>55.679934199999998</v>
      </c>
      <c r="L1897" s="1">
        <f t="shared" si="89"/>
        <v>12.591332</v>
      </c>
    </row>
    <row r="1898" spans="1:12" ht="16" x14ac:dyDescent="0.2">
      <c r="A1898" s="1">
        <v>1897</v>
      </c>
      <c r="B1898" s="1" t="s">
        <v>3980</v>
      </c>
      <c r="C1898" s="1" t="s">
        <v>5709</v>
      </c>
      <c r="D1898" s="1" t="str">
        <f t="shared" si="87"/>
        <v>København KommuneNyhavn 49, hj af Toldbodgade</v>
      </c>
      <c r="E1898" s="1" t="s">
        <v>5710</v>
      </c>
      <c r="F1898" s="1" t="s">
        <v>5711</v>
      </c>
      <c r="G1898" s="1">
        <v>1932</v>
      </c>
      <c r="H1898" s="1" t="s">
        <v>11</v>
      </c>
      <c r="I1898" s="6" cm="1">
        <f t="array" ref="I1898">GetLatitude(D1898)</f>
        <v>556829687</v>
      </c>
      <c r="J1898" s="1" cm="1">
        <f t="array" ref="J1898">GetLongitude(D1898)</f>
        <v>125940710</v>
      </c>
      <c r="K1898" s="1">
        <f t="shared" si="88"/>
        <v>55.682968700000004</v>
      </c>
      <c r="L1898" s="1">
        <f t="shared" si="89"/>
        <v>12.594071</v>
      </c>
    </row>
    <row r="1899" spans="1:12" ht="16" x14ac:dyDescent="0.2">
      <c r="A1899" s="1">
        <v>1898</v>
      </c>
      <c r="B1899" s="1" t="s">
        <v>3980</v>
      </c>
      <c r="C1899" s="1" t="s">
        <v>5712</v>
      </c>
      <c r="D1899" s="1" t="str">
        <f t="shared" si="87"/>
        <v>København KommuneNyhavn 5</v>
      </c>
      <c r="E1899" s="1" t="s">
        <v>5713</v>
      </c>
      <c r="F1899" s="1" t="s">
        <v>5714</v>
      </c>
      <c r="G1899" s="1">
        <v>1945</v>
      </c>
      <c r="H1899" s="1" t="s">
        <v>11</v>
      </c>
      <c r="I1899" s="6" cm="1">
        <f t="array" ref="I1899">GetLatitude(D1899)</f>
        <v>556807729</v>
      </c>
      <c r="J1899" s="1" cm="1">
        <f t="array" ref="J1899">GetLongitude(D1899)</f>
        <v>125883875</v>
      </c>
      <c r="K1899" s="1">
        <f t="shared" si="88"/>
        <v>55.680772900000001</v>
      </c>
      <c r="L1899" s="1">
        <f t="shared" si="89"/>
        <v>12.5883875</v>
      </c>
    </row>
    <row r="1900" spans="1:12" ht="16" x14ac:dyDescent="0.2">
      <c r="A1900" s="1">
        <v>1899</v>
      </c>
      <c r="B1900" s="1" t="s">
        <v>3980</v>
      </c>
      <c r="C1900" s="1" t="s">
        <v>5715</v>
      </c>
      <c r="D1900" s="1" t="str">
        <f t="shared" si="87"/>
        <v>København KommuneNyhavn 51</v>
      </c>
      <c r="E1900" s="1" t="s">
        <v>5716</v>
      </c>
      <c r="F1900" s="1" t="s">
        <v>5717</v>
      </c>
      <c r="G1900" s="1">
        <v>1918</v>
      </c>
      <c r="H1900" s="1" t="s">
        <v>11</v>
      </c>
      <c r="I1900" s="6" cm="1">
        <f t="array" ref="I1900">GetLatitude(D1900)</f>
        <v>556797932</v>
      </c>
      <c r="J1900" s="1" cm="1">
        <f t="array" ref="J1900">GetLongitude(D1900)</f>
        <v>125918531</v>
      </c>
      <c r="K1900" s="1">
        <f t="shared" si="88"/>
        <v>55.679793199999999</v>
      </c>
      <c r="L1900" s="1">
        <f t="shared" si="89"/>
        <v>12.5918531</v>
      </c>
    </row>
    <row r="1901" spans="1:12" ht="16" x14ac:dyDescent="0.2">
      <c r="A1901" s="1">
        <v>1900</v>
      </c>
      <c r="B1901" s="1" t="s">
        <v>3980</v>
      </c>
      <c r="C1901" s="1" t="s">
        <v>5718</v>
      </c>
      <c r="D1901" s="1" t="str">
        <f t="shared" si="87"/>
        <v>København KommuneNyhavn 53</v>
      </c>
      <c r="E1901" s="1" t="s">
        <v>5719</v>
      </c>
      <c r="F1901" s="1" t="s">
        <v>5720</v>
      </c>
      <c r="G1901" s="1">
        <v>1932</v>
      </c>
      <c r="H1901" s="1" t="s">
        <v>11</v>
      </c>
      <c r="I1901" s="6" cm="1">
        <f t="array" ref="I1901">GetLatitude(D1901)</f>
        <v>556797623</v>
      </c>
      <c r="J1901" s="1" cm="1">
        <f t="array" ref="J1901">GetLongitude(D1901)</f>
        <v>125919924</v>
      </c>
      <c r="K1901" s="1">
        <f t="shared" si="88"/>
        <v>55.6797623</v>
      </c>
      <c r="L1901" s="1">
        <f t="shared" si="89"/>
        <v>12.591992400000001</v>
      </c>
    </row>
    <row r="1902" spans="1:12" ht="16" x14ac:dyDescent="0.2">
      <c r="A1902" s="1">
        <v>1901</v>
      </c>
      <c r="B1902" s="1" t="s">
        <v>3980</v>
      </c>
      <c r="C1902" s="1" t="s">
        <v>5721</v>
      </c>
      <c r="D1902" s="1" t="str">
        <f t="shared" si="87"/>
        <v>København KommuneNyhavn 55</v>
      </c>
      <c r="E1902" s="1" t="s">
        <v>5722</v>
      </c>
      <c r="F1902" s="1" t="s">
        <v>5723</v>
      </c>
      <c r="G1902" s="1">
        <v>1945</v>
      </c>
      <c r="H1902" s="1" t="s">
        <v>11</v>
      </c>
      <c r="I1902" s="6" cm="1">
        <f t="array" ref="I1902">GetLatitude(D1902)</f>
        <v>556797221</v>
      </c>
      <c r="J1902" s="1" cm="1">
        <f t="array" ref="J1902">GetLongitude(D1902)</f>
        <v>125921318</v>
      </c>
      <c r="K1902" s="1">
        <f t="shared" si="88"/>
        <v>55.679722099999999</v>
      </c>
      <c r="L1902" s="1">
        <f t="shared" si="89"/>
        <v>12.592131800000001</v>
      </c>
    </row>
    <row r="1903" spans="1:12" ht="16" x14ac:dyDescent="0.2">
      <c r="A1903" s="1">
        <v>1902</v>
      </c>
      <c r="B1903" s="1" t="s">
        <v>3980</v>
      </c>
      <c r="C1903" s="1" t="s">
        <v>5724</v>
      </c>
      <c r="D1903" s="1" t="str">
        <f t="shared" si="87"/>
        <v>København KommuneNyhavn 57</v>
      </c>
      <c r="E1903" s="1" t="s">
        <v>5725</v>
      </c>
      <c r="F1903" s="1" t="s">
        <v>5726</v>
      </c>
      <c r="G1903" s="1">
        <v>1945</v>
      </c>
      <c r="H1903" s="1" t="s">
        <v>5727</v>
      </c>
      <c r="I1903" s="6" cm="1">
        <f t="array" ref="I1903">GetLatitude(D1903)</f>
        <v>556797010</v>
      </c>
      <c r="J1903" s="1" cm="1">
        <f t="array" ref="J1903">GetLongitude(D1903)</f>
        <v>125922084</v>
      </c>
      <c r="K1903" s="1">
        <f t="shared" si="88"/>
        <v>55.679701000000001</v>
      </c>
      <c r="L1903" s="1">
        <f t="shared" si="89"/>
        <v>12.592208400000001</v>
      </c>
    </row>
    <row r="1904" spans="1:12" ht="16" x14ac:dyDescent="0.2">
      <c r="A1904" s="1">
        <v>1903</v>
      </c>
      <c r="B1904" s="1" t="s">
        <v>3980</v>
      </c>
      <c r="C1904" s="1" t="s">
        <v>5728</v>
      </c>
      <c r="D1904" s="1" t="str">
        <f t="shared" si="87"/>
        <v>København KommuneNyhavn 59</v>
      </c>
      <c r="E1904" s="1" t="s">
        <v>5729</v>
      </c>
      <c r="F1904" s="1" t="s">
        <v>5730</v>
      </c>
      <c r="G1904" s="1">
        <v>1945</v>
      </c>
      <c r="H1904" s="1" t="s">
        <v>2323</v>
      </c>
      <c r="I1904" s="6" cm="1">
        <f t="array" ref="I1904">GetLatitude(D1904)</f>
        <v>556796812</v>
      </c>
      <c r="J1904" s="1" cm="1">
        <f t="array" ref="J1904">GetLongitude(D1904)</f>
        <v>125923018</v>
      </c>
      <c r="K1904" s="1">
        <f t="shared" si="88"/>
        <v>55.679681199999997</v>
      </c>
      <c r="L1904" s="1">
        <f t="shared" si="89"/>
        <v>12.5923018</v>
      </c>
    </row>
    <row r="1905" spans="1:12" ht="16" x14ac:dyDescent="0.2">
      <c r="A1905" s="1">
        <v>1904</v>
      </c>
      <c r="B1905" s="1" t="s">
        <v>3980</v>
      </c>
      <c r="C1905" s="1" t="s">
        <v>5731</v>
      </c>
      <c r="D1905" s="1" t="str">
        <f t="shared" si="87"/>
        <v>København KommuneNyhavn 6</v>
      </c>
      <c r="E1905" s="1" t="s">
        <v>5732</v>
      </c>
      <c r="F1905" s="1" t="s">
        <v>2759</v>
      </c>
      <c r="G1905" s="1">
        <v>1950</v>
      </c>
      <c r="H1905" s="1" t="s">
        <v>11</v>
      </c>
      <c r="I1905" s="6" cm="1">
        <f t="array" ref="I1905">GetLatitude(D1905)</f>
        <v>556798287</v>
      </c>
      <c r="J1905" s="1" cm="1">
        <f t="array" ref="J1905">GetLongitude(D1905)</f>
        <v>125893165</v>
      </c>
      <c r="K1905" s="1">
        <f t="shared" si="88"/>
        <v>55.679828700000002</v>
      </c>
      <c r="L1905" s="1">
        <f t="shared" si="89"/>
        <v>12.589316500000001</v>
      </c>
    </row>
    <row r="1906" spans="1:12" ht="16" x14ac:dyDescent="0.2">
      <c r="A1906" s="1">
        <v>1905</v>
      </c>
      <c r="B1906" s="1" t="s">
        <v>3980</v>
      </c>
      <c r="C1906" s="1" t="s">
        <v>5733</v>
      </c>
      <c r="D1906" s="1" t="str">
        <f t="shared" si="87"/>
        <v>København KommuneNyhavn 61</v>
      </c>
      <c r="E1906" s="1" t="s">
        <v>5734</v>
      </c>
      <c r="F1906" s="1" t="s">
        <v>5735</v>
      </c>
      <c r="G1906" s="1">
        <v>1945</v>
      </c>
      <c r="H1906" s="1" t="s">
        <v>2323</v>
      </c>
      <c r="I1906" s="6" cm="1">
        <f t="array" ref="I1906">GetLatitude(D1906)</f>
        <v>556796601</v>
      </c>
      <c r="J1906" s="1" cm="1">
        <f t="array" ref="J1906">GetLongitude(D1906)</f>
        <v>125923957</v>
      </c>
      <c r="K1906" s="1">
        <f t="shared" si="88"/>
        <v>55.6796601</v>
      </c>
      <c r="L1906" s="1">
        <f t="shared" si="89"/>
        <v>12.592395700000001</v>
      </c>
    </row>
    <row r="1907" spans="1:12" ht="16" x14ac:dyDescent="0.2">
      <c r="A1907" s="1">
        <v>1906</v>
      </c>
      <c r="B1907" s="1" t="s">
        <v>3980</v>
      </c>
      <c r="C1907" s="1" t="s">
        <v>5736</v>
      </c>
      <c r="D1907" s="1" t="str">
        <f t="shared" si="87"/>
        <v>København KommuneNyhavn 63</v>
      </c>
      <c r="E1907" s="1" t="s">
        <v>5737</v>
      </c>
      <c r="F1907" s="1" t="s">
        <v>5738</v>
      </c>
      <c r="G1907" s="1">
        <v>1918</v>
      </c>
      <c r="H1907" s="1" t="s">
        <v>11</v>
      </c>
      <c r="I1907" s="6" cm="1">
        <f t="array" ref="I1907">GetLatitude(D1907)</f>
        <v>556797223</v>
      </c>
      <c r="J1907" s="1" cm="1">
        <f t="array" ref="J1907">GetLongitude(D1907)</f>
        <v>125926665</v>
      </c>
      <c r="K1907" s="1">
        <f t="shared" si="88"/>
        <v>55.679722300000002</v>
      </c>
      <c r="L1907" s="1">
        <f t="shared" si="89"/>
        <v>12.5926665</v>
      </c>
    </row>
    <row r="1908" spans="1:12" ht="16" x14ac:dyDescent="0.2">
      <c r="A1908" s="1">
        <v>1907</v>
      </c>
      <c r="B1908" s="1" t="s">
        <v>3980</v>
      </c>
      <c r="C1908" s="1" t="s">
        <v>5739</v>
      </c>
      <c r="D1908" s="1" t="str">
        <f t="shared" si="87"/>
        <v>København KommuneNyhavn 65</v>
      </c>
      <c r="E1908" s="1" t="s">
        <v>5740</v>
      </c>
      <c r="F1908" s="1" t="s">
        <v>5741</v>
      </c>
      <c r="G1908" s="1">
        <v>1918</v>
      </c>
      <c r="H1908" s="1" t="s">
        <v>11</v>
      </c>
      <c r="I1908" s="6" cm="1">
        <f t="array" ref="I1908">GetLatitude(D1908)</f>
        <v>556796739</v>
      </c>
      <c r="J1908" s="1" cm="1">
        <f t="array" ref="J1908">GetLongitude(D1908)</f>
        <v>125929246</v>
      </c>
      <c r="K1908" s="1">
        <f t="shared" si="88"/>
        <v>55.679673899999997</v>
      </c>
      <c r="L1908" s="1">
        <f t="shared" si="89"/>
        <v>12.5929246</v>
      </c>
    </row>
    <row r="1909" spans="1:12" ht="16" x14ac:dyDescent="0.2">
      <c r="A1909" s="1">
        <v>1908</v>
      </c>
      <c r="B1909" s="1" t="s">
        <v>3980</v>
      </c>
      <c r="C1909" s="1" t="s">
        <v>5742</v>
      </c>
      <c r="D1909" s="1" t="str">
        <f t="shared" si="87"/>
        <v>København KommuneNyhavn 67</v>
      </c>
      <c r="E1909" s="1" t="s">
        <v>5743</v>
      </c>
      <c r="F1909" s="1" t="s">
        <v>5744</v>
      </c>
      <c r="G1909" s="1">
        <v>1932</v>
      </c>
      <c r="H1909" s="1" t="s">
        <v>11</v>
      </c>
      <c r="I1909" s="6" cm="1">
        <f t="array" ref="I1909">GetLatitude(D1909)</f>
        <v>556795414</v>
      </c>
      <c r="J1909" s="1" cm="1">
        <f t="array" ref="J1909">GetLongitude(D1909)</f>
        <v>125929268</v>
      </c>
      <c r="K1909" s="1">
        <f t="shared" si="88"/>
        <v>55.679541399999998</v>
      </c>
      <c r="L1909" s="1">
        <f t="shared" si="89"/>
        <v>12.592926800000001</v>
      </c>
    </row>
    <row r="1910" spans="1:12" ht="16" x14ac:dyDescent="0.2">
      <c r="A1910" s="1">
        <v>1909</v>
      </c>
      <c r="B1910" s="1" t="s">
        <v>3980</v>
      </c>
      <c r="C1910" s="1" t="s">
        <v>5745</v>
      </c>
      <c r="D1910" s="1" t="str">
        <f t="shared" si="87"/>
        <v>København KommuneNyhavn 7</v>
      </c>
      <c r="E1910" s="1" t="s">
        <v>5746</v>
      </c>
      <c r="F1910" s="1" t="s">
        <v>5747</v>
      </c>
      <c r="G1910" s="1">
        <v>1945</v>
      </c>
      <c r="H1910" s="1" t="s">
        <v>1483</v>
      </c>
      <c r="I1910" s="6" cm="1">
        <f t="array" ref="I1910">GetLatitude(D1910)</f>
        <v>556807190</v>
      </c>
      <c r="J1910" s="1" cm="1">
        <f t="array" ref="J1910">GetLongitude(D1910)</f>
        <v>125884752</v>
      </c>
      <c r="K1910" s="1">
        <f t="shared" si="88"/>
        <v>55.680719000000003</v>
      </c>
      <c r="L1910" s="1">
        <f t="shared" si="89"/>
        <v>12.5884752</v>
      </c>
    </row>
    <row r="1911" spans="1:12" ht="16" x14ac:dyDescent="0.2">
      <c r="A1911" s="1">
        <v>1910</v>
      </c>
      <c r="B1911" s="1" t="s">
        <v>3980</v>
      </c>
      <c r="C1911" s="1" t="s">
        <v>5748</v>
      </c>
      <c r="D1911" s="1" t="str">
        <f t="shared" si="87"/>
        <v>København KommuneNyhavn 71, hj af Kvæsthusgade</v>
      </c>
      <c r="E1911" s="1" t="s">
        <v>5749</v>
      </c>
      <c r="F1911" s="1" t="s">
        <v>5750</v>
      </c>
      <c r="G1911" s="1">
        <v>1918</v>
      </c>
      <c r="H1911" s="1" t="s">
        <v>11</v>
      </c>
      <c r="I1911" s="6" cm="1">
        <f t="array" ref="I1911">GetLatitude(D1911)</f>
        <v>556799929</v>
      </c>
      <c r="J1911" s="1" cm="1">
        <f t="array" ref="J1911">GetLongitude(D1911)</f>
        <v>125937961</v>
      </c>
      <c r="K1911" s="1">
        <f t="shared" si="88"/>
        <v>55.679992900000002</v>
      </c>
      <c r="L1911" s="1">
        <f t="shared" si="89"/>
        <v>12.5937961</v>
      </c>
    </row>
    <row r="1912" spans="1:12" ht="16" x14ac:dyDescent="0.2">
      <c r="A1912" s="1">
        <v>1911</v>
      </c>
      <c r="B1912" s="1" t="s">
        <v>3980</v>
      </c>
      <c r="C1912" s="1" t="s">
        <v>5751</v>
      </c>
      <c r="D1912" s="1" t="str">
        <f t="shared" si="87"/>
        <v>København KommuneNyhavn 8</v>
      </c>
      <c r="E1912" s="1" t="s">
        <v>5752</v>
      </c>
      <c r="F1912" s="1" t="s">
        <v>5753</v>
      </c>
      <c r="G1912" s="1">
        <v>1918</v>
      </c>
      <c r="H1912" s="1" t="s">
        <v>5754</v>
      </c>
      <c r="I1912" s="6" cm="1">
        <f t="array" ref="I1912">GetLatitude(D1912)</f>
        <v>556798295</v>
      </c>
      <c r="J1912" s="1" cm="1">
        <f t="array" ref="J1912">GetLongitude(D1912)</f>
        <v>125893965</v>
      </c>
      <c r="K1912" s="1">
        <f t="shared" si="88"/>
        <v>55.679829499999997</v>
      </c>
      <c r="L1912" s="1">
        <f t="shared" si="89"/>
        <v>12.589396499999999</v>
      </c>
    </row>
    <row r="1913" spans="1:12" ht="16" x14ac:dyDescent="0.2">
      <c r="A1913" s="1">
        <v>1912</v>
      </c>
      <c r="B1913" s="1" t="s">
        <v>3980</v>
      </c>
      <c r="C1913" s="1" t="s">
        <v>5755</v>
      </c>
      <c r="D1913" s="1" t="str">
        <f t="shared" si="87"/>
        <v>København KommuneNyhavn 9</v>
      </c>
      <c r="E1913" s="1" t="s">
        <v>5756</v>
      </c>
      <c r="F1913" s="1" t="s">
        <v>5757</v>
      </c>
      <c r="G1913" s="1">
        <v>1918</v>
      </c>
      <c r="H1913" s="1" t="s">
        <v>701</v>
      </c>
      <c r="I1913" s="6" cm="1">
        <f t="array" ref="I1913">GetLatitude(D1913)</f>
        <v>556806832</v>
      </c>
      <c r="J1913" s="1" cm="1">
        <f t="array" ref="J1913">GetLongitude(D1913)</f>
        <v>125886249</v>
      </c>
      <c r="K1913" s="1">
        <f t="shared" si="88"/>
        <v>55.680683199999997</v>
      </c>
      <c r="L1913" s="1">
        <f t="shared" si="89"/>
        <v>12.588624899999999</v>
      </c>
    </row>
    <row r="1914" spans="1:12" ht="16" x14ac:dyDescent="0.2">
      <c r="A1914" s="1">
        <v>1913</v>
      </c>
      <c r="B1914" s="1" t="s">
        <v>3980</v>
      </c>
      <c r="C1914" s="1" t="s">
        <v>5758</v>
      </c>
      <c r="D1914" s="1" t="str">
        <f t="shared" si="87"/>
        <v>København KommuneNy Kongensgade 1, hj af Frederiksholms Kanal</v>
      </c>
      <c r="E1914" s="1" t="s">
        <v>5759</v>
      </c>
      <c r="F1914" s="1" t="s">
        <v>5760</v>
      </c>
      <c r="G1914" s="1">
        <v>1918</v>
      </c>
      <c r="H1914" s="1" t="s">
        <v>3481</v>
      </c>
      <c r="I1914" s="6" cm="1">
        <f t="array" ref="I1914">GetLatitude(D1914)</f>
        <v>556739355</v>
      </c>
      <c r="J1914" s="1" cm="1">
        <f t="array" ref="J1914">GetLongitude(D1914)</f>
        <v>125771282</v>
      </c>
      <c r="K1914" s="1">
        <f t="shared" si="88"/>
        <v>55.673935499999999</v>
      </c>
      <c r="L1914" s="1">
        <f t="shared" si="89"/>
        <v>12.577128200000001</v>
      </c>
    </row>
    <row r="1915" spans="1:12" ht="16" x14ac:dyDescent="0.2">
      <c r="A1915" s="1">
        <v>1914</v>
      </c>
      <c r="B1915" s="1" t="s">
        <v>3980</v>
      </c>
      <c r="C1915" s="1" t="s">
        <v>5761</v>
      </c>
      <c r="D1915" s="1" t="str">
        <f t="shared" si="87"/>
        <v>København KommuneNy Kongensgade 11</v>
      </c>
      <c r="E1915" s="1" t="s">
        <v>5762</v>
      </c>
      <c r="F1915" s="1" t="s">
        <v>5763</v>
      </c>
      <c r="G1915" s="1">
        <v>1976</v>
      </c>
      <c r="H1915" s="1" t="s">
        <v>11</v>
      </c>
      <c r="I1915" s="6" cm="1">
        <f t="array" ref="I1915">GetLatitude(D1915)</f>
        <v>556736371</v>
      </c>
      <c r="J1915" s="1" cm="1">
        <f t="array" ref="J1915">GetLongitude(D1915)</f>
        <v>125763558</v>
      </c>
      <c r="K1915" s="1">
        <f t="shared" si="88"/>
        <v>55.673637100000001</v>
      </c>
      <c r="L1915" s="1">
        <f t="shared" si="89"/>
        <v>12.5763558</v>
      </c>
    </row>
    <row r="1916" spans="1:12" ht="16" x14ac:dyDescent="0.2">
      <c r="A1916" s="1">
        <v>1915</v>
      </c>
      <c r="B1916" s="1" t="s">
        <v>3980</v>
      </c>
      <c r="C1916" s="1" t="s">
        <v>5764</v>
      </c>
      <c r="D1916" s="1" t="str">
        <f t="shared" si="87"/>
        <v>København KommuneNy Kongensgade 3</v>
      </c>
      <c r="E1916" s="1" t="s">
        <v>5765</v>
      </c>
      <c r="F1916" s="1" t="s">
        <v>5766</v>
      </c>
      <c r="G1916" s="1">
        <v>1986</v>
      </c>
      <c r="H1916" s="1" t="s">
        <v>11</v>
      </c>
      <c r="I1916" s="6" cm="1">
        <f t="array" ref="I1916">GetLatitude(D1916)</f>
        <v>556738508</v>
      </c>
      <c r="J1916" s="1" cm="1">
        <f t="array" ref="J1916">GetLongitude(D1916)</f>
        <v>125769168</v>
      </c>
      <c r="K1916" s="1">
        <f t="shared" si="88"/>
        <v>55.673850799999997</v>
      </c>
      <c r="L1916" s="1">
        <f t="shared" si="89"/>
        <v>12.576916799999999</v>
      </c>
    </row>
    <row r="1917" spans="1:12" ht="16" x14ac:dyDescent="0.2">
      <c r="A1917" s="1">
        <v>1916</v>
      </c>
      <c r="B1917" s="1" t="s">
        <v>3980</v>
      </c>
      <c r="C1917" s="1" t="s">
        <v>5767</v>
      </c>
      <c r="D1917" s="1" t="str">
        <f t="shared" si="87"/>
        <v>København KommuneNy Kongensgade 5</v>
      </c>
      <c r="E1917" s="1" t="s">
        <v>5768</v>
      </c>
      <c r="F1917" s="1" t="s">
        <v>5769</v>
      </c>
      <c r="G1917" s="1">
        <v>1950</v>
      </c>
      <c r="H1917" s="1" t="s">
        <v>11</v>
      </c>
      <c r="I1917" s="6" cm="1">
        <f t="array" ref="I1917">GetLatitude(D1917)</f>
        <v>556738146</v>
      </c>
      <c r="J1917" s="1" cm="1">
        <f t="array" ref="J1917">GetLongitude(D1917)</f>
        <v>125767695</v>
      </c>
      <c r="K1917" s="1">
        <f t="shared" si="88"/>
        <v>55.6738146</v>
      </c>
      <c r="L1917" s="1">
        <f t="shared" si="89"/>
        <v>12.576769499999999</v>
      </c>
    </row>
    <row r="1918" spans="1:12" ht="16" x14ac:dyDescent="0.2">
      <c r="A1918" s="1">
        <v>1917</v>
      </c>
      <c r="B1918" s="1" t="s">
        <v>3980</v>
      </c>
      <c r="C1918" s="1" t="s">
        <v>5770</v>
      </c>
      <c r="D1918" s="1" t="str">
        <f t="shared" si="87"/>
        <v>København KommuneNy Kongensgade 6</v>
      </c>
      <c r="E1918" s="1" t="s">
        <v>5771</v>
      </c>
      <c r="F1918" s="1" t="s">
        <v>5772</v>
      </c>
      <c r="G1918" s="1">
        <v>1918</v>
      </c>
      <c r="H1918" s="1" t="s">
        <v>11</v>
      </c>
      <c r="I1918" s="6" cm="1">
        <f t="array" ref="I1918">GetLatitude(D1918)</f>
        <v>556740007</v>
      </c>
      <c r="J1918" s="1" cm="1">
        <f t="array" ref="J1918">GetLongitude(D1918)</f>
        <v>125767048</v>
      </c>
      <c r="K1918" s="1">
        <f t="shared" si="88"/>
        <v>55.674000700000001</v>
      </c>
      <c r="L1918" s="1">
        <f t="shared" si="89"/>
        <v>12.5767048</v>
      </c>
    </row>
    <row r="1919" spans="1:12" ht="16" x14ac:dyDescent="0.2">
      <c r="A1919" s="1">
        <v>1918</v>
      </c>
      <c r="B1919" s="1" t="s">
        <v>3980</v>
      </c>
      <c r="C1919" s="1" t="s">
        <v>5773</v>
      </c>
      <c r="D1919" s="1" t="str">
        <f t="shared" si="87"/>
        <v>København KommuneNy Kongensgade 7</v>
      </c>
      <c r="E1919" s="1" t="s">
        <v>5774</v>
      </c>
      <c r="F1919" s="1" t="s">
        <v>5775</v>
      </c>
      <c r="G1919" s="1">
        <v>1931</v>
      </c>
      <c r="H1919" s="1" t="s">
        <v>11</v>
      </c>
      <c r="I1919" s="6" cm="1">
        <f t="array" ref="I1919">GetLatitude(D1919)</f>
        <v>556737669</v>
      </c>
      <c r="J1919" s="1" cm="1">
        <f t="array" ref="J1919">GetLongitude(D1919)</f>
        <v>125766727</v>
      </c>
      <c r="K1919" s="1">
        <f t="shared" si="88"/>
        <v>55.673766899999997</v>
      </c>
      <c r="L1919" s="1">
        <f t="shared" si="89"/>
        <v>12.5766727</v>
      </c>
    </row>
    <row r="1920" spans="1:12" ht="16" x14ac:dyDescent="0.2">
      <c r="A1920" s="1">
        <v>1919</v>
      </c>
      <c r="B1920" s="1" t="s">
        <v>3980</v>
      </c>
      <c r="C1920" s="1" t="s">
        <v>5776</v>
      </c>
      <c r="D1920" s="1" t="str">
        <f t="shared" si="87"/>
        <v>København KommuneNy Kongensgade 9</v>
      </c>
      <c r="E1920" s="1" t="s">
        <v>5777</v>
      </c>
      <c r="F1920" s="1" t="s">
        <v>5778</v>
      </c>
      <c r="G1920" s="1">
        <v>1918</v>
      </c>
      <c r="H1920" s="1" t="s">
        <v>11</v>
      </c>
      <c r="I1920" s="6" cm="1">
        <f t="array" ref="I1920">GetLatitude(D1920)</f>
        <v>556737772</v>
      </c>
      <c r="J1920" s="1" cm="1">
        <f t="array" ref="J1920">GetLongitude(D1920)</f>
        <v>125765888</v>
      </c>
      <c r="K1920" s="1">
        <f t="shared" si="88"/>
        <v>55.673777200000004</v>
      </c>
      <c r="L1920" s="1">
        <f t="shared" si="89"/>
        <v>12.5765888</v>
      </c>
    </row>
    <row r="1921" spans="1:12" ht="16" x14ac:dyDescent="0.2">
      <c r="A1921" s="1">
        <v>1920</v>
      </c>
      <c r="B1921" s="1" t="s">
        <v>3980</v>
      </c>
      <c r="C1921" s="1" t="s">
        <v>5779</v>
      </c>
      <c r="D1921" s="1" t="str">
        <f t="shared" si="87"/>
        <v>København KommuneNytorv 15 og Rådhusstræde 2 A-B</v>
      </c>
      <c r="E1921" s="1" t="s">
        <v>5780</v>
      </c>
      <c r="F1921" s="1" t="s">
        <v>5781</v>
      </c>
      <c r="G1921" s="1">
        <v>1945</v>
      </c>
      <c r="H1921" s="1" t="s">
        <v>11</v>
      </c>
      <c r="I1921" s="6" cm="1">
        <f t="array" ref="I1921">GetLatitude(D1921)</f>
        <v>556771652</v>
      </c>
      <c r="J1921" s="1" cm="1">
        <f t="array" ref="J1921">GetLongitude(D1921)</f>
        <v>125736911</v>
      </c>
      <c r="K1921" s="1">
        <f t="shared" si="88"/>
        <v>55.677165199999997</v>
      </c>
      <c r="L1921" s="1">
        <f t="shared" si="89"/>
        <v>12.5736911</v>
      </c>
    </row>
    <row r="1922" spans="1:12" ht="16" x14ac:dyDescent="0.2">
      <c r="A1922" s="1">
        <v>1921</v>
      </c>
      <c r="B1922" s="1" t="s">
        <v>3980</v>
      </c>
      <c r="C1922" s="1" t="s">
        <v>5782</v>
      </c>
      <c r="D1922" s="1" t="str">
        <f t="shared" si="87"/>
        <v>København KommuneNytorv 17</v>
      </c>
      <c r="E1922" s="1" t="s">
        <v>5783</v>
      </c>
      <c r="F1922" s="1" t="s">
        <v>5784</v>
      </c>
      <c r="G1922" s="1">
        <v>1918</v>
      </c>
      <c r="H1922" s="1" t="s">
        <v>11</v>
      </c>
      <c r="I1922" s="6" cm="1">
        <f t="array" ref="I1922">GetLatitude(D1922)</f>
        <v>556770827</v>
      </c>
      <c r="J1922" s="1" cm="1">
        <f t="array" ref="J1922">GetLongitude(D1922)</f>
        <v>125735557</v>
      </c>
      <c r="K1922" s="1">
        <f t="shared" si="88"/>
        <v>55.6770827</v>
      </c>
      <c r="L1922" s="1">
        <f t="shared" si="89"/>
        <v>12.5735557</v>
      </c>
    </row>
    <row r="1923" spans="1:12" ht="16" x14ac:dyDescent="0.2">
      <c r="A1923" s="1">
        <v>1922</v>
      </c>
      <c r="B1923" s="1" t="s">
        <v>3980</v>
      </c>
      <c r="C1923" s="1" t="s">
        <v>5785</v>
      </c>
      <c r="D1923" s="1" t="str">
        <f t="shared" ref="D1923:D1986" si="90">B1923&amp;C1923</f>
        <v>København KommuneNytorv 19</v>
      </c>
      <c r="E1923" s="1" t="s">
        <v>5786</v>
      </c>
      <c r="F1923" s="1" t="s">
        <v>5787</v>
      </c>
      <c r="G1923" s="1">
        <v>1945</v>
      </c>
      <c r="H1923" s="1" t="s">
        <v>5788</v>
      </c>
      <c r="I1923" s="6" cm="1">
        <f t="array" ref="I1923">GetLatitude(D1923)</f>
        <v>556770539</v>
      </c>
      <c r="J1923" s="1" cm="1">
        <f t="array" ref="J1923">GetLongitude(D1923)</f>
        <v>125734348</v>
      </c>
      <c r="K1923" s="1">
        <f t="shared" si="88"/>
        <v>55.677053899999997</v>
      </c>
      <c r="L1923" s="1">
        <f t="shared" si="89"/>
        <v>12.573434799999999</v>
      </c>
    </row>
    <row r="1924" spans="1:12" ht="16" x14ac:dyDescent="0.2">
      <c r="A1924" s="1">
        <v>1923</v>
      </c>
      <c r="B1924" s="1" t="s">
        <v>3980</v>
      </c>
      <c r="C1924" s="1" t="s">
        <v>5789</v>
      </c>
      <c r="D1924" s="1" t="str">
        <f t="shared" si="90"/>
        <v>København KommuneNytorv 21, Slutterigade 1 og Hestemøllestræde 1</v>
      </c>
      <c r="E1924" s="1" t="s">
        <v>5790</v>
      </c>
      <c r="F1924" s="1" t="s">
        <v>5791</v>
      </c>
      <c r="G1924" s="1">
        <v>1918</v>
      </c>
      <c r="H1924" s="1" t="s">
        <v>15</v>
      </c>
      <c r="I1924" s="6" cm="1">
        <f t="array" ref="I1924">GetLatitude(D1924)</f>
        <v>556766506</v>
      </c>
      <c r="J1924" s="1" cm="1">
        <f t="array" ref="J1924">GetLongitude(D1924)</f>
        <v>125729257</v>
      </c>
      <c r="K1924" s="1">
        <f t="shared" ref="K1924:K1987" si="91">I1924/10000000</f>
        <v>55.676650600000002</v>
      </c>
      <c r="L1924" s="1">
        <f t="shared" ref="L1924:L1987" si="92">J1924/10000000</f>
        <v>12.572925700000001</v>
      </c>
    </row>
    <row r="1925" spans="1:12" ht="16" x14ac:dyDescent="0.2">
      <c r="A1925" s="1">
        <v>1924</v>
      </c>
      <c r="B1925" s="1" t="s">
        <v>3980</v>
      </c>
      <c r="C1925" s="1" t="s">
        <v>5792</v>
      </c>
      <c r="D1925" s="1" t="str">
        <f t="shared" si="90"/>
        <v>København KommuneNytorv 25 og Kattesundet 13</v>
      </c>
      <c r="E1925" s="1" t="s">
        <v>5793</v>
      </c>
      <c r="F1925" s="1" t="s">
        <v>5794</v>
      </c>
      <c r="G1925" s="1">
        <v>1951</v>
      </c>
      <c r="H1925" s="1" t="s">
        <v>15</v>
      </c>
      <c r="I1925" s="6" cm="1">
        <f t="array" ref="I1925">GetLatitude(D1925)</f>
        <v>556769621</v>
      </c>
      <c r="J1925" s="1" cm="1">
        <f t="array" ref="J1925">GetLongitude(D1925)</f>
        <v>125719826</v>
      </c>
      <c r="K1925" s="1">
        <f t="shared" si="91"/>
        <v>55.676962099999997</v>
      </c>
      <c r="L1925" s="1">
        <f t="shared" si="92"/>
        <v>12.5719826</v>
      </c>
    </row>
    <row r="1926" spans="1:12" ht="16" x14ac:dyDescent="0.2">
      <c r="A1926" s="1">
        <v>1925</v>
      </c>
      <c r="B1926" s="1" t="s">
        <v>3980</v>
      </c>
      <c r="C1926" s="1" t="s">
        <v>5795</v>
      </c>
      <c r="D1926" s="1" t="str">
        <f t="shared" si="90"/>
        <v>København KommuneNytorv 5</v>
      </c>
      <c r="E1926" s="1" t="s">
        <v>5796</v>
      </c>
      <c r="F1926" s="1" t="s">
        <v>5797</v>
      </c>
      <c r="G1926" s="1">
        <v>1918</v>
      </c>
      <c r="H1926" s="1" t="s">
        <v>11</v>
      </c>
      <c r="I1926" s="6" cm="1">
        <f t="array" ref="I1926">GetLatitude(D1926)</f>
        <v>556777785</v>
      </c>
      <c r="J1926" s="1" cm="1">
        <f t="array" ref="J1926">GetLongitude(D1926)</f>
        <v>125734097</v>
      </c>
      <c r="K1926" s="1">
        <f t="shared" si="91"/>
        <v>55.677778500000002</v>
      </c>
      <c r="L1926" s="1">
        <f t="shared" si="92"/>
        <v>12.573409699999999</v>
      </c>
    </row>
    <row r="1927" spans="1:12" ht="16" x14ac:dyDescent="0.2">
      <c r="A1927" s="1">
        <v>1926</v>
      </c>
      <c r="B1927" s="1" t="s">
        <v>3980</v>
      </c>
      <c r="C1927" s="1" t="s">
        <v>5798</v>
      </c>
      <c r="D1927" s="1" t="str">
        <f t="shared" si="90"/>
        <v>København KommuneNytorv 7 A-B og 11</v>
      </c>
      <c r="E1927" s="1" t="s">
        <v>5799</v>
      </c>
      <c r="F1927" s="1" t="s">
        <v>5800</v>
      </c>
      <c r="G1927" s="1">
        <v>1918</v>
      </c>
      <c r="H1927" s="1" t="s">
        <v>5801</v>
      </c>
      <c r="I1927" s="6" cm="1">
        <f t="array" ref="I1927">GetLatitude(D1927)</f>
        <v>556776750</v>
      </c>
      <c r="J1927" s="1" cm="1">
        <f t="array" ref="J1927">GetLongitude(D1927)</f>
        <v>125735574</v>
      </c>
      <c r="K1927" s="1">
        <f t="shared" si="91"/>
        <v>55.677675000000001</v>
      </c>
      <c r="L1927" s="1">
        <f t="shared" si="92"/>
        <v>12.5735574</v>
      </c>
    </row>
    <row r="1928" spans="1:12" ht="16" x14ac:dyDescent="0.2">
      <c r="A1928" s="1">
        <v>1927</v>
      </c>
      <c r="B1928" s="1" t="s">
        <v>3980</v>
      </c>
      <c r="C1928" s="1" t="s">
        <v>5802</v>
      </c>
      <c r="D1928" s="1" t="str">
        <f t="shared" si="90"/>
        <v>København KommuneNytorv 9</v>
      </c>
      <c r="E1928" s="1" t="s">
        <v>5803</v>
      </c>
      <c r="F1928" s="1" t="s">
        <v>5804</v>
      </c>
      <c r="G1928" s="1">
        <v>1945</v>
      </c>
      <c r="H1928" s="1" t="s">
        <v>11</v>
      </c>
      <c r="I1928" s="6" cm="1">
        <f t="array" ref="I1928">GetLatitude(D1928)</f>
        <v>556775053</v>
      </c>
      <c r="J1928" s="1" cm="1">
        <f t="array" ref="J1928">GetLongitude(D1928)</f>
        <v>125736094</v>
      </c>
      <c r="K1928" s="1">
        <f t="shared" si="91"/>
        <v>55.6775053</v>
      </c>
      <c r="L1928" s="1">
        <f t="shared" si="92"/>
        <v>12.5736094</v>
      </c>
    </row>
    <row r="1929" spans="1:12" ht="16" x14ac:dyDescent="0.2">
      <c r="A1929" s="1">
        <v>1928</v>
      </c>
      <c r="B1929" s="1" t="s">
        <v>3980</v>
      </c>
      <c r="C1929" s="1" t="s">
        <v>5805</v>
      </c>
      <c r="D1929" s="1" t="str">
        <f t="shared" si="90"/>
        <v>København KommuneNy Vestergade 11</v>
      </c>
      <c r="E1929" s="1" t="s">
        <v>5806</v>
      </c>
      <c r="F1929" s="1" t="s">
        <v>5807</v>
      </c>
      <c r="G1929" s="1">
        <v>1964</v>
      </c>
      <c r="H1929" s="1" t="s">
        <v>1584</v>
      </c>
      <c r="I1929" s="6" cm="1">
        <f t="array" ref="I1929">GetLatitude(D1929)</f>
        <v>556742711</v>
      </c>
      <c r="J1929" s="1" cm="1">
        <f t="array" ref="J1929">GetLongitude(D1929)</f>
        <v>125753450</v>
      </c>
      <c r="K1929" s="1">
        <f t="shared" si="91"/>
        <v>55.674271099999999</v>
      </c>
      <c r="L1929" s="1">
        <f t="shared" si="92"/>
        <v>12.575345</v>
      </c>
    </row>
    <row r="1930" spans="1:12" ht="16" x14ac:dyDescent="0.2">
      <c r="A1930" s="1">
        <v>1929</v>
      </c>
      <c r="B1930" s="1" t="s">
        <v>3980</v>
      </c>
      <c r="C1930" s="1" t="s">
        <v>5808</v>
      </c>
      <c r="D1930" s="1" t="str">
        <f t="shared" si="90"/>
        <v>København KommuneNy Vestergade 13</v>
      </c>
      <c r="E1930" s="1" t="s">
        <v>5809</v>
      </c>
      <c r="F1930" s="1" t="s">
        <v>5810</v>
      </c>
      <c r="G1930" s="1">
        <v>1918</v>
      </c>
      <c r="H1930" s="1" t="s">
        <v>11</v>
      </c>
      <c r="I1930" s="6" cm="1">
        <f t="array" ref="I1930">GetLatitude(D1930)</f>
        <v>556741582</v>
      </c>
      <c r="J1930" s="1" cm="1">
        <f t="array" ref="J1930">GetLongitude(D1930)</f>
        <v>125751594</v>
      </c>
      <c r="K1930" s="1">
        <f t="shared" si="91"/>
        <v>55.674158200000001</v>
      </c>
      <c r="L1930" s="1">
        <f t="shared" si="92"/>
        <v>12.5751594</v>
      </c>
    </row>
    <row r="1931" spans="1:12" ht="16" x14ac:dyDescent="0.2">
      <c r="A1931" s="1">
        <v>1930</v>
      </c>
      <c r="B1931" s="1" t="s">
        <v>3980</v>
      </c>
      <c r="C1931" s="1" t="s">
        <v>5811</v>
      </c>
      <c r="D1931" s="1" t="str">
        <f t="shared" si="90"/>
        <v>København KommuneNy Vestergade 9</v>
      </c>
      <c r="E1931" s="1" t="s">
        <v>5812</v>
      </c>
      <c r="F1931" s="1" t="s">
        <v>5813</v>
      </c>
      <c r="G1931" s="1">
        <v>1932</v>
      </c>
      <c r="H1931" s="1" t="s">
        <v>11</v>
      </c>
      <c r="I1931" s="6" cm="1">
        <f t="array" ref="I1931">GetLatitude(D1931)</f>
        <v>556743800</v>
      </c>
      <c r="J1931" s="1" cm="1">
        <f t="array" ref="J1931">GetLongitude(D1931)</f>
        <v>125756508</v>
      </c>
      <c r="K1931" s="1">
        <f t="shared" si="91"/>
        <v>55.674379999999999</v>
      </c>
      <c r="L1931" s="1">
        <f t="shared" si="92"/>
        <v>12.5756508</v>
      </c>
    </row>
    <row r="1932" spans="1:12" ht="16" x14ac:dyDescent="0.2">
      <c r="A1932" s="1">
        <v>1931</v>
      </c>
      <c r="B1932" s="1" t="s">
        <v>3980</v>
      </c>
      <c r="C1932" s="1" t="s">
        <v>5814</v>
      </c>
      <c r="D1932" s="1" t="str">
        <f t="shared" si="90"/>
        <v>København KommuneNørrebrogade 174-176, Allersgade 1, Gormsgade 2A og 2B, Zøllnerhus</v>
      </c>
      <c r="E1932" s="1" t="s">
        <v>5815</v>
      </c>
      <c r="F1932" s="1" t="s">
        <v>5816</v>
      </c>
      <c r="G1932" s="1">
        <v>2007</v>
      </c>
      <c r="H1932" s="1" t="s">
        <v>15</v>
      </c>
      <c r="I1932" s="6" cm="1">
        <f t="array" ref="I1932">GetLatitude(D1932)</f>
        <v>556970713</v>
      </c>
      <c r="J1932" s="1" cm="1">
        <f t="array" ref="J1932">GetLongitude(D1932)</f>
        <v>125454573</v>
      </c>
      <c r="K1932" s="1">
        <f t="shared" si="91"/>
        <v>55.697071299999998</v>
      </c>
      <c r="L1932" s="1">
        <f t="shared" si="92"/>
        <v>12.545457300000001</v>
      </c>
    </row>
    <row r="1933" spans="1:12" ht="16" x14ac:dyDescent="0.2">
      <c r="A1933" s="1">
        <v>1932</v>
      </c>
      <c r="B1933" s="1" t="s">
        <v>3980</v>
      </c>
      <c r="C1933" s="1" t="s">
        <v>5817</v>
      </c>
      <c r="D1933" s="1" t="str">
        <f t="shared" si="90"/>
        <v>København KommuneNørrebrogade 45</v>
      </c>
      <c r="E1933" s="1" t="s">
        <v>5818</v>
      </c>
      <c r="F1933" s="1" t="s">
        <v>5819</v>
      </c>
      <c r="G1933" s="1">
        <v>2008</v>
      </c>
      <c r="H1933" s="1" t="s">
        <v>701</v>
      </c>
      <c r="I1933" s="6" cm="1">
        <f t="array" ref="I1933">GetLatitude(D1933)</f>
        <v>556760968</v>
      </c>
      <c r="J1933" s="1" cm="1">
        <f t="array" ref="J1933">GetLongitude(D1933)</f>
        <v>125683371</v>
      </c>
      <c r="K1933" s="1">
        <f t="shared" si="91"/>
        <v>55.676096800000003</v>
      </c>
      <c r="L1933" s="1">
        <f t="shared" si="92"/>
        <v>12.568337100000001</v>
      </c>
    </row>
    <row r="1934" spans="1:12" ht="16" x14ac:dyDescent="0.2">
      <c r="A1934" s="1">
        <v>1933</v>
      </c>
      <c r="B1934" s="1" t="s">
        <v>3980</v>
      </c>
      <c r="C1934" s="1" t="s">
        <v>5820</v>
      </c>
      <c r="D1934" s="1" t="str">
        <f t="shared" si="90"/>
        <v>København KommuneNørrebrogade 67</v>
      </c>
      <c r="E1934" s="1" t="s">
        <v>5821</v>
      </c>
      <c r="F1934" s="1" t="s">
        <v>5822</v>
      </c>
      <c r="G1934" s="1">
        <v>1959</v>
      </c>
      <c r="H1934" s="1" t="s">
        <v>15</v>
      </c>
      <c r="I1934" s="6" cm="1">
        <f t="array" ref="I1934">GetLatitude(D1934)</f>
        <v>556760968</v>
      </c>
      <c r="J1934" s="1" cm="1">
        <f t="array" ref="J1934">GetLongitude(D1934)</f>
        <v>125683371</v>
      </c>
      <c r="K1934" s="1">
        <f t="shared" si="91"/>
        <v>55.676096800000003</v>
      </c>
      <c r="L1934" s="1">
        <f t="shared" si="92"/>
        <v>12.568337100000001</v>
      </c>
    </row>
    <row r="1935" spans="1:12" ht="16" x14ac:dyDescent="0.2">
      <c r="A1935" s="1">
        <v>1934</v>
      </c>
      <c r="B1935" s="1" t="s">
        <v>3980</v>
      </c>
      <c r="C1935" s="1" t="s">
        <v>5823</v>
      </c>
      <c r="D1935" s="1" t="str">
        <f t="shared" si="90"/>
        <v>København KommuneNørrebrogade og Frederiksborggade (mellem)</v>
      </c>
      <c r="E1935" s="1" t="s">
        <v>5824</v>
      </c>
      <c r="F1935" s="1" t="s">
        <v>5825</v>
      </c>
      <c r="G1935" s="1">
        <v>1997</v>
      </c>
      <c r="H1935" s="1" t="s">
        <v>15</v>
      </c>
      <c r="I1935" s="6" cm="1">
        <f t="array" ref="I1935">GetLatitude(D1935)</f>
        <v>556845100</v>
      </c>
      <c r="J1935" s="1" cm="1">
        <f t="array" ref="J1935">GetLongitude(D1935)</f>
        <v>125694480</v>
      </c>
      <c r="K1935" s="1">
        <f t="shared" si="91"/>
        <v>55.684510000000003</v>
      </c>
      <c r="L1935" s="1">
        <f t="shared" si="92"/>
        <v>12.569448</v>
      </c>
    </row>
    <row r="1936" spans="1:12" ht="16" x14ac:dyDescent="0.2">
      <c r="A1936" s="1">
        <v>1935</v>
      </c>
      <c r="B1936" s="1" t="s">
        <v>3980</v>
      </c>
      <c r="C1936" s="1" t="s">
        <v>5826</v>
      </c>
      <c r="D1936" s="1" t="str">
        <f t="shared" si="90"/>
        <v>København KommuneNørregade 10 (tidl 8-10)</v>
      </c>
      <c r="E1936" s="1" t="s">
        <v>5827</v>
      </c>
      <c r="F1936" s="1" t="s">
        <v>5828</v>
      </c>
      <c r="G1936" s="1">
        <v>1918</v>
      </c>
      <c r="H1936" s="1" t="s">
        <v>15</v>
      </c>
      <c r="I1936" s="6" cm="1">
        <f t="array" ref="I1936">GetLatitude(D1936)</f>
        <v>556801421</v>
      </c>
      <c r="J1936" s="1" cm="1">
        <f t="array" ref="J1936">GetLongitude(D1936)</f>
        <v>125714877</v>
      </c>
      <c r="K1936" s="1">
        <f t="shared" si="91"/>
        <v>55.680142099999998</v>
      </c>
      <c r="L1936" s="1">
        <f t="shared" si="92"/>
        <v>12.5714877</v>
      </c>
    </row>
    <row r="1937" spans="1:12" ht="16" x14ac:dyDescent="0.2">
      <c r="A1937" s="1">
        <v>1936</v>
      </c>
      <c r="B1937" s="1" t="s">
        <v>3980</v>
      </c>
      <c r="C1937" s="1" t="s">
        <v>5829</v>
      </c>
      <c r="D1937" s="1" t="str">
        <f t="shared" si="90"/>
        <v>København KommuneNørregade 11</v>
      </c>
      <c r="E1937" s="1" t="s">
        <v>5830</v>
      </c>
      <c r="F1937" s="1" t="s">
        <v>5831</v>
      </c>
      <c r="G1937" s="1">
        <v>1918</v>
      </c>
      <c r="H1937" s="1" t="s">
        <v>15</v>
      </c>
      <c r="I1937" s="6" cm="1">
        <f t="array" ref="I1937">GetLatitude(D1937)</f>
        <v>556794610</v>
      </c>
      <c r="J1937" s="1" cm="1">
        <f t="array" ref="J1937">GetLongitude(D1937)</f>
        <v>125716270</v>
      </c>
      <c r="K1937" s="1">
        <f t="shared" si="91"/>
        <v>55.679461000000003</v>
      </c>
      <c r="L1937" s="1">
        <f t="shared" si="92"/>
        <v>12.571626999999999</v>
      </c>
    </row>
    <row r="1938" spans="1:12" ht="16" x14ac:dyDescent="0.2">
      <c r="A1938" s="1">
        <v>1937</v>
      </c>
      <c r="B1938" s="1" t="s">
        <v>3980</v>
      </c>
      <c r="C1938" s="1" t="s">
        <v>5832</v>
      </c>
      <c r="D1938" s="1" t="str">
        <f t="shared" si="90"/>
        <v>København KommuneNørregade 13</v>
      </c>
      <c r="E1938" s="1" t="s">
        <v>5833</v>
      </c>
      <c r="F1938" s="1" t="s">
        <v>5834</v>
      </c>
      <c r="G1938" s="1">
        <v>1918</v>
      </c>
      <c r="H1938" s="1" t="s">
        <v>701</v>
      </c>
      <c r="I1938" s="6" cm="1">
        <f t="array" ref="I1938">GetLatitude(D1938)</f>
        <v>556795476</v>
      </c>
      <c r="J1938" s="1" cm="1">
        <f t="array" ref="J1938">GetLongitude(D1938)</f>
        <v>125712332</v>
      </c>
      <c r="K1938" s="1">
        <f t="shared" si="91"/>
        <v>55.679547599999999</v>
      </c>
      <c r="L1938" s="1">
        <f t="shared" si="92"/>
        <v>12.5712332</v>
      </c>
    </row>
    <row r="1939" spans="1:12" ht="16" x14ac:dyDescent="0.2">
      <c r="A1939" s="1">
        <v>1938</v>
      </c>
      <c r="B1939" s="1" t="s">
        <v>3980</v>
      </c>
      <c r="C1939" s="1" t="s">
        <v>5835</v>
      </c>
      <c r="D1939" s="1" t="str">
        <f t="shared" si="90"/>
        <v>København KommuneNørregade 18</v>
      </c>
      <c r="E1939" s="1" t="s">
        <v>5836</v>
      </c>
      <c r="F1939" s="1" t="s">
        <v>5837</v>
      </c>
      <c r="G1939" s="1">
        <v>1939</v>
      </c>
      <c r="H1939" s="1" t="s">
        <v>11</v>
      </c>
      <c r="I1939" s="6" cm="1">
        <f t="array" ref="I1939">GetLatitude(D1939)</f>
        <v>556810631</v>
      </c>
      <c r="J1939" s="1" cm="1">
        <f t="array" ref="J1939">GetLongitude(D1939)</f>
        <v>125714988</v>
      </c>
      <c r="K1939" s="1">
        <f t="shared" si="91"/>
        <v>55.681063100000003</v>
      </c>
      <c r="L1939" s="1">
        <f t="shared" si="92"/>
        <v>12.571498800000001</v>
      </c>
    </row>
    <row r="1940" spans="1:12" ht="16" x14ac:dyDescent="0.2">
      <c r="A1940" s="1">
        <v>1939</v>
      </c>
      <c r="B1940" s="1" t="s">
        <v>3980</v>
      </c>
      <c r="C1940" s="1" t="s">
        <v>5838</v>
      </c>
      <c r="D1940" s="1" t="str">
        <f t="shared" si="90"/>
        <v>København KommuneNørregade 27-29</v>
      </c>
      <c r="E1940" s="1" t="s">
        <v>5839</v>
      </c>
      <c r="F1940" s="1" t="s">
        <v>5840</v>
      </c>
      <c r="G1940" s="1">
        <v>1939</v>
      </c>
      <c r="H1940" s="1" t="s">
        <v>701</v>
      </c>
      <c r="I1940" s="6" cm="1">
        <f t="array" ref="I1940">GetLatitude(D1940)</f>
        <v>556760968</v>
      </c>
      <c r="J1940" s="1" cm="1">
        <f t="array" ref="J1940">GetLongitude(D1940)</f>
        <v>125683371</v>
      </c>
      <c r="K1940" s="1">
        <f t="shared" si="91"/>
        <v>55.676096800000003</v>
      </c>
      <c r="L1940" s="1">
        <f t="shared" si="92"/>
        <v>12.568337100000001</v>
      </c>
    </row>
    <row r="1941" spans="1:12" ht="16" x14ac:dyDescent="0.2">
      <c r="A1941" s="1">
        <v>1940</v>
      </c>
      <c r="B1941" s="1" t="s">
        <v>3980</v>
      </c>
      <c r="C1941" s="1" t="s">
        <v>3449</v>
      </c>
      <c r="D1941" s="1" t="str">
        <f t="shared" si="90"/>
        <v>København KommuneNørregade 31</v>
      </c>
      <c r="E1941" s="1" t="s">
        <v>5841</v>
      </c>
      <c r="F1941" s="1" t="s">
        <v>5842</v>
      </c>
      <c r="G1941" s="1">
        <v>1939</v>
      </c>
      <c r="H1941" s="1" t="s">
        <v>701</v>
      </c>
      <c r="I1941" s="6" cm="1">
        <f t="array" ref="I1941">GetLatitude(D1941)</f>
        <v>556809303</v>
      </c>
      <c r="J1941" s="1" cm="1">
        <f t="array" ref="J1941">GetLongitude(D1941)</f>
        <v>125710281</v>
      </c>
      <c r="K1941" s="1">
        <f t="shared" si="91"/>
        <v>55.6809303</v>
      </c>
      <c r="L1941" s="1">
        <f t="shared" si="92"/>
        <v>12.571028099999999</v>
      </c>
    </row>
    <row r="1942" spans="1:12" ht="16" x14ac:dyDescent="0.2">
      <c r="A1942" s="1">
        <v>1941</v>
      </c>
      <c r="B1942" s="1" t="s">
        <v>3980</v>
      </c>
      <c r="C1942" s="1" t="s">
        <v>5843</v>
      </c>
      <c r="D1942" s="1" t="str">
        <f t="shared" si="90"/>
        <v>København KommuneNørregade 33</v>
      </c>
      <c r="E1942" s="1" t="s">
        <v>5844</v>
      </c>
      <c r="F1942" s="1" t="s">
        <v>5845</v>
      </c>
      <c r="G1942" s="1">
        <v>1939</v>
      </c>
      <c r="H1942" s="1" t="s">
        <v>701</v>
      </c>
      <c r="I1942" s="6" cm="1">
        <f t="array" ref="I1942">GetLatitude(D1942)</f>
        <v>556810561</v>
      </c>
      <c r="J1942" s="1" cm="1">
        <f t="array" ref="J1942">GetLongitude(D1942)</f>
        <v>125710385</v>
      </c>
      <c r="K1942" s="1">
        <f t="shared" si="91"/>
        <v>55.681056099999999</v>
      </c>
      <c r="L1942" s="1">
        <f t="shared" si="92"/>
        <v>12.5710385</v>
      </c>
    </row>
    <row r="1943" spans="1:12" ht="16" x14ac:dyDescent="0.2">
      <c r="A1943" s="1">
        <v>1942</v>
      </c>
      <c r="B1943" s="1" t="s">
        <v>3980</v>
      </c>
      <c r="C1943" s="1" t="s">
        <v>2588</v>
      </c>
      <c r="D1943" s="1" t="str">
        <f t="shared" si="90"/>
        <v>København KommuneNørregade 4</v>
      </c>
      <c r="E1943" s="1" t="s">
        <v>2589</v>
      </c>
      <c r="F1943" s="1" t="s">
        <v>5846</v>
      </c>
      <c r="G1943" s="1">
        <v>1945</v>
      </c>
      <c r="H1943" s="1" t="s">
        <v>11</v>
      </c>
      <c r="I1943" s="6" cm="1">
        <f t="array" ref="I1943">GetLatitude(D1943)</f>
        <v>556787476</v>
      </c>
      <c r="J1943" s="1" cm="1">
        <f t="array" ref="J1943">GetLongitude(D1943)</f>
        <v>125722512</v>
      </c>
      <c r="K1943" s="1">
        <f t="shared" si="91"/>
        <v>55.678747600000001</v>
      </c>
      <c r="L1943" s="1">
        <f t="shared" si="92"/>
        <v>12.5722512</v>
      </c>
    </row>
    <row r="1944" spans="1:12" ht="16" x14ac:dyDescent="0.2">
      <c r="A1944" s="1">
        <v>1943</v>
      </c>
      <c r="B1944" s="1" t="s">
        <v>3980</v>
      </c>
      <c r="C1944" s="1" t="s">
        <v>5847</v>
      </c>
      <c r="D1944" s="1" t="str">
        <f t="shared" si="90"/>
        <v>København KommuneNørregade 6, hj af Dyrkøb</v>
      </c>
      <c r="E1944" s="1" t="s">
        <v>5848</v>
      </c>
      <c r="F1944" s="1" t="s">
        <v>5849</v>
      </c>
      <c r="G1944" s="1">
        <v>1945</v>
      </c>
      <c r="H1944" s="1" t="s">
        <v>5850</v>
      </c>
      <c r="I1944" s="6" cm="1">
        <f t="array" ref="I1944">GetLatitude(D1944)</f>
        <v>556791237</v>
      </c>
      <c r="J1944" s="1" cm="1">
        <f t="array" ref="J1944">GetLongitude(D1944)</f>
        <v>125729364</v>
      </c>
      <c r="K1944" s="1">
        <f t="shared" si="91"/>
        <v>55.679123699999998</v>
      </c>
      <c r="L1944" s="1">
        <f t="shared" si="92"/>
        <v>12.5729364</v>
      </c>
    </row>
    <row r="1945" spans="1:12" ht="16" x14ac:dyDescent="0.2">
      <c r="A1945" s="1">
        <v>1944</v>
      </c>
      <c r="B1945" s="1" t="s">
        <v>3980</v>
      </c>
      <c r="C1945" s="1" t="s">
        <v>5851</v>
      </c>
      <c r="D1945" s="1" t="str">
        <f t="shared" si="90"/>
        <v>København KommuneNørre Søgade 7</v>
      </c>
      <c r="E1945" s="1" t="s">
        <v>5852</v>
      </c>
      <c r="F1945" s="1" t="s">
        <v>5853</v>
      </c>
      <c r="G1945" s="1">
        <v>1978</v>
      </c>
      <c r="H1945" s="1" t="s">
        <v>11</v>
      </c>
      <c r="I1945" s="6" cm="1">
        <f t="array" ref="I1945">GetLatitude(D1945)</f>
        <v>556851885</v>
      </c>
      <c r="J1945" s="1" cm="1">
        <f t="array" ref="J1945">GetLongitude(D1945)</f>
        <v>125645552</v>
      </c>
      <c r="K1945" s="1">
        <f t="shared" si="91"/>
        <v>55.685188500000002</v>
      </c>
      <c r="L1945" s="1">
        <f t="shared" si="92"/>
        <v>12.564555199999999</v>
      </c>
    </row>
    <row r="1946" spans="1:12" ht="16" x14ac:dyDescent="0.2">
      <c r="A1946" s="1">
        <v>1945</v>
      </c>
      <c r="B1946" s="1" t="s">
        <v>3980</v>
      </c>
      <c r="C1946" s="1" t="s">
        <v>5854</v>
      </c>
      <c r="D1946" s="1" t="str">
        <f t="shared" si="90"/>
        <v>København KommuneNørre Voldgade 1</v>
      </c>
      <c r="E1946" s="1" t="s">
        <v>5855</v>
      </c>
      <c r="F1946" s="1" t="s">
        <v>5856</v>
      </c>
      <c r="G1946" s="1">
        <v>1997</v>
      </c>
      <c r="H1946" s="1" t="s">
        <v>15</v>
      </c>
      <c r="I1946" s="6" cm="1">
        <f t="array" ref="I1946">GetLatitude(D1946)</f>
        <v>556808303</v>
      </c>
      <c r="J1946" s="1" cm="1">
        <f t="array" ref="J1946">GetLongitude(D1946)</f>
        <v>125673123</v>
      </c>
      <c r="K1946" s="1">
        <f t="shared" si="91"/>
        <v>55.680830299999997</v>
      </c>
      <c r="L1946" s="1">
        <f t="shared" si="92"/>
        <v>12.567312299999999</v>
      </c>
    </row>
    <row r="1947" spans="1:12" ht="16" x14ac:dyDescent="0.2">
      <c r="A1947" s="1">
        <v>1946</v>
      </c>
      <c r="B1947" s="1" t="s">
        <v>3980</v>
      </c>
      <c r="C1947" s="1" t="s">
        <v>5857</v>
      </c>
      <c r="D1947" s="1" t="str">
        <f t="shared" si="90"/>
        <v>København KommuneNørre Voldgade 102</v>
      </c>
      <c r="E1947" s="1" t="s">
        <v>5858</v>
      </c>
      <c r="F1947" s="1" t="s">
        <v>5859</v>
      </c>
      <c r="G1947" s="1">
        <v>1978</v>
      </c>
      <c r="H1947" s="1" t="s">
        <v>99</v>
      </c>
      <c r="I1947" s="6" cm="1">
        <f t="array" ref="I1947">GetLatitude(D1947)</f>
        <v>556839113</v>
      </c>
      <c r="J1947" s="1" cm="1">
        <f t="array" ref="J1947">GetLongitude(D1947)</f>
        <v>125734711</v>
      </c>
      <c r="K1947" s="1">
        <f t="shared" si="91"/>
        <v>55.683911299999998</v>
      </c>
      <c r="L1947" s="1">
        <f t="shared" si="92"/>
        <v>12.573471100000001</v>
      </c>
    </row>
    <row r="1948" spans="1:12" ht="16" x14ac:dyDescent="0.2">
      <c r="A1948" s="1">
        <v>1947</v>
      </c>
      <c r="B1948" s="1" t="s">
        <v>3980</v>
      </c>
      <c r="C1948" s="1" t="s">
        <v>5860</v>
      </c>
      <c r="D1948" s="1" t="str">
        <f t="shared" si="90"/>
        <v>København KommuneNørre Voldgade 104</v>
      </c>
      <c r="E1948" s="1" t="s">
        <v>5861</v>
      </c>
      <c r="F1948" s="1" t="s">
        <v>5862</v>
      </c>
      <c r="G1948" s="1">
        <v>1975</v>
      </c>
      <c r="H1948" s="1" t="s">
        <v>11</v>
      </c>
      <c r="I1948" s="6" cm="1">
        <f t="array" ref="I1948">GetLatitude(D1948)</f>
        <v>556839741</v>
      </c>
      <c r="J1948" s="1" cm="1">
        <f t="array" ref="J1948">GetLongitude(D1948)</f>
        <v>125735869</v>
      </c>
      <c r="K1948" s="1">
        <f t="shared" si="91"/>
        <v>55.6839741</v>
      </c>
      <c r="L1948" s="1">
        <f t="shared" si="92"/>
        <v>12.5735869</v>
      </c>
    </row>
    <row r="1949" spans="1:12" ht="16" x14ac:dyDescent="0.2">
      <c r="A1949" s="1">
        <v>1948</v>
      </c>
      <c r="B1949" s="1" t="s">
        <v>3980</v>
      </c>
      <c r="C1949" s="1" t="s">
        <v>5863</v>
      </c>
      <c r="D1949" s="1" t="str">
        <f t="shared" si="90"/>
        <v>København KommuneNørre Voldgade 16</v>
      </c>
      <c r="E1949" s="1" t="s">
        <v>5864</v>
      </c>
      <c r="F1949" s="1" t="s">
        <v>5865</v>
      </c>
      <c r="G1949" s="1">
        <v>1939</v>
      </c>
      <c r="H1949" s="1" t="s">
        <v>11</v>
      </c>
      <c r="I1949" s="6" cm="1">
        <f t="array" ref="I1949">GetLatitude(D1949)</f>
        <v>556795952</v>
      </c>
      <c r="J1949" s="1" cm="1">
        <f t="array" ref="J1949">GetLongitude(D1949)</f>
        <v>125673777</v>
      </c>
      <c r="K1949" s="1">
        <f t="shared" si="91"/>
        <v>55.679595200000001</v>
      </c>
      <c r="L1949" s="1">
        <f t="shared" si="92"/>
        <v>12.5673777</v>
      </c>
    </row>
    <row r="1950" spans="1:12" ht="16" x14ac:dyDescent="0.2">
      <c r="A1950" s="1">
        <v>1949</v>
      </c>
      <c r="B1950" s="1" t="s">
        <v>3980</v>
      </c>
      <c r="C1950" s="1" t="s">
        <v>5866</v>
      </c>
      <c r="D1950" s="1" t="str">
        <f t="shared" si="90"/>
        <v>København KommuneNørre Voldgade 22</v>
      </c>
      <c r="E1950" s="1" t="s">
        <v>5867</v>
      </c>
      <c r="F1950" s="1" t="s">
        <v>5868</v>
      </c>
      <c r="G1950" s="1">
        <v>1988</v>
      </c>
      <c r="H1950" s="1" t="s">
        <v>11</v>
      </c>
      <c r="I1950" s="6" cm="1">
        <f t="array" ref="I1950">GetLatitude(D1950)</f>
        <v>556801022</v>
      </c>
      <c r="J1950" s="1" cm="1">
        <f t="array" ref="J1950">GetLongitude(D1950)</f>
        <v>125680148</v>
      </c>
      <c r="K1950" s="1">
        <f t="shared" si="91"/>
        <v>55.6801022</v>
      </c>
      <c r="L1950" s="1">
        <f t="shared" si="92"/>
        <v>12.5680148</v>
      </c>
    </row>
    <row r="1951" spans="1:12" ht="16" x14ac:dyDescent="0.2">
      <c r="A1951" s="1">
        <v>1950</v>
      </c>
      <c r="B1951" s="1" t="s">
        <v>3980</v>
      </c>
      <c r="C1951" s="1" t="s">
        <v>5869</v>
      </c>
      <c r="D1951" s="1" t="str">
        <f t="shared" si="90"/>
        <v>København KommuneOlfert Fischers Gade 5</v>
      </c>
      <c r="E1951" s="1" t="s">
        <v>5870</v>
      </c>
      <c r="F1951" s="1" t="s">
        <v>5871</v>
      </c>
      <c r="G1951" s="1">
        <v>1979</v>
      </c>
      <c r="H1951" s="1" t="s">
        <v>11</v>
      </c>
      <c r="I1951" s="6" cm="1">
        <f t="array" ref="I1951">GetLatitude(D1951)</f>
        <v>556865934</v>
      </c>
      <c r="J1951" s="1" cm="1">
        <f t="array" ref="J1951">GetLongitude(D1951)</f>
        <v>125887651</v>
      </c>
      <c r="K1951" s="1">
        <f t="shared" si="91"/>
        <v>55.6865934</v>
      </c>
      <c r="L1951" s="1">
        <f t="shared" si="92"/>
        <v>12.5887651</v>
      </c>
    </row>
    <row r="1952" spans="1:12" ht="16" x14ac:dyDescent="0.2">
      <c r="A1952" s="1">
        <v>1951</v>
      </c>
      <c r="B1952" s="1" t="s">
        <v>3980</v>
      </c>
      <c r="C1952" s="1" t="s">
        <v>5872</v>
      </c>
      <c r="D1952" s="1" t="str">
        <f t="shared" si="90"/>
        <v>København KommuneOlfert Fischersgade 7</v>
      </c>
      <c r="E1952" s="1" t="s">
        <v>5873</v>
      </c>
      <c r="F1952" s="1" t="s">
        <v>5874</v>
      </c>
      <c r="G1952" s="1">
        <v>1979</v>
      </c>
      <c r="H1952" s="1" t="s">
        <v>1483</v>
      </c>
      <c r="I1952" s="6" cm="1">
        <f t="array" ref="I1952">GetLatitude(D1952)</f>
        <v>556866313</v>
      </c>
      <c r="J1952" s="1" cm="1">
        <f t="array" ref="J1952">GetLongitude(D1952)</f>
        <v>125884526</v>
      </c>
      <c r="K1952" s="1">
        <f t="shared" si="91"/>
        <v>55.686631300000002</v>
      </c>
      <c r="L1952" s="1">
        <f t="shared" si="92"/>
        <v>12.5884526</v>
      </c>
    </row>
    <row r="1953" spans="1:12" ht="16" x14ac:dyDescent="0.2">
      <c r="A1953" s="1">
        <v>1952</v>
      </c>
      <c r="B1953" s="1" t="s">
        <v>3980</v>
      </c>
      <c r="C1953" s="1" t="s">
        <v>5875</v>
      </c>
      <c r="D1953" s="1" t="str">
        <f t="shared" si="90"/>
        <v>København KommuneOslo Plads 1</v>
      </c>
      <c r="E1953" s="1" t="s">
        <v>5876</v>
      </c>
      <c r="F1953" s="1" t="s">
        <v>5877</v>
      </c>
      <c r="G1953" s="1">
        <v>1987</v>
      </c>
      <c r="H1953" s="1" t="s">
        <v>11</v>
      </c>
      <c r="I1953" s="6" cm="1">
        <f t="array" ref="I1953">GetLatitude(D1953)</f>
        <v>556914793</v>
      </c>
      <c r="J1953" s="1" cm="1">
        <f t="array" ref="J1953">GetLongitude(D1953)</f>
        <v>125873081</v>
      </c>
      <c r="K1953" s="1">
        <f t="shared" si="91"/>
        <v>55.691479299999997</v>
      </c>
      <c r="L1953" s="1">
        <f t="shared" si="92"/>
        <v>12.5873081</v>
      </c>
    </row>
    <row r="1954" spans="1:12" ht="16" x14ac:dyDescent="0.2">
      <c r="A1954" s="1">
        <v>1953</v>
      </c>
      <c r="B1954" s="1" t="s">
        <v>3980</v>
      </c>
      <c r="C1954" s="1" t="s">
        <v>5878</v>
      </c>
      <c r="D1954" s="1" t="str">
        <f t="shared" si="90"/>
        <v>København KommuneOslo Plads 6-10</v>
      </c>
      <c r="E1954" s="1" t="s">
        <v>5879</v>
      </c>
      <c r="F1954" s="1" t="s">
        <v>5880</v>
      </c>
      <c r="G1954" s="1">
        <v>1992</v>
      </c>
      <c r="H1954" s="1" t="s">
        <v>15</v>
      </c>
      <c r="I1954" s="6" cm="1">
        <f t="array" ref="I1954">GetLatitude(D1954)</f>
        <v>556923980</v>
      </c>
      <c r="J1954" s="1" cm="1">
        <f t="array" ref="J1954">GetLongitude(D1954)</f>
        <v>125874210</v>
      </c>
      <c r="K1954" s="1">
        <f t="shared" si="91"/>
        <v>55.692397999999997</v>
      </c>
      <c r="L1954" s="1">
        <f t="shared" si="92"/>
        <v>12.587421000000001</v>
      </c>
    </row>
    <row r="1955" spans="1:12" ht="16" x14ac:dyDescent="0.2">
      <c r="A1955" s="1">
        <v>1954</v>
      </c>
      <c r="B1955" s="1" t="s">
        <v>3980</v>
      </c>
      <c r="C1955" s="1" t="s">
        <v>5881</v>
      </c>
      <c r="D1955" s="1" t="str">
        <f t="shared" si="90"/>
        <v>København KommuneOtto Mønsteds Gade 2 (tidl Polititorvet 14)</v>
      </c>
      <c r="E1955" s="1" t="s">
        <v>5882</v>
      </c>
      <c r="F1955" s="1" t="s">
        <v>5883</v>
      </c>
      <c r="G1955" s="1">
        <v>1995</v>
      </c>
      <c r="H1955" s="1" t="s">
        <v>15</v>
      </c>
      <c r="I1955" s="6" cm="1">
        <f t="array" ref="I1955">GetLatitude(D1955)</f>
        <v>556711455</v>
      </c>
      <c r="J1955" s="1" cm="1">
        <f t="array" ref="J1955">GetLongitude(D1955)</f>
        <v>125722426</v>
      </c>
      <c r="K1955" s="1">
        <f t="shared" si="91"/>
        <v>55.671145500000002</v>
      </c>
      <c r="L1955" s="1">
        <f t="shared" si="92"/>
        <v>12.572242599999999</v>
      </c>
    </row>
    <row r="1956" spans="1:12" ht="16" x14ac:dyDescent="0.2">
      <c r="A1956" s="1">
        <v>1955</v>
      </c>
      <c r="B1956" s="1" t="s">
        <v>3980</v>
      </c>
      <c r="C1956" s="1" t="s">
        <v>5884</v>
      </c>
      <c r="D1956" s="1" t="str">
        <f t="shared" si="90"/>
        <v>København KommuneOvergaden neden Vandet 11</v>
      </c>
      <c r="E1956" s="1" t="s">
        <v>5885</v>
      </c>
      <c r="F1956" s="1" t="s">
        <v>5886</v>
      </c>
      <c r="G1956" s="1">
        <v>1918</v>
      </c>
      <c r="H1956" s="1" t="s">
        <v>11</v>
      </c>
      <c r="I1956" s="6" cm="1">
        <f t="array" ref="I1956">GetLatitude(D1956)</f>
        <v>556721733</v>
      </c>
      <c r="J1956" s="1" cm="1">
        <f t="array" ref="J1956">GetLongitude(D1956)</f>
        <v>125895899</v>
      </c>
      <c r="K1956" s="1">
        <f t="shared" si="91"/>
        <v>55.672173299999997</v>
      </c>
      <c r="L1956" s="1">
        <f t="shared" si="92"/>
        <v>12.5895899</v>
      </c>
    </row>
    <row r="1957" spans="1:12" ht="16" x14ac:dyDescent="0.2">
      <c r="A1957" s="1">
        <v>1956</v>
      </c>
      <c r="B1957" s="1" t="s">
        <v>3980</v>
      </c>
      <c r="C1957" s="1" t="s">
        <v>5887</v>
      </c>
      <c r="D1957" s="1" t="str">
        <f t="shared" si="90"/>
        <v>København KommuneOvergaden neden Vandet 15</v>
      </c>
      <c r="E1957" s="1" t="s">
        <v>5888</v>
      </c>
      <c r="F1957" s="1" t="s">
        <v>5889</v>
      </c>
      <c r="G1957" s="1">
        <v>1980</v>
      </c>
      <c r="H1957" s="1" t="s">
        <v>11</v>
      </c>
      <c r="I1957" s="6" cm="1">
        <f t="array" ref="I1957">GetLatitude(D1957)</f>
        <v>556723572</v>
      </c>
      <c r="J1957" s="1" cm="1">
        <f t="array" ref="J1957">GetLongitude(D1957)</f>
        <v>125899411</v>
      </c>
      <c r="K1957" s="1">
        <f t="shared" si="91"/>
        <v>55.6723572</v>
      </c>
      <c r="L1957" s="1">
        <f t="shared" si="92"/>
        <v>12.589941100000001</v>
      </c>
    </row>
    <row r="1958" spans="1:12" ht="16" x14ac:dyDescent="0.2">
      <c r="A1958" s="1">
        <v>1957</v>
      </c>
      <c r="B1958" s="1" t="s">
        <v>3980</v>
      </c>
      <c r="C1958" s="1" t="s">
        <v>5890</v>
      </c>
      <c r="D1958" s="1" t="str">
        <f t="shared" si="90"/>
        <v>København KommuneOvergaden neden Vandet 19</v>
      </c>
      <c r="E1958" s="1" t="s">
        <v>5891</v>
      </c>
      <c r="F1958" s="1" t="s">
        <v>5892</v>
      </c>
      <c r="G1958" s="1">
        <v>1959</v>
      </c>
      <c r="H1958" s="1" t="s">
        <v>11</v>
      </c>
      <c r="I1958" s="6" cm="1">
        <f t="array" ref="I1958">GetLatitude(D1958)</f>
        <v>556725594</v>
      </c>
      <c r="J1958" s="1" cm="1">
        <f t="array" ref="J1958">GetLongitude(D1958)</f>
        <v>125904163</v>
      </c>
      <c r="K1958" s="1">
        <f t="shared" si="91"/>
        <v>55.672559399999997</v>
      </c>
      <c r="L1958" s="1">
        <f t="shared" si="92"/>
        <v>12.590416299999999</v>
      </c>
    </row>
    <row r="1959" spans="1:12" ht="16" x14ac:dyDescent="0.2">
      <c r="A1959" s="1">
        <v>1958</v>
      </c>
      <c r="B1959" s="1" t="s">
        <v>3980</v>
      </c>
      <c r="C1959" s="1" t="s">
        <v>5893</v>
      </c>
      <c r="D1959" s="1" t="str">
        <f t="shared" si="90"/>
        <v>København KommuneOvergaden neden Vandet 31</v>
      </c>
      <c r="E1959" s="1" t="s">
        <v>5894</v>
      </c>
      <c r="F1959" s="1" t="s">
        <v>5895</v>
      </c>
      <c r="G1959" s="1">
        <v>1918</v>
      </c>
      <c r="H1959" s="1" t="s">
        <v>11</v>
      </c>
      <c r="I1959" s="6" cm="1">
        <f t="array" ref="I1959">GetLatitude(D1959)</f>
        <v>556716447</v>
      </c>
      <c r="J1959" s="1" cm="1">
        <f t="array" ref="J1959">GetLongitude(D1959)</f>
        <v>125898218</v>
      </c>
      <c r="K1959" s="1">
        <f t="shared" si="91"/>
        <v>55.671644700000002</v>
      </c>
      <c r="L1959" s="1">
        <f t="shared" si="92"/>
        <v>12.589821799999999</v>
      </c>
    </row>
    <row r="1960" spans="1:12" ht="16" x14ac:dyDescent="0.2">
      <c r="A1960" s="1">
        <v>1959</v>
      </c>
      <c r="B1960" s="1" t="s">
        <v>3980</v>
      </c>
      <c r="C1960" s="1" t="s">
        <v>5896</v>
      </c>
      <c r="D1960" s="1" t="str">
        <f t="shared" si="90"/>
        <v>København KommuneOvergaden neden Vandet 33</v>
      </c>
      <c r="E1960" s="1" t="s">
        <v>5897</v>
      </c>
      <c r="F1960" s="1" t="s">
        <v>5898</v>
      </c>
      <c r="G1960" s="1">
        <v>1918</v>
      </c>
      <c r="H1960" s="1" t="s">
        <v>11</v>
      </c>
      <c r="I1960" s="6" cm="1">
        <f t="array" ref="I1960">GetLatitude(D1960)</f>
        <v>556731229</v>
      </c>
      <c r="J1960" s="1" cm="1">
        <f t="array" ref="J1960">GetLongitude(D1960)</f>
        <v>125913247</v>
      </c>
      <c r="K1960" s="1">
        <f t="shared" si="91"/>
        <v>55.673122900000003</v>
      </c>
      <c r="L1960" s="1">
        <f t="shared" si="92"/>
        <v>12.591324699999999</v>
      </c>
    </row>
    <row r="1961" spans="1:12" ht="16" x14ac:dyDescent="0.2">
      <c r="A1961" s="1">
        <v>1960</v>
      </c>
      <c r="B1961" s="1" t="s">
        <v>3980</v>
      </c>
      <c r="C1961" s="1" t="s">
        <v>5899</v>
      </c>
      <c r="D1961" s="1" t="str">
        <f t="shared" si="90"/>
        <v>København KommuneOvergaden neden Vandet 37</v>
      </c>
      <c r="E1961" s="1" t="s">
        <v>5900</v>
      </c>
      <c r="F1961" s="1" t="s">
        <v>5901</v>
      </c>
      <c r="G1961" s="1">
        <v>1950</v>
      </c>
      <c r="H1961" s="1" t="s">
        <v>11</v>
      </c>
      <c r="I1961" s="6" cm="1">
        <f t="array" ref="I1961">GetLatitude(D1961)</f>
        <v>556733405</v>
      </c>
      <c r="J1961" s="1" cm="1">
        <f t="array" ref="J1961">GetLongitude(D1961)</f>
        <v>125916125</v>
      </c>
      <c r="K1961" s="1">
        <f t="shared" si="91"/>
        <v>55.673340500000002</v>
      </c>
      <c r="L1961" s="1">
        <f t="shared" si="92"/>
        <v>12.5916125</v>
      </c>
    </row>
    <row r="1962" spans="1:12" ht="16" x14ac:dyDescent="0.2">
      <c r="A1962" s="1">
        <v>1961</v>
      </c>
      <c r="B1962" s="1" t="s">
        <v>3980</v>
      </c>
      <c r="C1962" s="1" t="s">
        <v>5902</v>
      </c>
      <c r="D1962" s="1" t="str">
        <f t="shared" si="90"/>
        <v>København KommuneOvergaden neden Vandet 39</v>
      </c>
      <c r="E1962" s="1" t="s">
        <v>5897</v>
      </c>
      <c r="F1962" s="1" t="s">
        <v>5903</v>
      </c>
      <c r="G1962" s="1">
        <v>1918</v>
      </c>
      <c r="H1962" s="1" t="s">
        <v>11</v>
      </c>
      <c r="I1962" s="6" cm="1">
        <f t="array" ref="I1962">GetLatitude(D1962)</f>
        <v>556734511</v>
      </c>
      <c r="J1962" s="1" cm="1">
        <f t="array" ref="J1962">GetLongitude(D1962)</f>
        <v>125917149</v>
      </c>
      <c r="K1962" s="1">
        <f t="shared" si="91"/>
        <v>55.673451100000001</v>
      </c>
      <c r="L1962" s="1">
        <f t="shared" si="92"/>
        <v>12.591714899999999</v>
      </c>
    </row>
    <row r="1963" spans="1:12" ht="16" x14ac:dyDescent="0.2">
      <c r="A1963" s="1">
        <v>1962</v>
      </c>
      <c r="B1963" s="1" t="s">
        <v>3980</v>
      </c>
      <c r="C1963" s="1" t="s">
        <v>5904</v>
      </c>
      <c r="D1963" s="1" t="str">
        <f t="shared" si="90"/>
        <v>København KommuneOvergaden neden Vandet 45-47</v>
      </c>
      <c r="E1963" s="1" t="s">
        <v>5905</v>
      </c>
      <c r="F1963" s="1" t="s">
        <v>5906</v>
      </c>
      <c r="G1963" s="1">
        <v>1945</v>
      </c>
      <c r="H1963" s="1" t="s">
        <v>11</v>
      </c>
      <c r="I1963" s="6" cm="1">
        <f t="array" ref="I1963">GetLatitude(D1963)</f>
        <v>556738319</v>
      </c>
      <c r="J1963" s="1" cm="1">
        <f t="array" ref="J1963">GetLongitude(D1963)</f>
        <v>125922920</v>
      </c>
      <c r="K1963" s="1">
        <f t="shared" si="91"/>
        <v>55.673831900000003</v>
      </c>
      <c r="L1963" s="1">
        <f t="shared" si="92"/>
        <v>12.592292</v>
      </c>
    </row>
    <row r="1964" spans="1:12" ht="16" x14ac:dyDescent="0.2">
      <c r="A1964" s="1">
        <v>1963</v>
      </c>
      <c r="B1964" s="1" t="s">
        <v>3980</v>
      </c>
      <c r="C1964" s="1" t="s">
        <v>5907</v>
      </c>
      <c r="D1964" s="1" t="str">
        <f t="shared" si="90"/>
        <v>København KommuneOvergaden neden Vandet 49, 51 A-B og Wildersgade 60-62</v>
      </c>
      <c r="E1964" s="1" t="s">
        <v>5908</v>
      </c>
      <c r="F1964" s="1" t="s">
        <v>5909</v>
      </c>
      <c r="G1964" s="1">
        <v>1932</v>
      </c>
      <c r="H1964" s="1" t="s">
        <v>11</v>
      </c>
      <c r="I1964" s="6" cm="1">
        <f t="array" ref="I1964">GetLatitude(D1964)</f>
        <v>556738510</v>
      </c>
      <c r="J1964" s="1" cm="1">
        <f t="array" ref="J1964">GetLongitude(D1964)</f>
        <v>125924952</v>
      </c>
      <c r="K1964" s="1">
        <f t="shared" si="91"/>
        <v>55.673850999999999</v>
      </c>
      <c r="L1964" s="1">
        <f t="shared" si="92"/>
        <v>12.5924952</v>
      </c>
    </row>
    <row r="1965" spans="1:12" ht="16" x14ac:dyDescent="0.2">
      <c r="A1965" s="1">
        <v>1964</v>
      </c>
      <c r="B1965" s="1" t="s">
        <v>3980</v>
      </c>
      <c r="C1965" s="1" t="s">
        <v>5910</v>
      </c>
      <c r="D1965" s="1" t="str">
        <f t="shared" si="90"/>
        <v>København KommuneOvergaden neden Vandet 9</v>
      </c>
      <c r="E1965" s="1" t="s">
        <v>5911</v>
      </c>
      <c r="F1965" s="1" t="s">
        <v>5912</v>
      </c>
      <c r="G1965" s="1">
        <v>1945</v>
      </c>
      <c r="H1965" s="1" t="s">
        <v>11</v>
      </c>
      <c r="I1965" s="6" cm="1">
        <f t="array" ref="I1965">GetLatitude(D1965)</f>
        <v>556707999</v>
      </c>
      <c r="J1965" s="1" cm="1">
        <f t="array" ref="J1965">GetLongitude(D1965)</f>
        <v>125884536</v>
      </c>
      <c r="K1965" s="1">
        <f t="shared" si="91"/>
        <v>55.670799899999999</v>
      </c>
      <c r="L1965" s="1">
        <f t="shared" si="92"/>
        <v>12.588453599999999</v>
      </c>
    </row>
    <row r="1966" spans="1:12" ht="16" x14ac:dyDescent="0.2">
      <c r="A1966" s="1">
        <v>1965</v>
      </c>
      <c r="B1966" s="1" t="s">
        <v>3980</v>
      </c>
      <c r="C1966" s="1" t="s">
        <v>5913</v>
      </c>
      <c r="D1966" s="1" t="str">
        <f t="shared" si="90"/>
        <v>København KommuneOvergaden oven Vandet 10</v>
      </c>
      <c r="E1966" s="1" t="s">
        <v>5914</v>
      </c>
      <c r="F1966" s="1" t="s">
        <v>5915</v>
      </c>
      <c r="G1966" s="1">
        <v>1918</v>
      </c>
      <c r="H1966" s="1" t="s">
        <v>11</v>
      </c>
      <c r="I1966" s="6" cm="1">
        <f t="array" ref="I1966">GetLatitude(D1966)</f>
        <v>556708236</v>
      </c>
      <c r="J1966" s="1" cm="1">
        <f t="array" ref="J1966">GetLongitude(D1966)</f>
        <v>125886595</v>
      </c>
      <c r="K1966" s="1">
        <f t="shared" si="91"/>
        <v>55.670823599999999</v>
      </c>
      <c r="L1966" s="1">
        <f t="shared" si="92"/>
        <v>12.5886595</v>
      </c>
    </row>
    <row r="1967" spans="1:12" ht="16" x14ac:dyDescent="0.2">
      <c r="A1967" s="1">
        <v>1966</v>
      </c>
      <c r="B1967" s="1" t="s">
        <v>3980</v>
      </c>
      <c r="C1967" s="1" t="s">
        <v>5916</v>
      </c>
      <c r="D1967" s="1" t="str">
        <f t="shared" si="90"/>
        <v>København KommuneOvergaden oven Vandet 12-14</v>
      </c>
      <c r="E1967" s="1" t="s">
        <v>5917</v>
      </c>
      <c r="F1967" s="1" t="s">
        <v>5918</v>
      </c>
      <c r="G1967" s="1">
        <v>1918</v>
      </c>
      <c r="H1967" s="1" t="s">
        <v>11</v>
      </c>
      <c r="I1967" s="6" cm="1">
        <f t="array" ref="I1967">GetLatitude(D1967)</f>
        <v>556709010</v>
      </c>
      <c r="J1967" s="1" cm="1">
        <f t="array" ref="J1967">GetLongitude(D1967)</f>
        <v>125888056</v>
      </c>
      <c r="K1967" s="1">
        <f t="shared" si="91"/>
        <v>55.670901000000001</v>
      </c>
      <c r="L1967" s="1">
        <f t="shared" si="92"/>
        <v>12.588805600000001</v>
      </c>
    </row>
    <row r="1968" spans="1:12" ht="16" x14ac:dyDescent="0.2">
      <c r="A1968" s="1">
        <v>1967</v>
      </c>
      <c r="B1968" s="1" t="s">
        <v>3980</v>
      </c>
      <c r="C1968" s="1" t="s">
        <v>5919</v>
      </c>
      <c r="D1968" s="1" t="str">
        <f t="shared" si="90"/>
        <v>København KommuneOvergaden oven Vandet 18</v>
      </c>
      <c r="E1968" s="1" t="s">
        <v>5920</v>
      </c>
      <c r="F1968" s="1" t="s">
        <v>5395</v>
      </c>
      <c r="G1968" s="1">
        <v>1918</v>
      </c>
      <c r="H1968" s="1" t="s">
        <v>11</v>
      </c>
      <c r="I1968" s="6" cm="1">
        <f t="array" ref="I1968">GetLatitude(D1968)</f>
        <v>556709887</v>
      </c>
      <c r="J1968" s="1" cm="1">
        <f t="array" ref="J1968">GetLongitude(D1968)</f>
        <v>125890054</v>
      </c>
      <c r="K1968" s="1">
        <f t="shared" si="91"/>
        <v>55.670988700000002</v>
      </c>
      <c r="L1968" s="1">
        <f t="shared" si="92"/>
        <v>12.5890054</v>
      </c>
    </row>
    <row r="1969" spans="1:12" ht="16" x14ac:dyDescent="0.2">
      <c r="A1969" s="1">
        <v>1968</v>
      </c>
      <c r="B1969" s="1" t="s">
        <v>3980</v>
      </c>
      <c r="C1969" s="1" t="s">
        <v>5921</v>
      </c>
      <c r="D1969" s="1" t="str">
        <f t="shared" si="90"/>
        <v>København KommuneOvergaden oven Vandet 20</v>
      </c>
      <c r="E1969" s="1" t="s">
        <v>5922</v>
      </c>
      <c r="F1969" s="1" t="s">
        <v>4352</v>
      </c>
      <c r="G1969" s="1">
        <v>1918</v>
      </c>
      <c r="H1969" s="1" t="s">
        <v>11</v>
      </c>
      <c r="I1969" s="6" cm="1">
        <f t="array" ref="I1969">GetLatitude(D1969)</f>
        <v>556710241</v>
      </c>
      <c r="J1969" s="1" cm="1">
        <f t="array" ref="J1969">GetLongitude(D1969)</f>
        <v>125890881</v>
      </c>
      <c r="K1969" s="1">
        <f t="shared" si="91"/>
        <v>55.671024099999997</v>
      </c>
      <c r="L1969" s="1">
        <f t="shared" si="92"/>
        <v>12.5890881</v>
      </c>
    </row>
    <row r="1970" spans="1:12" ht="16" x14ac:dyDescent="0.2">
      <c r="A1970" s="1">
        <v>1969</v>
      </c>
      <c r="B1970" s="1" t="s">
        <v>3980</v>
      </c>
      <c r="C1970" s="1" t="s">
        <v>5923</v>
      </c>
      <c r="D1970" s="1" t="str">
        <f t="shared" si="90"/>
        <v>København KommuneOvergaden oven Vandet 22</v>
      </c>
      <c r="E1970" s="1" t="s">
        <v>5924</v>
      </c>
      <c r="F1970" s="1" t="s">
        <v>5925</v>
      </c>
      <c r="G1970" s="1">
        <v>1945</v>
      </c>
      <c r="H1970" s="1" t="s">
        <v>15</v>
      </c>
      <c r="I1970" s="6" cm="1">
        <f t="array" ref="I1970">GetLatitude(D1970)</f>
        <v>556710661</v>
      </c>
      <c r="J1970" s="1" cm="1">
        <f t="array" ref="J1970">GetLongitude(D1970)</f>
        <v>125891083</v>
      </c>
      <c r="K1970" s="1">
        <f t="shared" si="91"/>
        <v>55.671066099999997</v>
      </c>
      <c r="L1970" s="1">
        <f t="shared" si="92"/>
        <v>12.589108299999999</v>
      </c>
    </row>
    <row r="1971" spans="1:12" ht="16" x14ac:dyDescent="0.2">
      <c r="A1971" s="1">
        <v>1970</v>
      </c>
      <c r="B1971" s="1" t="s">
        <v>3980</v>
      </c>
      <c r="C1971" s="1" t="s">
        <v>5926</v>
      </c>
      <c r="D1971" s="1" t="str">
        <f t="shared" si="90"/>
        <v>København KommuneOvergaden oven Vandet 24</v>
      </c>
      <c r="E1971" s="1" t="s">
        <v>5927</v>
      </c>
      <c r="F1971" s="1" t="s">
        <v>5928</v>
      </c>
      <c r="G1971" s="1">
        <v>1945</v>
      </c>
      <c r="H1971" s="1" t="s">
        <v>99</v>
      </c>
      <c r="I1971" s="6" cm="1">
        <f t="array" ref="I1971">GetLatitude(D1971)</f>
        <v>556711105</v>
      </c>
      <c r="J1971" s="1" cm="1">
        <f t="array" ref="J1971">GetLongitude(D1971)</f>
        <v>125892117</v>
      </c>
      <c r="K1971" s="1">
        <f t="shared" si="91"/>
        <v>55.671110499999998</v>
      </c>
      <c r="L1971" s="1">
        <f t="shared" si="92"/>
        <v>12.5892117</v>
      </c>
    </row>
    <row r="1972" spans="1:12" ht="16" x14ac:dyDescent="0.2">
      <c r="A1972" s="1">
        <v>1971</v>
      </c>
      <c r="B1972" s="1" t="s">
        <v>3980</v>
      </c>
      <c r="C1972" s="1" t="s">
        <v>5929</v>
      </c>
      <c r="D1972" s="1" t="str">
        <f t="shared" si="90"/>
        <v>København KommuneOvergaden oven Vandet 26</v>
      </c>
      <c r="E1972" s="1" t="s">
        <v>5930</v>
      </c>
      <c r="F1972" s="1" t="s">
        <v>5931</v>
      </c>
      <c r="G1972" s="1">
        <v>1945</v>
      </c>
      <c r="H1972" s="1" t="s">
        <v>11</v>
      </c>
      <c r="I1972" s="6" cm="1">
        <f t="array" ref="I1972">GetLatitude(D1972)</f>
        <v>556711879</v>
      </c>
      <c r="J1972" s="1" cm="1">
        <f t="array" ref="J1972">GetLongitude(D1972)</f>
        <v>125893146</v>
      </c>
      <c r="K1972" s="1">
        <f t="shared" si="91"/>
        <v>55.6711879</v>
      </c>
      <c r="L1972" s="1">
        <f t="shared" si="92"/>
        <v>12.5893146</v>
      </c>
    </row>
    <row r="1973" spans="1:12" ht="16" x14ac:dyDescent="0.2">
      <c r="A1973" s="1">
        <v>1972</v>
      </c>
      <c r="B1973" s="1" t="s">
        <v>3980</v>
      </c>
      <c r="C1973" s="1" t="s">
        <v>5932</v>
      </c>
      <c r="D1973" s="1" t="str">
        <f t="shared" si="90"/>
        <v>København KommuneOvergaden oven Vandet 28</v>
      </c>
      <c r="E1973" s="1" t="s">
        <v>5933</v>
      </c>
      <c r="F1973" s="1" t="s">
        <v>5934</v>
      </c>
      <c r="G1973" s="1">
        <v>1945</v>
      </c>
      <c r="H1973" s="1" t="s">
        <v>11</v>
      </c>
      <c r="I1973" s="6" cm="1">
        <f t="array" ref="I1973">GetLatitude(D1973)</f>
        <v>556712718</v>
      </c>
      <c r="J1973" s="1" cm="1">
        <f t="array" ref="J1973">GetLongitude(D1973)</f>
        <v>125893642</v>
      </c>
      <c r="K1973" s="1">
        <f t="shared" si="91"/>
        <v>55.6712718</v>
      </c>
      <c r="L1973" s="1">
        <f t="shared" si="92"/>
        <v>12.5893642</v>
      </c>
    </row>
    <row r="1974" spans="1:12" ht="16" x14ac:dyDescent="0.2">
      <c r="A1974" s="1">
        <v>1973</v>
      </c>
      <c r="B1974" s="1" t="s">
        <v>3980</v>
      </c>
      <c r="C1974" s="1" t="s">
        <v>5935</v>
      </c>
      <c r="D1974" s="1" t="str">
        <f t="shared" si="90"/>
        <v>København KommuneOvergaden oven Vandet 32 A-B og Sofiegade 1</v>
      </c>
      <c r="E1974" s="1" t="s">
        <v>5936</v>
      </c>
      <c r="F1974" s="1" t="s">
        <v>5937</v>
      </c>
      <c r="G1974" s="1">
        <v>1945</v>
      </c>
      <c r="H1974" s="1" t="s">
        <v>11</v>
      </c>
      <c r="I1974" s="6" cm="1">
        <f t="array" ref="I1974">GetLatitude(D1974)</f>
        <v>556716549</v>
      </c>
      <c r="J1974" s="1" cm="1">
        <f t="array" ref="J1974">GetLongitude(D1974)</f>
        <v>125900086</v>
      </c>
      <c r="K1974" s="1">
        <f t="shared" si="91"/>
        <v>55.6716549</v>
      </c>
      <c r="L1974" s="1">
        <f t="shared" si="92"/>
        <v>12.590008600000001</v>
      </c>
    </row>
    <row r="1975" spans="1:12" ht="16" x14ac:dyDescent="0.2">
      <c r="A1975" s="1">
        <v>1974</v>
      </c>
      <c r="B1975" s="1" t="s">
        <v>3980</v>
      </c>
      <c r="C1975" s="1" t="s">
        <v>5938</v>
      </c>
      <c r="D1975" s="1" t="str">
        <f t="shared" si="90"/>
        <v>København KommuneOvergaden oven Vandet 50</v>
      </c>
      <c r="E1975" s="1" t="s">
        <v>5897</v>
      </c>
      <c r="F1975" s="1" t="s">
        <v>5939</v>
      </c>
      <c r="G1975" s="1">
        <v>1945</v>
      </c>
      <c r="H1975" s="1" t="s">
        <v>11</v>
      </c>
      <c r="I1975" s="6" cm="1">
        <f t="array" ref="I1975">GetLatitude(D1975)</f>
        <v>556738211</v>
      </c>
      <c r="J1975" s="1" cm="1">
        <f t="array" ref="J1975">GetLongitude(D1975)</f>
        <v>125936675</v>
      </c>
      <c r="K1975" s="1">
        <f t="shared" si="91"/>
        <v>55.673821099999998</v>
      </c>
      <c r="L1975" s="1">
        <f t="shared" si="92"/>
        <v>12.5936675</v>
      </c>
    </row>
    <row r="1976" spans="1:12" ht="16" x14ac:dyDescent="0.2">
      <c r="A1976" s="1">
        <v>1975</v>
      </c>
      <c r="B1976" s="1" t="s">
        <v>3980</v>
      </c>
      <c r="C1976" s="1" t="s">
        <v>5940</v>
      </c>
      <c r="D1976" s="1" t="str">
        <f t="shared" si="90"/>
        <v>København KommuneOvergaden oven Vandet 52</v>
      </c>
      <c r="E1976" s="1" t="s">
        <v>5941</v>
      </c>
      <c r="F1976" s="1" t="s">
        <v>5942</v>
      </c>
      <c r="G1976" s="1">
        <v>1945</v>
      </c>
      <c r="H1976" s="1" t="s">
        <v>11</v>
      </c>
      <c r="I1976" s="6" cm="1">
        <f t="array" ref="I1976">GetLatitude(D1976)</f>
        <v>556738936</v>
      </c>
      <c r="J1976" s="1" cm="1">
        <f t="array" ref="J1976">GetLongitude(D1976)</f>
        <v>125937420</v>
      </c>
      <c r="K1976" s="1">
        <f t="shared" si="91"/>
        <v>55.6738936</v>
      </c>
      <c r="L1976" s="1">
        <f t="shared" si="92"/>
        <v>12.593742000000001</v>
      </c>
    </row>
    <row r="1977" spans="1:12" ht="16" x14ac:dyDescent="0.2">
      <c r="A1977" s="1">
        <v>1976</v>
      </c>
      <c r="B1977" s="1" t="s">
        <v>3980</v>
      </c>
      <c r="C1977" s="1" t="s">
        <v>5943</v>
      </c>
      <c r="D1977" s="1" t="str">
        <f t="shared" si="90"/>
        <v>København KommuneOvergaden oven Vandet 54</v>
      </c>
      <c r="E1977" s="1" t="s">
        <v>5944</v>
      </c>
      <c r="F1977" s="1" t="s">
        <v>5945</v>
      </c>
      <c r="G1977" s="1">
        <v>1945</v>
      </c>
      <c r="H1977" s="1" t="s">
        <v>11</v>
      </c>
      <c r="I1977" s="6" cm="1">
        <f t="array" ref="I1977">GetLatitude(D1977)</f>
        <v>556740283</v>
      </c>
      <c r="J1977" s="1" cm="1">
        <f t="array" ref="J1977">GetLongitude(D1977)</f>
        <v>125938956</v>
      </c>
      <c r="K1977" s="1">
        <f t="shared" si="91"/>
        <v>55.674028300000003</v>
      </c>
      <c r="L1977" s="1">
        <f t="shared" si="92"/>
        <v>12.5938956</v>
      </c>
    </row>
    <row r="1978" spans="1:12" ht="16" x14ac:dyDescent="0.2">
      <c r="A1978" s="1">
        <v>1977</v>
      </c>
      <c r="B1978" s="1" t="s">
        <v>3980</v>
      </c>
      <c r="C1978" s="1" t="s">
        <v>5946</v>
      </c>
      <c r="D1978" s="1" t="str">
        <f t="shared" si="90"/>
        <v>København KommuneOvergaden oven Vandet 56, hj af Bådsmandsstræde</v>
      </c>
      <c r="E1978" s="1" t="s">
        <v>5947</v>
      </c>
      <c r="F1978" s="1" t="s">
        <v>5948</v>
      </c>
      <c r="G1978" s="1">
        <v>1945</v>
      </c>
      <c r="H1978" s="1" t="s">
        <v>11</v>
      </c>
      <c r="I1978" s="6" cm="1">
        <f t="array" ref="I1978">GetLatitude(D1978)</f>
        <v>556741248</v>
      </c>
      <c r="J1978" s="1" cm="1">
        <f t="array" ref="J1978">GetLongitude(D1978)</f>
        <v>125940732</v>
      </c>
      <c r="K1978" s="1">
        <f t="shared" si="91"/>
        <v>55.674124800000001</v>
      </c>
      <c r="L1978" s="1">
        <f t="shared" si="92"/>
        <v>12.5940732</v>
      </c>
    </row>
    <row r="1979" spans="1:12" ht="16" x14ac:dyDescent="0.2">
      <c r="A1979" s="1">
        <v>1978</v>
      </c>
      <c r="B1979" s="1" t="s">
        <v>3980</v>
      </c>
      <c r="C1979" s="1" t="s">
        <v>5949</v>
      </c>
      <c r="D1979" s="1" t="str">
        <f t="shared" si="90"/>
        <v>København KommuneOvergaden oven Vandet 58-64</v>
      </c>
      <c r="E1979" s="1" t="s">
        <v>5950</v>
      </c>
      <c r="F1979" s="1" t="s">
        <v>5951</v>
      </c>
      <c r="G1979" s="1">
        <v>1918</v>
      </c>
      <c r="H1979" s="1" t="s">
        <v>11</v>
      </c>
      <c r="I1979" s="6" cm="1">
        <f t="array" ref="I1979">GetLatitude(D1979)</f>
        <v>556742358</v>
      </c>
      <c r="J1979" s="1" cm="1">
        <f t="array" ref="J1979">GetLongitude(D1979)</f>
        <v>125944273</v>
      </c>
      <c r="K1979" s="1">
        <f t="shared" si="91"/>
        <v>55.674235799999998</v>
      </c>
      <c r="L1979" s="1">
        <f t="shared" si="92"/>
        <v>12.5944273</v>
      </c>
    </row>
    <row r="1980" spans="1:12" ht="16" x14ac:dyDescent="0.2">
      <c r="A1980" s="1">
        <v>1979</v>
      </c>
      <c r="B1980" s="1" t="s">
        <v>3980</v>
      </c>
      <c r="C1980" s="1" t="s">
        <v>5952</v>
      </c>
      <c r="D1980" s="1" t="str">
        <f t="shared" si="90"/>
        <v>København KommuneOvergaden oven Vandet 66-74 og 84-88</v>
      </c>
      <c r="E1980" s="1" t="s">
        <v>5953</v>
      </c>
      <c r="F1980" s="1" t="s">
        <v>5954</v>
      </c>
      <c r="G1980" s="1">
        <v>1981</v>
      </c>
      <c r="H1980" s="1" t="s">
        <v>11</v>
      </c>
      <c r="I1980" s="6" cm="1">
        <f t="array" ref="I1980">GetLatitude(D1980)</f>
        <v>556751282</v>
      </c>
      <c r="J1980" s="1" cm="1">
        <f t="array" ref="J1980">GetLongitude(D1980)</f>
        <v>125960744</v>
      </c>
      <c r="K1980" s="1">
        <f t="shared" si="91"/>
        <v>55.675128200000003</v>
      </c>
      <c r="L1980" s="1">
        <f t="shared" si="92"/>
        <v>12.596074399999999</v>
      </c>
    </row>
    <row r="1981" spans="1:12" ht="16" x14ac:dyDescent="0.2">
      <c r="A1981" s="1">
        <v>1980</v>
      </c>
      <c r="B1981" s="1" t="s">
        <v>3980</v>
      </c>
      <c r="C1981" s="1" t="s">
        <v>5955</v>
      </c>
      <c r="D1981" s="1" t="str">
        <f t="shared" si="90"/>
        <v>København KommuneOvergaden oven Vandet 6 A-B og Lille Søndervoldstræde 1</v>
      </c>
      <c r="E1981" s="1" t="s">
        <v>5956</v>
      </c>
      <c r="F1981" s="1" t="s">
        <v>5957</v>
      </c>
      <c r="G1981" s="1">
        <v>1918</v>
      </c>
      <c r="H1981" s="1" t="s">
        <v>11</v>
      </c>
      <c r="I1981" s="6" cm="1">
        <f t="array" ref="I1981">GetLatitude(D1981)</f>
        <v>556705371</v>
      </c>
      <c r="J1981" s="1" cm="1">
        <f t="array" ref="J1981">GetLongitude(D1981)</f>
        <v>125880211</v>
      </c>
      <c r="K1981" s="1">
        <f t="shared" si="91"/>
        <v>55.670537099999997</v>
      </c>
      <c r="L1981" s="1">
        <f t="shared" si="92"/>
        <v>12.588021100000001</v>
      </c>
    </row>
    <row r="1982" spans="1:12" ht="16" x14ac:dyDescent="0.2">
      <c r="A1982" s="1">
        <v>1981</v>
      </c>
      <c r="B1982" s="1" t="s">
        <v>3980</v>
      </c>
      <c r="C1982" s="1" t="s">
        <v>5958</v>
      </c>
      <c r="D1982" s="1" t="str">
        <f t="shared" si="90"/>
        <v>København KommuneOvergaden oven Vandet 76-82</v>
      </c>
      <c r="E1982" s="1" t="s">
        <v>5959</v>
      </c>
      <c r="F1982" s="1" t="s">
        <v>5960</v>
      </c>
      <c r="G1982" s="1">
        <v>1983</v>
      </c>
      <c r="H1982" s="1" t="s">
        <v>11</v>
      </c>
      <c r="I1982" s="6" cm="1">
        <f t="array" ref="I1982">GetLatitude(D1982)</f>
        <v>556748882</v>
      </c>
      <c r="J1982" s="1" cm="1">
        <f t="array" ref="J1982">GetLongitude(D1982)</f>
        <v>125965465</v>
      </c>
      <c r="K1982" s="1">
        <f t="shared" si="91"/>
        <v>55.674888199999998</v>
      </c>
      <c r="L1982" s="1">
        <f t="shared" si="92"/>
        <v>12.596546500000001</v>
      </c>
    </row>
    <row r="1983" spans="1:12" ht="16" x14ac:dyDescent="0.2">
      <c r="A1983" s="1">
        <v>1982</v>
      </c>
      <c r="B1983" s="1" t="s">
        <v>3980</v>
      </c>
      <c r="C1983" s="1" t="s">
        <v>5961</v>
      </c>
      <c r="D1983" s="1" t="str">
        <f t="shared" si="90"/>
        <v>København KommuneOvergaden oven Vandet 8, hj af Store Søndervoldstræde</v>
      </c>
      <c r="E1983" s="1" t="s">
        <v>5962</v>
      </c>
      <c r="F1983" s="1" t="s">
        <v>5963</v>
      </c>
      <c r="G1983" s="1">
        <v>1945</v>
      </c>
      <c r="H1983" s="1" t="s">
        <v>11</v>
      </c>
      <c r="I1983" s="6" cm="1">
        <f t="array" ref="I1983">GetLatitude(D1983)</f>
        <v>556707038</v>
      </c>
      <c r="J1983" s="1" cm="1">
        <f t="array" ref="J1983">GetLongitude(D1983)</f>
        <v>125884926</v>
      </c>
      <c r="K1983" s="1">
        <f t="shared" si="91"/>
        <v>55.670703799999998</v>
      </c>
      <c r="L1983" s="1">
        <f t="shared" si="92"/>
        <v>12.5884926</v>
      </c>
    </row>
    <row r="1984" spans="1:12" ht="16" x14ac:dyDescent="0.2">
      <c r="A1984" s="1">
        <v>1983</v>
      </c>
      <c r="B1984" s="1" t="s">
        <v>3980</v>
      </c>
      <c r="C1984" s="1" t="s">
        <v>5964</v>
      </c>
      <c r="D1984" s="1" t="str">
        <f t="shared" si="90"/>
        <v>København KommunePeder Hvitfeldts Stræde 1, hj af Krystalgade</v>
      </c>
      <c r="E1984" s="1" t="s">
        <v>5965</v>
      </c>
      <c r="F1984" s="1" t="s">
        <v>5966</v>
      </c>
      <c r="G1984" s="1">
        <v>1950</v>
      </c>
      <c r="H1984" s="1" t="s">
        <v>11</v>
      </c>
      <c r="I1984" s="6" cm="1">
        <f t="array" ref="I1984">GetLatitude(D1984)</f>
        <v>556813454</v>
      </c>
      <c r="J1984" s="1" cm="1">
        <f t="array" ref="J1984">GetLongitude(D1984)</f>
        <v>125740873</v>
      </c>
      <c r="K1984" s="1">
        <f t="shared" si="91"/>
        <v>55.681345399999998</v>
      </c>
      <c r="L1984" s="1">
        <f t="shared" si="92"/>
        <v>12.5740873</v>
      </c>
    </row>
    <row r="1985" spans="1:12" ht="16" x14ac:dyDescent="0.2">
      <c r="A1985" s="1">
        <v>1984</v>
      </c>
      <c r="B1985" s="1" t="s">
        <v>3980</v>
      </c>
      <c r="C1985" s="1" t="s">
        <v>5967</v>
      </c>
      <c r="D1985" s="1" t="str">
        <f t="shared" si="90"/>
        <v>København KommunePeder Hvitfeldts Stræde 10</v>
      </c>
      <c r="E1985" s="1" t="s">
        <v>5968</v>
      </c>
      <c r="F1985" s="1" t="s">
        <v>5969</v>
      </c>
      <c r="G1985" s="1">
        <v>1978</v>
      </c>
      <c r="H1985" s="1" t="s">
        <v>1890</v>
      </c>
      <c r="I1985" s="6" cm="1">
        <f t="array" ref="I1985">GetLatitude(D1985)</f>
        <v>556817239</v>
      </c>
      <c r="J1985" s="1" cm="1">
        <f t="array" ref="J1985">GetLongitude(D1985)</f>
        <v>125740505</v>
      </c>
      <c r="K1985" s="1">
        <f t="shared" si="91"/>
        <v>55.681723900000001</v>
      </c>
      <c r="L1985" s="1">
        <f t="shared" si="92"/>
        <v>12.5740505</v>
      </c>
    </row>
    <row r="1986" spans="1:12" ht="16" x14ac:dyDescent="0.2">
      <c r="A1986" s="1">
        <v>1985</v>
      </c>
      <c r="B1986" s="1" t="s">
        <v>3980</v>
      </c>
      <c r="C1986" s="1" t="s">
        <v>5970</v>
      </c>
      <c r="D1986" s="1" t="str">
        <f t="shared" si="90"/>
        <v>København KommunePeder Hvitfeldts Stræde 12</v>
      </c>
      <c r="E1986" s="1" t="s">
        <v>5971</v>
      </c>
      <c r="F1986" s="1" t="s">
        <v>5972</v>
      </c>
      <c r="G1986" s="1">
        <v>1979</v>
      </c>
      <c r="H1986" s="1" t="s">
        <v>11</v>
      </c>
      <c r="I1986" s="6" cm="1">
        <f t="array" ref="I1986">GetLatitude(D1986)</f>
        <v>556818144</v>
      </c>
      <c r="J1986" s="1" cm="1">
        <f t="array" ref="J1986">GetLongitude(D1986)</f>
        <v>125740281</v>
      </c>
      <c r="K1986" s="1">
        <f t="shared" si="91"/>
        <v>55.6818144</v>
      </c>
      <c r="L1986" s="1">
        <f t="shared" si="92"/>
        <v>12.5740281</v>
      </c>
    </row>
    <row r="1987" spans="1:12" ht="16" x14ac:dyDescent="0.2">
      <c r="A1987" s="1">
        <v>1986</v>
      </c>
      <c r="B1987" s="1" t="s">
        <v>3980</v>
      </c>
      <c r="C1987" s="1" t="s">
        <v>5973</v>
      </c>
      <c r="D1987" s="1" t="str">
        <f t="shared" ref="D1987:D2050" si="93">B1987&amp;C1987</f>
        <v>København KommunePeder Hvitfeldts Stræde 13</v>
      </c>
      <c r="E1987" s="1" t="s">
        <v>5974</v>
      </c>
      <c r="F1987" s="1" t="s">
        <v>5975</v>
      </c>
      <c r="G1987" s="1">
        <v>1979</v>
      </c>
      <c r="H1987" s="1" t="s">
        <v>11</v>
      </c>
      <c r="I1987" s="6" cm="1">
        <f t="array" ref="I1987">GetLatitude(D1987)</f>
        <v>556819019</v>
      </c>
      <c r="J1987" s="1" cm="1">
        <f t="array" ref="J1987">GetLongitude(D1987)</f>
        <v>125736098</v>
      </c>
      <c r="K1987" s="1">
        <f t="shared" si="91"/>
        <v>55.6819019</v>
      </c>
      <c r="L1987" s="1">
        <f t="shared" si="92"/>
        <v>12.5736098</v>
      </c>
    </row>
    <row r="1988" spans="1:12" ht="16" x14ac:dyDescent="0.2">
      <c r="A1988" s="1">
        <v>1987</v>
      </c>
      <c r="B1988" s="1" t="s">
        <v>3980</v>
      </c>
      <c r="C1988" s="1" t="s">
        <v>5976</v>
      </c>
      <c r="D1988" s="1" t="str">
        <f t="shared" si="93"/>
        <v>København KommunePeder Skramsgade 10</v>
      </c>
      <c r="E1988" s="1" t="s">
        <v>5977</v>
      </c>
      <c r="F1988" s="1" t="s">
        <v>5978</v>
      </c>
      <c r="G1988" s="1">
        <v>1982</v>
      </c>
      <c r="H1988" s="1" t="s">
        <v>15</v>
      </c>
      <c r="I1988" s="6" cm="1">
        <f t="array" ref="I1988">GetLatitude(D1988)</f>
        <v>556784755</v>
      </c>
      <c r="J1988" s="1" cm="1">
        <f t="array" ref="J1988">GetLongitude(D1988)</f>
        <v>125883387</v>
      </c>
      <c r="K1988" s="1">
        <f t="shared" ref="K1988:K2051" si="94">I1988/10000000</f>
        <v>55.678475499999998</v>
      </c>
      <c r="L1988" s="1">
        <f t="shared" ref="L1988:L2051" si="95">J1988/10000000</f>
        <v>12.5883387</v>
      </c>
    </row>
    <row r="1989" spans="1:12" ht="16" x14ac:dyDescent="0.2">
      <c r="A1989" s="1">
        <v>1988</v>
      </c>
      <c r="B1989" s="1" t="s">
        <v>3980</v>
      </c>
      <c r="C1989" s="1" t="s">
        <v>5979</v>
      </c>
      <c r="D1989" s="1" t="str">
        <f t="shared" si="93"/>
        <v>København KommunePilestræde 33</v>
      </c>
      <c r="E1989" s="1" t="s">
        <v>5980</v>
      </c>
      <c r="F1989" s="1" t="s">
        <v>5981</v>
      </c>
      <c r="G1989" s="1">
        <v>1987</v>
      </c>
      <c r="H1989" s="1" t="s">
        <v>11</v>
      </c>
      <c r="I1989" s="6" cm="1">
        <f t="array" ref="I1989">GetLatitude(D1989)</f>
        <v>556805572</v>
      </c>
      <c r="J1989" s="1" cm="1">
        <f t="array" ref="J1989">GetLongitude(D1989)</f>
        <v>125800824</v>
      </c>
      <c r="K1989" s="1">
        <f t="shared" si="94"/>
        <v>55.680557200000003</v>
      </c>
      <c r="L1989" s="1">
        <f t="shared" si="95"/>
        <v>12.5800824</v>
      </c>
    </row>
    <row r="1990" spans="1:12" ht="16" x14ac:dyDescent="0.2">
      <c r="A1990" s="1">
        <v>1989</v>
      </c>
      <c r="B1990" s="1" t="s">
        <v>3980</v>
      </c>
      <c r="C1990" s="1" t="s">
        <v>5982</v>
      </c>
      <c r="D1990" s="1" t="str">
        <f t="shared" si="93"/>
        <v>København KommunePilestræde 37, hj af Kronprinsensgade</v>
      </c>
      <c r="E1990" s="1" t="s">
        <v>5983</v>
      </c>
      <c r="F1990" s="1" t="s">
        <v>5984</v>
      </c>
      <c r="G1990" s="1">
        <v>1945</v>
      </c>
      <c r="H1990" s="1" t="s">
        <v>11</v>
      </c>
      <c r="I1990" s="6" cm="1">
        <f t="array" ref="I1990">GetLatitude(D1990)</f>
        <v>556809685</v>
      </c>
      <c r="J1990" s="1" cm="1">
        <f t="array" ref="J1990">GetLongitude(D1990)</f>
        <v>125796884</v>
      </c>
      <c r="K1990" s="1">
        <f t="shared" si="94"/>
        <v>55.680968499999999</v>
      </c>
      <c r="L1990" s="1">
        <f t="shared" si="95"/>
        <v>12.5796884</v>
      </c>
    </row>
    <row r="1991" spans="1:12" ht="16" x14ac:dyDescent="0.2">
      <c r="A1991" s="1">
        <v>1990</v>
      </c>
      <c r="B1991" s="1" t="s">
        <v>3980</v>
      </c>
      <c r="C1991" s="1" t="s">
        <v>5985</v>
      </c>
      <c r="D1991" s="1" t="str">
        <f t="shared" si="93"/>
        <v>København KommunePilestræde 39</v>
      </c>
      <c r="E1991" s="1" t="s">
        <v>5986</v>
      </c>
      <c r="F1991" s="1" t="s">
        <v>5987</v>
      </c>
      <c r="G1991" s="1">
        <v>1945</v>
      </c>
      <c r="H1991" s="1" t="s">
        <v>4589</v>
      </c>
      <c r="I1991" s="6" cm="1">
        <f t="array" ref="I1991">GetLatitude(D1991)</f>
        <v>556810622</v>
      </c>
      <c r="J1991" s="1" cm="1">
        <f t="array" ref="J1991">GetLongitude(D1991)</f>
        <v>125794976</v>
      </c>
      <c r="K1991" s="1">
        <f t="shared" si="94"/>
        <v>55.6810622</v>
      </c>
      <c r="L1991" s="1">
        <f t="shared" si="95"/>
        <v>12.5794976</v>
      </c>
    </row>
    <row r="1992" spans="1:12" ht="16" x14ac:dyDescent="0.2">
      <c r="A1992" s="1">
        <v>1991</v>
      </c>
      <c r="B1992" s="1" t="s">
        <v>3980</v>
      </c>
      <c r="C1992" s="1" t="s">
        <v>5988</v>
      </c>
      <c r="D1992" s="1" t="str">
        <f t="shared" si="93"/>
        <v>København KommunePilestræde 40 og Sværtegade 1</v>
      </c>
      <c r="E1992" s="1" t="s">
        <v>5989</v>
      </c>
      <c r="F1992" s="1" t="s">
        <v>5990</v>
      </c>
      <c r="G1992" s="1">
        <v>1986</v>
      </c>
      <c r="H1992" s="1" t="s">
        <v>11</v>
      </c>
      <c r="I1992" s="6" cm="1">
        <f t="array" ref="I1992">GetLatitude(D1992)</f>
        <v>556811631</v>
      </c>
      <c r="J1992" s="1" cm="1">
        <f t="array" ref="J1992">GetLongitude(D1992)</f>
        <v>125810847</v>
      </c>
      <c r="K1992" s="1">
        <f t="shared" si="94"/>
        <v>55.681163099999999</v>
      </c>
      <c r="L1992" s="1">
        <f t="shared" si="95"/>
        <v>12.5810847</v>
      </c>
    </row>
    <row r="1993" spans="1:12" ht="16" x14ac:dyDescent="0.2">
      <c r="A1993" s="1">
        <v>1992</v>
      </c>
      <c r="B1993" s="1" t="s">
        <v>3980</v>
      </c>
      <c r="C1993" s="1" t="s">
        <v>5991</v>
      </c>
      <c r="D1993" s="1" t="str">
        <f t="shared" si="93"/>
        <v>København KommunePilestræde 41-45</v>
      </c>
      <c r="E1993" s="1" t="s">
        <v>5992</v>
      </c>
      <c r="F1993" s="1" t="s">
        <v>5993</v>
      </c>
      <c r="G1993" s="1">
        <v>1945</v>
      </c>
      <c r="H1993" s="1" t="s">
        <v>2888</v>
      </c>
      <c r="I1993" s="6" cm="1">
        <f t="array" ref="I1993">GetLatitude(D1993)</f>
        <v>556811112</v>
      </c>
      <c r="J1993" s="1" cm="1">
        <f t="array" ref="J1993">GetLongitude(D1993)</f>
        <v>125793588</v>
      </c>
      <c r="K1993" s="1">
        <f t="shared" si="94"/>
        <v>55.681111199999997</v>
      </c>
      <c r="L1993" s="1">
        <f t="shared" si="95"/>
        <v>12.5793588</v>
      </c>
    </row>
    <row r="1994" spans="1:12" ht="16" x14ac:dyDescent="0.2">
      <c r="A1994" s="1">
        <v>1993</v>
      </c>
      <c r="B1994" s="1" t="s">
        <v>3980</v>
      </c>
      <c r="C1994" s="1" t="s">
        <v>5994</v>
      </c>
      <c r="D1994" s="1" t="str">
        <f t="shared" si="93"/>
        <v>København KommunePilestræde 42-44</v>
      </c>
      <c r="E1994" s="1" t="s">
        <v>5995</v>
      </c>
      <c r="F1994" s="1" t="s">
        <v>5996</v>
      </c>
      <c r="G1994" s="1">
        <v>1985</v>
      </c>
      <c r="H1994" s="1" t="s">
        <v>11</v>
      </c>
      <c r="I1994" s="6" cm="1">
        <f t="array" ref="I1994">GetLatitude(D1994)</f>
        <v>556810774</v>
      </c>
      <c r="J1994" s="1" cm="1">
        <f t="array" ref="J1994">GetLongitude(D1994)</f>
        <v>125800200</v>
      </c>
      <c r="K1994" s="1">
        <f t="shared" si="94"/>
        <v>55.681077399999999</v>
      </c>
      <c r="L1994" s="1">
        <f t="shared" si="95"/>
        <v>12.580019999999999</v>
      </c>
    </row>
    <row r="1995" spans="1:12" ht="16" x14ac:dyDescent="0.2">
      <c r="A1995" s="1">
        <v>1994</v>
      </c>
      <c r="B1995" s="1" t="s">
        <v>3980</v>
      </c>
      <c r="C1995" s="1" t="s">
        <v>5997</v>
      </c>
      <c r="D1995" s="1" t="str">
        <f t="shared" si="93"/>
        <v>København KommunePilestræde 47, hj af Klareboderne</v>
      </c>
      <c r="E1995" s="1" t="s">
        <v>5998</v>
      </c>
      <c r="F1995" s="1" t="s">
        <v>5999</v>
      </c>
      <c r="G1995" s="1">
        <v>1945</v>
      </c>
      <c r="H1995" s="1" t="s">
        <v>11</v>
      </c>
      <c r="I1995" s="6" cm="1">
        <f t="array" ref="I1995">GetLatitude(D1995)</f>
        <v>556812160</v>
      </c>
      <c r="J1995" s="1" cm="1">
        <f t="array" ref="J1995">GetLongitude(D1995)</f>
        <v>125788975</v>
      </c>
      <c r="K1995" s="1">
        <f t="shared" si="94"/>
        <v>55.681215999999999</v>
      </c>
      <c r="L1995" s="1">
        <f t="shared" si="95"/>
        <v>12.5788975</v>
      </c>
    </row>
    <row r="1996" spans="1:12" ht="16" x14ac:dyDescent="0.2">
      <c r="A1996" s="1">
        <v>1995</v>
      </c>
      <c r="B1996" s="1" t="s">
        <v>3980</v>
      </c>
      <c r="C1996" s="1" t="s">
        <v>6000</v>
      </c>
      <c r="D1996" s="1" t="str">
        <f t="shared" si="93"/>
        <v>København KommunePrags Boulevard 69</v>
      </c>
      <c r="E1996" s="1" t="s">
        <v>6001</v>
      </c>
      <c r="F1996" s="1" t="s">
        <v>4018</v>
      </c>
      <c r="G1996" s="1">
        <v>1986</v>
      </c>
      <c r="H1996" s="1" t="s">
        <v>15</v>
      </c>
      <c r="I1996" s="6" cm="1">
        <f t="array" ref="I1996">GetLatitude(D1996)</f>
        <v>556699610</v>
      </c>
      <c r="J1996" s="1" cm="1">
        <f t="array" ref="J1996">GetLongitude(D1996)</f>
        <v>126222597</v>
      </c>
      <c r="K1996" s="1">
        <f t="shared" si="94"/>
        <v>55.669961000000001</v>
      </c>
      <c r="L1996" s="1">
        <f t="shared" si="95"/>
        <v>12.622259700000001</v>
      </c>
    </row>
    <row r="1997" spans="1:12" ht="16" x14ac:dyDescent="0.2">
      <c r="A1997" s="1">
        <v>1996</v>
      </c>
      <c r="B1997" s="1" t="s">
        <v>3980</v>
      </c>
      <c r="C1997" s="1" t="s">
        <v>6002</v>
      </c>
      <c r="D1997" s="1" t="str">
        <f t="shared" si="93"/>
        <v>København KommunePrinsessegade 18</v>
      </c>
      <c r="E1997" s="1" t="s">
        <v>6003</v>
      </c>
      <c r="F1997" s="1" t="s">
        <v>6004</v>
      </c>
      <c r="G1997" s="1">
        <v>1978</v>
      </c>
      <c r="H1997" s="1" t="s">
        <v>11</v>
      </c>
      <c r="I1997" s="6" cm="1">
        <f t="array" ref="I1997">GetLatitude(D1997)</f>
        <v>556710628</v>
      </c>
      <c r="J1997" s="1" cm="1">
        <f t="array" ref="J1997">GetLongitude(D1997)</f>
        <v>125922128</v>
      </c>
      <c r="K1997" s="1">
        <f t="shared" si="94"/>
        <v>55.671062800000001</v>
      </c>
      <c r="L1997" s="1">
        <f t="shared" si="95"/>
        <v>12.5922128</v>
      </c>
    </row>
    <row r="1998" spans="1:12" ht="16" x14ac:dyDescent="0.2">
      <c r="A1998" s="1">
        <v>1997</v>
      </c>
      <c r="B1998" s="1" t="s">
        <v>3980</v>
      </c>
      <c r="C1998" s="1" t="s">
        <v>6005</v>
      </c>
      <c r="D1998" s="1" t="str">
        <f t="shared" si="93"/>
        <v>København KommunePrinsessegade 52</v>
      </c>
      <c r="E1998" s="1" t="s">
        <v>6006</v>
      </c>
      <c r="F1998" s="1" t="s">
        <v>6007</v>
      </c>
      <c r="G1998" s="1">
        <v>1984</v>
      </c>
      <c r="H1998" s="1" t="s">
        <v>11</v>
      </c>
      <c r="I1998" s="6" cm="1">
        <f t="array" ref="I1998">GetLatitude(D1998)</f>
        <v>556725535</v>
      </c>
      <c r="J1998" s="1" cm="1">
        <f t="array" ref="J1998">GetLongitude(D1998)</f>
        <v>125948345</v>
      </c>
      <c r="K1998" s="1">
        <f t="shared" si="94"/>
        <v>55.672553499999999</v>
      </c>
      <c r="L1998" s="1">
        <f t="shared" si="95"/>
        <v>12.594834499999999</v>
      </c>
    </row>
    <row r="1999" spans="1:12" ht="16" x14ac:dyDescent="0.2">
      <c r="A1999" s="1">
        <v>1998</v>
      </c>
      <c r="B1999" s="1" t="s">
        <v>3980</v>
      </c>
      <c r="C1999" s="1" t="s">
        <v>6008</v>
      </c>
      <c r="D1999" s="1" t="str">
        <f t="shared" si="93"/>
        <v>København KommunePrinsessegade 54</v>
      </c>
      <c r="E1999" s="1" t="s">
        <v>6009</v>
      </c>
      <c r="F1999" s="1" t="s">
        <v>6010</v>
      </c>
      <c r="G1999" s="1">
        <v>1932</v>
      </c>
      <c r="H1999" s="1" t="s">
        <v>15</v>
      </c>
      <c r="I1999" s="6" cm="1">
        <f t="array" ref="I1999">GetLatitude(D1999)</f>
        <v>556726599</v>
      </c>
      <c r="J1999" s="1" cm="1">
        <f t="array" ref="J1999">GetLongitude(D1999)</f>
        <v>125950828</v>
      </c>
      <c r="K1999" s="1">
        <f t="shared" si="94"/>
        <v>55.672659899999999</v>
      </c>
      <c r="L1999" s="1">
        <f t="shared" si="95"/>
        <v>12.5950828</v>
      </c>
    </row>
    <row r="2000" spans="1:12" ht="16" x14ac:dyDescent="0.2">
      <c r="A2000" s="1">
        <v>1999</v>
      </c>
      <c r="B2000" s="1" t="s">
        <v>3980</v>
      </c>
      <c r="C2000" s="1" t="s">
        <v>6011</v>
      </c>
      <c r="D2000" s="1" t="str">
        <f t="shared" si="93"/>
        <v>København KommuneRandbølvej 13</v>
      </c>
      <c r="E2000" s="1" t="s">
        <v>6012</v>
      </c>
      <c r="F2000" s="1" t="s">
        <v>6013</v>
      </c>
      <c r="G2000" s="1">
        <v>2022</v>
      </c>
      <c r="H2000" s="1" t="s">
        <v>15</v>
      </c>
      <c r="I2000" s="6" cm="1">
        <f t="array" ref="I2000">GetLatitude(D2000)</f>
        <v>556889186</v>
      </c>
      <c r="J2000" s="1" cm="1">
        <f t="array" ref="J2000">GetLongitude(D2000)</f>
        <v>124998806</v>
      </c>
      <c r="K2000" s="1">
        <f t="shared" si="94"/>
        <v>55.688918600000001</v>
      </c>
      <c r="L2000" s="1">
        <f t="shared" si="95"/>
        <v>12.499880599999999</v>
      </c>
    </row>
    <row r="2001" spans="1:12" ht="16" x14ac:dyDescent="0.2">
      <c r="A2001" s="1">
        <v>2000</v>
      </c>
      <c r="B2001" s="1" t="s">
        <v>3980</v>
      </c>
      <c r="C2001" s="1" t="s">
        <v>6014</v>
      </c>
      <c r="D2001" s="1" t="str">
        <f t="shared" si="93"/>
        <v>København KommuneRefshalevej 20 (tidl Refshalevej 70)</v>
      </c>
      <c r="E2001" s="1" t="s">
        <v>6015</v>
      </c>
      <c r="F2001" s="1" t="s">
        <v>6016</v>
      </c>
      <c r="G2001" s="1">
        <v>2007</v>
      </c>
      <c r="H2001" s="1" t="s">
        <v>15</v>
      </c>
      <c r="I2001" s="6" cm="1">
        <f t="array" ref="I2001">GetLatitude(D2001)</f>
        <v>556787923</v>
      </c>
      <c r="J2001" s="1" cm="1">
        <f t="array" ref="J2001">GetLongitude(D2001)</f>
        <v>126098639</v>
      </c>
      <c r="K2001" s="1">
        <f t="shared" si="94"/>
        <v>55.678792299999998</v>
      </c>
      <c r="L2001" s="1">
        <f t="shared" si="95"/>
        <v>12.609863900000001</v>
      </c>
    </row>
    <row r="2002" spans="1:12" ht="16" x14ac:dyDescent="0.2">
      <c r="A2002" s="1">
        <v>2001</v>
      </c>
      <c r="B2002" s="1" t="s">
        <v>3980</v>
      </c>
      <c r="C2002" s="1" t="s">
        <v>6017</v>
      </c>
      <c r="D2002" s="1" t="str">
        <f t="shared" si="93"/>
        <v>København KommuneRefshalevej 28 (tidl Refshalevej 80)</v>
      </c>
      <c r="E2002" s="1" t="s">
        <v>6018</v>
      </c>
      <c r="F2002" s="1" t="s">
        <v>6019</v>
      </c>
      <c r="G2002" s="1">
        <v>2007</v>
      </c>
      <c r="H2002" s="1" t="s">
        <v>15</v>
      </c>
      <c r="I2002" s="6" cm="1">
        <f t="array" ref="I2002">GetLatitude(D2002)</f>
        <v>556814656</v>
      </c>
      <c r="J2002" s="1" cm="1">
        <f t="array" ref="J2002">GetLongitude(D2002)</f>
        <v>126106549</v>
      </c>
      <c r="K2002" s="1">
        <f t="shared" si="94"/>
        <v>55.681465600000003</v>
      </c>
      <c r="L2002" s="1">
        <f t="shared" si="95"/>
        <v>12.6106549</v>
      </c>
    </row>
    <row r="2003" spans="1:12" ht="16" x14ac:dyDescent="0.2">
      <c r="A2003" s="1">
        <v>2002</v>
      </c>
      <c r="B2003" s="1" t="s">
        <v>3980</v>
      </c>
      <c r="C2003" s="1" t="s">
        <v>6020</v>
      </c>
      <c r="D2003" s="1" t="str">
        <f t="shared" si="93"/>
        <v>København KommuneRentemestervej 14</v>
      </c>
      <c r="E2003" s="1" t="s">
        <v>6021</v>
      </c>
      <c r="F2003" s="1" t="s">
        <v>6022</v>
      </c>
      <c r="G2003" s="1">
        <v>1994</v>
      </c>
      <c r="H2003" s="1" t="s">
        <v>11</v>
      </c>
      <c r="I2003" s="6" cm="1">
        <f t="array" ref="I2003">GetLatitude(D2003)</f>
        <v>557053168</v>
      </c>
      <c r="J2003" s="1" cm="1">
        <f t="array" ref="J2003">GetLongitude(D2003)</f>
        <v>125338223</v>
      </c>
      <c r="K2003" s="1">
        <f t="shared" si="94"/>
        <v>55.705316799999999</v>
      </c>
      <c r="L2003" s="1">
        <f t="shared" si="95"/>
        <v>12.533822300000001</v>
      </c>
    </row>
    <row r="2004" spans="1:12" ht="16" x14ac:dyDescent="0.2">
      <c r="A2004" s="1">
        <v>2003</v>
      </c>
      <c r="B2004" s="1" t="s">
        <v>3980</v>
      </c>
      <c r="C2004" s="1" t="s">
        <v>6023</v>
      </c>
      <c r="D2004" s="1" t="str">
        <f t="shared" si="93"/>
        <v>København KommuneRigensgade 11</v>
      </c>
      <c r="E2004" s="1" t="s">
        <v>6024</v>
      </c>
      <c r="F2004" s="1" t="s">
        <v>6025</v>
      </c>
      <c r="G2004" s="1">
        <v>1950</v>
      </c>
      <c r="H2004" s="1" t="s">
        <v>11</v>
      </c>
      <c r="I2004" s="6" cm="1">
        <f t="array" ref="I2004">GetLatitude(D2004)</f>
        <v>556883029</v>
      </c>
      <c r="J2004" s="1" cm="1">
        <f t="array" ref="J2004">GetLongitude(D2004)</f>
        <v>125822334</v>
      </c>
      <c r="K2004" s="1">
        <f t="shared" si="94"/>
        <v>55.688302899999996</v>
      </c>
      <c r="L2004" s="1">
        <f t="shared" si="95"/>
        <v>12.5822334</v>
      </c>
    </row>
    <row r="2005" spans="1:12" ht="16" x14ac:dyDescent="0.2">
      <c r="A2005" s="1">
        <v>2004</v>
      </c>
      <c r="B2005" s="1" t="s">
        <v>3980</v>
      </c>
      <c r="C2005" s="1" t="s">
        <v>6026</v>
      </c>
      <c r="D2005" s="1" t="str">
        <f t="shared" si="93"/>
        <v>København KommuneRigensgade 9 A-G og 11 A</v>
      </c>
      <c r="E2005" s="1" t="s">
        <v>6027</v>
      </c>
      <c r="F2005" s="1" t="s">
        <v>6028</v>
      </c>
      <c r="G2005" s="1">
        <v>1918</v>
      </c>
      <c r="H2005" s="1" t="s">
        <v>15</v>
      </c>
      <c r="I2005" s="6" cm="1">
        <f t="array" ref="I2005">GetLatitude(D2005)</f>
        <v>556875300</v>
      </c>
      <c r="J2005" s="1" cm="1">
        <f t="array" ref="J2005">GetLongitude(D2005)</f>
        <v>125826140</v>
      </c>
      <c r="K2005" s="1">
        <f t="shared" si="94"/>
        <v>55.687530000000002</v>
      </c>
      <c r="L2005" s="1">
        <f t="shared" si="95"/>
        <v>12.582614</v>
      </c>
    </row>
    <row r="2006" spans="1:12" ht="16" x14ac:dyDescent="0.2">
      <c r="A2006" s="1">
        <v>2005</v>
      </c>
      <c r="B2006" s="1" t="s">
        <v>3980</v>
      </c>
      <c r="C2006" s="1" t="s">
        <v>6029</v>
      </c>
      <c r="D2006" s="1" t="str">
        <f t="shared" si="93"/>
        <v>København KommuneRigsdagsgården 11 A-B og 13 B</v>
      </c>
      <c r="E2006" s="1" t="s">
        <v>6030</v>
      </c>
      <c r="F2006" s="1" t="s">
        <v>6031</v>
      </c>
      <c r="G2006" s="1">
        <v>1945</v>
      </c>
      <c r="H2006" s="1" t="s">
        <v>283</v>
      </c>
      <c r="I2006" s="6" cm="1">
        <f t="array" ref="I2006">GetLatitude(D2006)</f>
        <v>556751122</v>
      </c>
      <c r="J2006" s="1" cm="1">
        <f t="array" ref="J2006">GetLongitude(D2006)</f>
        <v>125811014</v>
      </c>
      <c r="K2006" s="1">
        <f t="shared" si="94"/>
        <v>55.675112200000001</v>
      </c>
      <c r="L2006" s="1">
        <f t="shared" si="95"/>
        <v>12.5811014</v>
      </c>
    </row>
    <row r="2007" spans="1:12" ht="16" x14ac:dyDescent="0.2">
      <c r="A2007" s="1">
        <v>2006</v>
      </c>
      <c r="B2007" s="1" t="s">
        <v>3980</v>
      </c>
      <c r="C2007" s="1" t="s">
        <v>6032</v>
      </c>
      <c r="D2007" s="1" t="str">
        <f t="shared" si="93"/>
        <v>København KommuneRigsdagsgården 5-9 og 15</v>
      </c>
      <c r="E2007" s="1" t="s">
        <v>6033</v>
      </c>
      <c r="F2007" s="1" t="s">
        <v>6034</v>
      </c>
      <c r="G2007" s="1">
        <v>1945</v>
      </c>
      <c r="H2007" s="1" t="s">
        <v>15</v>
      </c>
      <c r="I2007" s="6" cm="1">
        <f t="array" ref="I2007">GetLatitude(D2007)</f>
        <v>556755061</v>
      </c>
      <c r="J2007" s="1" cm="1">
        <f t="array" ref="J2007">GetLongitude(D2007)</f>
        <v>125814912</v>
      </c>
      <c r="K2007" s="1">
        <f t="shared" si="94"/>
        <v>55.6755061</v>
      </c>
      <c r="L2007" s="1">
        <f t="shared" si="95"/>
        <v>12.5814912</v>
      </c>
    </row>
    <row r="2008" spans="1:12" ht="16" x14ac:dyDescent="0.2">
      <c r="A2008" s="1">
        <v>2007</v>
      </c>
      <c r="B2008" s="1" t="s">
        <v>3980</v>
      </c>
      <c r="C2008" s="1" t="s">
        <v>6035</v>
      </c>
      <c r="D2008" s="1" t="str">
        <f t="shared" si="93"/>
        <v>København KommuneRigsdagsgården 7 A (og 5 B) og Proviantpassagen 1 (tidl Rigsdagsgården 9)</v>
      </c>
      <c r="E2008" s="1" t="s">
        <v>6036</v>
      </c>
      <c r="F2008" s="1" t="s">
        <v>6037</v>
      </c>
      <c r="G2008" s="1">
        <v>1944</v>
      </c>
      <c r="H2008" s="1" t="s">
        <v>15</v>
      </c>
      <c r="I2008" s="6" cm="1">
        <f t="array" ref="I2008">GetLatitude(D2008)</f>
        <v>556752760</v>
      </c>
      <c r="J2008" s="1" cm="1">
        <f t="array" ref="J2008">GetLongitude(D2008)</f>
        <v>125812659</v>
      </c>
      <c r="K2008" s="1">
        <f t="shared" si="94"/>
        <v>55.675275999999997</v>
      </c>
      <c r="L2008" s="1">
        <f t="shared" si="95"/>
        <v>12.5812659</v>
      </c>
    </row>
    <row r="2009" spans="1:12" ht="16" x14ac:dyDescent="0.2">
      <c r="A2009" s="1">
        <v>2008</v>
      </c>
      <c r="B2009" s="1" t="s">
        <v>3980</v>
      </c>
      <c r="C2009" s="1" t="s">
        <v>6038</v>
      </c>
      <c r="D2009" s="1" t="str">
        <f t="shared" si="93"/>
        <v>København KommuneRosenborggade 10, hj af Sankt Gertrudsstræde</v>
      </c>
      <c r="E2009" s="1" t="s">
        <v>6039</v>
      </c>
      <c r="F2009" s="1" t="s">
        <v>6040</v>
      </c>
      <c r="G2009" s="1">
        <v>1979</v>
      </c>
      <c r="H2009" s="1" t="s">
        <v>11</v>
      </c>
      <c r="I2009" s="6" cm="1">
        <f t="array" ref="I2009">GetLatitude(D2009)</f>
        <v>556835044</v>
      </c>
      <c r="J2009" s="1" cm="1">
        <f t="array" ref="J2009">GetLongitude(D2009)</f>
        <v>125743117</v>
      </c>
      <c r="K2009" s="1">
        <f t="shared" si="94"/>
        <v>55.683504399999997</v>
      </c>
      <c r="L2009" s="1">
        <f t="shared" si="95"/>
        <v>12.574311700000001</v>
      </c>
    </row>
    <row r="2010" spans="1:12" ht="16" x14ac:dyDescent="0.2">
      <c r="A2010" s="1">
        <v>2009</v>
      </c>
      <c r="B2010" s="1" t="s">
        <v>3980</v>
      </c>
      <c r="C2010" s="1" t="s">
        <v>6041</v>
      </c>
      <c r="D2010" s="1" t="str">
        <f t="shared" si="93"/>
        <v>København KommuneRosenborggade 12</v>
      </c>
      <c r="E2010" s="1" t="s">
        <v>6042</v>
      </c>
      <c r="F2010" s="1" t="s">
        <v>6043</v>
      </c>
      <c r="G2010" s="1">
        <v>1989</v>
      </c>
      <c r="H2010" s="1" t="s">
        <v>11</v>
      </c>
      <c r="I2010" s="6" cm="1">
        <f t="array" ref="I2010">GetLatitude(D2010)</f>
        <v>556836594</v>
      </c>
      <c r="J2010" s="1" cm="1">
        <f t="array" ref="J2010">GetLongitude(D2010)</f>
        <v>125745174</v>
      </c>
      <c r="K2010" s="1">
        <f t="shared" si="94"/>
        <v>55.683659400000003</v>
      </c>
      <c r="L2010" s="1">
        <f t="shared" si="95"/>
        <v>12.5745174</v>
      </c>
    </row>
    <row r="2011" spans="1:12" ht="16" x14ac:dyDescent="0.2">
      <c r="A2011" s="1">
        <v>2010</v>
      </c>
      <c r="B2011" s="1" t="s">
        <v>3980</v>
      </c>
      <c r="C2011" s="1" t="s">
        <v>6044</v>
      </c>
      <c r="D2011" s="1" t="str">
        <f t="shared" si="93"/>
        <v>København KommuneRosenborggade 15-17</v>
      </c>
      <c r="E2011" s="1" t="s">
        <v>6045</v>
      </c>
      <c r="F2011" s="1" t="s">
        <v>6046</v>
      </c>
      <c r="G2011" s="1">
        <v>2007</v>
      </c>
      <c r="H2011" s="1" t="s">
        <v>15</v>
      </c>
      <c r="I2011" s="6" cm="1">
        <f t="array" ref="I2011">GetLatitude(D2011)</f>
        <v>556838663</v>
      </c>
      <c r="J2011" s="1" cm="1">
        <f t="array" ref="J2011">GetLongitude(D2011)</f>
        <v>125743141</v>
      </c>
      <c r="K2011" s="1">
        <f t="shared" si="94"/>
        <v>55.683866299999998</v>
      </c>
      <c r="L2011" s="1">
        <f t="shared" si="95"/>
        <v>12.5743141</v>
      </c>
    </row>
    <row r="2012" spans="1:12" ht="16" x14ac:dyDescent="0.2">
      <c r="A2012" s="1">
        <v>2011</v>
      </c>
      <c r="B2012" s="1" t="s">
        <v>3980</v>
      </c>
      <c r="C2012" s="1" t="s">
        <v>6047</v>
      </c>
      <c r="D2012" s="1" t="str">
        <f t="shared" si="93"/>
        <v>København KommuneRosenborggade 19 og Gothersgade 113</v>
      </c>
      <c r="E2012" s="1" t="s">
        <v>6048</v>
      </c>
      <c r="F2012" s="1" t="s">
        <v>6049</v>
      </c>
      <c r="G2012" s="1">
        <v>1987</v>
      </c>
      <c r="H2012" s="1" t="s">
        <v>11</v>
      </c>
      <c r="I2012" s="6" cm="1">
        <f t="array" ref="I2012">GetLatitude(D2012)</f>
        <v>556817662</v>
      </c>
      <c r="J2012" s="1" cm="1">
        <f t="array" ref="J2012">GetLongitude(D2012)</f>
        <v>125837110</v>
      </c>
      <c r="K2012" s="1">
        <f t="shared" si="94"/>
        <v>55.681766199999998</v>
      </c>
      <c r="L2012" s="1">
        <f t="shared" si="95"/>
        <v>12.583710999999999</v>
      </c>
    </row>
    <row r="2013" spans="1:12" ht="16" x14ac:dyDescent="0.2">
      <c r="A2013" s="1">
        <v>2012</v>
      </c>
      <c r="B2013" s="1" t="s">
        <v>3980</v>
      </c>
      <c r="C2013" s="1" t="s">
        <v>6050</v>
      </c>
      <c r="D2013" s="1" t="str">
        <f t="shared" si="93"/>
        <v>København KommuneRosenborggade 7-9, hj af Tornebuskegade</v>
      </c>
      <c r="E2013" s="1" t="s">
        <v>6051</v>
      </c>
      <c r="F2013" s="1" t="s">
        <v>6052</v>
      </c>
      <c r="G2013" s="1">
        <v>1975</v>
      </c>
      <c r="H2013" s="1" t="s">
        <v>11</v>
      </c>
      <c r="I2013" s="6" cm="1">
        <f t="array" ref="I2013">GetLatitude(D2013)</f>
        <v>556840226</v>
      </c>
      <c r="J2013" s="1" cm="1">
        <f t="array" ref="J2013">GetLongitude(D2013)</f>
        <v>125736998</v>
      </c>
      <c r="K2013" s="1">
        <f t="shared" si="94"/>
        <v>55.684022599999999</v>
      </c>
      <c r="L2013" s="1">
        <f t="shared" si="95"/>
        <v>12.5736998</v>
      </c>
    </row>
    <row r="2014" spans="1:12" ht="16" x14ac:dyDescent="0.2">
      <c r="A2014" s="1">
        <v>2013</v>
      </c>
      <c r="B2014" s="1" t="s">
        <v>3980</v>
      </c>
      <c r="C2014" s="1" t="s">
        <v>6053</v>
      </c>
      <c r="D2014" s="1" t="str">
        <f t="shared" si="93"/>
        <v>København KommuneRosengade 6-12 og Fredericiagade 73-79</v>
      </c>
      <c r="E2014" s="1" t="s">
        <v>6054</v>
      </c>
      <c r="F2014" s="1" t="s">
        <v>6055</v>
      </c>
      <c r="G2014" s="1">
        <v>1989</v>
      </c>
      <c r="H2014" s="1" t="s">
        <v>11</v>
      </c>
      <c r="I2014" s="6" cm="1">
        <f t="array" ref="I2014">GetLatitude(D2014)</f>
        <v>556852613</v>
      </c>
      <c r="J2014" s="1" cm="1">
        <f t="array" ref="J2014">GetLongitude(D2014)</f>
        <v>125930404</v>
      </c>
      <c r="K2014" s="1">
        <f t="shared" si="94"/>
        <v>55.685261300000001</v>
      </c>
      <c r="L2014" s="1">
        <f t="shared" si="95"/>
        <v>12.5930404</v>
      </c>
    </row>
    <row r="2015" spans="1:12" ht="16" x14ac:dyDescent="0.2">
      <c r="A2015" s="1">
        <v>2014</v>
      </c>
      <c r="B2015" s="1" t="s">
        <v>3980</v>
      </c>
      <c r="C2015" s="1" t="s">
        <v>6056</v>
      </c>
      <c r="D2015" s="1" t="str">
        <f t="shared" si="93"/>
        <v>København KommuneRosengården 13</v>
      </c>
      <c r="E2015" s="1" t="s">
        <v>6057</v>
      </c>
      <c r="F2015" s="1" t="s">
        <v>6058</v>
      </c>
      <c r="G2015" s="1">
        <v>1964</v>
      </c>
      <c r="H2015" s="1" t="s">
        <v>99</v>
      </c>
      <c r="I2015" s="6" cm="1">
        <f t="array" ref="I2015">GetLatitude(D2015)</f>
        <v>556822650</v>
      </c>
      <c r="J2015" s="1" cm="1">
        <f t="array" ref="J2015">GetLongitude(D2015)</f>
        <v>125722810</v>
      </c>
      <c r="K2015" s="1">
        <f t="shared" si="94"/>
        <v>55.682265000000001</v>
      </c>
      <c r="L2015" s="1">
        <f t="shared" si="95"/>
        <v>12.572281</v>
      </c>
    </row>
    <row r="2016" spans="1:12" ht="16" x14ac:dyDescent="0.2">
      <c r="A2016" s="1">
        <v>2015</v>
      </c>
      <c r="B2016" s="1" t="s">
        <v>3980</v>
      </c>
      <c r="C2016" s="1" t="s">
        <v>6059</v>
      </c>
      <c r="D2016" s="1" t="str">
        <f t="shared" si="93"/>
        <v>København KommuneRosengården 5</v>
      </c>
      <c r="E2016" s="1" t="s">
        <v>6059</v>
      </c>
      <c r="F2016" s="1" t="s">
        <v>6060</v>
      </c>
      <c r="G2016" s="1">
        <v>1950</v>
      </c>
      <c r="H2016" s="1" t="s">
        <v>11</v>
      </c>
      <c r="I2016" s="6" cm="1">
        <f t="array" ref="I2016">GetLatitude(D2016)</f>
        <v>556821700</v>
      </c>
      <c r="J2016" s="1" cm="1">
        <f t="array" ref="J2016">GetLongitude(D2016)</f>
        <v>125730679</v>
      </c>
      <c r="K2016" s="1">
        <f t="shared" si="94"/>
        <v>55.682169999999999</v>
      </c>
      <c r="L2016" s="1">
        <f t="shared" si="95"/>
        <v>12.5730679</v>
      </c>
    </row>
    <row r="2017" spans="1:12" ht="16" x14ac:dyDescent="0.2">
      <c r="A2017" s="1">
        <v>2016</v>
      </c>
      <c r="B2017" s="1" t="s">
        <v>3980</v>
      </c>
      <c r="C2017" s="1" t="s">
        <v>6061</v>
      </c>
      <c r="D2017" s="1" t="str">
        <f t="shared" si="93"/>
        <v>København KommuneRosengården 6</v>
      </c>
      <c r="E2017" s="1" t="s">
        <v>6062</v>
      </c>
      <c r="F2017" s="1" t="s">
        <v>6063</v>
      </c>
      <c r="G2017" s="1">
        <v>1981</v>
      </c>
      <c r="H2017" s="1" t="s">
        <v>11</v>
      </c>
      <c r="I2017" s="6" cm="1">
        <f t="array" ref="I2017">GetLatitude(D2017)</f>
        <v>556823320</v>
      </c>
      <c r="J2017" s="1" cm="1">
        <f t="array" ref="J2017">GetLongitude(D2017)</f>
        <v>125732898</v>
      </c>
      <c r="K2017" s="1">
        <f t="shared" si="94"/>
        <v>55.682332000000002</v>
      </c>
      <c r="L2017" s="1">
        <f t="shared" si="95"/>
        <v>12.5732898</v>
      </c>
    </row>
    <row r="2018" spans="1:12" ht="16" x14ac:dyDescent="0.2">
      <c r="A2018" s="1">
        <v>2017</v>
      </c>
      <c r="B2018" s="1" t="s">
        <v>3980</v>
      </c>
      <c r="C2018" s="1" t="s">
        <v>6064</v>
      </c>
      <c r="D2018" s="1" t="str">
        <f t="shared" si="93"/>
        <v>København KommuneRosengården 7</v>
      </c>
      <c r="E2018" s="1" t="s">
        <v>6065</v>
      </c>
      <c r="F2018" s="1" t="s">
        <v>6060</v>
      </c>
      <c r="G2018" s="1">
        <v>1930</v>
      </c>
      <c r="H2018" s="1" t="s">
        <v>11</v>
      </c>
      <c r="I2018" s="6" cm="1">
        <f t="array" ref="I2018">GetLatitude(D2018)</f>
        <v>556822030</v>
      </c>
      <c r="J2018" s="1" cm="1">
        <f t="array" ref="J2018">GetLongitude(D2018)</f>
        <v>125728639</v>
      </c>
      <c r="K2018" s="1">
        <f t="shared" si="94"/>
        <v>55.682203000000001</v>
      </c>
      <c r="L2018" s="1">
        <f t="shared" si="95"/>
        <v>12.5728639</v>
      </c>
    </row>
    <row r="2019" spans="1:12" ht="16" x14ac:dyDescent="0.2">
      <c r="A2019" s="1">
        <v>2018</v>
      </c>
      <c r="B2019" s="1" t="s">
        <v>3980</v>
      </c>
      <c r="C2019" s="1" t="s">
        <v>6066</v>
      </c>
      <c r="D2019" s="1" t="str">
        <f t="shared" si="93"/>
        <v>København KommuneRosenvængets Allé 46</v>
      </c>
      <c r="E2019" s="1" t="s">
        <v>6067</v>
      </c>
      <c r="F2019" s="1" t="s">
        <v>6068</v>
      </c>
      <c r="G2019" s="1">
        <v>1977</v>
      </c>
      <c r="H2019" s="1" t="s">
        <v>11</v>
      </c>
      <c r="I2019" s="6" cm="1">
        <f t="array" ref="I2019">GetLatitude(D2019)</f>
        <v>557004808</v>
      </c>
      <c r="J2019" s="1" cm="1">
        <f t="array" ref="J2019">GetLongitude(D2019)</f>
        <v>125853426</v>
      </c>
      <c r="K2019" s="1">
        <f t="shared" si="94"/>
        <v>55.700480800000001</v>
      </c>
      <c r="L2019" s="1">
        <f t="shared" si="95"/>
        <v>12.585342600000001</v>
      </c>
    </row>
    <row r="2020" spans="1:12" ht="16" x14ac:dyDescent="0.2">
      <c r="A2020" s="1">
        <v>2019</v>
      </c>
      <c r="B2020" s="1" t="s">
        <v>3980</v>
      </c>
      <c r="C2020" s="1" t="s">
        <v>6069</v>
      </c>
      <c r="D2020" s="1" t="str">
        <f t="shared" si="93"/>
        <v>København KommuneRosenvængets Hovedvej 27</v>
      </c>
      <c r="E2020" s="1" t="s">
        <v>6070</v>
      </c>
      <c r="F2020" s="1" t="s">
        <v>6071</v>
      </c>
      <c r="G2020" s="1">
        <v>1977</v>
      </c>
      <c r="H2020" s="1" t="s">
        <v>11</v>
      </c>
      <c r="I2020" s="6" cm="1">
        <f t="array" ref="I2020">GetLatitude(D2020)</f>
        <v>557013206</v>
      </c>
      <c r="J2020" s="1" cm="1">
        <f t="array" ref="J2020">GetLongitude(D2020)</f>
        <v>125844353</v>
      </c>
      <c r="K2020" s="1">
        <f t="shared" si="94"/>
        <v>55.701320600000003</v>
      </c>
      <c r="L2020" s="1">
        <f t="shared" si="95"/>
        <v>12.584435300000001</v>
      </c>
    </row>
    <row r="2021" spans="1:12" ht="16" x14ac:dyDescent="0.2">
      <c r="A2021" s="1">
        <v>2020</v>
      </c>
      <c r="B2021" s="1" t="s">
        <v>3980</v>
      </c>
      <c r="C2021" s="1" t="s">
        <v>6072</v>
      </c>
      <c r="D2021" s="1" t="str">
        <f t="shared" si="93"/>
        <v>København KommuneRyesgade 104 og Sortedam Dossering 85</v>
      </c>
      <c r="E2021" s="1" t="s">
        <v>6073</v>
      </c>
      <c r="F2021" s="1" t="s">
        <v>6074</v>
      </c>
      <c r="G2021" s="1">
        <v>1997</v>
      </c>
      <c r="H2021" s="1" t="s">
        <v>11</v>
      </c>
      <c r="I2021" s="6" cm="1">
        <f t="array" ref="I2021">GetLatitude(D2021)</f>
        <v>556977338</v>
      </c>
      <c r="J2021" s="1" cm="1">
        <f t="array" ref="J2021">GetLongitude(D2021)</f>
        <v>125784921</v>
      </c>
      <c r="K2021" s="1">
        <f t="shared" si="94"/>
        <v>55.697733800000002</v>
      </c>
      <c r="L2021" s="1">
        <f t="shared" si="95"/>
        <v>12.5784921</v>
      </c>
    </row>
    <row r="2022" spans="1:12" ht="16" x14ac:dyDescent="0.2">
      <c r="A2022" s="1">
        <v>2021</v>
      </c>
      <c r="B2022" s="1" t="s">
        <v>3980</v>
      </c>
      <c r="C2022" s="1" t="s">
        <v>6075</v>
      </c>
      <c r="D2022" s="1" t="str">
        <f t="shared" si="93"/>
        <v>København KommuneRyvangs Allé 79</v>
      </c>
      <c r="E2022" s="1" t="s">
        <v>6076</v>
      </c>
      <c r="F2022" s="1" t="s">
        <v>6077</v>
      </c>
      <c r="G2022" s="1">
        <v>2000</v>
      </c>
      <c r="H2022" s="1" t="s">
        <v>15</v>
      </c>
      <c r="I2022" s="6" cm="1">
        <f t="array" ref="I2022">GetLatitude(D2022)</f>
        <v>557312225</v>
      </c>
      <c r="J2022" s="1" cm="1">
        <f t="array" ref="J2022">GetLongitude(D2022)</f>
        <v>125674986</v>
      </c>
      <c r="K2022" s="1">
        <f t="shared" si="94"/>
        <v>55.731222500000001</v>
      </c>
      <c r="L2022" s="1">
        <f t="shared" si="95"/>
        <v>12.5674986</v>
      </c>
    </row>
    <row r="2023" spans="1:12" ht="16" x14ac:dyDescent="0.2">
      <c r="A2023" s="1">
        <v>2022</v>
      </c>
      <c r="B2023" s="1" t="s">
        <v>3980</v>
      </c>
      <c r="C2023" s="1" t="s">
        <v>6078</v>
      </c>
      <c r="D2023" s="1" t="str">
        <f t="shared" si="93"/>
        <v>København KommuneRødkildevej 2-76</v>
      </c>
      <c r="E2023" s="1" t="s">
        <v>6079</v>
      </c>
      <c r="F2023" s="1" t="s">
        <v>6080</v>
      </c>
      <c r="G2023" s="1">
        <v>1981</v>
      </c>
      <c r="H2023" s="1" t="s">
        <v>11</v>
      </c>
      <c r="I2023" s="6" cm="1">
        <f t="array" ref="I2023">GetLatitude(D2023)</f>
        <v>556961363</v>
      </c>
      <c r="J2023" s="1" cm="1">
        <f t="array" ref="J2023">GetLongitude(D2023)</f>
        <v>125081142</v>
      </c>
      <c r="K2023" s="1">
        <f t="shared" si="94"/>
        <v>55.696136299999999</v>
      </c>
      <c r="L2023" s="1">
        <f t="shared" si="95"/>
        <v>12.5081142</v>
      </c>
    </row>
    <row r="2024" spans="1:12" ht="16" x14ac:dyDescent="0.2">
      <c r="A2024" s="1">
        <v>2023</v>
      </c>
      <c r="B2024" s="1" t="s">
        <v>3980</v>
      </c>
      <c r="C2024" s="1" t="s">
        <v>6081</v>
      </c>
      <c r="D2024" s="1" t="str">
        <f t="shared" si="93"/>
        <v>København KommuneRømersgade 22</v>
      </c>
      <c r="E2024" s="1" t="s">
        <v>6082</v>
      </c>
      <c r="F2024" s="1" t="s">
        <v>6083</v>
      </c>
      <c r="G2024" s="1">
        <v>1983</v>
      </c>
      <c r="H2024" s="1" t="s">
        <v>11</v>
      </c>
      <c r="I2024" s="6" cm="1">
        <f t="array" ref="I2024">GetLatitude(D2024)</f>
        <v>556847689</v>
      </c>
      <c r="J2024" s="1" cm="1">
        <f t="array" ref="J2024">GetLongitude(D2024)</f>
        <v>125704137</v>
      </c>
      <c r="K2024" s="1">
        <f t="shared" si="94"/>
        <v>55.684768900000002</v>
      </c>
      <c r="L2024" s="1">
        <f t="shared" si="95"/>
        <v>12.5704137</v>
      </c>
    </row>
    <row r="2025" spans="1:12" ht="16" x14ac:dyDescent="0.2">
      <c r="A2025" s="1">
        <v>2024</v>
      </c>
      <c r="B2025" s="1" t="s">
        <v>3980</v>
      </c>
      <c r="C2025" s="1" t="s">
        <v>3362</v>
      </c>
      <c r="D2025" s="1" t="str">
        <f t="shared" si="93"/>
        <v>København KommuneRådhuspladsen 1</v>
      </c>
      <c r="E2025" s="1" t="s">
        <v>6084</v>
      </c>
      <c r="F2025" s="1" t="s">
        <v>6085</v>
      </c>
      <c r="G2025" s="1">
        <v>1981</v>
      </c>
      <c r="H2025" s="1" t="s">
        <v>15</v>
      </c>
      <c r="I2025" s="6" cm="1">
        <f t="array" ref="I2025">GetLatitude(D2025)</f>
        <v>556754976</v>
      </c>
      <c r="J2025" s="1" cm="1">
        <f t="array" ref="J2025">GetLongitude(D2025)</f>
        <v>125701154</v>
      </c>
      <c r="K2025" s="1">
        <f t="shared" si="94"/>
        <v>55.6754976</v>
      </c>
      <c r="L2025" s="1">
        <f t="shared" si="95"/>
        <v>12.570115400000001</v>
      </c>
    </row>
    <row r="2026" spans="1:12" ht="16" x14ac:dyDescent="0.2">
      <c r="A2026" s="1">
        <v>2025</v>
      </c>
      <c r="B2026" s="1" t="s">
        <v>3980</v>
      </c>
      <c r="C2026" s="1" t="s">
        <v>6086</v>
      </c>
      <c r="D2026" s="1" t="str">
        <f t="shared" si="93"/>
        <v>København KommuneRådhuspladsen 57 og Mikkel Bryggersgade 8</v>
      </c>
      <c r="E2026" s="1" t="s">
        <v>6087</v>
      </c>
      <c r="F2026" s="1" t="s">
        <v>6088</v>
      </c>
      <c r="G2026" s="1">
        <v>1985</v>
      </c>
      <c r="H2026" s="1" t="s">
        <v>11</v>
      </c>
      <c r="I2026" s="6" cm="1">
        <f t="array" ref="I2026">GetLatitude(D2026)</f>
        <v>556764788</v>
      </c>
      <c r="J2026" s="1" cm="1">
        <f t="array" ref="J2026">GetLongitude(D2026)</f>
        <v>125714219</v>
      </c>
      <c r="K2026" s="1">
        <f t="shared" si="94"/>
        <v>55.676478799999998</v>
      </c>
      <c r="L2026" s="1">
        <f t="shared" si="95"/>
        <v>12.571421900000001</v>
      </c>
    </row>
    <row r="2027" spans="1:12" ht="16" x14ac:dyDescent="0.2">
      <c r="A2027" s="1">
        <v>2026</v>
      </c>
      <c r="B2027" s="1" t="s">
        <v>3980</v>
      </c>
      <c r="C2027" s="1" t="s">
        <v>6089</v>
      </c>
      <c r="D2027" s="1" t="str">
        <f t="shared" si="93"/>
        <v>København KommuneRådhusstræde 1, hj af Brolæggerstræde</v>
      </c>
      <c r="E2027" s="1" t="s">
        <v>6090</v>
      </c>
      <c r="F2027" s="1" t="s">
        <v>6091</v>
      </c>
      <c r="G2027" s="1">
        <v>1918</v>
      </c>
      <c r="H2027" s="1" t="s">
        <v>15</v>
      </c>
      <c r="I2027" s="6" cm="1">
        <f t="array" ref="I2027">GetLatitude(D2027)</f>
        <v>556772610</v>
      </c>
      <c r="J2027" s="1" cm="1">
        <f t="array" ref="J2027">GetLongitude(D2027)</f>
        <v>125741479</v>
      </c>
      <c r="K2027" s="1">
        <f t="shared" si="94"/>
        <v>55.677261000000001</v>
      </c>
      <c r="L2027" s="1">
        <f t="shared" si="95"/>
        <v>12.5741479</v>
      </c>
    </row>
    <row r="2028" spans="1:12" ht="16" x14ac:dyDescent="0.2">
      <c r="A2028" s="1">
        <v>2027</v>
      </c>
      <c r="B2028" s="1" t="s">
        <v>3980</v>
      </c>
      <c r="C2028" s="1" t="s">
        <v>6092</v>
      </c>
      <c r="D2028" s="1" t="str">
        <f t="shared" si="93"/>
        <v>København KommuneRådhusstræde 10, hj af Vandkunsten</v>
      </c>
      <c r="E2028" s="1" t="s">
        <v>6093</v>
      </c>
      <c r="F2028" s="1" t="s">
        <v>6094</v>
      </c>
      <c r="G2028" s="1">
        <v>1945</v>
      </c>
      <c r="H2028" s="1" t="s">
        <v>11</v>
      </c>
      <c r="I2028" s="6" cm="1">
        <f t="array" ref="I2028">GetLatitude(D2028)</f>
        <v>556763431</v>
      </c>
      <c r="J2028" s="1" cm="1">
        <f t="array" ref="J2028">GetLongitude(D2028)</f>
        <v>125744970</v>
      </c>
      <c r="K2028" s="1">
        <f t="shared" si="94"/>
        <v>55.676343099999997</v>
      </c>
      <c r="L2028" s="1">
        <f t="shared" si="95"/>
        <v>12.574496999999999</v>
      </c>
    </row>
    <row r="2029" spans="1:12" ht="16" x14ac:dyDescent="0.2">
      <c r="A2029" s="1">
        <v>2028</v>
      </c>
      <c r="B2029" s="1" t="s">
        <v>3980</v>
      </c>
      <c r="C2029" s="1" t="s">
        <v>6095</v>
      </c>
      <c r="D2029" s="1" t="str">
        <f t="shared" si="93"/>
        <v>København KommuneRådhusstræde 11</v>
      </c>
      <c r="E2029" s="1" t="s">
        <v>6096</v>
      </c>
      <c r="F2029" s="1" t="s">
        <v>5928</v>
      </c>
      <c r="G2029" s="1">
        <v>1945</v>
      </c>
      <c r="H2029" s="1" t="s">
        <v>11</v>
      </c>
      <c r="I2029" s="6" cm="1">
        <f t="array" ref="I2029">GetLatitude(D2029)</f>
        <v>556765554</v>
      </c>
      <c r="J2029" s="1" cm="1">
        <f t="array" ref="J2029">GetLongitude(D2029)</f>
        <v>125746809</v>
      </c>
      <c r="K2029" s="1">
        <f t="shared" si="94"/>
        <v>55.676555399999998</v>
      </c>
      <c r="L2029" s="1">
        <f t="shared" si="95"/>
        <v>12.574680900000001</v>
      </c>
    </row>
    <row r="2030" spans="1:12" ht="16" x14ac:dyDescent="0.2">
      <c r="A2030" s="1">
        <v>2029</v>
      </c>
      <c r="B2030" s="1" t="s">
        <v>3980</v>
      </c>
      <c r="C2030" s="1" t="s">
        <v>6097</v>
      </c>
      <c r="D2030" s="1" t="str">
        <f t="shared" si="93"/>
        <v>København KommuneRådhusstræde 13</v>
      </c>
      <c r="E2030" s="1" t="s">
        <v>6098</v>
      </c>
      <c r="F2030" s="1" t="s">
        <v>6099</v>
      </c>
      <c r="G2030" s="1">
        <v>1945</v>
      </c>
      <c r="H2030" s="1" t="s">
        <v>15</v>
      </c>
      <c r="I2030" s="6" cm="1">
        <f t="array" ref="I2030">GetLatitude(D2030)</f>
        <v>556764495</v>
      </c>
      <c r="J2030" s="1" cm="1">
        <f t="array" ref="J2030">GetLongitude(D2030)</f>
        <v>125747452</v>
      </c>
      <c r="K2030" s="1">
        <f t="shared" si="94"/>
        <v>55.676449499999997</v>
      </c>
      <c r="L2030" s="1">
        <f t="shared" si="95"/>
        <v>12.574745200000001</v>
      </c>
    </row>
    <row r="2031" spans="1:12" ht="16" x14ac:dyDescent="0.2">
      <c r="A2031" s="1">
        <v>2030</v>
      </c>
      <c r="B2031" s="1" t="s">
        <v>3980</v>
      </c>
      <c r="C2031" s="1" t="s">
        <v>6100</v>
      </c>
      <c r="D2031" s="1" t="str">
        <f t="shared" si="93"/>
        <v>København KommuneRådhusstræde 15</v>
      </c>
      <c r="E2031" s="1" t="s">
        <v>6101</v>
      </c>
      <c r="F2031" s="1" t="s">
        <v>6102</v>
      </c>
      <c r="G2031" s="1">
        <v>1945</v>
      </c>
      <c r="H2031" s="1" t="s">
        <v>11</v>
      </c>
      <c r="I2031" s="6" cm="1">
        <f t="array" ref="I2031">GetLatitude(D2031)</f>
        <v>556763404</v>
      </c>
      <c r="J2031" s="1" cm="1">
        <f t="array" ref="J2031">GetLongitude(D2031)</f>
        <v>125748408</v>
      </c>
      <c r="K2031" s="1">
        <f t="shared" si="94"/>
        <v>55.676340400000001</v>
      </c>
      <c r="L2031" s="1">
        <f t="shared" si="95"/>
        <v>12.5748408</v>
      </c>
    </row>
    <row r="2032" spans="1:12" ht="16" x14ac:dyDescent="0.2">
      <c r="A2032" s="1">
        <v>2031</v>
      </c>
      <c r="B2032" s="1" t="s">
        <v>3980</v>
      </c>
      <c r="C2032" s="1" t="s">
        <v>6103</v>
      </c>
      <c r="D2032" s="1" t="str">
        <f t="shared" si="93"/>
        <v>København KommuneRådhusstræde 17, hj af Magstræde</v>
      </c>
      <c r="E2032" s="1" t="s">
        <v>6104</v>
      </c>
      <c r="F2032" s="1" t="s">
        <v>6105</v>
      </c>
      <c r="G2032" s="1">
        <v>1945</v>
      </c>
      <c r="H2032" s="1" t="s">
        <v>11</v>
      </c>
      <c r="I2032" s="6" cm="1">
        <f t="array" ref="I2032">GetLatitude(D2032)</f>
        <v>556763624</v>
      </c>
      <c r="J2032" s="1" cm="1">
        <f t="array" ref="J2032">GetLongitude(D2032)</f>
        <v>125754176</v>
      </c>
      <c r="K2032" s="1">
        <f t="shared" si="94"/>
        <v>55.676362400000002</v>
      </c>
      <c r="L2032" s="1">
        <f t="shared" si="95"/>
        <v>12.5754176</v>
      </c>
    </row>
    <row r="2033" spans="1:12" ht="16" x14ac:dyDescent="0.2">
      <c r="A2033" s="1">
        <v>2032</v>
      </c>
      <c r="B2033" s="1" t="s">
        <v>3980</v>
      </c>
      <c r="C2033" s="1" t="s">
        <v>6106</v>
      </c>
      <c r="D2033" s="1" t="str">
        <f t="shared" si="93"/>
        <v>København KommuneRådhusstræde 3</v>
      </c>
      <c r="E2033" s="1" t="s">
        <v>6107</v>
      </c>
      <c r="F2033" s="1" t="s">
        <v>6108</v>
      </c>
      <c r="G2033" s="1">
        <v>1939</v>
      </c>
      <c r="H2033" s="1" t="s">
        <v>11</v>
      </c>
      <c r="I2033" s="6" cm="1">
        <f t="array" ref="I2033">GetLatitude(D2033)</f>
        <v>556770529</v>
      </c>
      <c r="J2033" s="1" cm="1">
        <f t="array" ref="J2033">GetLongitude(D2033)</f>
        <v>125741857</v>
      </c>
      <c r="K2033" s="1">
        <f t="shared" si="94"/>
        <v>55.6770529</v>
      </c>
      <c r="L2033" s="1">
        <f t="shared" si="95"/>
        <v>12.574185699999999</v>
      </c>
    </row>
    <row r="2034" spans="1:12" ht="16" x14ac:dyDescent="0.2">
      <c r="A2034" s="1">
        <v>2033</v>
      </c>
      <c r="B2034" s="1" t="s">
        <v>3980</v>
      </c>
      <c r="C2034" s="1" t="s">
        <v>6109</v>
      </c>
      <c r="D2034" s="1" t="str">
        <f t="shared" si="93"/>
        <v>København KommuneRådhusstræde 5</v>
      </c>
      <c r="E2034" s="1" t="s">
        <v>6110</v>
      </c>
      <c r="F2034" s="1" t="s">
        <v>6111</v>
      </c>
      <c r="G2034" s="1">
        <v>1945</v>
      </c>
      <c r="H2034" s="1" t="s">
        <v>11</v>
      </c>
      <c r="I2034" s="6" cm="1">
        <f t="array" ref="I2034">GetLatitude(D2034)</f>
        <v>556770209</v>
      </c>
      <c r="J2034" s="1" cm="1">
        <f t="array" ref="J2034">GetLongitude(D2034)</f>
        <v>125744437</v>
      </c>
      <c r="K2034" s="1">
        <f t="shared" si="94"/>
        <v>55.677020900000002</v>
      </c>
      <c r="L2034" s="1">
        <f t="shared" si="95"/>
        <v>12.5744437</v>
      </c>
    </row>
    <row r="2035" spans="1:12" ht="16" x14ac:dyDescent="0.2">
      <c r="A2035" s="1">
        <v>2034</v>
      </c>
      <c r="B2035" s="1" t="s">
        <v>3980</v>
      </c>
      <c r="C2035" s="1" t="s">
        <v>6112</v>
      </c>
      <c r="D2035" s="1" t="str">
        <f t="shared" si="93"/>
        <v>København KommuneRådhusstræde 6, hj af Kompagnistræde</v>
      </c>
      <c r="E2035" s="1" t="s">
        <v>6113</v>
      </c>
      <c r="F2035" s="1" t="s">
        <v>6114</v>
      </c>
      <c r="G2035" s="1">
        <v>1964</v>
      </c>
      <c r="H2035" s="1" t="s">
        <v>11</v>
      </c>
      <c r="I2035" s="6" cm="1">
        <f t="array" ref="I2035">GetLatitude(D2035)</f>
        <v>556766536</v>
      </c>
      <c r="J2035" s="1" cm="1">
        <f t="array" ref="J2035">GetLongitude(D2035)</f>
        <v>125740541</v>
      </c>
      <c r="K2035" s="1">
        <f t="shared" si="94"/>
        <v>55.676653600000002</v>
      </c>
      <c r="L2035" s="1">
        <f t="shared" si="95"/>
        <v>12.5740541</v>
      </c>
    </row>
    <row r="2036" spans="1:12" ht="16" x14ac:dyDescent="0.2">
      <c r="A2036" s="1">
        <v>2035</v>
      </c>
      <c r="B2036" s="1" t="s">
        <v>3980</v>
      </c>
      <c r="C2036" s="1" t="s">
        <v>6115</v>
      </c>
      <c r="D2036" s="1" t="str">
        <f t="shared" si="93"/>
        <v>København KommuneRådhusstræde 7, hj af Kompagnistræde</v>
      </c>
      <c r="E2036" s="1" t="s">
        <v>6116</v>
      </c>
      <c r="F2036" s="1" t="s">
        <v>6117</v>
      </c>
      <c r="G2036" s="1">
        <v>1918</v>
      </c>
      <c r="H2036" s="1" t="s">
        <v>2620</v>
      </c>
      <c r="I2036" s="6" cm="1">
        <f t="array" ref="I2036">GetLatitude(D2036)</f>
        <v>556768310</v>
      </c>
      <c r="J2036" s="1" cm="1">
        <f t="array" ref="J2036">GetLongitude(D2036)</f>
        <v>125744678</v>
      </c>
      <c r="K2036" s="1">
        <f t="shared" si="94"/>
        <v>55.676831</v>
      </c>
      <c r="L2036" s="1">
        <f t="shared" si="95"/>
        <v>12.574467800000001</v>
      </c>
    </row>
    <row r="2037" spans="1:12" ht="16" x14ac:dyDescent="0.2">
      <c r="A2037" s="1">
        <v>2036</v>
      </c>
      <c r="B2037" s="1" t="s">
        <v>3980</v>
      </c>
      <c r="C2037" s="1" t="s">
        <v>6118</v>
      </c>
      <c r="D2037" s="1" t="str">
        <f t="shared" si="93"/>
        <v>København KommuneRådhusstræde 8, hj af Kompagnistræde</v>
      </c>
      <c r="E2037" s="1" t="s">
        <v>6119</v>
      </c>
      <c r="F2037" s="1" t="s">
        <v>6120</v>
      </c>
      <c r="G2037" s="1">
        <v>1945</v>
      </c>
      <c r="H2037" s="1" t="s">
        <v>11</v>
      </c>
      <c r="I2037" s="6" cm="1">
        <f t="array" ref="I2037">GetLatitude(D2037)</f>
        <v>556765345</v>
      </c>
      <c r="J2037" s="1" cm="1">
        <f t="array" ref="J2037">GetLongitude(D2037)</f>
        <v>125742747</v>
      </c>
      <c r="K2037" s="1">
        <f t="shared" si="94"/>
        <v>55.676534500000002</v>
      </c>
      <c r="L2037" s="1">
        <f t="shared" si="95"/>
        <v>12.5742747</v>
      </c>
    </row>
    <row r="2038" spans="1:12" ht="16" x14ac:dyDescent="0.2">
      <c r="A2038" s="1">
        <v>2037</v>
      </c>
      <c r="B2038" s="1" t="s">
        <v>3980</v>
      </c>
      <c r="C2038" s="1" t="s">
        <v>6121</v>
      </c>
      <c r="D2038" s="1" t="str">
        <f t="shared" si="93"/>
        <v>København KommuneRådhusstræde 9, hj af Kompagnistræde</v>
      </c>
      <c r="E2038" s="1" t="s">
        <v>6122</v>
      </c>
      <c r="F2038" s="1" t="s">
        <v>6123</v>
      </c>
      <c r="G2038" s="1">
        <v>1945</v>
      </c>
      <c r="H2038" s="1" t="s">
        <v>11</v>
      </c>
      <c r="I2038" s="6" cm="1">
        <f t="array" ref="I2038">GetLatitude(D2038)</f>
        <v>556768762</v>
      </c>
      <c r="J2038" s="1" cm="1">
        <f t="array" ref="J2038">GetLongitude(D2038)</f>
        <v>125749481</v>
      </c>
      <c r="K2038" s="1">
        <f t="shared" si="94"/>
        <v>55.676876200000002</v>
      </c>
      <c r="L2038" s="1">
        <f t="shared" si="95"/>
        <v>12.5749481</v>
      </c>
    </row>
    <row r="2039" spans="1:12" ht="16" x14ac:dyDescent="0.2">
      <c r="A2039" s="1">
        <v>2038</v>
      </c>
      <c r="B2039" s="1" t="s">
        <v>3980</v>
      </c>
      <c r="C2039" s="1" t="s">
        <v>6124</v>
      </c>
      <c r="D2039" s="1" t="str">
        <f t="shared" si="93"/>
        <v>København KommuneSamosvej 50</v>
      </c>
      <c r="E2039" s="1" t="s">
        <v>6125</v>
      </c>
      <c r="F2039" s="1" t="s">
        <v>6126</v>
      </c>
      <c r="G2039" s="1">
        <v>1990</v>
      </c>
      <c r="H2039" s="1" t="s">
        <v>15</v>
      </c>
      <c r="I2039" s="6" cm="1">
        <f t="array" ref="I2039">GetLatitude(D2039)</f>
        <v>556529690</v>
      </c>
      <c r="J2039" s="1" cm="1">
        <f t="array" ref="J2039">GetLongitude(D2039)</f>
        <v>126277325</v>
      </c>
      <c r="K2039" s="1">
        <f t="shared" si="94"/>
        <v>55.652968999999999</v>
      </c>
      <c r="L2039" s="1">
        <f t="shared" si="95"/>
        <v>12.6277325</v>
      </c>
    </row>
    <row r="2040" spans="1:12" ht="16" x14ac:dyDescent="0.2">
      <c r="A2040" s="1">
        <v>2039</v>
      </c>
      <c r="B2040" s="1" t="s">
        <v>3980</v>
      </c>
      <c r="C2040" s="1" t="s">
        <v>6127</v>
      </c>
      <c r="D2040" s="1" t="str">
        <f t="shared" si="93"/>
        <v>København KommuneSankt Annæ Gade 12</v>
      </c>
      <c r="E2040" s="1" t="s">
        <v>6128</v>
      </c>
      <c r="F2040" s="1" t="s">
        <v>6129</v>
      </c>
      <c r="G2040" s="1">
        <v>1950</v>
      </c>
      <c r="H2040" s="1" t="s">
        <v>99</v>
      </c>
      <c r="I2040" s="6" cm="1">
        <f t="array" ref="I2040">GetLatitude(D2040)</f>
        <v>556737930</v>
      </c>
      <c r="J2040" s="1" cm="1">
        <f t="array" ref="J2040">GetLongitude(D2040)</f>
        <v>125915008</v>
      </c>
      <c r="K2040" s="1">
        <f t="shared" si="94"/>
        <v>55.673793000000003</v>
      </c>
      <c r="L2040" s="1">
        <f t="shared" si="95"/>
        <v>12.5915008</v>
      </c>
    </row>
    <row r="2041" spans="1:12" ht="16" x14ac:dyDescent="0.2">
      <c r="A2041" s="1">
        <v>2040</v>
      </c>
      <c r="B2041" s="1" t="s">
        <v>3980</v>
      </c>
      <c r="C2041" s="1" t="s">
        <v>6130</v>
      </c>
      <c r="D2041" s="1" t="str">
        <f t="shared" si="93"/>
        <v>København KommuneSankt Annæ Gade 14</v>
      </c>
      <c r="E2041" s="1" t="s">
        <v>6131</v>
      </c>
      <c r="F2041" s="1" t="s">
        <v>6132</v>
      </c>
      <c r="G2041" s="1">
        <v>1950</v>
      </c>
      <c r="H2041" s="1" t="s">
        <v>99</v>
      </c>
      <c r="I2041" s="6" cm="1">
        <f t="array" ref="I2041">GetLatitude(D2041)</f>
        <v>556737445</v>
      </c>
      <c r="J2041" s="1" cm="1">
        <f t="array" ref="J2041">GetLongitude(D2041)</f>
        <v>125915433</v>
      </c>
      <c r="K2041" s="1">
        <f t="shared" si="94"/>
        <v>55.673744499999998</v>
      </c>
      <c r="L2041" s="1">
        <f t="shared" si="95"/>
        <v>12.5915433</v>
      </c>
    </row>
    <row r="2042" spans="1:12" ht="16" x14ac:dyDescent="0.2">
      <c r="A2042" s="1">
        <v>2041</v>
      </c>
      <c r="B2042" s="1" t="s">
        <v>3980</v>
      </c>
      <c r="C2042" s="1" t="s">
        <v>6133</v>
      </c>
      <c r="D2042" s="1" t="str">
        <f t="shared" si="93"/>
        <v>København KommuneSankt Annæ Gade 16</v>
      </c>
      <c r="E2042" s="1" t="s">
        <v>6134</v>
      </c>
      <c r="F2042" s="1" t="s">
        <v>6135</v>
      </c>
      <c r="G2042" s="1">
        <v>1950</v>
      </c>
      <c r="H2042" s="1" t="s">
        <v>15</v>
      </c>
      <c r="I2042" s="6" cm="1">
        <f t="array" ref="I2042">GetLatitude(D2042)</f>
        <v>556737137</v>
      </c>
      <c r="J2042" s="1" cm="1">
        <f t="array" ref="J2042">GetLongitude(D2042)</f>
        <v>125916271</v>
      </c>
      <c r="K2042" s="1">
        <f t="shared" si="94"/>
        <v>55.6737137</v>
      </c>
      <c r="L2042" s="1">
        <f t="shared" si="95"/>
        <v>12.5916271</v>
      </c>
    </row>
    <row r="2043" spans="1:12" ht="16" x14ac:dyDescent="0.2">
      <c r="A2043" s="1">
        <v>2042</v>
      </c>
      <c r="B2043" s="1" t="s">
        <v>3980</v>
      </c>
      <c r="C2043" s="1" t="s">
        <v>6136</v>
      </c>
      <c r="D2043" s="1" t="str">
        <f t="shared" si="93"/>
        <v>København Kommune Sankt Annæ Gade 18</v>
      </c>
      <c r="E2043" s="1" t="s">
        <v>6137</v>
      </c>
      <c r="F2043" s="1" t="s">
        <v>373</v>
      </c>
      <c r="G2043" s="1">
        <v>1950</v>
      </c>
      <c r="H2043" s="1" t="s">
        <v>11</v>
      </c>
      <c r="I2043" s="6" cm="1">
        <f t="array" ref="I2043">GetLatitude(D2043)</f>
        <v>556736862</v>
      </c>
      <c r="J2043" s="1" cm="1">
        <f t="array" ref="J2043">GetLongitude(D2043)</f>
        <v>125916797</v>
      </c>
      <c r="K2043" s="1">
        <f t="shared" si="94"/>
        <v>55.673686199999999</v>
      </c>
      <c r="L2043" s="1">
        <f t="shared" si="95"/>
        <v>12.5916797</v>
      </c>
    </row>
    <row r="2044" spans="1:12" ht="16" x14ac:dyDescent="0.2">
      <c r="A2044" s="1">
        <v>2043</v>
      </c>
      <c r="B2044" s="1" t="s">
        <v>3980</v>
      </c>
      <c r="C2044" s="1" t="s">
        <v>6138</v>
      </c>
      <c r="D2044" s="1" t="str">
        <f t="shared" si="93"/>
        <v>København KommuneSankt Annæ Gade 20-22, hj af Overgaden neden Vandet</v>
      </c>
      <c r="E2044" s="1" t="s">
        <v>6139</v>
      </c>
      <c r="F2044" s="1" t="s">
        <v>6140</v>
      </c>
      <c r="G2044" s="1">
        <v>1950</v>
      </c>
      <c r="H2044" s="1" t="s">
        <v>11</v>
      </c>
      <c r="I2044" s="6" cm="1">
        <f t="array" ref="I2044">GetLatitude(D2044)</f>
        <v>556736615</v>
      </c>
      <c r="J2044" s="1" cm="1">
        <f t="array" ref="J2044">GetLongitude(D2044)</f>
        <v>125917294</v>
      </c>
      <c r="K2044" s="1">
        <f t="shared" si="94"/>
        <v>55.673661500000001</v>
      </c>
      <c r="L2044" s="1">
        <f t="shared" si="95"/>
        <v>12.5917294</v>
      </c>
    </row>
    <row r="2045" spans="1:12" ht="16" x14ac:dyDescent="0.2">
      <c r="A2045" s="1">
        <v>2044</v>
      </c>
      <c r="B2045" s="1" t="s">
        <v>3980</v>
      </c>
      <c r="C2045" s="1" t="s">
        <v>6141</v>
      </c>
      <c r="D2045" s="1" t="str">
        <f t="shared" si="93"/>
        <v>København KommuneSankt Annæ Gade 3 B</v>
      </c>
      <c r="E2045" s="1" t="s">
        <v>6142</v>
      </c>
      <c r="F2045" s="1" t="s">
        <v>6143</v>
      </c>
      <c r="G2045" s="1">
        <v>1950</v>
      </c>
      <c r="H2045" s="1" t="s">
        <v>11</v>
      </c>
      <c r="I2045" s="6" cm="1">
        <f t="array" ref="I2045">GetLatitude(D2045)</f>
        <v>556742020</v>
      </c>
      <c r="J2045" s="1" cm="1">
        <f t="array" ref="J2045">GetLongitude(D2045)</f>
        <v>125911710</v>
      </c>
      <c r="K2045" s="1">
        <f t="shared" si="94"/>
        <v>55.674202000000001</v>
      </c>
      <c r="L2045" s="1">
        <f t="shared" si="95"/>
        <v>12.591170999999999</v>
      </c>
    </row>
    <row r="2046" spans="1:12" ht="16" x14ac:dyDescent="0.2">
      <c r="A2046" s="1">
        <v>2045</v>
      </c>
      <c r="B2046" s="1" t="s">
        <v>3980</v>
      </c>
      <c r="C2046" s="1" t="s">
        <v>6144</v>
      </c>
      <c r="D2046" s="1" t="str">
        <f t="shared" si="93"/>
        <v>København KommuneSankt Annæ Gade 4</v>
      </c>
      <c r="E2046" s="1" t="s">
        <v>6145</v>
      </c>
      <c r="F2046" s="1" t="s">
        <v>6146</v>
      </c>
      <c r="G2046" s="1">
        <v>1950</v>
      </c>
      <c r="H2046" s="1" t="s">
        <v>11</v>
      </c>
      <c r="I2046" s="6" cm="1">
        <f t="array" ref="I2046">GetLatitude(D2046)</f>
        <v>556741686</v>
      </c>
      <c r="J2046" s="1" cm="1">
        <f t="array" ref="J2046">GetLongitude(D2046)</f>
        <v>125908392</v>
      </c>
      <c r="K2046" s="1">
        <f t="shared" si="94"/>
        <v>55.674168600000002</v>
      </c>
      <c r="L2046" s="1">
        <f t="shared" si="95"/>
        <v>12.5908392</v>
      </c>
    </row>
    <row r="2047" spans="1:12" ht="16" x14ac:dyDescent="0.2">
      <c r="A2047" s="1">
        <v>2046</v>
      </c>
      <c r="B2047" s="1" t="s">
        <v>3980</v>
      </c>
      <c r="C2047" s="1" t="s">
        <v>6147</v>
      </c>
      <c r="D2047" s="1" t="str">
        <f t="shared" si="93"/>
        <v>København KommuneSankt Annæ Gade 6 og Wildersgade 45</v>
      </c>
      <c r="E2047" s="1" t="s">
        <v>6148</v>
      </c>
      <c r="F2047" s="1" t="s">
        <v>6149</v>
      </c>
      <c r="G2047" s="1">
        <v>1973</v>
      </c>
      <c r="H2047" s="1" t="s">
        <v>6150</v>
      </c>
      <c r="I2047" s="6" cm="1">
        <f t="array" ref="I2047">GetLatitude(D2047)</f>
        <v>556740267</v>
      </c>
      <c r="J2047" s="1" cm="1">
        <f t="array" ref="J2047">GetLongitude(D2047)</f>
        <v>125910967</v>
      </c>
      <c r="K2047" s="1">
        <f t="shared" si="94"/>
        <v>55.674026699999999</v>
      </c>
      <c r="L2047" s="1">
        <f t="shared" si="95"/>
        <v>12.5910967</v>
      </c>
    </row>
    <row r="2048" spans="1:12" ht="16" x14ac:dyDescent="0.2">
      <c r="A2048" s="1">
        <v>2047</v>
      </c>
      <c r="B2048" s="1" t="s">
        <v>3980</v>
      </c>
      <c r="C2048" s="1" t="s">
        <v>6151</v>
      </c>
      <c r="D2048" s="1" t="str">
        <f t="shared" si="93"/>
        <v>København KommuneSankt Annæ Plads 10 A-C</v>
      </c>
      <c r="E2048" s="1" t="s">
        <v>6152</v>
      </c>
      <c r="F2048" s="1" t="s">
        <v>6153</v>
      </c>
      <c r="G2048" s="1">
        <v>1964</v>
      </c>
      <c r="H2048" s="1" t="s">
        <v>4003</v>
      </c>
      <c r="I2048" s="6" cm="1">
        <f t="array" ref="I2048">GetLatitude(D2048)</f>
        <v>556814300</v>
      </c>
      <c r="J2048" s="1" cm="1">
        <f t="array" ref="J2048">GetLongitude(D2048)</f>
        <v>125911704</v>
      </c>
      <c r="K2048" s="1">
        <f t="shared" si="94"/>
        <v>55.681429999999999</v>
      </c>
      <c r="L2048" s="1">
        <f t="shared" si="95"/>
        <v>12.591170399999999</v>
      </c>
    </row>
    <row r="2049" spans="1:12" ht="16" x14ac:dyDescent="0.2">
      <c r="A2049" s="1">
        <v>2048</v>
      </c>
      <c r="B2049" s="1" t="s">
        <v>3980</v>
      </c>
      <c r="C2049" s="1" t="s">
        <v>6154</v>
      </c>
      <c r="D2049" s="1" t="str">
        <f t="shared" si="93"/>
        <v>København KommuneSankt Annæ Plads 11</v>
      </c>
      <c r="E2049" s="1" t="s">
        <v>6155</v>
      </c>
      <c r="F2049" s="1" t="s">
        <v>6156</v>
      </c>
      <c r="G2049" s="1">
        <v>1918</v>
      </c>
      <c r="H2049" s="1" t="s">
        <v>11</v>
      </c>
      <c r="I2049" s="6" cm="1">
        <f t="array" ref="I2049">GetLatitude(D2049)</f>
        <v>556820591</v>
      </c>
      <c r="J2049" s="1" cm="1">
        <f t="array" ref="J2049">GetLongitude(D2049)</f>
        <v>125905507</v>
      </c>
      <c r="K2049" s="1">
        <f t="shared" si="94"/>
        <v>55.682059099999996</v>
      </c>
      <c r="L2049" s="1">
        <f t="shared" si="95"/>
        <v>12.5905507</v>
      </c>
    </row>
    <row r="2050" spans="1:12" ht="16" x14ac:dyDescent="0.2">
      <c r="A2050" s="1">
        <v>2049</v>
      </c>
      <c r="B2050" s="1" t="s">
        <v>3980</v>
      </c>
      <c r="C2050" s="1" t="s">
        <v>6157</v>
      </c>
      <c r="D2050" s="1" t="str">
        <f t="shared" si="93"/>
        <v>København KommuneSankt Annæ Plads 1-3</v>
      </c>
      <c r="E2050" s="1" t="s">
        <v>6158</v>
      </c>
      <c r="F2050" s="1" t="s">
        <v>6159</v>
      </c>
      <c r="G2050" s="1">
        <v>1932</v>
      </c>
      <c r="H2050" s="1" t="s">
        <v>11</v>
      </c>
      <c r="I2050" s="6" cm="1">
        <f t="array" ref="I2050">GetLatitude(D2050)</f>
        <v>556823854</v>
      </c>
      <c r="J2050" s="1" cm="1">
        <f t="array" ref="J2050">GetLongitude(D2050)</f>
        <v>125891784</v>
      </c>
      <c r="K2050" s="1">
        <f t="shared" si="94"/>
        <v>55.682385400000001</v>
      </c>
      <c r="L2050" s="1">
        <f t="shared" si="95"/>
        <v>12.5891784</v>
      </c>
    </row>
    <row r="2051" spans="1:12" ht="16" x14ac:dyDescent="0.2">
      <c r="A2051" s="1">
        <v>2050</v>
      </c>
      <c r="B2051" s="1" t="s">
        <v>3980</v>
      </c>
      <c r="C2051" s="1" t="s">
        <v>6160</v>
      </c>
      <c r="D2051" s="1" t="str">
        <f t="shared" ref="D2051:D2114" si="96">B2051&amp;C2051</f>
        <v>København KommuneSankt Annæ Plads 13, hj af Amaliegade</v>
      </c>
      <c r="E2051" s="1" t="s">
        <v>6161</v>
      </c>
      <c r="F2051" s="1" t="s">
        <v>6162</v>
      </c>
      <c r="G2051" s="1">
        <v>1918</v>
      </c>
      <c r="H2051" s="1" t="s">
        <v>15</v>
      </c>
      <c r="I2051" s="6" cm="1">
        <f t="array" ref="I2051">GetLatitude(D2051)</f>
        <v>556819940</v>
      </c>
      <c r="J2051" s="1" cm="1">
        <f t="array" ref="J2051">GetLongitude(D2051)</f>
        <v>125911770</v>
      </c>
      <c r="K2051" s="1">
        <f t="shared" si="94"/>
        <v>55.681994000000003</v>
      </c>
      <c r="L2051" s="1">
        <f t="shared" si="95"/>
        <v>12.591177</v>
      </c>
    </row>
    <row r="2052" spans="1:12" ht="16" x14ac:dyDescent="0.2">
      <c r="A2052" s="1">
        <v>2051</v>
      </c>
      <c r="B2052" s="1" t="s">
        <v>3980</v>
      </c>
      <c r="C2052" s="1" t="s">
        <v>6163</v>
      </c>
      <c r="D2052" s="1" t="str">
        <f t="shared" si="96"/>
        <v>København KommuneSankt Annæ Plads 5</v>
      </c>
      <c r="E2052" s="1" t="s">
        <v>6164</v>
      </c>
      <c r="F2052" s="1" t="s">
        <v>6165</v>
      </c>
      <c r="G2052" s="1">
        <v>1918</v>
      </c>
      <c r="H2052" s="1" t="s">
        <v>15</v>
      </c>
      <c r="I2052" s="6" cm="1">
        <f t="array" ref="I2052">GetLatitude(D2052)</f>
        <v>556822850</v>
      </c>
      <c r="J2052" s="1" cm="1">
        <f t="array" ref="J2052">GetLongitude(D2052)</f>
        <v>125895909</v>
      </c>
      <c r="K2052" s="1">
        <f t="shared" ref="K2052:K2115" si="97">I2052/10000000</f>
        <v>55.682285</v>
      </c>
      <c r="L2052" s="1">
        <f t="shared" ref="L2052:L2115" si="98">J2052/10000000</f>
        <v>12.589590899999999</v>
      </c>
    </row>
    <row r="2053" spans="1:12" ht="16" x14ac:dyDescent="0.2">
      <c r="A2053" s="1">
        <v>2052</v>
      </c>
      <c r="B2053" s="1" t="s">
        <v>3980</v>
      </c>
      <c r="C2053" s="1" t="s">
        <v>6166</v>
      </c>
      <c r="D2053" s="1" t="str">
        <f t="shared" si="96"/>
        <v>København KommuneSankt Annæ Plads 6, hj af Lille Strandstræde</v>
      </c>
      <c r="E2053" s="1" t="s">
        <v>6167</v>
      </c>
      <c r="F2053" s="1" t="s">
        <v>6168</v>
      </c>
      <c r="G2053" s="1">
        <v>1950</v>
      </c>
      <c r="H2053" s="1" t="s">
        <v>11</v>
      </c>
      <c r="I2053" s="6" cm="1">
        <f t="array" ref="I2053">GetLatitude(D2053)</f>
        <v>556815789</v>
      </c>
      <c r="J2053" s="1" cm="1">
        <f t="array" ref="J2053">GetLongitude(D2053)</f>
        <v>125905264</v>
      </c>
      <c r="K2053" s="1">
        <f t="shared" si="97"/>
        <v>55.681578899999998</v>
      </c>
      <c r="L2053" s="1">
        <f t="shared" si="98"/>
        <v>12.5905264</v>
      </c>
    </row>
    <row r="2054" spans="1:12" ht="16" x14ac:dyDescent="0.2">
      <c r="A2054" s="1">
        <v>2053</v>
      </c>
      <c r="B2054" s="1" t="s">
        <v>3980</v>
      </c>
      <c r="C2054" s="1" t="s">
        <v>6169</v>
      </c>
      <c r="D2054" s="1" t="str">
        <f t="shared" si="96"/>
        <v>København KommuneSankt Annæ Plads 7</v>
      </c>
      <c r="E2054" s="1" t="s">
        <v>6170</v>
      </c>
      <c r="F2054" s="1" t="s">
        <v>6171</v>
      </c>
      <c r="G2054" s="1">
        <v>1932</v>
      </c>
      <c r="H2054" s="1" t="s">
        <v>701</v>
      </c>
      <c r="I2054" s="6" cm="1">
        <f t="array" ref="I2054">GetLatitude(D2054)</f>
        <v>556822485</v>
      </c>
      <c r="J2054" s="1" cm="1">
        <f t="array" ref="J2054">GetLongitude(D2054)</f>
        <v>125898895</v>
      </c>
      <c r="K2054" s="1">
        <f t="shared" si="97"/>
        <v>55.6822485</v>
      </c>
      <c r="L2054" s="1">
        <f t="shared" si="98"/>
        <v>12.5898895</v>
      </c>
    </row>
    <row r="2055" spans="1:12" ht="16" x14ac:dyDescent="0.2">
      <c r="A2055" s="1">
        <v>2054</v>
      </c>
      <c r="B2055" s="1" t="s">
        <v>3980</v>
      </c>
      <c r="C2055" s="1" t="s">
        <v>6172</v>
      </c>
      <c r="D2055" s="1" t="str">
        <f t="shared" si="96"/>
        <v>København KommuneSankt Annæ Plads 9</v>
      </c>
      <c r="E2055" s="1" t="s">
        <v>6173</v>
      </c>
      <c r="F2055" s="1" t="s">
        <v>6174</v>
      </c>
      <c r="G2055" s="1">
        <v>1932</v>
      </c>
      <c r="H2055" s="1" t="s">
        <v>11</v>
      </c>
      <c r="I2055" s="6" cm="1">
        <f t="array" ref="I2055">GetLatitude(D2055)</f>
        <v>556821645</v>
      </c>
      <c r="J2055" s="1" cm="1">
        <f t="array" ref="J2055">GetLongitude(D2055)</f>
        <v>125901737</v>
      </c>
      <c r="K2055" s="1">
        <f t="shared" si="97"/>
        <v>55.682164499999999</v>
      </c>
      <c r="L2055" s="1">
        <f t="shared" si="98"/>
        <v>12.590173699999999</v>
      </c>
    </row>
    <row r="2056" spans="1:12" ht="16" x14ac:dyDescent="0.2">
      <c r="A2056" s="1">
        <v>2055</v>
      </c>
      <c r="B2056" s="1" t="s">
        <v>3980</v>
      </c>
      <c r="C2056" s="1" t="s">
        <v>6175</v>
      </c>
      <c r="D2056" s="1" t="str">
        <f t="shared" si="96"/>
        <v>København KommuneSankt Gertruds Stræde 10</v>
      </c>
      <c r="E2056" s="1" t="s">
        <v>6176</v>
      </c>
      <c r="F2056" s="1" t="s">
        <v>6177</v>
      </c>
      <c r="G2056" s="1">
        <v>1950</v>
      </c>
      <c r="H2056" s="1" t="s">
        <v>11</v>
      </c>
      <c r="I2056" s="6" cm="1">
        <f t="array" ref="I2056">GetLatitude(D2056)</f>
        <v>556833749</v>
      </c>
      <c r="J2056" s="1" cm="1">
        <f t="array" ref="J2056">GetLongitude(D2056)</f>
        <v>125747099</v>
      </c>
      <c r="K2056" s="1">
        <f t="shared" si="97"/>
        <v>55.683374899999997</v>
      </c>
      <c r="L2056" s="1">
        <f t="shared" si="98"/>
        <v>12.5747099</v>
      </c>
    </row>
    <row r="2057" spans="1:12" ht="16" x14ac:dyDescent="0.2">
      <c r="A2057" s="1">
        <v>2056</v>
      </c>
      <c r="B2057" s="1" t="s">
        <v>3980</v>
      </c>
      <c r="C2057" s="1" t="s">
        <v>6178</v>
      </c>
      <c r="D2057" s="1" t="str">
        <f t="shared" si="96"/>
        <v>København KommuneSankt Gertruds Stræde 3</v>
      </c>
      <c r="E2057" s="1" t="s">
        <v>6179</v>
      </c>
      <c r="F2057" s="1" t="s">
        <v>6180</v>
      </c>
      <c r="G2057" s="1">
        <v>1979</v>
      </c>
      <c r="H2057" s="1" t="s">
        <v>15</v>
      </c>
      <c r="I2057" s="6" cm="1">
        <f t="array" ref="I2057">GetLatitude(D2057)</f>
        <v>556830448</v>
      </c>
      <c r="J2057" s="1" cm="1">
        <f t="array" ref="J2057">GetLongitude(D2057)</f>
        <v>125741737</v>
      </c>
      <c r="K2057" s="1">
        <f t="shared" si="97"/>
        <v>55.683044799999998</v>
      </c>
      <c r="L2057" s="1">
        <f t="shared" si="98"/>
        <v>12.574173699999999</v>
      </c>
    </row>
    <row r="2058" spans="1:12" ht="16" x14ac:dyDescent="0.2">
      <c r="A2058" s="1">
        <v>2057</v>
      </c>
      <c r="B2058" s="1" t="s">
        <v>3980</v>
      </c>
      <c r="C2058" s="1" t="s">
        <v>6181</v>
      </c>
      <c r="D2058" s="1" t="str">
        <f t="shared" si="96"/>
        <v>København KommuneSankt Gertruds Stræde 4</v>
      </c>
      <c r="E2058" s="1" t="s">
        <v>6182</v>
      </c>
      <c r="F2058" s="1" t="s">
        <v>6183</v>
      </c>
      <c r="G2058" s="1">
        <v>1950</v>
      </c>
      <c r="H2058" s="1" t="s">
        <v>11</v>
      </c>
      <c r="I2058" s="6" cm="1">
        <f t="array" ref="I2058">GetLatitude(D2058)</f>
        <v>556830034</v>
      </c>
      <c r="J2058" s="1" cm="1">
        <f t="array" ref="J2058">GetLongitude(D2058)</f>
        <v>125744662</v>
      </c>
      <c r="K2058" s="1">
        <f t="shared" si="97"/>
        <v>55.683003399999997</v>
      </c>
      <c r="L2058" s="1">
        <f t="shared" si="98"/>
        <v>12.5744662</v>
      </c>
    </row>
    <row r="2059" spans="1:12" ht="16" x14ac:dyDescent="0.2">
      <c r="A2059" s="1">
        <v>2058</v>
      </c>
      <c r="B2059" s="1" t="s">
        <v>3980</v>
      </c>
      <c r="C2059" s="1" t="s">
        <v>6184</v>
      </c>
      <c r="D2059" s="1" t="str">
        <f t="shared" si="96"/>
        <v>København KommuneSankt Gertruds Stræde 6</v>
      </c>
      <c r="E2059" s="1" t="s">
        <v>6185</v>
      </c>
      <c r="F2059" s="1" t="s">
        <v>6186</v>
      </c>
      <c r="G2059" s="1">
        <v>1950</v>
      </c>
      <c r="H2059" s="1" t="s">
        <v>11</v>
      </c>
      <c r="I2059" s="6" cm="1">
        <f t="array" ref="I2059">GetLatitude(D2059)</f>
        <v>556831078</v>
      </c>
      <c r="J2059" s="1" cm="1">
        <f t="array" ref="J2059">GetLongitude(D2059)</f>
        <v>125743780</v>
      </c>
      <c r="K2059" s="1">
        <f t="shared" si="97"/>
        <v>55.683107800000002</v>
      </c>
      <c r="L2059" s="1">
        <f t="shared" si="98"/>
        <v>12.574377999999999</v>
      </c>
    </row>
    <row r="2060" spans="1:12" ht="16" x14ac:dyDescent="0.2">
      <c r="A2060" s="1">
        <v>2059</v>
      </c>
      <c r="B2060" s="1" t="s">
        <v>3980</v>
      </c>
      <c r="C2060" s="1" t="s">
        <v>6187</v>
      </c>
      <c r="D2060" s="1" t="str">
        <f t="shared" si="96"/>
        <v>København KommuneSankt Gertruds Stræde 8</v>
      </c>
      <c r="E2060" s="1" t="s">
        <v>6188</v>
      </c>
      <c r="F2060" s="1" t="s">
        <v>6189</v>
      </c>
      <c r="G2060" s="1">
        <v>1950</v>
      </c>
      <c r="H2060" s="1" t="s">
        <v>11</v>
      </c>
      <c r="I2060" s="6" cm="1">
        <f t="array" ref="I2060">GetLatitude(D2060)</f>
        <v>556832406</v>
      </c>
      <c r="J2060" s="1" cm="1">
        <f t="array" ref="J2060">GetLongitude(D2060)</f>
        <v>125743298</v>
      </c>
      <c r="K2060" s="1">
        <f t="shared" si="97"/>
        <v>55.683240599999998</v>
      </c>
      <c r="L2060" s="1">
        <f t="shared" si="98"/>
        <v>12.574329799999999</v>
      </c>
    </row>
    <row r="2061" spans="1:12" ht="16" x14ac:dyDescent="0.2">
      <c r="A2061" s="1">
        <v>2060</v>
      </c>
      <c r="B2061" s="1" t="s">
        <v>3980</v>
      </c>
      <c r="C2061" s="1" t="s">
        <v>6190</v>
      </c>
      <c r="D2061" s="1" t="str">
        <f t="shared" si="96"/>
        <v>København KommuneSankt Peders Stræde 14</v>
      </c>
      <c r="E2061" s="1" t="s">
        <v>6191</v>
      </c>
      <c r="F2061" s="1" t="s">
        <v>6192</v>
      </c>
      <c r="G2061" s="1">
        <v>1979</v>
      </c>
      <c r="H2061" s="1" t="s">
        <v>2029</v>
      </c>
      <c r="I2061" s="6" cm="1">
        <f t="array" ref="I2061">GetLatitude(D2061)</f>
        <v>556795587</v>
      </c>
      <c r="J2061" s="1" cm="1">
        <f t="array" ref="J2061">GetLongitude(D2061)</f>
        <v>125690035</v>
      </c>
      <c r="K2061" s="1">
        <f t="shared" si="97"/>
        <v>55.679558700000001</v>
      </c>
      <c r="L2061" s="1">
        <f t="shared" si="98"/>
        <v>12.569003500000001</v>
      </c>
    </row>
    <row r="2062" spans="1:12" ht="16" x14ac:dyDescent="0.2">
      <c r="A2062" s="1">
        <v>2061</v>
      </c>
      <c r="B2062" s="1" t="s">
        <v>3980</v>
      </c>
      <c r="C2062" s="1" t="s">
        <v>6193</v>
      </c>
      <c r="D2062" s="1" t="str">
        <f t="shared" si="96"/>
        <v>København KommuneSankt Peders Stræde 17</v>
      </c>
      <c r="E2062" s="1" t="s">
        <v>6194</v>
      </c>
      <c r="F2062" s="1" t="s">
        <v>6195</v>
      </c>
      <c r="G2062" s="1">
        <v>1988</v>
      </c>
      <c r="H2062" s="1" t="s">
        <v>11</v>
      </c>
      <c r="I2062" s="6" cm="1">
        <f t="array" ref="I2062">GetLatitude(D2062)</f>
        <v>556793577</v>
      </c>
      <c r="J2062" s="1" cm="1">
        <f t="array" ref="J2062">GetLongitude(D2062)</f>
        <v>125700904</v>
      </c>
      <c r="K2062" s="1">
        <f t="shared" si="97"/>
        <v>55.679357699999997</v>
      </c>
      <c r="L2062" s="1">
        <f t="shared" si="98"/>
        <v>12.5700904</v>
      </c>
    </row>
    <row r="2063" spans="1:12" ht="16" x14ac:dyDescent="0.2">
      <c r="A2063" s="1">
        <v>2062</v>
      </c>
      <c r="B2063" s="1" t="s">
        <v>3980</v>
      </c>
      <c r="C2063" s="1" t="s">
        <v>6196</v>
      </c>
      <c r="D2063" s="1" t="str">
        <f t="shared" si="96"/>
        <v>København KommuneSankt Peders Stræde 18, hj af Teglgårdsstræde</v>
      </c>
      <c r="E2063" s="1" t="s">
        <v>6197</v>
      </c>
      <c r="F2063" s="1" t="s">
        <v>6198</v>
      </c>
      <c r="G2063" s="1">
        <v>1959</v>
      </c>
      <c r="H2063" s="1" t="s">
        <v>11</v>
      </c>
      <c r="I2063" s="6" cm="1">
        <f t="array" ref="I2063">GetLatitude(D2063)</f>
        <v>556791227</v>
      </c>
      <c r="J2063" s="1" cm="1">
        <f t="array" ref="J2063">GetLongitude(D2063)</f>
        <v>125685318</v>
      </c>
      <c r="K2063" s="1">
        <f t="shared" si="97"/>
        <v>55.679122700000001</v>
      </c>
      <c r="L2063" s="1">
        <f t="shared" si="98"/>
        <v>12.568531800000001</v>
      </c>
    </row>
    <row r="2064" spans="1:12" ht="16" x14ac:dyDescent="0.2">
      <c r="A2064" s="1">
        <v>2063</v>
      </c>
      <c r="B2064" s="1" t="s">
        <v>3980</v>
      </c>
      <c r="C2064" s="1" t="s">
        <v>6199</v>
      </c>
      <c r="D2064" s="1" t="str">
        <f t="shared" si="96"/>
        <v>København KommuneSankt Peders Stræde 2</v>
      </c>
      <c r="E2064" s="1" t="s">
        <v>6200</v>
      </c>
      <c r="F2064" s="1" t="s">
        <v>6201</v>
      </c>
      <c r="G2064" s="1">
        <v>1985</v>
      </c>
      <c r="H2064" s="1" t="s">
        <v>15</v>
      </c>
      <c r="I2064" s="6" cm="1">
        <f t="array" ref="I2064">GetLatitude(D2064)</f>
        <v>556800569</v>
      </c>
      <c r="J2064" s="1" cm="1">
        <f t="array" ref="J2064">GetLongitude(D2064)</f>
        <v>125707868</v>
      </c>
      <c r="K2064" s="1">
        <f t="shared" si="97"/>
        <v>55.680056899999997</v>
      </c>
      <c r="L2064" s="1">
        <f t="shared" si="98"/>
        <v>12.5707868</v>
      </c>
    </row>
    <row r="2065" spans="1:12" ht="16" x14ac:dyDescent="0.2">
      <c r="A2065" s="1">
        <v>2064</v>
      </c>
      <c r="B2065" s="1" t="s">
        <v>3980</v>
      </c>
      <c r="C2065" s="1" t="s">
        <v>6202</v>
      </c>
      <c r="D2065" s="1" t="str">
        <f t="shared" si="96"/>
        <v>København KommuneSankt Peders Stræde 27</v>
      </c>
      <c r="E2065" s="1" t="s">
        <v>6203</v>
      </c>
      <c r="F2065" s="1" t="s">
        <v>6204</v>
      </c>
      <c r="G2065" s="1">
        <v>1964</v>
      </c>
      <c r="H2065" s="1" t="s">
        <v>6205</v>
      </c>
      <c r="I2065" s="6" cm="1">
        <f t="array" ref="I2065">GetLatitude(D2065)</f>
        <v>556791760</v>
      </c>
      <c r="J2065" s="1" cm="1">
        <f t="array" ref="J2065">GetLongitude(D2065)</f>
        <v>125693044</v>
      </c>
      <c r="K2065" s="1">
        <f t="shared" si="97"/>
        <v>55.679175999999998</v>
      </c>
      <c r="L2065" s="1">
        <f t="shared" si="98"/>
        <v>12.5693044</v>
      </c>
    </row>
    <row r="2066" spans="1:12" ht="16" x14ac:dyDescent="0.2">
      <c r="A2066" s="1">
        <v>2065</v>
      </c>
      <c r="B2066" s="1" t="s">
        <v>3980</v>
      </c>
      <c r="C2066" s="1" t="s">
        <v>6206</v>
      </c>
      <c r="D2066" s="1" t="str">
        <f t="shared" si="96"/>
        <v>København KommuneSankt Peders Stræde 28</v>
      </c>
      <c r="E2066" s="1" t="s">
        <v>6207</v>
      </c>
      <c r="F2066" s="1" t="s">
        <v>6208</v>
      </c>
      <c r="G2066" s="1">
        <v>1959</v>
      </c>
      <c r="H2066" s="1" t="s">
        <v>11</v>
      </c>
      <c r="I2066" s="6" cm="1">
        <f t="array" ref="I2066">GetLatitude(D2066)</f>
        <v>556788987</v>
      </c>
      <c r="J2066" s="1" cm="1">
        <f t="array" ref="J2066">GetLongitude(D2066)</f>
        <v>125676716</v>
      </c>
      <c r="K2066" s="1">
        <f t="shared" si="97"/>
        <v>55.678898699999998</v>
      </c>
      <c r="L2066" s="1">
        <f t="shared" si="98"/>
        <v>12.567671600000001</v>
      </c>
    </row>
    <row r="2067" spans="1:12" ht="16" x14ac:dyDescent="0.2">
      <c r="A2067" s="1">
        <v>2066</v>
      </c>
      <c r="B2067" s="1" t="s">
        <v>3980</v>
      </c>
      <c r="C2067" s="1" t="s">
        <v>6209</v>
      </c>
      <c r="D2067" s="1" t="str">
        <f t="shared" si="96"/>
        <v>København KommuneSankt Peders Stræde 29-31, hj af Larsbjørnsstræde</v>
      </c>
      <c r="E2067" s="1" t="s">
        <v>6210</v>
      </c>
      <c r="F2067" s="1" t="s">
        <v>6211</v>
      </c>
      <c r="G2067" s="1">
        <v>1964</v>
      </c>
      <c r="H2067" s="1" t="s">
        <v>4164</v>
      </c>
      <c r="I2067" s="6" cm="1">
        <f t="array" ref="I2067">GetLatitude(D2067)</f>
        <v>556790932</v>
      </c>
      <c r="J2067" s="1" cm="1">
        <f t="array" ref="J2067">GetLongitude(D2067)</f>
        <v>125692407</v>
      </c>
      <c r="K2067" s="1">
        <f t="shared" si="97"/>
        <v>55.679093199999997</v>
      </c>
      <c r="L2067" s="1">
        <f t="shared" si="98"/>
        <v>12.5692407</v>
      </c>
    </row>
    <row r="2068" spans="1:12" ht="16" x14ac:dyDescent="0.2">
      <c r="A2068" s="1">
        <v>2067</v>
      </c>
      <c r="B2068" s="1" t="s">
        <v>3980</v>
      </c>
      <c r="C2068" s="1" t="s">
        <v>6212</v>
      </c>
      <c r="D2068" s="1" t="str">
        <f t="shared" si="96"/>
        <v>København KommuneSankt Peders Stræde 32</v>
      </c>
      <c r="E2068" s="1" t="s">
        <v>6213</v>
      </c>
      <c r="F2068" s="1" t="s">
        <v>1235</v>
      </c>
      <c r="G2068" s="1">
        <v>1977</v>
      </c>
      <c r="H2068" s="1" t="s">
        <v>11</v>
      </c>
      <c r="I2068" s="6" cm="1">
        <f t="array" ref="I2068">GetLatitude(D2068)</f>
        <v>556788552</v>
      </c>
      <c r="J2068" s="1" cm="1">
        <f t="array" ref="J2068">GetLongitude(D2068)</f>
        <v>125672863</v>
      </c>
      <c r="K2068" s="1">
        <f t="shared" si="97"/>
        <v>55.678855200000001</v>
      </c>
      <c r="L2068" s="1">
        <f t="shared" si="98"/>
        <v>12.567286299999999</v>
      </c>
    </row>
    <row r="2069" spans="1:12" ht="16" x14ac:dyDescent="0.2">
      <c r="A2069" s="1">
        <v>2068</v>
      </c>
      <c r="B2069" s="1" t="s">
        <v>3980</v>
      </c>
      <c r="C2069" s="1" t="s">
        <v>6214</v>
      </c>
      <c r="D2069" s="1" t="str">
        <f t="shared" si="96"/>
        <v>København KommuneSankt Peders Stræde 41</v>
      </c>
      <c r="E2069" s="1" t="s">
        <v>6215</v>
      </c>
      <c r="F2069" s="1" t="s">
        <v>6216</v>
      </c>
      <c r="G2069" s="1">
        <v>1959</v>
      </c>
      <c r="H2069" s="1" t="s">
        <v>6217</v>
      </c>
      <c r="I2069" s="6" cm="1">
        <f t="array" ref="I2069">GetLatitude(D2069)</f>
        <v>556787994</v>
      </c>
      <c r="J2069" s="1" cm="1">
        <f t="array" ref="J2069">GetLongitude(D2069)</f>
        <v>125678354</v>
      </c>
      <c r="K2069" s="1">
        <f t="shared" si="97"/>
        <v>55.678799400000003</v>
      </c>
      <c r="L2069" s="1">
        <f t="shared" si="98"/>
        <v>12.5678354</v>
      </c>
    </row>
    <row r="2070" spans="1:12" ht="16" x14ac:dyDescent="0.2">
      <c r="A2070" s="1">
        <v>2069</v>
      </c>
      <c r="B2070" s="1" t="s">
        <v>3980</v>
      </c>
      <c r="C2070" s="1" t="s">
        <v>6218</v>
      </c>
      <c r="D2070" s="1" t="str">
        <f t="shared" si="96"/>
        <v>København KommuneSilkegade 6-8</v>
      </c>
      <c r="E2070" s="1" t="s">
        <v>6219</v>
      </c>
      <c r="F2070" s="1" t="s">
        <v>6220</v>
      </c>
      <c r="G2070" s="1">
        <v>1999</v>
      </c>
      <c r="H2070" s="1" t="s">
        <v>11</v>
      </c>
      <c r="I2070" s="6" cm="1">
        <f t="array" ref="I2070">GetLatitude(D2070)</f>
        <v>556798842</v>
      </c>
      <c r="J2070" s="1" cm="1">
        <f t="array" ref="J2070">GetLongitude(D2070)</f>
        <v>125799305</v>
      </c>
      <c r="K2070" s="1">
        <f t="shared" si="97"/>
        <v>55.679884199999996</v>
      </c>
      <c r="L2070" s="1">
        <f t="shared" si="98"/>
        <v>12.5799305</v>
      </c>
    </row>
    <row r="2071" spans="1:12" ht="16" x14ac:dyDescent="0.2">
      <c r="A2071" s="1">
        <v>2070</v>
      </c>
      <c r="B2071" s="1" t="s">
        <v>3980</v>
      </c>
      <c r="C2071" s="1" t="s">
        <v>6221</v>
      </c>
      <c r="D2071" s="1" t="str">
        <f t="shared" si="96"/>
        <v>København KommuneSjællandsbroen</v>
      </c>
      <c r="E2071" s="1" t="s">
        <v>6222</v>
      </c>
      <c r="F2071" s="1" t="s">
        <v>6223</v>
      </c>
      <c r="G2071" s="1">
        <v>2007</v>
      </c>
      <c r="H2071" s="1" t="s">
        <v>15</v>
      </c>
      <c r="I2071" s="6" cm="1">
        <f t="array" ref="I2071">GetLatitude(D2071)</f>
        <v>556430309</v>
      </c>
      <c r="J2071" s="1" cm="1">
        <f t="array" ref="J2071">GetLongitude(D2071)</f>
        <v>125468215</v>
      </c>
      <c r="K2071" s="1">
        <f t="shared" si="97"/>
        <v>55.643030899999999</v>
      </c>
      <c r="L2071" s="1">
        <f t="shared" si="98"/>
        <v>12.5468215</v>
      </c>
    </row>
    <row r="2072" spans="1:12" ht="16" x14ac:dyDescent="0.2">
      <c r="A2072" s="1">
        <v>2071</v>
      </c>
      <c r="B2072" s="1" t="s">
        <v>3980</v>
      </c>
      <c r="C2072" s="1" t="s">
        <v>6224</v>
      </c>
      <c r="D2072" s="1" t="str">
        <f t="shared" si="96"/>
        <v>København KommuneSjællandsgade 12 A</v>
      </c>
      <c r="E2072" s="1" t="s">
        <v>6225</v>
      </c>
      <c r="F2072" s="1" t="s">
        <v>6226</v>
      </c>
      <c r="G2072" s="1">
        <v>2012</v>
      </c>
      <c r="H2072" s="1" t="s">
        <v>15</v>
      </c>
      <c r="I2072" s="6" cm="1">
        <f t="array" ref="I2072">GetLatitude(D2072)</f>
        <v>556760968</v>
      </c>
      <c r="J2072" s="1" cm="1">
        <f t="array" ref="J2072">GetLongitude(D2072)</f>
        <v>125683371</v>
      </c>
      <c r="K2072" s="1">
        <f t="shared" si="97"/>
        <v>55.676096800000003</v>
      </c>
      <c r="L2072" s="1">
        <f t="shared" si="98"/>
        <v>12.568337100000001</v>
      </c>
    </row>
    <row r="2073" spans="1:12" ht="16" x14ac:dyDescent="0.2">
      <c r="A2073" s="1">
        <v>2072</v>
      </c>
      <c r="B2073" s="1" t="s">
        <v>3980</v>
      </c>
      <c r="C2073" s="1" t="s">
        <v>6227</v>
      </c>
      <c r="D2073" s="1" t="str">
        <f t="shared" si="96"/>
        <v>København KommuneSkindergade 13, hj af Niels Hemmingsens Gade</v>
      </c>
      <c r="E2073" s="1" t="s">
        <v>6228</v>
      </c>
      <c r="F2073" s="1" t="s">
        <v>6229</v>
      </c>
      <c r="G2073" s="1">
        <v>1973</v>
      </c>
      <c r="H2073" s="1" t="s">
        <v>11</v>
      </c>
      <c r="I2073" s="6" cm="1">
        <f t="array" ref="I2073">GetLatitude(D2073)</f>
        <v>556797060</v>
      </c>
      <c r="J2073" s="1" cm="1">
        <f t="array" ref="J2073">GetLongitude(D2073)</f>
        <v>125770590</v>
      </c>
      <c r="K2073" s="1">
        <f t="shared" si="97"/>
        <v>55.679706000000003</v>
      </c>
      <c r="L2073" s="1">
        <f t="shared" si="98"/>
        <v>12.577059</v>
      </c>
    </row>
    <row r="2074" spans="1:12" ht="16" x14ac:dyDescent="0.2">
      <c r="A2074" s="1">
        <v>2073</v>
      </c>
      <c r="B2074" s="1" t="s">
        <v>3980</v>
      </c>
      <c r="C2074" s="1" t="s">
        <v>6230</v>
      </c>
      <c r="D2074" s="1" t="str">
        <f t="shared" si="96"/>
        <v>København KommuneSkindergade 19, hj af Kejsergade</v>
      </c>
      <c r="E2074" s="1" t="s">
        <v>6231</v>
      </c>
      <c r="F2074" s="1" t="s">
        <v>6232</v>
      </c>
      <c r="G2074" s="1">
        <v>1945</v>
      </c>
      <c r="H2074" s="1" t="s">
        <v>11</v>
      </c>
      <c r="I2074" s="6" cm="1">
        <f t="array" ref="I2074">GetLatitude(D2074)</f>
        <v>556801622</v>
      </c>
      <c r="J2074" s="1" cm="1">
        <f t="array" ref="J2074">GetLongitude(D2074)</f>
        <v>125751680</v>
      </c>
      <c r="K2074" s="1">
        <f t="shared" si="97"/>
        <v>55.680162199999998</v>
      </c>
      <c r="L2074" s="1">
        <f t="shared" si="98"/>
        <v>12.575168</v>
      </c>
    </row>
    <row r="2075" spans="1:12" ht="16" x14ac:dyDescent="0.2">
      <c r="A2075" s="1">
        <v>2074</v>
      </c>
      <c r="B2075" s="1" t="s">
        <v>3980</v>
      </c>
      <c r="C2075" s="1" t="s">
        <v>6233</v>
      </c>
      <c r="D2075" s="1" t="str">
        <f t="shared" si="96"/>
        <v>København KommuneSkindergade 21</v>
      </c>
      <c r="E2075" s="1" t="s">
        <v>6234</v>
      </c>
      <c r="F2075" s="1" t="s">
        <v>6235</v>
      </c>
      <c r="G2075" s="1">
        <v>1964</v>
      </c>
      <c r="H2075" s="1" t="s">
        <v>11</v>
      </c>
      <c r="I2075" s="6" cm="1">
        <f t="array" ref="I2075">GetLatitude(D2075)</f>
        <v>556799038</v>
      </c>
      <c r="J2075" s="1" cm="1">
        <f t="array" ref="J2075">GetLongitude(D2075)</f>
        <v>125750194</v>
      </c>
      <c r="K2075" s="1">
        <f t="shared" si="97"/>
        <v>55.679903799999998</v>
      </c>
      <c r="L2075" s="1">
        <f t="shared" si="98"/>
        <v>12.5750194</v>
      </c>
    </row>
    <row r="2076" spans="1:12" ht="16" x14ac:dyDescent="0.2">
      <c r="A2076" s="1">
        <v>2075</v>
      </c>
      <c r="B2076" s="1" t="s">
        <v>3980</v>
      </c>
      <c r="C2076" s="1" t="s">
        <v>6236</v>
      </c>
      <c r="D2076" s="1" t="str">
        <f t="shared" si="96"/>
        <v>København KommuneSkindergade 22</v>
      </c>
      <c r="E2076" s="1" t="s">
        <v>6237</v>
      </c>
      <c r="F2076" s="1" t="s">
        <v>6238</v>
      </c>
      <c r="G2076" s="1">
        <v>1979</v>
      </c>
      <c r="H2076" s="1" t="s">
        <v>4628</v>
      </c>
      <c r="I2076" s="6" cm="1">
        <f t="array" ref="I2076">GetLatitude(D2076)</f>
        <v>556799242</v>
      </c>
      <c r="J2076" s="1" cm="1">
        <f t="array" ref="J2076">GetLongitude(D2076)</f>
        <v>125747169</v>
      </c>
      <c r="K2076" s="1">
        <f t="shared" si="97"/>
        <v>55.679924200000002</v>
      </c>
      <c r="L2076" s="1">
        <f t="shared" si="98"/>
        <v>12.5747169</v>
      </c>
    </row>
    <row r="2077" spans="1:12" ht="16" x14ac:dyDescent="0.2">
      <c r="A2077" s="1">
        <v>2076</v>
      </c>
      <c r="B2077" s="1" t="s">
        <v>3980</v>
      </c>
      <c r="C2077" s="1" t="s">
        <v>6239</v>
      </c>
      <c r="D2077" s="1" t="str">
        <f t="shared" si="96"/>
        <v>København KommuneSkindergade 23</v>
      </c>
      <c r="E2077" s="1" t="s">
        <v>6240</v>
      </c>
      <c r="F2077" s="1" t="s">
        <v>4862</v>
      </c>
      <c r="G2077" s="1">
        <v>1964</v>
      </c>
      <c r="H2077" s="1" t="s">
        <v>15</v>
      </c>
      <c r="I2077" s="6" cm="1">
        <f t="array" ref="I2077">GetLatitude(D2077)</f>
        <v>556797900</v>
      </c>
      <c r="J2077" s="1" cm="1">
        <f t="array" ref="J2077">GetLongitude(D2077)</f>
        <v>125748400</v>
      </c>
      <c r="K2077" s="1">
        <f t="shared" si="97"/>
        <v>55.679789999999997</v>
      </c>
      <c r="L2077" s="1">
        <f t="shared" si="98"/>
        <v>12.57484</v>
      </c>
    </row>
    <row r="2078" spans="1:12" ht="16" x14ac:dyDescent="0.2">
      <c r="A2078" s="1">
        <v>2077</v>
      </c>
      <c r="B2078" s="1" t="s">
        <v>3980</v>
      </c>
      <c r="C2078" s="1" t="s">
        <v>6241</v>
      </c>
      <c r="D2078" s="1" t="str">
        <f t="shared" si="96"/>
        <v>København KommuneSkindergade 32 og Fiolstræde 2</v>
      </c>
      <c r="E2078" s="1" t="s">
        <v>6242</v>
      </c>
      <c r="F2078" s="1" t="s">
        <v>6243</v>
      </c>
      <c r="G2078" s="1">
        <v>1945</v>
      </c>
      <c r="H2078" s="1" t="s">
        <v>11</v>
      </c>
      <c r="I2078" s="6" cm="1">
        <f t="array" ref="I2078">GetLatitude(D2078)</f>
        <v>556816150</v>
      </c>
      <c r="J2078" s="1" cm="1">
        <f t="array" ref="J2078">GetLongitude(D2078)</f>
        <v>125725520</v>
      </c>
      <c r="K2078" s="1">
        <f t="shared" si="97"/>
        <v>55.681615000000001</v>
      </c>
      <c r="L2078" s="1">
        <f t="shared" si="98"/>
        <v>12.572552</v>
      </c>
    </row>
    <row r="2079" spans="1:12" ht="16" x14ac:dyDescent="0.2">
      <c r="A2079" s="1">
        <v>2078</v>
      </c>
      <c r="B2079" s="1" t="s">
        <v>3980</v>
      </c>
      <c r="C2079" s="1" t="s">
        <v>6244</v>
      </c>
      <c r="D2079" s="1" t="str">
        <f t="shared" si="96"/>
        <v>København KommuneSkindergade 34 og Dyrkøb 1</v>
      </c>
      <c r="E2079" s="1" t="s">
        <v>6245</v>
      </c>
      <c r="F2079" s="1" t="s">
        <v>6246</v>
      </c>
      <c r="G2079" s="1">
        <v>1918</v>
      </c>
      <c r="H2079" s="1" t="s">
        <v>11</v>
      </c>
      <c r="I2079" s="6" cm="1">
        <f t="array" ref="I2079">GetLatitude(D2079)</f>
        <v>556789950</v>
      </c>
      <c r="J2079" s="1" cm="1">
        <f t="array" ref="J2079">GetLongitude(D2079)</f>
        <v>125735828</v>
      </c>
      <c r="K2079" s="1">
        <f t="shared" si="97"/>
        <v>55.678995</v>
      </c>
      <c r="L2079" s="1">
        <f t="shared" si="98"/>
        <v>12.573582800000001</v>
      </c>
    </row>
    <row r="2080" spans="1:12" ht="16" x14ac:dyDescent="0.2">
      <c r="A2080" s="1">
        <v>2079</v>
      </c>
      <c r="B2080" s="1" t="s">
        <v>3980</v>
      </c>
      <c r="C2080" s="1" t="s">
        <v>6247</v>
      </c>
      <c r="D2080" s="1" t="str">
        <f t="shared" si="96"/>
        <v>København KommuneSkindergade 38 og Dyrkøb 5</v>
      </c>
      <c r="E2080" s="1" t="s">
        <v>6248</v>
      </c>
      <c r="F2080" s="1" t="s">
        <v>6249</v>
      </c>
      <c r="G2080" s="1">
        <v>1951</v>
      </c>
      <c r="H2080" s="1" t="s">
        <v>11</v>
      </c>
      <c r="I2080" s="6" cm="1">
        <f t="array" ref="I2080">GetLatitude(D2080)</f>
        <v>556792500</v>
      </c>
      <c r="J2080" s="1" cm="1">
        <f t="array" ref="J2080">GetLongitude(D2080)</f>
        <v>125735331</v>
      </c>
      <c r="K2080" s="1">
        <f t="shared" si="97"/>
        <v>55.679250000000003</v>
      </c>
      <c r="L2080" s="1">
        <f t="shared" si="98"/>
        <v>12.573533100000001</v>
      </c>
    </row>
    <row r="2081" spans="1:12" ht="16" x14ac:dyDescent="0.2">
      <c r="A2081" s="1">
        <v>2080</v>
      </c>
      <c r="B2081" s="1" t="s">
        <v>3980</v>
      </c>
      <c r="C2081" s="1" t="s">
        <v>6250</v>
      </c>
      <c r="D2081" s="1" t="str">
        <f t="shared" si="96"/>
        <v>København KommuneSkindergade 40</v>
      </c>
      <c r="E2081" s="1" t="s">
        <v>6251</v>
      </c>
      <c r="F2081" s="1" t="s">
        <v>6252</v>
      </c>
      <c r="G2081" s="1">
        <v>1945</v>
      </c>
      <c r="H2081" s="1" t="s">
        <v>11</v>
      </c>
      <c r="I2081" s="6" cm="1">
        <f t="array" ref="I2081">GetLatitude(D2081)</f>
        <v>556787079</v>
      </c>
      <c r="J2081" s="1" cm="1">
        <f t="array" ref="J2081">GetLongitude(D2081)</f>
        <v>125727356</v>
      </c>
      <c r="K2081" s="1">
        <f t="shared" si="97"/>
        <v>55.678707899999999</v>
      </c>
      <c r="L2081" s="1">
        <f t="shared" si="98"/>
        <v>12.5727356</v>
      </c>
    </row>
    <row r="2082" spans="1:12" ht="16" x14ac:dyDescent="0.2">
      <c r="A2082" s="1">
        <v>2081</v>
      </c>
      <c r="B2082" s="1" t="s">
        <v>3980</v>
      </c>
      <c r="C2082" s="1" t="s">
        <v>6253</v>
      </c>
      <c r="D2082" s="1" t="str">
        <f t="shared" si="96"/>
        <v>København KommuneSkindergade 42</v>
      </c>
      <c r="E2082" s="1" t="s">
        <v>6254</v>
      </c>
      <c r="F2082" s="1" t="s">
        <v>6255</v>
      </c>
      <c r="G2082" s="1">
        <v>1945</v>
      </c>
      <c r="H2082" s="1" t="s">
        <v>11</v>
      </c>
      <c r="I2082" s="6" cm="1">
        <f t="array" ref="I2082">GetLatitude(D2082)</f>
        <v>556786847</v>
      </c>
      <c r="J2082" s="1" cm="1">
        <f t="array" ref="J2082">GetLongitude(D2082)</f>
        <v>125726441</v>
      </c>
      <c r="K2082" s="1">
        <f t="shared" si="97"/>
        <v>55.678684699999998</v>
      </c>
      <c r="L2082" s="1">
        <f t="shared" si="98"/>
        <v>12.5726441</v>
      </c>
    </row>
    <row r="2083" spans="1:12" ht="16" x14ac:dyDescent="0.2">
      <c r="A2083" s="1">
        <v>2082</v>
      </c>
      <c r="B2083" s="1" t="s">
        <v>3980</v>
      </c>
      <c r="C2083" s="1" t="s">
        <v>6256</v>
      </c>
      <c r="D2083" s="1" t="str">
        <f t="shared" si="96"/>
        <v>København KommuneSkindergade 44</v>
      </c>
      <c r="E2083" s="1" t="s">
        <v>6256</v>
      </c>
      <c r="F2083" s="1" t="s">
        <v>6257</v>
      </c>
      <c r="G2083" s="1">
        <v>1945</v>
      </c>
      <c r="H2083" s="1" t="s">
        <v>11</v>
      </c>
      <c r="I2083" s="6" cm="1">
        <f t="array" ref="I2083">GetLatitude(D2083)</f>
        <v>556786226</v>
      </c>
      <c r="J2083" s="1" cm="1">
        <f t="array" ref="J2083">GetLongitude(D2083)</f>
        <v>125724993</v>
      </c>
      <c r="K2083" s="1">
        <f t="shared" si="97"/>
        <v>55.678622599999997</v>
      </c>
      <c r="L2083" s="1">
        <f t="shared" si="98"/>
        <v>12.5724993</v>
      </c>
    </row>
    <row r="2084" spans="1:12" ht="16" x14ac:dyDescent="0.2">
      <c r="A2084" s="1">
        <v>2083</v>
      </c>
      <c r="B2084" s="1" t="s">
        <v>3980</v>
      </c>
      <c r="C2084" s="1" t="s">
        <v>6258</v>
      </c>
      <c r="D2084" s="1" t="str">
        <f t="shared" si="96"/>
        <v>København KommuneSkindergade 5</v>
      </c>
      <c r="E2084" s="1" t="s">
        <v>6259</v>
      </c>
      <c r="F2084" s="1" t="s">
        <v>6260</v>
      </c>
      <c r="G2084" s="1">
        <v>1992</v>
      </c>
      <c r="H2084" s="1" t="s">
        <v>11</v>
      </c>
      <c r="I2084" s="6" cm="1">
        <f t="array" ref="I2084">GetLatitude(D2084)</f>
        <v>556807142</v>
      </c>
      <c r="J2084" s="1" cm="1">
        <f t="array" ref="J2084">GetLongitude(D2084)</f>
        <v>125761308</v>
      </c>
      <c r="K2084" s="1">
        <f t="shared" si="97"/>
        <v>55.680714199999997</v>
      </c>
      <c r="L2084" s="1">
        <f t="shared" si="98"/>
        <v>12.5761308</v>
      </c>
    </row>
    <row r="2085" spans="1:12" ht="16" x14ac:dyDescent="0.2">
      <c r="A2085" s="1">
        <v>2084</v>
      </c>
      <c r="B2085" s="1" t="s">
        <v>3980</v>
      </c>
      <c r="C2085" s="1" t="s">
        <v>6261</v>
      </c>
      <c r="D2085" s="1" t="str">
        <f t="shared" si="96"/>
        <v>København KommuneSkindergade 6</v>
      </c>
      <c r="E2085" s="1" t="s">
        <v>6262</v>
      </c>
      <c r="F2085" s="1" t="s">
        <v>6263</v>
      </c>
      <c r="G2085" s="1">
        <v>1950</v>
      </c>
      <c r="H2085" s="1" t="s">
        <v>11</v>
      </c>
      <c r="I2085" s="6" cm="1">
        <f t="array" ref="I2085">GetLatitude(D2085)</f>
        <v>556810183</v>
      </c>
      <c r="J2085" s="1" cm="1">
        <f t="array" ref="J2085">GetLongitude(D2085)</f>
        <v>125757505</v>
      </c>
      <c r="K2085" s="1">
        <f t="shared" si="97"/>
        <v>55.681018299999998</v>
      </c>
      <c r="L2085" s="1">
        <f t="shared" si="98"/>
        <v>12.5757505</v>
      </c>
    </row>
    <row r="2086" spans="1:12" ht="16" x14ac:dyDescent="0.2">
      <c r="A2086" s="1">
        <v>2085</v>
      </c>
      <c r="B2086" s="1" t="s">
        <v>3980</v>
      </c>
      <c r="C2086" s="1" t="s">
        <v>6264</v>
      </c>
      <c r="D2086" s="1" t="str">
        <f t="shared" si="96"/>
        <v>København KommuneSkindergade 8</v>
      </c>
      <c r="E2086" s="1" t="s">
        <v>6265</v>
      </c>
      <c r="F2086" s="1" t="s">
        <v>5064</v>
      </c>
      <c r="G2086" s="1">
        <v>1950</v>
      </c>
      <c r="H2086" s="1" t="s">
        <v>11</v>
      </c>
      <c r="I2086" s="6" cm="1">
        <f t="array" ref="I2086">GetLatitude(D2086)</f>
        <v>556807468</v>
      </c>
      <c r="J2086" s="1" cm="1">
        <f t="array" ref="J2086">GetLongitude(D2086)</f>
        <v>125758177</v>
      </c>
      <c r="K2086" s="1">
        <f t="shared" si="97"/>
        <v>55.680746800000001</v>
      </c>
      <c r="L2086" s="1">
        <f t="shared" si="98"/>
        <v>12.5758177</v>
      </c>
    </row>
    <row r="2087" spans="1:12" ht="16" x14ac:dyDescent="0.2">
      <c r="A2087" s="1">
        <v>2086</v>
      </c>
      <c r="B2087" s="1" t="s">
        <v>3980</v>
      </c>
      <c r="C2087" s="1" t="s">
        <v>6266</v>
      </c>
      <c r="D2087" s="1" t="str">
        <f t="shared" si="96"/>
        <v>København KommuneSlotsholmsgade 10</v>
      </c>
      <c r="E2087" s="1" t="s">
        <v>6267</v>
      </c>
      <c r="F2087" s="1" t="s">
        <v>6268</v>
      </c>
      <c r="G2087" s="1">
        <v>1918</v>
      </c>
      <c r="H2087" s="1" t="s">
        <v>15</v>
      </c>
      <c r="I2087" s="6" cm="1">
        <f t="array" ref="I2087">GetLatitude(D2087)</f>
        <v>556750491</v>
      </c>
      <c r="J2087" s="1" cm="1">
        <f t="array" ref="J2087">GetLongitude(D2087)</f>
        <v>125837232</v>
      </c>
      <c r="K2087" s="1">
        <f t="shared" si="97"/>
        <v>55.675049100000003</v>
      </c>
      <c r="L2087" s="1">
        <f t="shared" si="98"/>
        <v>12.5837232</v>
      </c>
    </row>
    <row r="2088" spans="1:12" ht="16" x14ac:dyDescent="0.2">
      <c r="A2088" s="1">
        <v>2087</v>
      </c>
      <c r="B2088" s="1" t="s">
        <v>3980</v>
      </c>
      <c r="C2088" s="1" t="s">
        <v>6269</v>
      </c>
      <c r="D2088" s="1" t="str">
        <f t="shared" si="96"/>
        <v>København KommuneSlotsholmsgade 4</v>
      </c>
      <c r="E2088" s="1" t="s">
        <v>6270</v>
      </c>
      <c r="F2088" s="1" t="s">
        <v>6271</v>
      </c>
      <c r="G2088" s="1">
        <v>1918</v>
      </c>
      <c r="H2088" s="1" t="s">
        <v>15</v>
      </c>
      <c r="I2088" s="6" cm="1">
        <f t="array" ref="I2088">GetLatitude(D2088)</f>
        <v>556755120</v>
      </c>
      <c r="J2088" s="1" cm="1">
        <f t="array" ref="J2088">GetLongitude(D2088)</f>
        <v>125822829</v>
      </c>
      <c r="K2088" s="1">
        <f t="shared" si="97"/>
        <v>55.675511999999998</v>
      </c>
      <c r="L2088" s="1">
        <f t="shared" si="98"/>
        <v>12.582282899999999</v>
      </c>
    </row>
    <row r="2089" spans="1:12" ht="16" x14ac:dyDescent="0.2">
      <c r="A2089" s="1">
        <v>2088</v>
      </c>
      <c r="B2089" s="1" t="s">
        <v>3980</v>
      </c>
      <c r="C2089" s="1" t="s">
        <v>6272</v>
      </c>
      <c r="D2089" s="1" t="str">
        <f t="shared" si="96"/>
        <v>København KommuneSlotsholmsgade 6</v>
      </c>
      <c r="E2089" s="1" t="s">
        <v>6273</v>
      </c>
      <c r="F2089" s="1" t="s">
        <v>6274</v>
      </c>
      <c r="G2089" s="1">
        <v>1945</v>
      </c>
      <c r="H2089" s="1" t="s">
        <v>15</v>
      </c>
      <c r="I2089" s="6" cm="1">
        <f t="array" ref="I2089">GetLatitude(D2089)</f>
        <v>556753500</v>
      </c>
      <c r="J2089" s="1" cm="1">
        <f t="array" ref="J2089">GetLongitude(D2089)</f>
        <v>125827720</v>
      </c>
      <c r="K2089" s="1">
        <f t="shared" si="97"/>
        <v>55.675350000000002</v>
      </c>
      <c r="L2089" s="1">
        <f t="shared" si="98"/>
        <v>12.582772</v>
      </c>
    </row>
    <row r="2090" spans="1:12" ht="16" x14ac:dyDescent="0.2">
      <c r="A2090" s="1">
        <v>2089</v>
      </c>
      <c r="B2090" s="1" t="s">
        <v>3980</v>
      </c>
      <c r="C2090" s="1" t="s">
        <v>6275</v>
      </c>
      <c r="D2090" s="1" t="str">
        <f t="shared" si="96"/>
        <v>København KommuneSlotsholmsgade 8</v>
      </c>
      <c r="E2090" s="1" t="s">
        <v>6276</v>
      </c>
      <c r="F2090" s="1" t="s">
        <v>6277</v>
      </c>
      <c r="G2090" s="1">
        <v>1945</v>
      </c>
      <c r="H2090" s="1" t="s">
        <v>15</v>
      </c>
      <c r="I2090" s="6" cm="1">
        <f t="array" ref="I2090">GetLatitude(D2090)</f>
        <v>556751642</v>
      </c>
      <c r="J2090" s="1" cm="1">
        <f t="array" ref="J2090">GetLongitude(D2090)</f>
        <v>125828722</v>
      </c>
      <c r="K2090" s="1">
        <f t="shared" si="97"/>
        <v>55.675164199999998</v>
      </c>
      <c r="L2090" s="1">
        <f t="shared" si="98"/>
        <v>12.582872200000001</v>
      </c>
    </row>
    <row r="2091" spans="1:12" ht="16" x14ac:dyDescent="0.2">
      <c r="A2091" s="1">
        <v>2090</v>
      </c>
      <c r="B2091" s="1" t="s">
        <v>3980</v>
      </c>
      <c r="C2091" s="1" t="s">
        <v>6278</v>
      </c>
      <c r="D2091" s="1" t="str">
        <f t="shared" si="96"/>
        <v>København KommuneSnaregade 10</v>
      </c>
      <c r="E2091" s="1" t="s">
        <v>6279</v>
      </c>
      <c r="F2091" s="1" t="s">
        <v>6280</v>
      </c>
      <c r="G2091" s="1">
        <v>1945</v>
      </c>
      <c r="H2091" s="1" t="s">
        <v>11</v>
      </c>
      <c r="I2091" s="6" cm="1">
        <f t="array" ref="I2091">GetLatitude(D2091)</f>
        <v>556771295</v>
      </c>
      <c r="J2091" s="1" cm="1">
        <f t="array" ref="J2091">GetLongitude(D2091)</f>
        <v>125765831</v>
      </c>
      <c r="K2091" s="1">
        <f t="shared" si="97"/>
        <v>55.677129499999999</v>
      </c>
      <c r="L2091" s="1">
        <f t="shared" si="98"/>
        <v>12.576583100000001</v>
      </c>
    </row>
    <row r="2092" spans="1:12" ht="16" x14ac:dyDescent="0.2">
      <c r="A2092" s="1">
        <v>2091</v>
      </c>
      <c r="B2092" s="1" t="s">
        <v>3980</v>
      </c>
      <c r="C2092" s="1" t="s">
        <v>6281</v>
      </c>
      <c r="D2092" s="1" t="str">
        <f t="shared" si="96"/>
        <v>København KommuneSnaregade 12-14 og Knabrostræde 23</v>
      </c>
      <c r="E2092" s="1" t="s">
        <v>6282</v>
      </c>
      <c r="F2092" s="1" t="s">
        <v>6283</v>
      </c>
      <c r="G2092" s="1">
        <v>1945</v>
      </c>
      <c r="H2092" s="1" t="s">
        <v>15</v>
      </c>
      <c r="I2092" s="6" cm="1">
        <f t="array" ref="I2092">GetLatitude(D2092)</f>
        <v>556777588</v>
      </c>
      <c r="J2092" s="1" cm="1">
        <f t="array" ref="J2092">GetLongitude(D2092)</f>
        <v>125744741</v>
      </c>
      <c r="K2092" s="1">
        <f t="shared" si="97"/>
        <v>55.677758799999999</v>
      </c>
      <c r="L2092" s="1">
        <f t="shared" si="98"/>
        <v>12.5744741</v>
      </c>
    </row>
    <row r="2093" spans="1:12" ht="16" x14ac:dyDescent="0.2">
      <c r="A2093" s="1">
        <v>2092</v>
      </c>
      <c r="B2093" s="1" t="s">
        <v>3980</v>
      </c>
      <c r="C2093" s="1" t="s">
        <v>6284</v>
      </c>
      <c r="D2093" s="1" t="str">
        <f t="shared" si="96"/>
        <v>København KommuneSnaregade 6</v>
      </c>
      <c r="E2093" s="1" t="s">
        <v>6285</v>
      </c>
      <c r="F2093" s="1" t="s">
        <v>6286</v>
      </c>
      <c r="G2093" s="1">
        <v>1945</v>
      </c>
      <c r="H2093" s="1" t="s">
        <v>15</v>
      </c>
      <c r="I2093" s="6" cm="1">
        <f t="array" ref="I2093">GetLatitude(D2093)</f>
        <v>556772528</v>
      </c>
      <c r="J2093" s="1" cm="1">
        <f t="array" ref="J2093">GetLongitude(D2093)</f>
        <v>125767734</v>
      </c>
      <c r="K2093" s="1">
        <f t="shared" si="97"/>
        <v>55.677252799999998</v>
      </c>
      <c r="L2093" s="1">
        <f t="shared" si="98"/>
        <v>12.5767734</v>
      </c>
    </row>
    <row r="2094" spans="1:12" ht="16" x14ac:dyDescent="0.2">
      <c r="A2094" s="1">
        <v>2093</v>
      </c>
      <c r="B2094" s="1" t="s">
        <v>3980</v>
      </c>
      <c r="C2094" s="1" t="s">
        <v>6287</v>
      </c>
      <c r="D2094" s="1" t="str">
        <f t="shared" si="96"/>
        <v>København KommuneSnaregade 8</v>
      </c>
      <c r="E2094" s="1" t="s">
        <v>6288</v>
      </c>
      <c r="F2094" s="1" t="s">
        <v>6289</v>
      </c>
      <c r="G2094" s="1">
        <v>1945</v>
      </c>
      <c r="H2094" s="1" t="s">
        <v>11</v>
      </c>
      <c r="I2094" s="6" cm="1">
        <f t="array" ref="I2094">GetLatitude(D2094)</f>
        <v>556772149</v>
      </c>
      <c r="J2094" s="1" cm="1">
        <f t="array" ref="J2094">GetLongitude(D2094)</f>
        <v>125766073</v>
      </c>
      <c r="K2094" s="1">
        <f t="shared" si="97"/>
        <v>55.677214900000003</v>
      </c>
      <c r="L2094" s="1">
        <f t="shared" si="98"/>
        <v>12.576607299999999</v>
      </c>
    </row>
    <row r="2095" spans="1:12" ht="16" x14ac:dyDescent="0.2">
      <c r="A2095" s="1">
        <v>2094</v>
      </c>
      <c r="B2095" s="1" t="s">
        <v>3980</v>
      </c>
      <c r="C2095" s="1" t="s">
        <v>6290</v>
      </c>
      <c r="D2095" s="1" t="str">
        <f t="shared" si="96"/>
        <v>København KommuneSofiegade 15 A-B</v>
      </c>
      <c r="E2095" s="1" t="s">
        <v>6291</v>
      </c>
      <c r="F2095" s="1" t="s">
        <v>6292</v>
      </c>
      <c r="G2095" s="1">
        <v>2000</v>
      </c>
      <c r="H2095" s="1" t="s">
        <v>15</v>
      </c>
      <c r="I2095" s="6" cm="1">
        <f t="array" ref="I2095">GetLatitude(D2095)</f>
        <v>556710486</v>
      </c>
      <c r="J2095" s="1" cm="1">
        <f t="array" ref="J2095">GetLongitude(D2095)</f>
        <v>125909702</v>
      </c>
      <c r="K2095" s="1">
        <f t="shared" si="97"/>
        <v>55.671048599999999</v>
      </c>
      <c r="L2095" s="1">
        <f t="shared" si="98"/>
        <v>12.590970199999999</v>
      </c>
    </row>
    <row r="2096" spans="1:12" ht="16" x14ac:dyDescent="0.2">
      <c r="A2096" s="1">
        <v>2095</v>
      </c>
      <c r="B2096" s="1" t="s">
        <v>3980</v>
      </c>
      <c r="C2096" s="1" t="s">
        <v>6293</v>
      </c>
      <c r="D2096" s="1" t="str">
        <f t="shared" si="96"/>
        <v>København KommuneSortedam Dossering 55</v>
      </c>
      <c r="E2096" s="1" t="s">
        <v>6294</v>
      </c>
      <c r="F2096" s="1" t="s">
        <v>6295</v>
      </c>
      <c r="G2096" s="1">
        <v>1980</v>
      </c>
      <c r="H2096" s="1" t="s">
        <v>11</v>
      </c>
      <c r="I2096" s="6" cm="1">
        <f t="array" ref="I2096">GetLatitude(D2096)</f>
        <v>556929864</v>
      </c>
      <c r="J2096" s="1" cm="1">
        <f t="array" ref="J2096">GetLongitude(D2096)</f>
        <v>125700422</v>
      </c>
      <c r="K2096" s="1">
        <f t="shared" si="97"/>
        <v>55.692986400000002</v>
      </c>
      <c r="L2096" s="1">
        <f t="shared" si="98"/>
        <v>12.5700422</v>
      </c>
    </row>
    <row r="2097" spans="1:12" ht="16" x14ac:dyDescent="0.2">
      <c r="A2097" s="1">
        <v>2096</v>
      </c>
      <c r="B2097" s="1" t="s">
        <v>3980</v>
      </c>
      <c r="C2097" s="1" t="s">
        <v>6296</v>
      </c>
      <c r="D2097" s="1" t="str">
        <f t="shared" si="96"/>
        <v>København KommuneStockholmsgade 20</v>
      </c>
      <c r="E2097" s="1" t="s">
        <v>6297</v>
      </c>
      <c r="F2097" s="1" t="s">
        <v>6298</v>
      </c>
      <c r="G2097" s="1">
        <v>1995</v>
      </c>
      <c r="H2097" s="1" t="s">
        <v>15</v>
      </c>
      <c r="I2097" s="6" cm="1">
        <f t="array" ref="I2097">GetLatitude(D2097)</f>
        <v>556899417</v>
      </c>
      <c r="J2097" s="1" cm="1">
        <f t="array" ref="J2097">GetLongitude(D2097)</f>
        <v>125774946</v>
      </c>
      <c r="K2097" s="1">
        <f t="shared" si="97"/>
        <v>55.689941699999999</v>
      </c>
      <c r="L2097" s="1">
        <f t="shared" si="98"/>
        <v>12.5774946</v>
      </c>
    </row>
    <row r="2098" spans="1:12" ht="16" x14ac:dyDescent="0.2">
      <c r="A2098" s="1">
        <v>2097</v>
      </c>
      <c r="B2098" s="1" t="s">
        <v>3980</v>
      </c>
      <c r="C2098" s="1" t="s">
        <v>6299</v>
      </c>
      <c r="D2098" s="1" t="str">
        <f t="shared" si="96"/>
        <v>København KommuneStore Kannikestræde 10</v>
      </c>
      <c r="E2098" s="1" t="s">
        <v>6300</v>
      </c>
      <c r="F2098" s="1" t="s">
        <v>6301</v>
      </c>
      <c r="G2098" s="1">
        <v>1926</v>
      </c>
      <c r="H2098" s="1" t="s">
        <v>1571</v>
      </c>
      <c r="I2098" s="6" cm="1">
        <f t="array" ref="I2098">GetLatitude(D2098)</f>
        <v>556806140</v>
      </c>
      <c r="J2098" s="1" cm="1">
        <f t="array" ref="J2098">GetLongitude(D2098)</f>
        <v>125746450</v>
      </c>
      <c r="K2098" s="1">
        <f t="shared" si="97"/>
        <v>55.680613999999998</v>
      </c>
      <c r="L2098" s="1">
        <f t="shared" si="98"/>
        <v>12.574645</v>
      </c>
    </row>
    <row r="2099" spans="1:12" ht="16" x14ac:dyDescent="0.2">
      <c r="A2099" s="1">
        <v>2098</v>
      </c>
      <c r="B2099" s="1" t="s">
        <v>3980</v>
      </c>
      <c r="C2099" s="1" t="s">
        <v>6302</v>
      </c>
      <c r="D2099" s="1" t="str">
        <f t="shared" si="96"/>
        <v>København KommuneStore Kannikestræde 11</v>
      </c>
      <c r="E2099" s="1" t="s">
        <v>6303</v>
      </c>
      <c r="F2099" s="1" t="s">
        <v>6304</v>
      </c>
      <c r="G2099" s="1">
        <v>1918</v>
      </c>
      <c r="H2099" s="1" t="s">
        <v>701</v>
      </c>
      <c r="I2099" s="6" cm="1">
        <f t="array" ref="I2099">GetLatitude(D2099)</f>
        <v>556806438</v>
      </c>
      <c r="J2099" s="1" cm="1">
        <f t="array" ref="J2099">GetLongitude(D2099)</f>
        <v>125751109</v>
      </c>
      <c r="K2099" s="1">
        <f t="shared" si="97"/>
        <v>55.680643799999999</v>
      </c>
      <c r="L2099" s="1">
        <f t="shared" si="98"/>
        <v>12.5751109</v>
      </c>
    </row>
    <row r="2100" spans="1:12" ht="16" x14ac:dyDescent="0.2">
      <c r="A2100" s="1">
        <v>2099</v>
      </c>
      <c r="B2100" s="1" t="s">
        <v>3980</v>
      </c>
      <c r="C2100" s="1" t="s">
        <v>6305</v>
      </c>
      <c r="D2100" s="1" t="str">
        <f t="shared" si="96"/>
        <v>København KommuneStore Kannikestræde 12</v>
      </c>
      <c r="E2100" s="1" t="s">
        <v>6306</v>
      </c>
      <c r="F2100" s="1" t="s">
        <v>6307</v>
      </c>
      <c r="G2100" s="1">
        <v>1918</v>
      </c>
      <c r="H2100" s="1" t="s">
        <v>15</v>
      </c>
      <c r="I2100" s="6" cm="1">
        <f t="array" ref="I2100">GetLatitude(D2100)</f>
        <v>556804924</v>
      </c>
      <c r="J2100" s="1" cm="1">
        <f t="array" ref="J2100">GetLongitude(D2100)</f>
        <v>125744467</v>
      </c>
      <c r="K2100" s="1">
        <f t="shared" si="97"/>
        <v>55.680492399999999</v>
      </c>
      <c r="L2100" s="1">
        <f t="shared" si="98"/>
        <v>12.574446699999999</v>
      </c>
    </row>
    <row r="2101" spans="1:12" ht="16" x14ac:dyDescent="0.2">
      <c r="A2101" s="1">
        <v>2100</v>
      </c>
      <c r="B2101" s="1" t="s">
        <v>3980</v>
      </c>
      <c r="C2101" s="1" t="s">
        <v>6308</v>
      </c>
      <c r="D2101" s="1" t="str">
        <f t="shared" si="96"/>
        <v>København KommuneStore Kannikestræde 13</v>
      </c>
      <c r="E2101" s="1" t="s">
        <v>6309</v>
      </c>
      <c r="F2101" s="1" t="s">
        <v>6310</v>
      </c>
      <c r="G2101" s="1">
        <v>1932</v>
      </c>
      <c r="H2101" s="1" t="s">
        <v>701</v>
      </c>
      <c r="I2101" s="6" cm="1">
        <f t="array" ref="I2101">GetLatitude(D2101)</f>
        <v>556804888</v>
      </c>
      <c r="J2101" s="1" cm="1">
        <f t="array" ref="J2101">GetLongitude(D2101)</f>
        <v>125749052</v>
      </c>
      <c r="K2101" s="1">
        <f t="shared" si="97"/>
        <v>55.680488799999999</v>
      </c>
      <c r="L2101" s="1">
        <f t="shared" si="98"/>
        <v>12.5749052</v>
      </c>
    </row>
    <row r="2102" spans="1:12" ht="16" x14ac:dyDescent="0.2">
      <c r="A2102" s="1">
        <v>2101</v>
      </c>
      <c r="B2102" s="1" t="s">
        <v>3980</v>
      </c>
      <c r="C2102" s="1" t="s">
        <v>6311</v>
      </c>
      <c r="D2102" s="1" t="str">
        <f t="shared" si="96"/>
        <v>København KommuneStore Kannikestræde 15, hj af Lille Kannikestræde</v>
      </c>
      <c r="E2102" s="1" t="s">
        <v>6312</v>
      </c>
      <c r="F2102" s="1" t="s">
        <v>6313</v>
      </c>
      <c r="G2102" s="1">
        <v>1926</v>
      </c>
      <c r="H2102" s="1" t="s">
        <v>11</v>
      </c>
      <c r="I2102" s="6" cm="1">
        <f t="array" ref="I2102">GetLatitude(D2102)</f>
        <v>556803404</v>
      </c>
      <c r="J2102" s="1" cm="1">
        <f t="array" ref="J2102">GetLongitude(D2102)</f>
        <v>125746368</v>
      </c>
      <c r="K2102" s="1">
        <f t="shared" si="97"/>
        <v>55.680340399999999</v>
      </c>
      <c r="L2102" s="1">
        <f t="shared" si="98"/>
        <v>12.5746368</v>
      </c>
    </row>
    <row r="2103" spans="1:12" ht="16" x14ac:dyDescent="0.2">
      <c r="A2103" s="1">
        <v>2102</v>
      </c>
      <c r="B2103" s="1" t="s">
        <v>3980</v>
      </c>
      <c r="C2103" s="1" t="s">
        <v>6314</v>
      </c>
      <c r="D2103" s="1" t="str">
        <f t="shared" si="96"/>
        <v>København KommuneStore Kannikestræde 2</v>
      </c>
      <c r="E2103" s="1" t="s">
        <v>6315</v>
      </c>
      <c r="F2103" s="1" t="s">
        <v>6316</v>
      </c>
      <c r="G2103" s="1">
        <v>1918</v>
      </c>
      <c r="H2103" s="1" t="s">
        <v>15</v>
      </c>
      <c r="I2103" s="6" cm="1">
        <f t="array" ref="I2103">GetLatitude(D2103)</f>
        <v>556810330</v>
      </c>
      <c r="J2103" s="1" cm="1">
        <f t="array" ref="J2103">GetLongitude(D2103)</f>
        <v>125753670</v>
      </c>
      <c r="K2103" s="1">
        <f t="shared" si="97"/>
        <v>55.681032999999999</v>
      </c>
      <c r="L2103" s="1">
        <f t="shared" si="98"/>
        <v>12.575367</v>
      </c>
    </row>
    <row r="2104" spans="1:12" ht="16" x14ac:dyDescent="0.2">
      <c r="A2104" s="1">
        <v>2103</v>
      </c>
      <c r="B2104" s="1" t="s">
        <v>3980</v>
      </c>
      <c r="C2104" s="1" t="s">
        <v>6317</v>
      </c>
      <c r="D2104" s="1" t="str">
        <f t="shared" si="96"/>
        <v>København KommuneStore Kannikestræde 6</v>
      </c>
      <c r="E2104" s="1" t="s">
        <v>6318</v>
      </c>
      <c r="F2104" s="1" t="s">
        <v>6319</v>
      </c>
      <c r="G2104" s="1">
        <v>1945</v>
      </c>
      <c r="H2104" s="1" t="s">
        <v>6320</v>
      </c>
      <c r="I2104" s="6" cm="1">
        <f t="array" ref="I2104">GetLatitude(D2104)</f>
        <v>556807538</v>
      </c>
      <c r="J2104" s="1" cm="1">
        <f t="array" ref="J2104">GetLongitude(D2104)</f>
        <v>125749007</v>
      </c>
      <c r="K2104" s="1">
        <f t="shared" si="97"/>
        <v>55.680753799999998</v>
      </c>
      <c r="L2104" s="1">
        <f t="shared" si="98"/>
        <v>12.574900700000001</v>
      </c>
    </row>
    <row r="2105" spans="1:12" ht="16" x14ac:dyDescent="0.2">
      <c r="A2105" s="1">
        <v>2104</v>
      </c>
      <c r="B2105" s="1" t="s">
        <v>3980</v>
      </c>
      <c r="C2105" s="1" t="s">
        <v>6321</v>
      </c>
      <c r="D2105" s="1" t="str">
        <f t="shared" si="96"/>
        <v>København KommuneStore Kannikestræde 8</v>
      </c>
      <c r="E2105" s="1" t="s">
        <v>6322</v>
      </c>
      <c r="F2105" s="1" t="s">
        <v>6323</v>
      </c>
      <c r="G2105" s="1">
        <v>1945</v>
      </c>
      <c r="H2105" s="1" t="s">
        <v>701</v>
      </c>
      <c r="I2105" s="6" cm="1">
        <f t="array" ref="I2105">GetLatitude(D2105)</f>
        <v>556806820</v>
      </c>
      <c r="J2105" s="1" cm="1">
        <f t="array" ref="J2105">GetLongitude(D2105)</f>
        <v>125747620</v>
      </c>
      <c r="K2105" s="1">
        <f t="shared" si="97"/>
        <v>55.680681999999997</v>
      </c>
      <c r="L2105" s="1">
        <f t="shared" si="98"/>
        <v>12.574762</v>
      </c>
    </row>
    <row r="2106" spans="1:12" ht="16" x14ac:dyDescent="0.2">
      <c r="A2106" s="1">
        <v>2105</v>
      </c>
      <c r="B2106" s="1" t="s">
        <v>3980</v>
      </c>
      <c r="C2106" s="1" t="s">
        <v>6324</v>
      </c>
      <c r="D2106" s="1" t="str">
        <f t="shared" si="96"/>
        <v>København KommuneStore Kannikestræde 9</v>
      </c>
      <c r="E2106" s="1" t="s">
        <v>6325</v>
      </c>
      <c r="F2106" s="1" t="s">
        <v>6326</v>
      </c>
      <c r="G2106" s="1">
        <v>1918</v>
      </c>
      <c r="H2106" s="1" t="s">
        <v>1505</v>
      </c>
      <c r="I2106" s="6" cm="1">
        <f t="array" ref="I2106">GetLatitude(D2106)</f>
        <v>556807923</v>
      </c>
      <c r="J2106" s="1" cm="1">
        <f t="array" ref="J2106">GetLongitude(D2106)</f>
        <v>125753793</v>
      </c>
      <c r="K2106" s="1">
        <f t="shared" si="97"/>
        <v>55.6807923</v>
      </c>
      <c r="L2106" s="1">
        <f t="shared" si="98"/>
        <v>12.5753793</v>
      </c>
    </row>
    <row r="2107" spans="1:12" ht="16" x14ac:dyDescent="0.2">
      <c r="A2107" s="1">
        <v>2106</v>
      </c>
      <c r="B2107" s="1" t="s">
        <v>3980</v>
      </c>
      <c r="C2107" s="1" t="s">
        <v>6327</v>
      </c>
      <c r="D2107" s="1" t="str">
        <f t="shared" si="96"/>
        <v>København KommuneStore Kirkestræde 3, hj af Højbro Plads 3</v>
      </c>
      <c r="E2107" s="1" t="s">
        <v>6328</v>
      </c>
      <c r="F2107" s="1" t="s">
        <v>6329</v>
      </c>
      <c r="G2107" s="1">
        <v>1964</v>
      </c>
      <c r="H2107" s="1" t="s">
        <v>11</v>
      </c>
      <c r="I2107" s="6" cm="1">
        <f t="array" ref="I2107">GetLatitude(D2107)</f>
        <v>556787489</v>
      </c>
      <c r="J2107" s="1" cm="1">
        <f t="array" ref="J2107">GetLongitude(D2107)</f>
        <v>125803007</v>
      </c>
      <c r="K2107" s="1">
        <f t="shared" si="97"/>
        <v>55.678748900000002</v>
      </c>
      <c r="L2107" s="1">
        <f t="shared" si="98"/>
        <v>12.5803007</v>
      </c>
    </row>
    <row r="2108" spans="1:12" ht="16" x14ac:dyDescent="0.2">
      <c r="A2108" s="1">
        <v>2107</v>
      </c>
      <c r="B2108" s="1" t="s">
        <v>3980</v>
      </c>
      <c r="C2108" s="1" t="s">
        <v>6330</v>
      </c>
      <c r="D2108" s="1" t="str">
        <f t="shared" si="96"/>
        <v>København KommuneStore Kongensgade 108 og 108 A, B, D</v>
      </c>
      <c r="E2108" s="1" t="s">
        <v>6331</v>
      </c>
      <c r="F2108" s="1" t="s">
        <v>6332</v>
      </c>
      <c r="G2108" s="1">
        <v>1918</v>
      </c>
      <c r="H2108" s="1" t="s">
        <v>11</v>
      </c>
      <c r="I2108" s="6" cm="1">
        <f t="array" ref="I2108">GetLatitude(D2108)</f>
        <v>556867003</v>
      </c>
      <c r="J2108" s="1" cm="1">
        <f t="array" ref="J2108">GetLongitude(D2108)</f>
        <v>125900147</v>
      </c>
      <c r="K2108" s="1">
        <f t="shared" si="97"/>
        <v>55.686700299999998</v>
      </c>
      <c r="L2108" s="1">
        <f t="shared" si="98"/>
        <v>12.590014699999999</v>
      </c>
    </row>
    <row r="2109" spans="1:12" ht="16" x14ac:dyDescent="0.2">
      <c r="A2109" s="1">
        <v>2108</v>
      </c>
      <c r="B2109" s="1" t="s">
        <v>3980</v>
      </c>
      <c r="C2109" s="1" t="s">
        <v>6333</v>
      </c>
      <c r="D2109" s="1" t="str">
        <f t="shared" si="96"/>
        <v>København KommuneStore Kongensgade 110</v>
      </c>
      <c r="E2109" s="1" t="s">
        <v>6334</v>
      </c>
      <c r="F2109" s="1" t="s">
        <v>6335</v>
      </c>
      <c r="G2109" s="1">
        <v>1918</v>
      </c>
      <c r="H2109" s="1" t="s">
        <v>6336</v>
      </c>
      <c r="I2109" s="6" cm="1">
        <f t="array" ref="I2109">GetLatitude(D2109)</f>
        <v>556869893</v>
      </c>
      <c r="J2109" s="1" cm="1">
        <f t="array" ref="J2109">GetLongitude(D2109)</f>
        <v>125902028</v>
      </c>
      <c r="K2109" s="1">
        <f t="shared" si="97"/>
        <v>55.6869893</v>
      </c>
      <c r="L2109" s="1">
        <f t="shared" si="98"/>
        <v>12.5902028</v>
      </c>
    </row>
    <row r="2110" spans="1:12" ht="16" x14ac:dyDescent="0.2">
      <c r="A2110" s="1">
        <v>2109</v>
      </c>
      <c r="B2110" s="1" t="s">
        <v>3980</v>
      </c>
      <c r="C2110" s="1" t="s">
        <v>6337</v>
      </c>
      <c r="D2110" s="1" t="str">
        <f t="shared" si="96"/>
        <v>København KommuneStore Kongensgade 23 og 23 A</v>
      </c>
      <c r="E2110" s="1" t="s">
        <v>6338</v>
      </c>
      <c r="F2110" s="1" t="s">
        <v>6339</v>
      </c>
      <c r="G2110" s="1">
        <v>1989</v>
      </c>
      <c r="H2110" s="1" t="s">
        <v>11</v>
      </c>
      <c r="I2110" s="6" cm="1">
        <f t="array" ref="I2110">GetLatitude(D2110)</f>
        <v>556825413</v>
      </c>
      <c r="J2110" s="1" cm="1">
        <f t="array" ref="J2110">GetLongitude(D2110)</f>
        <v>125859821</v>
      </c>
      <c r="K2110" s="1">
        <f t="shared" si="97"/>
        <v>55.682541299999997</v>
      </c>
      <c r="L2110" s="1">
        <f t="shared" si="98"/>
        <v>12.585982100000001</v>
      </c>
    </row>
    <row r="2111" spans="1:12" ht="16" x14ac:dyDescent="0.2">
      <c r="A2111" s="1">
        <v>2110</v>
      </c>
      <c r="B2111" s="1" t="s">
        <v>3980</v>
      </c>
      <c r="C2111" s="1" t="s">
        <v>6340</v>
      </c>
      <c r="D2111" s="1" t="str">
        <f t="shared" si="96"/>
        <v>København KommuneStore Kongensgade 56, hj af Dronningens Tværgade</v>
      </c>
      <c r="E2111" s="1" t="s">
        <v>6341</v>
      </c>
      <c r="F2111" s="1" t="s">
        <v>6342</v>
      </c>
      <c r="G2111" s="1">
        <v>1974</v>
      </c>
      <c r="H2111" s="1" t="s">
        <v>11</v>
      </c>
      <c r="I2111" s="6" cm="1">
        <f t="array" ref="I2111">GetLatitude(D2111)</f>
        <v>556834821</v>
      </c>
      <c r="J2111" s="1" cm="1">
        <f t="array" ref="J2111">GetLongitude(D2111)</f>
        <v>125872546</v>
      </c>
      <c r="K2111" s="1">
        <f t="shared" si="97"/>
        <v>55.683482099999999</v>
      </c>
      <c r="L2111" s="1">
        <f t="shared" si="98"/>
        <v>12.5872546</v>
      </c>
    </row>
    <row r="2112" spans="1:12" ht="16" x14ac:dyDescent="0.2">
      <c r="A2112" s="1">
        <v>2111</v>
      </c>
      <c r="B2112" s="1" t="s">
        <v>3980</v>
      </c>
      <c r="C2112" s="1" t="s">
        <v>6343</v>
      </c>
      <c r="D2112" s="1" t="str">
        <f t="shared" si="96"/>
        <v>København KommuneStore Kongensgade 59</v>
      </c>
      <c r="E2112" s="1" t="s">
        <v>6344</v>
      </c>
      <c r="F2112" s="1" t="s">
        <v>6345</v>
      </c>
      <c r="G2112" s="1">
        <v>1918</v>
      </c>
      <c r="H2112" s="1" t="s">
        <v>11</v>
      </c>
      <c r="I2112" s="6" cm="1">
        <f t="array" ref="I2112">GetLatitude(D2112)</f>
        <v>556842553</v>
      </c>
      <c r="J2112" s="1" cm="1">
        <f t="array" ref="J2112">GetLongitude(D2112)</f>
        <v>125874849</v>
      </c>
      <c r="K2112" s="1">
        <f t="shared" si="97"/>
        <v>55.684255299999997</v>
      </c>
      <c r="L2112" s="1">
        <f t="shared" si="98"/>
        <v>12.5874849</v>
      </c>
    </row>
    <row r="2113" spans="1:12" ht="16" x14ac:dyDescent="0.2">
      <c r="A2113" s="1">
        <v>2112</v>
      </c>
      <c r="B2113" s="1" t="s">
        <v>3980</v>
      </c>
      <c r="C2113" s="1" t="s">
        <v>6346</v>
      </c>
      <c r="D2113" s="1" t="str">
        <f t="shared" si="96"/>
        <v>København KommuneStore Kongensgade 62</v>
      </c>
      <c r="E2113" s="1" t="s">
        <v>6347</v>
      </c>
      <c r="F2113" s="1" t="s">
        <v>6348</v>
      </c>
      <c r="G2113" s="1">
        <v>1985</v>
      </c>
      <c r="H2113" s="1" t="s">
        <v>11</v>
      </c>
      <c r="I2113" s="6" cm="1">
        <f t="array" ref="I2113">GetLatitude(D2113)</f>
        <v>556838825</v>
      </c>
      <c r="J2113" s="1" cm="1">
        <f t="array" ref="J2113">GetLongitude(D2113)</f>
        <v>125876439</v>
      </c>
      <c r="K2113" s="1">
        <f t="shared" si="97"/>
        <v>55.683882500000003</v>
      </c>
      <c r="L2113" s="1">
        <f t="shared" si="98"/>
        <v>12.5876439</v>
      </c>
    </row>
    <row r="2114" spans="1:12" ht="16" x14ac:dyDescent="0.2">
      <c r="A2114" s="1">
        <v>2113</v>
      </c>
      <c r="B2114" s="1" t="s">
        <v>3980</v>
      </c>
      <c r="C2114" s="1" t="s">
        <v>6349</v>
      </c>
      <c r="D2114" s="1" t="str">
        <f t="shared" si="96"/>
        <v>København KommuneStore Kongensgade 67 A-C</v>
      </c>
      <c r="E2114" s="1" t="s">
        <v>6350</v>
      </c>
      <c r="F2114" s="1" t="s">
        <v>6351</v>
      </c>
      <c r="G2114" s="1">
        <v>1973</v>
      </c>
      <c r="H2114" s="1" t="s">
        <v>11</v>
      </c>
      <c r="I2114" s="6" cm="1">
        <f t="array" ref="I2114">GetLatitude(D2114)</f>
        <v>556848415</v>
      </c>
      <c r="J2114" s="1" cm="1">
        <f t="array" ref="J2114">GetLongitude(D2114)</f>
        <v>125878592</v>
      </c>
      <c r="K2114" s="1">
        <f t="shared" si="97"/>
        <v>55.684841499999997</v>
      </c>
      <c r="L2114" s="1">
        <f t="shared" si="98"/>
        <v>12.5878592</v>
      </c>
    </row>
    <row r="2115" spans="1:12" ht="16" x14ac:dyDescent="0.2">
      <c r="A2115" s="1">
        <v>2114</v>
      </c>
      <c r="B2115" s="1" t="s">
        <v>3980</v>
      </c>
      <c r="C2115" s="1" t="s">
        <v>6352</v>
      </c>
      <c r="D2115" s="1" t="str">
        <f t="shared" ref="D2115:D2178" si="99">B2115&amp;C2115</f>
        <v>København KommuneStore Kongensgade 68</v>
      </c>
      <c r="E2115" s="1" t="s">
        <v>6353</v>
      </c>
      <c r="F2115" s="1" t="s">
        <v>6354</v>
      </c>
      <c r="G2115" s="1">
        <v>1964</v>
      </c>
      <c r="H2115" s="1" t="s">
        <v>11</v>
      </c>
      <c r="I2115" s="6" cm="1">
        <f t="array" ref="I2115">GetLatitude(D2115)</f>
        <v>556841439</v>
      </c>
      <c r="J2115" s="1" cm="1">
        <f t="array" ref="J2115">GetLongitude(D2115)</f>
        <v>125880981</v>
      </c>
      <c r="K2115" s="1">
        <f t="shared" si="97"/>
        <v>55.684143900000002</v>
      </c>
      <c r="L2115" s="1">
        <f t="shared" si="98"/>
        <v>12.5880981</v>
      </c>
    </row>
    <row r="2116" spans="1:12" ht="16" x14ac:dyDescent="0.2">
      <c r="A2116" s="1">
        <v>2115</v>
      </c>
      <c r="B2116" s="1" t="s">
        <v>3980</v>
      </c>
      <c r="C2116" s="1" t="s">
        <v>6355</v>
      </c>
      <c r="D2116" s="1" t="str">
        <f t="shared" si="99"/>
        <v>København KommuneStore Kongensgade 72</v>
      </c>
      <c r="E2116" s="1" t="s">
        <v>6356</v>
      </c>
      <c r="F2116" s="1" t="s">
        <v>6357</v>
      </c>
      <c r="G2116" s="1">
        <v>1918</v>
      </c>
      <c r="H2116" s="1" t="s">
        <v>11</v>
      </c>
      <c r="I2116" s="6" cm="1">
        <f t="array" ref="I2116">GetLatitude(D2116)</f>
        <v>556846124</v>
      </c>
      <c r="J2116" s="1" cm="1">
        <f t="array" ref="J2116">GetLongitude(D2116)</f>
        <v>125882570</v>
      </c>
      <c r="K2116" s="1">
        <f t="shared" ref="K2116:K2179" si="100">I2116/10000000</f>
        <v>55.684612399999999</v>
      </c>
      <c r="L2116" s="1">
        <f t="shared" ref="L2116:L2179" si="101">J2116/10000000</f>
        <v>12.588257</v>
      </c>
    </row>
    <row r="2117" spans="1:12" ht="16" x14ac:dyDescent="0.2">
      <c r="A2117" s="1">
        <v>2116</v>
      </c>
      <c r="B2117" s="1" t="s">
        <v>3980</v>
      </c>
      <c r="C2117" s="1" t="s">
        <v>6358</v>
      </c>
      <c r="D2117" s="1" t="str">
        <f t="shared" si="99"/>
        <v>København KommuneStore Kongensgade 77</v>
      </c>
      <c r="E2117" s="1" t="s">
        <v>6359</v>
      </c>
      <c r="F2117" s="1" t="s">
        <v>6360</v>
      </c>
      <c r="G2117" s="1">
        <v>1964</v>
      </c>
      <c r="H2117" s="1" t="s">
        <v>15</v>
      </c>
      <c r="I2117" s="6" cm="1">
        <f t="array" ref="I2117">GetLatitude(D2117)</f>
        <v>556853365</v>
      </c>
      <c r="J2117" s="1" cm="1">
        <f t="array" ref="J2117">GetLongitude(D2117)</f>
        <v>125880781</v>
      </c>
      <c r="K2117" s="1">
        <f t="shared" si="100"/>
        <v>55.685336499999998</v>
      </c>
      <c r="L2117" s="1">
        <f t="shared" si="101"/>
        <v>12.588078100000001</v>
      </c>
    </row>
    <row r="2118" spans="1:12" ht="16" x14ac:dyDescent="0.2">
      <c r="A2118" s="1">
        <v>2117</v>
      </c>
      <c r="B2118" s="1" t="s">
        <v>3980</v>
      </c>
      <c r="C2118" s="1" t="s">
        <v>6361</v>
      </c>
      <c r="D2118" s="1" t="str">
        <f t="shared" si="99"/>
        <v>København KommuneStore Kongensgade 78</v>
      </c>
      <c r="E2118" s="1" t="s">
        <v>6362</v>
      </c>
      <c r="F2118" s="1" t="s">
        <v>6363</v>
      </c>
      <c r="G2118" s="1">
        <v>1979</v>
      </c>
      <c r="H2118" s="1" t="s">
        <v>15</v>
      </c>
      <c r="I2118" s="6" cm="1">
        <f t="array" ref="I2118">GetLatitude(D2118)</f>
        <v>556849377</v>
      </c>
      <c r="J2118" s="1" cm="1">
        <f t="array" ref="J2118">GetLongitude(D2118)</f>
        <v>125884073</v>
      </c>
      <c r="K2118" s="1">
        <f t="shared" si="100"/>
        <v>55.684937699999999</v>
      </c>
      <c r="L2118" s="1">
        <f t="shared" si="101"/>
        <v>12.5884073</v>
      </c>
    </row>
    <row r="2119" spans="1:12" ht="16" x14ac:dyDescent="0.2">
      <c r="A2119" s="1">
        <v>2118</v>
      </c>
      <c r="B2119" s="1" t="s">
        <v>3980</v>
      </c>
      <c r="C2119" s="1" t="s">
        <v>6364</v>
      </c>
      <c r="D2119" s="1" t="str">
        <f t="shared" si="99"/>
        <v>København KommuneStore Kongensgade 79 A</v>
      </c>
      <c r="E2119" s="1" t="s">
        <v>6365</v>
      </c>
      <c r="F2119" s="1" t="s">
        <v>6366</v>
      </c>
      <c r="G2119" s="1">
        <v>1926</v>
      </c>
      <c r="H2119" s="1" t="s">
        <v>701</v>
      </c>
      <c r="I2119" s="6" cm="1">
        <f t="array" ref="I2119">GetLatitude(D2119)</f>
        <v>556854554</v>
      </c>
      <c r="J2119" s="1" cm="1">
        <f t="array" ref="J2119">GetLongitude(D2119)</f>
        <v>125883925</v>
      </c>
      <c r="K2119" s="1">
        <f t="shared" si="100"/>
        <v>55.685455400000002</v>
      </c>
      <c r="L2119" s="1">
        <f t="shared" si="101"/>
        <v>12.588392499999999</v>
      </c>
    </row>
    <row r="2120" spans="1:12" ht="16" x14ac:dyDescent="0.2">
      <c r="A2120" s="1">
        <v>2119</v>
      </c>
      <c r="B2120" s="1" t="s">
        <v>3980</v>
      </c>
      <c r="C2120" s="1" t="s">
        <v>6367</v>
      </c>
      <c r="D2120" s="1" t="str">
        <f t="shared" si="99"/>
        <v>København KommuneStore Kongensgade 80</v>
      </c>
      <c r="E2120" s="1" t="s">
        <v>6368</v>
      </c>
      <c r="F2120" s="1" t="s">
        <v>6369</v>
      </c>
      <c r="G2120" s="1">
        <v>1979</v>
      </c>
      <c r="H2120" s="1" t="s">
        <v>11</v>
      </c>
      <c r="I2120" s="6" cm="1">
        <f t="array" ref="I2120">GetLatitude(D2120)</f>
        <v>556850032</v>
      </c>
      <c r="J2120" s="1" cm="1">
        <f t="array" ref="J2120">GetLongitude(D2120)</f>
        <v>125885673</v>
      </c>
      <c r="K2120" s="1">
        <f t="shared" si="100"/>
        <v>55.685003199999997</v>
      </c>
      <c r="L2120" s="1">
        <f t="shared" si="101"/>
        <v>12.588567299999999</v>
      </c>
    </row>
    <row r="2121" spans="1:12" ht="16" x14ac:dyDescent="0.2">
      <c r="A2121" s="1">
        <v>2120</v>
      </c>
      <c r="B2121" s="1" t="s">
        <v>3980</v>
      </c>
      <c r="C2121" s="1" t="s">
        <v>6370</v>
      </c>
      <c r="D2121" s="1" t="str">
        <f t="shared" si="99"/>
        <v>København KommuneStore Kongensgade 81 A-D</v>
      </c>
      <c r="E2121" s="1" t="s">
        <v>6371</v>
      </c>
      <c r="F2121" s="1" t="s">
        <v>6372</v>
      </c>
      <c r="G2121" s="1">
        <v>1918</v>
      </c>
      <c r="H2121" s="1" t="s">
        <v>1890</v>
      </c>
      <c r="I2121" s="6" cm="1">
        <f t="array" ref="I2121">GetLatitude(D2121)</f>
        <v>556855488</v>
      </c>
      <c r="J2121" s="1" cm="1">
        <f t="array" ref="J2121">GetLongitude(D2121)</f>
        <v>125886034</v>
      </c>
      <c r="K2121" s="1">
        <f t="shared" si="100"/>
        <v>55.685548799999999</v>
      </c>
      <c r="L2121" s="1">
        <f t="shared" si="101"/>
        <v>12.5886034</v>
      </c>
    </row>
    <row r="2122" spans="1:12" ht="16" x14ac:dyDescent="0.2">
      <c r="A2122" s="1">
        <v>2121</v>
      </c>
      <c r="B2122" s="1" t="s">
        <v>3980</v>
      </c>
      <c r="C2122" s="1" t="s">
        <v>6373</v>
      </c>
      <c r="D2122" s="1" t="str">
        <f t="shared" si="99"/>
        <v>København KommuneStore Kongensgade 82</v>
      </c>
      <c r="E2122" s="1" t="s">
        <v>6374</v>
      </c>
      <c r="F2122" s="1" t="s">
        <v>6375</v>
      </c>
      <c r="G2122" s="1">
        <v>1979</v>
      </c>
      <c r="H2122" s="1" t="s">
        <v>11</v>
      </c>
      <c r="I2122" s="6" cm="1">
        <f t="array" ref="I2122">GetLatitude(D2122)</f>
        <v>556850267</v>
      </c>
      <c r="J2122" s="1" cm="1">
        <f t="array" ref="J2122">GetLongitude(D2122)</f>
        <v>125884759</v>
      </c>
      <c r="K2122" s="1">
        <f t="shared" si="100"/>
        <v>55.685026700000002</v>
      </c>
      <c r="L2122" s="1">
        <f t="shared" si="101"/>
        <v>12.588475900000001</v>
      </c>
    </row>
    <row r="2123" spans="1:12" ht="16" x14ac:dyDescent="0.2">
      <c r="A2123" s="1">
        <v>2122</v>
      </c>
      <c r="B2123" s="1" t="s">
        <v>3980</v>
      </c>
      <c r="C2123" s="1" t="s">
        <v>6376</v>
      </c>
      <c r="D2123" s="1" t="str">
        <f t="shared" si="99"/>
        <v>København KommuneStore Strandstræde 18 A</v>
      </c>
      <c r="E2123" s="1" t="s">
        <v>6377</v>
      </c>
      <c r="F2123" s="1" t="s">
        <v>6378</v>
      </c>
      <c r="G2123" s="1">
        <v>1918</v>
      </c>
      <c r="H2123" s="1" t="s">
        <v>11</v>
      </c>
      <c r="I2123" s="6" cm="1">
        <f t="array" ref="I2123">GetLatitude(D2123)</f>
        <v>556811463</v>
      </c>
      <c r="J2123" s="1" cm="1">
        <f t="array" ref="J2123">GetLongitude(D2123)</f>
        <v>125893179</v>
      </c>
      <c r="K2123" s="1">
        <f t="shared" si="100"/>
        <v>55.681146300000002</v>
      </c>
      <c r="L2123" s="1">
        <f t="shared" si="101"/>
        <v>12.589317899999999</v>
      </c>
    </row>
    <row r="2124" spans="1:12" ht="16" x14ac:dyDescent="0.2">
      <c r="A2124" s="1">
        <v>2123</v>
      </c>
      <c r="B2124" s="1" t="s">
        <v>3980</v>
      </c>
      <c r="C2124" s="1" t="s">
        <v>6379</v>
      </c>
      <c r="D2124" s="1" t="str">
        <f t="shared" si="99"/>
        <v>København KommuneStore Strandstræde 19-21</v>
      </c>
      <c r="E2124" s="1" t="s">
        <v>6380</v>
      </c>
      <c r="F2124" s="1" t="s">
        <v>6381</v>
      </c>
      <c r="G2124" s="1">
        <v>1999</v>
      </c>
      <c r="H2124" s="1" t="s">
        <v>11</v>
      </c>
      <c r="I2124" s="6" cm="1">
        <f t="array" ref="I2124">GetLatitude(D2124)</f>
        <v>556812635</v>
      </c>
      <c r="J2124" s="1" cm="1">
        <f t="array" ref="J2124">GetLongitude(D2124)</f>
        <v>125889222</v>
      </c>
      <c r="K2124" s="1">
        <f t="shared" si="100"/>
        <v>55.6812635</v>
      </c>
      <c r="L2124" s="1">
        <f t="shared" si="101"/>
        <v>12.588922200000001</v>
      </c>
    </row>
    <row r="2125" spans="1:12" ht="16" x14ac:dyDescent="0.2">
      <c r="A2125" s="1">
        <v>2124</v>
      </c>
      <c r="B2125" s="1" t="s">
        <v>3980</v>
      </c>
      <c r="C2125" s="1" t="s">
        <v>6382</v>
      </c>
      <c r="D2125" s="1" t="str">
        <f t="shared" si="99"/>
        <v>København KommuneStore Strandstræde 20</v>
      </c>
      <c r="E2125" s="1" t="s">
        <v>6383</v>
      </c>
      <c r="F2125" s="1" t="s">
        <v>6384</v>
      </c>
      <c r="G2125" s="1">
        <v>1950</v>
      </c>
      <c r="H2125" s="1" t="s">
        <v>701</v>
      </c>
      <c r="I2125" s="6" cm="1">
        <f t="array" ref="I2125">GetLatitude(D2125)</f>
        <v>556812471</v>
      </c>
      <c r="J2125" s="1" cm="1">
        <f t="array" ref="J2125">GetLongitude(D2125)</f>
        <v>125896680</v>
      </c>
      <c r="K2125" s="1">
        <f t="shared" si="100"/>
        <v>55.6812471</v>
      </c>
      <c r="L2125" s="1">
        <f t="shared" si="101"/>
        <v>12.589668</v>
      </c>
    </row>
    <row r="2126" spans="1:12" ht="16" x14ac:dyDescent="0.2">
      <c r="A2126" s="1">
        <v>2125</v>
      </c>
      <c r="B2126" s="1" t="s">
        <v>3980</v>
      </c>
      <c r="C2126" s="1" t="s">
        <v>6385</v>
      </c>
      <c r="D2126" s="1" t="str">
        <f t="shared" si="99"/>
        <v>København KommuneStore Strandstræde 4</v>
      </c>
      <c r="E2126" s="1" t="s">
        <v>6386</v>
      </c>
      <c r="F2126" s="1" t="s">
        <v>6387</v>
      </c>
      <c r="G2126" s="1">
        <v>1987</v>
      </c>
      <c r="H2126" s="1" t="s">
        <v>11</v>
      </c>
      <c r="I2126" s="6" cm="1">
        <f t="array" ref="I2126">GetLatitude(D2126)</f>
        <v>556808823</v>
      </c>
      <c r="J2126" s="1" cm="1">
        <f t="array" ref="J2126">GetLongitude(D2126)</f>
        <v>125881943</v>
      </c>
      <c r="K2126" s="1">
        <f t="shared" si="100"/>
        <v>55.6808823</v>
      </c>
      <c r="L2126" s="1">
        <f t="shared" si="101"/>
        <v>12.5881943</v>
      </c>
    </row>
    <row r="2127" spans="1:12" ht="16" x14ac:dyDescent="0.2">
      <c r="A2127" s="1">
        <v>2126</v>
      </c>
      <c r="B2127" s="1" t="s">
        <v>3980</v>
      </c>
      <c r="C2127" s="1" t="s">
        <v>6388</v>
      </c>
      <c r="D2127" s="1" t="str">
        <f t="shared" si="99"/>
        <v>København KommuneStore Strandstræde 6</v>
      </c>
      <c r="E2127" s="1" t="s">
        <v>6389</v>
      </c>
      <c r="F2127" s="1" t="s">
        <v>6390</v>
      </c>
      <c r="G2127" s="1">
        <v>1987</v>
      </c>
      <c r="H2127" s="1" t="s">
        <v>15</v>
      </c>
      <c r="I2127" s="6" cm="1">
        <f t="array" ref="I2127">GetLatitude(D2127)</f>
        <v>556808725</v>
      </c>
      <c r="J2127" s="1" cm="1">
        <f t="array" ref="J2127">GetLongitude(D2127)</f>
        <v>125882882</v>
      </c>
      <c r="K2127" s="1">
        <f t="shared" si="100"/>
        <v>55.6808725</v>
      </c>
      <c r="L2127" s="1">
        <f t="shared" si="101"/>
        <v>12.588288199999999</v>
      </c>
    </row>
    <row r="2128" spans="1:12" ht="16" x14ac:dyDescent="0.2">
      <c r="A2128" s="1">
        <v>2127</v>
      </c>
      <c r="B2128" s="1" t="s">
        <v>3980</v>
      </c>
      <c r="C2128" s="1" t="s">
        <v>6391</v>
      </c>
      <c r="D2128" s="1" t="str">
        <f t="shared" si="99"/>
        <v>København KommuneStore Strandstræde 7</v>
      </c>
      <c r="E2128" s="1" t="s">
        <v>6392</v>
      </c>
      <c r="F2128" s="1" t="s">
        <v>6393</v>
      </c>
      <c r="G2128" s="1">
        <v>1989</v>
      </c>
      <c r="H2128" s="1" t="s">
        <v>11</v>
      </c>
      <c r="I2128" s="6" cm="1">
        <f t="array" ref="I2128">GetLatitude(D2128)</f>
        <v>556810435</v>
      </c>
      <c r="J2128" s="1" cm="1">
        <f t="array" ref="J2128">GetLongitude(D2128)</f>
        <v>125881998</v>
      </c>
      <c r="K2128" s="1">
        <f t="shared" si="100"/>
        <v>55.681043500000001</v>
      </c>
      <c r="L2128" s="1">
        <f t="shared" si="101"/>
        <v>12.5881998</v>
      </c>
    </row>
    <row r="2129" spans="1:12" ht="16" x14ac:dyDescent="0.2">
      <c r="A2129" s="1">
        <v>2128</v>
      </c>
      <c r="B2129" s="1" t="s">
        <v>3980</v>
      </c>
      <c r="C2129" s="1" t="s">
        <v>6394</v>
      </c>
      <c r="D2129" s="1" t="str">
        <f t="shared" si="99"/>
        <v>København KommuneStormgade 10-12</v>
      </c>
      <c r="E2129" s="1" t="s">
        <v>6395</v>
      </c>
      <c r="F2129" s="1" t="s">
        <v>6396</v>
      </c>
      <c r="G2129" s="1">
        <v>1918</v>
      </c>
      <c r="H2129" s="1" t="s">
        <v>11388</v>
      </c>
      <c r="I2129" s="6" cm="1">
        <f t="array" ref="I2129">GetLatitude(D2129)</f>
        <v>556760968</v>
      </c>
      <c r="J2129" s="1" cm="1">
        <f t="array" ref="J2129">GetLongitude(D2129)</f>
        <v>125683371</v>
      </c>
      <c r="K2129" s="1">
        <f t="shared" si="100"/>
        <v>55.676096800000003</v>
      </c>
      <c r="L2129" s="1">
        <f t="shared" si="101"/>
        <v>12.568337100000001</v>
      </c>
    </row>
    <row r="2130" spans="1:12" ht="16" x14ac:dyDescent="0.2">
      <c r="A2130" s="1">
        <v>2129</v>
      </c>
      <c r="B2130" s="1" t="s">
        <v>3980</v>
      </c>
      <c r="C2130" s="1" t="s">
        <v>6397</v>
      </c>
      <c r="D2130" s="1" t="str">
        <f t="shared" si="99"/>
        <v>København KommuneStormgade 14 E</v>
      </c>
      <c r="E2130" s="1" t="s">
        <v>6398</v>
      </c>
      <c r="F2130" s="1" t="s">
        <v>6399</v>
      </c>
      <c r="G2130" s="1">
        <v>1918</v>
      </c>
      <c r="H2130" s="1" t="s">
        <v>11</v>
      </c>
      <c r="I2130" s="6" cm="1">
        <f t="array" ref="I2130">GetLatitude(D2130)</f>
        <v>556760968</v>
      </c>
      <c r="J2130" s="1" cm="1">
        <f t="array" ref="J2130">GetLongitude(D2130)</f>
        <v>125683371</v>
      </c>
      <c r="K2130" s="1">
        <f t="shared" si="100"/>
        <v>55.676096800000003</v>
      </c>
      <c r="L2130" s="1">
        <f t="shared" si="101"/>
        <v>12.568337100000001</v>
      </c>
    </row>
    <row r="2131" spans="1:12" ht="16" x14ac:dyDescent="0.2">
      <c r="A2131" s="1">
        <v>2130</v>
      </c>
      <c r="B2131" s="1" t="s">
        <v>3980</v>
      </c>
      <c r="C2131" s="1" t="s">
        <v>6400</v>
      </c>
      <c r="D2131" s="1" t="str">
        <f t="shared" si="99"/>
        <v>København KommuneStormgade 18</v>
      </c>
      <c r="E2131" s="1" t="s">
        <v>6401</v>
      </c>
      <c r="F2131" s="1" t="s">
        <v>6402</v>
      </c>
      <c r="G2131" s="1">
        <v>1981</v>
      </c>
      <c r="H2131" s="1" t="s">
        <v>15</v>
      </c>
      <c r="I2131" s="6" cm="1">
        <f t="array" ref="I2131">GetLatitude(D2131)</f>
        <v>556760968</v>
      </c>
      <c r="J2131" s="1" cm="1">
        <f t="array" ref="J2131">GetLongitude(D2131)</f>
        <v>125683371</v>
      </c>
      <c r="K2131" s="1">
        <f t="shared" si="100"/>
        <v>55.676096800000003</v>
      </c>
      <c r="L2131" s="1">
        <f t="shared" si="101"/>
        <v>12.568337100000001</v>
      </c>
    </row>
    <row r="2132" spans="1:12" ht="16" x14ac:dyDescent="0.2">
      <c r="A2132" s="1">
        <v>2131</v>
      </c>
      <c r="B2132" s="1" t="s">
        <v>3980</v>
      </c>
      <c r="C2132" s="1" t="s">
        <v>6403</v>
      </c>
      <c r="D2132" s="1" t="str">
        <f t="shared" si="99"/>
        <v>København KommuneStormgade 6</v>
      </c>
      <c r="E2132" s="1" t="s">
        <v>6404</v>
      </c>
      <c r="F2132" s="1" t="s">
        <v>6405</v>
      </c>
      <c r="G2132" s="1">
        <v>1918</v>
      </c>
      <c r="H2132" s="1" t="s">
        <v>15</v>
      </c>
      <c r="I2132" s="6" cm="1">
        <f t="array" ref="I2132">GetLatitude(D2132)</f>
        <v>556760968</v>
      </c>
      <c r="J2132" s="1" cm="1">
        <f t="array" ref="J2132">GetLongitude(D2132)</f>
        <v>125683371</v>
      </c>
      <c r="K2132" s="1">
        <f t="shared" si="100"/>
        <v>55.676096800000003</v>
      </c>
      <c r="L2132" s="1">
        <f t="shared" si="101"/>
        <v>12.568337100000001</v>
      </c>
    </row>
    <row r="2133" spans="1:12" ht="16" x14ac:dyDescent="0.2">
      <c r="A2133" s="1">
        <v>2132</v>
      </c>
      <c r="B2133" s="1" t="s">
        <v>3980</v>
      </c>
      <c r="C2133" s="1" t="s">
        <v>6406</v>
      </c>
      <c r="D2133" s="1" t="str">
        <f t="shared" si="99"/>
        <v>København KommuneStormgade 8</v>
      </c>
      <c r="E2133" s="1" t="s">
        <v>6407</v>
      </c>
      <c r="F2133" s="1" t="s">
        <v>6408</v>
      </c>
      <c r="G2133" s="1">
        <v>1918</v>
      </c>
      <c r="H2133" s="1" t="s">
        <v>4047</v>
      </c>
      <c r="I2133" s="6" cm="1">
        <f t="array" ref="I2133">GetLatitude(D2133)</f>
        <v>556760968</v>
      </c>
      <c r="J2133" s="1" cm="1">
        <f t="array" ref="J2133">GetLongitude(D2133)</f>
        <v>125683371</v>
      </c>
      <c r="K2133" s="1">
        <f t="shared" si="100"/>
        <v>55.676096800000003</v>
      </c>
      <c r="L2133" s="1">
        <f t="shared" si="101"/>
        <v>12.568337100000001</v>
      </c>
    </row>
    <row r="2134" spans="1:12" ht="16" x14ac:dyDescent="0.2">
      <c r="A2134" s="1">
        <v>2133</v>
      </c>
      <c r="B2134" s="1" t="s">
        <v>3980</v>
      </c>
      <c r="C2134" s="1" t="s">
        <v>6409</v>
      </c>
      <c r="D2134" s="1" t="str">
        <f t="shared" si="99"/>
        <v>København KommuneStrandagervej 28</v>
      </c>
      <c r="E2134" s="1" t="s">
        <v>6410</v>
      </c>
      <c r="F2134" s="1" t="s">
        <v>6411</v>
      </c>
      <c r="G2134" s="1">
        <v>1982</v>
      </c>
      <c r="H2134" s="1" t="s">
        <v>11</v>
      </c>
      <c r="I2134" s="6" cm="1">
        <f t="array" ref="I2134">GetLatitude(D2134)</f>
        <v>557248178</v>
      </c>
      <c r="J2134" s="1" cm="1">
        <f t="array" ref="J2134">GetLongitude(D2134)</f>
        <v>125714083</v>
      </c>
      <c r="K2134" s="1">
        <f t="shared" si="100"/>
        <v>55.724817799999997</v>
      </c>
      <c r="L2134" s="1">
        <f t="shared" si="101"/>
        <v>12.5714083</v>
      </c>
    </row>
    <row r="2135" spans="1:12" ht="16" x14ac:dyDescent="0.2">
      <c r="A2135" s="1">
        <v>2134</v>
      </c>
      <c r="B2135" s="1" t="s">
        <v>3980</v>
      </c>
      <c r="C2135" s="1" t="s">
        <v>6412</v>
      </c>
      <c r="D2135" s="1" t="str">
        <f t="shared" si="99"/>
        <v>København KommuneStrandboulevarden 35</v>
      </c>
      <c r="E2135" s="1" t="s">
        <v>6413</v>
      </c>
      <c r="F2135" s="1" t="s">
        <v>6414</v>
      </c>
      <c r="G2135" s="1">
        <v>2001</v>
      </c>
      <c r="H2135" s="1" t="s">
        <v>11</v>
      </c>
      <c r="I2135" s="6" cm="1">
        <f t="array" ref="I2135">GetLatitude(D2135)</f>
        <v>557010440</v>
      </c>
      <c r="J2135" s="1" cm="1">
        <f t="array" ref="J2135">GetLongitude(D2135)</f>
        <v>125887720</v>
      </c>
      <c r="K2135" s="1">
        <f t="shared" si="100"/>
        <v>55.701044000000003</v>
      </c>
      <c r="L2135" s="1">
        <f t="shared" si="101"/>
        <v>12.588772000000001</v>
      </c>
    </row>
    <row r="2136" spans="1:12" ht="16" x14ac:dyDescent="0.2">
      <c r="A2136" s="1">
        <v>2135</v>
      </c>
      <c r="B2136" s="1" t="s">
        <v>3980</v>
      </c>
      <c r="C2136" s="1" t="s">
        <v>508</v>
      </c>
      <c r="D2136" s="1" t="str">
        <f t="shared" si="99"/>
        <v>København KommuneStrandgade 10</v>
      </c>
      <c r="E2136" s="1" t="s">
        <v>6415</v>
      </c>
      <c r="F2136" s="1" t="s">
        <v>6416</v>
      </c>
      <c r="G2136" s="1">
        <v>1918</v>
      </c>
      <c r="H2136" s="1" t="s">
        <v>6417</v>
      </c>
      <c r="I2136" s="6" cm="1">
        <f t="array" ref="I2136">GetLatitude(D2136)</f>
        <v>556731078</v>
      </c>
      <c r="J2136" s="1" cm="1">
        <f t="array" ref="J2136">GetLongitude(D2136)</f>
        <v>125886575</v>
      </c>
      <c r="K2136" s="1">
        <f t="shared" si="100"/>
        <v>55.673107799999997</v>
      </c>
      <c r="L2136" s="1">
        <f t="shared" si="101"/>
        <v>12.5886575</v>
      </c>
    </row>
    <row r="2137" spans="1:12" ht="16" x14ac:dyDescent="0.2">
      <c r="A2137" s="1">
        <v>2136</v>
      </c>
      <c r="B2137" s="1" t="s">
        <v>3980</v>
      </c>
      <c r="C2137" s="1" t="s">
        <v>6418</v>
      </c>
      <c r="D2137" s="1" t="str">
        <f t="shared" si="99"/>
        <v>København KommuneStrandgade 104-106 (tidl Strandgade 100) og Krøyers Plads</v>
      </c>
      <c r="E2137" s="1" t="s">
        <v>6419</v>
      </c>
      <c r="F2137" s="1" t="s">
        <v>6420</v>
      </c>
      <c r="G2137" s="1">
        <v>1964</v>
      </c>
      <c r="H2137" s="1" t="s">
        <v>6421</v>
      </c>
      <c r="I2137" s="6" cm="1">
        <f t="array" ref="I2137">GetLatitude(D2137)</f>
        <v>556768448</v>
      </c>
      <c r="J2137" s="1" cm="1">
        <f t="array" ref="J2137">GetLongitude(D2137)</f>
        <v>125965978</v>
      </c>
      <c r="K2137" s="1">
        <f t="shared" si="100"/>
        <v>55.676844799999998</v>
      </c>
      <c r="L2137" s="1">
        <f t="shared" si="101"/>
        <v>12.5965978</v>
      </c>
    </row>
    <row r="2138" spans="1:12" ht="16" x14ac:dyDescent="0.2">
      <c r="A2138" s="1">
        <v>2137</v>
      </c>
      <c r="B2138" s="1" t="s">
        <v>3980</v>
      </c>
      <c r="C2138" s="1" t="s">
        <v>511</v>
      </c>
      <c r="D2138" s="1" t="str">
        <f t="shared" si="99"/>
        <v>København KommuneStrandgade 12</v>
      </c>
      <c r="E2138" s="1" t="s">
        <v>512</v>
      </c>
      <c r="F2138" s="1" t="s">
        <v>6422</v>
      </c>
      <c r="G2138" s="1">
        <v>1918</v>
      </c>
      <c r="H2138" s="1" t="s">
        <v>11</v>
      </c>
      <c r="I2138" s="6" cm="1">
        <f t="array" ref="I2138">GetLatitude(D2138)</f>
        <v>556732208</v>
      </c>
      <c r="J2138" s="1" cm="1">
        <f t="array" ref="J2138">GetLongitude(D2138)</f>
        <v>125888432</v>
      </c>
      <c r="K2138" s="1">
        <f t="shared" si="100"/>
        <v>55.673220800000003</v>
      </c>
      <c r="L2138" s="1">
        <f t="shared" si="101"/>
        <v>12.588843199999999</v>
      </c>
    </row>
    <row r="2139" spans="1:12" ht="16" x14ac:dyDescent="0.2">
      <c r="A2139" s="1">
        <v>2138</v>
      </c>
      <c r="B2139" s="1" t="s">
        <v>3980</v>
      </c>
      <c r="C2139" s="1" t="s">
        <v>6423</v>
      </c>
      <c r="D2139" s="1" t="str">
        <f t="shared" si="99"/>
        <v>København KommuneStrandgade 1-2</v>
      </c>
      <c r="E2139" s="1" t="s">
        <v>6424</v>
      </c>
      <c r="F2139" s="1" t="s">
        <v>6425</v>
      </c>
      <c r="G2139" s="1">
        <v>1950</v>
      </c>
      <c r="H2139" s="1" t="s">
        <v>11</v>
      </c>
      <c r="I2139" s="6" cm="1">
        <f t="array" ref="I2139">GetLatitude(D2139)</f>
        <v>556726960</v>
      </c>
      <c r="J2139" s="1" cm="1">
        <f t="array" ref="J2139">GetLongitude(D2139)</f>
        <v>125874247</v>
      </c>
      <c r="K2139" s="1">
        <f t="shared" si="100"/>
        <v>55.672696000000002</v>
      </c>
      <c r="L2139" s="1">
        <f t="shared" si="101"/>
        <v>12.5874247</v>
      </c>
    </row>
    <row r="2140" spans="1:12" ht="16" x14ac:dyDescent="0.2">
      <c r="A2140" s="1">
        <v>2139</v>
      </c>
      <c r="B2140" s="1" t="s">
        <v>3980</v>
      </c>
      <c r="C2140" s="1" t="s">
        <v>6426</v>
      </c>
      <c r="D2140" s="1" t="str">
        <f t="shared" si="99"/>
        <v>København KommuneStrandgade 14, hj af Torvegade</v>
      </c>
      <c r="E2140" s="1" t="s">
        <v>6427</v>
      </c>
      <c r="F2140" s="1" t="s">
        <v>6428</v>
      </c>
      <c r="G2140" s="1">
        <v>1918</v>
      </c>
      <c r="H2140" s="1" t="s">
        <v>11</v>
      </c>
      <c r="I2140" s="6" cm="1">
        <f t="array" ref="I2140">GetLatitude(D2140)</f>
        <v>556733692</v>
      </c>
      <c r="J2140" s="1" cm="1">
        <f t="array" ref="J2140">GetLongitude(D2140)</f>
        <v>125891116</v>
      </c>
      <c r="K2140" s="1">
        <f t="shared" si="100"/>
        <v>55.673369200000003</v>
      </c>
      <c r="L2140" s="1">
        <f t="shared" si="101"/>
        <v>12.589111600000001</v>
      </c>
    </row>
    <row r="2141" spans="1:12" ht="16" x14ac:dyDescent="0.2">
      <c r="A2141" s="1">
        <v>2140</v>
      </c>
      <c r="B2141" s="1" t="s">
        <v>3980</v>
      </c>
      <c r="C2141" s="1" t="s">
        <v>2760</v>
      </c>
      <c r="D2141" s="1" t="str">
        <f t="shared" si="99"/>
        <v>København KommuneStrandgade 22</v>
      </c>
      <c r="E2141" s="1" t="s">
        <v>6429</v>
      </c>
      <c r="F2141" s="1" t="s">
        <v>6430</v>
      </c>
      <c r="G2141" s="1">
        <v>1918</v>
      </c>
      <c r="H2141" s="1" t="s">
        <v>15</v>
      </c>
      <c r="I2141" s="6" cm="1">
        <f t="array" ref="I2141">GetLatitude(D2141)</f>
        <v>556738063</v>
      </c>
      <c r="J2141" s="1" cm="1">
        <f t="array" ref="J2141">GetLongitude(D2141)</f>
        <v>125896708</v>
      </c>
      <c r="K2141" s="1">
        <f t="shared" si="100"/>
        <v>55.673806300000003</v>
      </c>
      <c r="L2141" s="1">
        <f t="shared" si="101"/>
        <v>12.5896708</v>
      </c>
    </row>
    <row r="2142" spans="1:12" ht="16" x14ac:dyDescent="0.2">
      <c r="A2142" s="1">
        <v>2141</v>
      </c>
      <c r="B2142" s="1" t="s">
        <v>3980</v>
      </c>
      <c r="C2142" s="1" t="s">
        <v>6431</v>
      </c>
      <c r="D2142" s="1" t="str">
        <f t="shared" si="99"/>
        <v>København KommuneStrandgade 24</v>
      </c>
      <c r="E2142" s="1" t="s">
        <v>6432</v>
      </c>
      <c r="F2142" s="1" t="s">
        <v>6433</v>
      </c>
      <c r="G2142" s="1">
        <v>1918</v>
      </c>
      <c r="H2142" s="1" t="s">
        <v>11</v>
      </c>
      <c r="I2142" s="6" cm="1">
        <f t="array" ref="I2142">GetLatitude(D2142)</f>
        <v>556739050</v>
      </c>
      <c r="J2142" s="1" cm="1">
        <f t="array" ref="J2142">GetLongitude(D2142)</f>
        <v>125898945</v>
      </c>
      <c r="K2142" s="1">
        <f t="shared" si="100"/>
        <v>55.673904999999998</v>
      </c>
      <c r="L2142" s="1">
        <f t="shared" si="101"/>
        <v>12.5898945</v>
      </c>
    </row>
    <row r="2143" spans="1:12" ht="16" x14ac:dyDescent="0.2">
      <c r="A2143" s="1">
        <v>2142</v>
      </c>
      <c r="B2143" s="1" t="s">
        <v>3980</v>
      </c>
      <c r="C2143" s="1" t="s">
        <v>6434</v>
      </c>
      <c r="D2143" s="1" t="str">
        <f t="shared" si="99"/>
        <v>København KommuneStrandgade 25</v>
      </c>
      <c r="E2143" s="1" t="s">
        <v>6435</v>
      </c>
      <c r="F2143" s="1" t="s">
        <v>6436</v>
      </c>
      <c r="G2143" s="1">
        <v>1918</v>
      </c>
      <c r="H2143" s="1" t="s">
        <v>15</v>
      </c>
      <c r="I2143" s="6" cm="1">
        <f t="array" ref="I2143">GetLatitude(D2143)</f>
        <v>556744812</v>
      </c>
      <c r="J2143" s="1" cm="1">
        <f t="array" ref="J2143">GetLongitude(D2143)</f>
        <v>125903081</v>
      </c>
      <c r="K2143" s="1">
        <f t="shared" si="100"/>
        <v>55.674481200000002</v>
      </c>
      <c r="L2143" s="1">
        <f t="shared" si="101"/>
        <v>12.5903081</v>
      </c>
    </row>
    <row r="2144" spans="1:12" ht="16" x14ac:dyDescent="0.2">
      <c r="A2144" s="1">
        <v>2143</v>
      </c>
      <c r="B2144" s="1" t="s">
        <v>3980</v>
      </c>
      <c r="C2144" s="1" t="s">
        <v>6437</v>
      </c>
      <c r="D2144" s="1" t="str">
        <f t="shared" si="99"/>
        <v>København KommuneStrandgade 26</v>
      </c>
      <c r="E2144" s="1" t="s">
        <v>6438</v>
      </c>
      <c r="F2144" s="1" t="s">
        <v>6439</v>
      </c>
      <c r="G2144" s="1">
        <v>1918</v>
      </c>
      <c r="H2144" s="1" t="s">
        <v>11</v>
      </c>
      <c r="I2144" s="6" cm="1">
        <f t="array" ref="I2144">GetLatitude(D2144)</f>
        <v>556739937</v>
      </c>
      <c r="J2144" s="1" cm="1">
        <f t="array" ref="J2144">GetLongitude(D2144)</f>
        <v>125901014</v>
      </c>
      <c r="K2144" s="1">
        <f t="shared" si="100"/>
        <v>55.673993699999997</v>
      </c>
      <c r="L2144" s="1">
        <f t="shared" si="101"/>
        <v>12.5901014</v>
      </c>
    </row>
    <row r="2145" spans="1:12" ht="16" x14ac:dyDescent="0.2">
      <c r="A2145" s="1">
        <v>2144</v>
      </c>
      <c r="B2145" s="1" t="s">
        <v>3980</v>
      </c>
      <c r="C2145" s="1" t="s">
        <v>6440</v>
      </c>
      <c r="D2145" s="1" t="str">
        <f t="shared" si="99"/>
        <v>København KommuneStrandgade 28-30 og Wildersgade 41-43</v>
      </c>
      <c r="E2145" s="1" t="s">
        <v>6441</v>
      </c>
      <c r="F2145" s="1" t="s">
        <v>6442</v>
      </c>
      <c r="G2145" s="1">
        <v>1918</v>
      </c>
      <c r="H2145" s="1" t="s">
        <v>3043</v>
      </c>
      <c r="I2145" s="6" cm="1">
        <f t="array" ref="I2145">GetLatitude(D2145)</f>
        <v>556728436</v>
      </c>
      <c r="J2145" s="1" cm="1">
        <f t="array" ref="J2145">GetLongitude(D2145)</f>
        <v>125898020</v>
      </c>
      <c r="K2145" s="1">
        <f t="shared" si="100"/>
        <v>55.6728436</v>
      </c>
      <c r="L2145" s="1">
        <f t="shared" si="101"/>
        <v>12.589802000000001</v>
      </c>
    </row>
    <row r="2146" spans="1:12" ht="16" x14ac:dyDescent="0.2">
      <c r="A2146" s="1">
        <v>2145</v>
      </c>
      <c r="B2146" s="1" t="s">
        <v>3980</v>
      </c>
      <c r="C2146" s="1" t="s">
        <v>6443</v>
      </c>
      <c r="D2146" s="1" t="str">
        <f t="shared" si="99"/>
        <v>København KommuneStrandgade 32, hj af Sankt Annæ Gade</v>
      </c>
      <c r="E2146" s="1" t="s">
        <v>6444</v>
      </c>
      <c r="F2146" s="1" t="s">
        <v>6445</v>
      </c>
      <c r="G2146" s="1">
        <v>1918</v>
      </c>
      <c r="H2146" s="1" t="s">
        <v>11</v>
      </c>
      <c r="I2146" s="6" cm="1">
        <f t="array" ref="I2146">GetLatitude(D2146)</f>
        <v>556732499</v>
      </c>
      <c r="J2146" s="1" cm="1">
        <f t="array" ref="J2146">GetLongitude(D2146)</f>
        <v>125926595</v>
      </c>
      <c r="K2146" s="1">
        <f t="shared" si="100"/>
        <v>55.673249900000002</v>
      </c>
      <c r="L2146" s="1">
        <f t="shared" si="101"/>
        <v>12.5926595</v>
      </c>
    </row>
    <row r="2147" spans="1:12" ht="16" x14ac:dyDescent="0.2">
      <c r="A2147" s="1">
        <v>2146</v>
      </c>
      <c r="B2147" s="1" t="s">
        <v>3980</v>
      </c>
      <c r="C2147" s="1" t="s">
        <v>6446</v>
      </c>
      <c r="D2147" s="1" t="str">
        <f t="shared" si="99"/>
        <v>København KommuneStrandgade 34, hj af Sankt Annæ Gade</v>
      </c>
      <c r="E2147" s="1" t="s">
        <v>6447</v>
      </c>
      <c r="F2147" s="1" t="s">
        <v>6448</v>
      </c>
      <c r="G2147" s="1">
        <v>1918</v>
      </c>
      <c r="H2147" s="1" t="s">
        <v>11</v>
      </c>
      <c r="I2147" s="6" cm="1">
        <f t="array" ref="I2147">GetLatitude(D2147)</f>
        <v>556732499</v>
      </c>
      <c r="J2147" s="1" cm="1">
        <f t="array" ref="J2147">GetLongitude(D2147)</f>
        <v>125926595</v>
      </c>
      <c r="K2147" s="1">
        <f t="shared" si="100"/>
        <v>55.673249900000002</v>
      </c>
      <c r="L2147" s="1">
        <f t="shared" si="101"/>
        <v>12.5926595</v>
      </c>
    </row>
    <row r="2148" spans="1:12" ht="16" x14ac:dyDescent="0.2">
      <c r="A2148" s="1">
        <v>2147</v>
      </c>
      <c r="B2148" s="1" t="s">
        <v>3980</v>
      </c>
      <c r="C2148" s="1" t="s">
        <v>6449</v>
      </c>
      <c r="D2148" s="1" t="str">
        <f t="shared" si="99"/>
        <v>København KommuneStrandgade 36 og Wildersgade 51</v>
      </c>
      <c r="E2148" s="1" t="s">
        <v>6450</v>
      </c>
      <c r="F2148" s="1" t="s">
        <v>6451</v>
      </c>
      <c r="G2148" s="1">
        <v>1918</v>
      </c>
      <c r="H2148" s="1" t="s">
        <v>11</v>
      </c>
      <c r="I2148" s="6" cm="1">
        <f t="array" ref="I2148">GetLatitude(D2148)</f>
        <v>556743325</v>
      </c>
      <c r="J2148" s="1" cm="1">
        <f t="array" ref="J2148">GetLongitude(D2148)</f>
        <v>125915934</v>
      </c>
      <c r="K2148" s="1">
        <f t="shared" si="100"/>
        <v>55.674332499999998</v>
      </c>
      <c r="L2148" s="1">
        <f t="shared" si="101"/>
        <v>12.591593400000001</v>
      </c>
    </row>
    <row r="2149" spans="1:12" ht="16" x14ac:dyDescent="0.2">
      <c r="A2149" s="1">
        <v>2148</v>
      </c>
      <c r="B2149" s="1" t="s">
        <v>3980</v>
      </c>
      <c r="C2149" s="1" t="s">
        <v>6452</v>
      </c>
      <c r="D2149" s="1" t="str">
        <f t="shared" si="99"/>
        <v>København KommuneStrandgade 38</v>
      </c>
      <c r="E2149" s="1" t="s">
        <v>6453</v>
      </c>
      <c r="F2149" s="1" t="s">
        <v>6454</v>
      </c>
      <c r="G2149" s="1">
        <v>1918</v>
      </c>
      <c r="H2149" s="1" t="s">
        <v>11</v>
      </c>
      <c r="I2149" s="6" cm="1">
        <f t="array" ref="I2149">GetLatitude(D2149)</f>
        <v>556747296</v>
      </c>
      <c r="J2149" s="1" cm="1">
        <f t="array" ref="J2149">GetLongitude(D2149)</f>
        <v>125912287</v>
      </c>
      <c r="K2149" s="1">
        <f t="shared" si="100"/>
        <v>55.674729599999999</v>
      </c>
      <c r="L2149" s="1">
        <f t="shared" si="101"/>
        <v>12.5912287</v>
      </c>
    </row>
    <row r="2150" spans="1:12" ht="16" x14ac:dyDescent="0.2">
      <c r="A2150" s="1">
        <v>2149</v>
      </c>
      <c r="B2150" s="1" t="s">
        <v>3980</v>
      </c>
      <c r="C2150" s="1" t="s">
        <v>6455</v>
      </c>
      <c r="D2150" s="1" t="str">
        <f t="shared" si="99"/>
        <v>København KommuneStrandgade 40</v>
      </c>
      <c r="E2150" s="1" t="s">
        <v>6456</v>
      </c>
      <c r="F2150" s="1" t="s">
        <v>6457</v>
      </c>
      <c r="G2150" s="1">
        <v>1945</v>
      </c>
      <c r="H2150" s="1" t="s">
        <v>11</v>
      </c>
      <c r="I2150" s="6" cm="1">
        <f t="array" ref="I2150">GetLatitude(D2150)</f>
        <v>556747787</v>
      </c>
      <c r="J2150" s="1" cm="1">
        <f t="array" ref="J2150">GetLongitude(D2150)</f>
        <v>125913489</v>
      </c>
      <c r="K2150" s="1">
        <f t="shared" si="100"/>
        <v>55.674778699999997</v>
      </c>
      <c r="L2150" s="1">
        <f t="shared" si="101"/>
        <v>12.5913489</v>
      </c>
    </row>
    <row r="2151" spans="1:12" ht="16" x14ac:dyDescent="0.2">
      <c r="A2151" s="1">
        <v>2150</v>
      </c>
      <c r="B2151" s="1" t="s">
        <v>3980</v>
      </c>
      <c r="C2151" s="1" t="s">
        <v>6458</v>
      </c>
      <c r="D2151" s="1" t="str">
        <f t="shared" si="99"/>
        <v>København KommuneStrandgade 42</v>
      </c>
      <c r="E2151" s="1" t="s">
        <v>6459</v>
      </c>
      <c r="F2151" s="1" t="s">
        <v>6460</v>
      </c>
      <c r="G2151" s="1">
        <v>1945</v>
      </c>
      <c r="H2151" s="1" t="s">
        <v>11</v>
      </c>
      <c r="I2151" s="6" cm="1">
        <f t="array" ref="I2151">GetLatitude(D2151)</f>
        <v>556748384</v>
      </c>
      <c r="J2151" s="1" cm="1">
        <f t="array" ref="J2151">GetLongitude(D2151)</f>
        <v>125914104</v>
      </c>
      <c r="K2151" s="1">
        <f t="shared" si="100"/>
        <v>55.674838399999999</v>
      </c>
      <c r="L2151" s="1">
        <f t="shared" si="101"/>
        <v>12.591410399999999</v>
      </c>
    </row>
    <row r="2152" spans="1:12" ht="16" x14ac:dyDescent="0.2">
      <c r="A2152" s="1">
        <v>2151</v>
      </c>
      <c r="B2152" s="1" t="s">
        <v>3980</v>
      </c>
      <c r="C2152" s="1" t="s">
        <v>6461</v>
      </c>
      <c r="D2152" s="1" t="str">
        <f t="shared" si="99"/>
        <v>København KommuneStrandgade 44 A, B, og H, hj af Bådsmandsstræde</v>
      </c>
      <c r="E2152" s="1" t="s">
        <v>6462</v>
      </c>
      <c r="F2152" s="1" t="s">
        <v>6463</v>
      </c>
      <c r="G2152" s="1">
        <v>1945</v>
      </c>
      <c r="H2152" s="1" t="s">
        <v>11</v>
      </c>
      <c r="I2152" s="6" cm="1">
        <f t="array" ref="I2152">GetLatitude(D2152)</f>
        <v>556750798</v>
      </c>
      <c r="J2152" s="1" cm="1">
        <f t="array" ref="J2152">GetLongitude(D2152)</f>
        <v>125917255</v>
      </c>
      <c r="K2152" s="1">
        <f t="shared" si="100"/>
        <v>55.675079799999999</v>
      </c>
      <c r="L2152" s="1">
        <f t="shared" si="101"/>
        <v>12.591725500000001</v>
      </c>
    </row>
    <row r="2153" spans="1:12" ht="16" x14ac:dyDescent="0.2">
      <c r="A2153" s="1">
        <v>2152</v>
      </c>
      <c r="B2153" s="1" t="s">
        <v>3980</v>
      </c>
      <c r="C2153" s="1" t="s">
        <v>6464</v>
      </c>
      <c r="D2153" s="1" t="str">
        <f t="shared" si="99"/>
        <v>København KommuneStrandgade 46 og 46 A og Bådsmandsstræde 3</v>
      </c>
      <c r="E2153" s="1" t="s">
        <v>6465</v>
      </c>
      <c r="F2153" s="1" t="s">
        <v>6466</v>
      </c>
      <c r="G2153" s="1">
        <v>1918</v>
      </c>
      <c r="H2153" s="1" t="s">
        <v>11</v>
      </c>
      <c r="I2153" s="6" cm="1">
        <f t="array" ref="I2153">GetLatitude(D2153)</f>
        <v>556753257</v>
      </c>
      <c r="J2153" s="1" cm="1">
        <f t="array" ref="J2153">GetLongitude(D2153)</f>
        <v>125922361</v>
      </c>
      <c r="K2153" s="1">
        <f t="shared" si="100"/>
        <v>55.675325700000002</v>
      </c>
      <c r="L2153" s="1">
        <f t="shared" si="101"/>
        <v>12.592236099999999</v>
      </c>
    </row>
    <row r="2154" spans="1:12" ht="16" x14ac:dyDescent="0.2">
      <c r="A2154" s="1">
        <v>2153</v>
      </c>
      <c r="B2154" s="1" t="s">
        <v>3980</v>
      </c>
      <c r="C2154" s="1" t="s">
        <v>6467</v>
      </c>
      <c r="D2154" s="1" t="str">
        <f t="shared" si="99"/>
        <v>København KommuneStrandgade 4 og 4 B</v>
      </c>
      <c r="E2154" s="1" t="s">
        <v>6468</v>
      </c>
      <c r="F2154" s="1" t="s">
        <v>6469</v>
      </c>
      <c r="G2154" s="1">
        <v>1918</v>
      </c>
      <c r="H2154" s="1" t="s">
        <v>11</v>
      </c>
      <c r="I2154" s="6" cm="1">
        <f t="array" ref="I2154">GetLatitude(D2154)</f>
        <v>556726591</v>
      </c>
      <c r="J2154" s="1" cm="1">
        <f t="array" ref="J2154">GetLongitude(D2154)</f>
        <v>125879601</v>
      </c>
      <c r="K2154" s="1">
        <f t="shared" si="100"/>
        <v>55.672659099999997</v>
      </c>
      <c r="L2154" s="1">
        <f t="shared" si="101"/>
        <v>12.5879601</v>
      </c>
    </row>
    <row r="2155" spans="1:12" ht="16" x14ac:dyDescent="0.2">
      <c r="A2155" s="1">
        <v>2154</v>
      </c>
      <c r="B2155" s="1" t="s">
        <v>3980</v>
      </c>
      <c r="C2155" s="1" t="s">
        <v>6470</v>
      </c>
      <c r="D2155" s="1" t="str">
        <f t="shared" si="99"/>
        <v>København KommuneStrandgade 52-54</v>
      </c>
      <c r="E2155" s="1" t="s">
        <v>6471</v>
      </c>
      <c r="F2155" s="1" t="s">
        <v>6472</v>
      </c>
      <c r="G2155" s="1">
        <v>1945</v>
      </c>
      <c r="H2155" s="1" t="s">
        <v>11</v>
      </c>
      <c r="I2155" s="6" cm="1">
        <f t="array" ref="I2155">GetLatitude(D2155)</f>
        <v>556758246</v>
      </c>
      <c r="J2155" s="1" cm="1">
        <f t="array" ref="J2155">GetLongitude(D2155)</f>
        <v>125929435</v>
      </c>
      <c r="K2155" s="1">
        <f t="shared" si="100"/>
        <v>55.675824599999999</v>
      </c>
      <c r="L2155" s="1">
        <f t="shared" si="101"/>
        <v>12.592943500000001</v>
      </c>
    </row>
    <row r="2156" spans="1:12" ht="16" x14ac:dyDescent="0.2">
      <c r="A2156" s="1">
        <v>2155</v>
      </c>
      <c r="B2156" s="1" t="s">
        <v>3980</v>
      </c>
      <c r="C2156" s="1" t="s">
        <v>6473</v>
      </c>
      <c r="D2156" s="1" t="str">
        <f t="shared" si="99"/>
        <v>København KommuneStrandgade 6</v>
      </c>
      <c r="E2156" s="1" t="s">
        <v>6474</v>
      </c>
      <c r="F2156" s="1" t="s">
        <v>6475</v>
      </c>
      <c r="G2156" s="1">
        <v>1918</v>
      </c>
      <c r="H2156" s="1" t="s">
        <v>11</v>
      </c>
      <c r="I2156" s="6" cm="1">
        <f t="array" ref="I2156">GetLatitude(D2156)</f>
        <v>556729703</v>
      </c>
      <c r="J2156" s="1" cm="1">
        <f t="array" ref="J2156">GetLongitude(D2156)</f>
        <v>125883502</v>
      </c>
      <c r="K2156" s="1">
        <f t="shared" si="100"/>
        <v>55.672970300000003</v>
      </c>
      <c r="L2156" s="1">
        <f t="shared" si="101"/>
        <v>12.588350200000001</v>
      </c>
    </row>
    <row r="2157" spans="1:12" ht="16" x14ac:dyDescent="0.2">
      <c r="A2157" s="1">
        <v>2156</v>
      </c>
      <c r="B2157" s="1" t="s">
        <v>3980</v>
      </c>
      <c r="C2157" s="1" t="s">
        <v>6476</v>
      </c>
      <c r="D2157" s="1" t="str">
        <f t="shared" si="99"/>
        <v>København KommuneStrandgade 71-75</v>
      </c>
      <c r="E2157" s="1" t="s">
        <v>6477</v>
      </c>
      <c r="F2157" s="1" t="s">
        <v>6478</v>
      </c>
      <c r="G2157" s="1">
        <v>1964</v>
      </c>
      <c r="H2157" s="1" t="s">
        <v>11</v>
      </c>
      <c r="I2157" s="6" cm="1">
        <f t="array" ref="I2157">GetLatitude(D2157)</f>
        <v>556767367</v>
      </c>
      <c r="J2157" s="1" cm="1">
        <f t="array" ref="J2157">GetLongitude(D2157)</f>
        <v>125947085</v>
      </c>
      <c r="K2157" s="1">
        <f t="shared" si="100"/>
        <v>55.676736699999999</v>
      </c>
      <c r="L2157" s="1">
        <f t="shared" si="101"/>
        <v>12.594708499999999</v>
      </c>
    </row>
    <row r="2158" spans="1:12" ht="16" x14ac:dyDescent="0.2">
      <c r="A2158" s="1">
        <v>2157</v>
      </c>
      <c r="B2158" s="1" t="s">
        <v>3980</v>
      </c>
      <c r="C2158" s="1" t="s">
        <v>6479</v>
      </c>
      <c r="D2158" s="1" t="str">
        <f t="shared" si="99"/>
        <v>København KommuneStrandgade 8</v>
      </c>
      <c r="E2158" s="1" t="s">
        <v>6480</v>
      </c>
      <c r="F2158" s="1" t="s">
        <v>6481</v>
      </c>
      <c r="G2158" s="1">
        <v>1932</v>
      </c>
      <c r="H2158" s="1" t="s">
        <v>4164</v>
      </c>
      <c r="I2158" s="6" cm="1">
        <f t="array" ref="I2158">GetLatitude(D2158)</f>
        <v>556730997</v>
      </c>
      <c r="J2158" s="1" cm="1">
        <f t="array" ref="J2158">GetLongitude(D2158)</f>
        <v>125885535</v>
      </c>
      <c r="K2158" s="1">
        <f t="shared" si="100"/>
        <v>55.673099700000002</v>
      </c>
      <c r="L2158" s="1">
        <f t="shared" si="101"/>
        <v>12.5885535</v>
      </c>
    </row>
    <row r="2159" spans="1:12" ht="16" x14ac:dyDescent="0.2">
      <c r="A2159" s="1">
        <v>2158</v>
      </c>
      <c r="B2159" s="1" t="s">
        <v>3980</v>
      </c>
      <c r="C2159" s="1" t="s">
        <v>6482</v>
      </c>
      <c r="D2159" s="1" t="str">
        <f t="shared" si="99"/>
        <v>København KommuneStudiestræde 10</v>
      </c>
      <c r="E2159" s="1" t="s">
        <v>6483</v>
      </c>
      <c r="F2159" s="1" t="s">
        <v>6484</v>
      </c>
      <c r="G2159" s="1">
        <v>1964</v>
      </c>
      <c r="H2159" s="1" t="s">
        <v>15</v>
      </c>
      <c r="I2159" s="6" cm="1">
        <f t="array" ref="I2159">GetLatitude(D2159)</f>
        <v>556789892</v>
      </c>
      <c r="J2159" s="1" cm="1">
        <f t="array" ref="J2159">GetLongitude(D2159)</f>
        <v>125702427</v>
      </c>
      <c r="K2159" s="1">
        <f t="shared" si="100"/>
        <v>55.678989199999997</v>
      </c>
      <c r="L2159" s="1">
        <f t="shared" si="101"/>
        <v>12.5702427</v>
      </c>
    </row>
    <row r="2160" spans="1:12" ht="16" x14ac:dyDescent="0.2">
      <c r="A2160" s="1">
        <v>2159</v>
      </c>
      <c r="B2160" s="1" t="s">
        <v>3980</v>
      </c>
      <c r="C2160" s="1" t="s">
        <v>6485</v>
      </c>
      <c r="D2160" s="1" t="str">
        <f t="shared" si="99"/>
        <v>København KommuneStudiestræde 12</v>
      </c>
      <c r="E2160" s="1" t="s">
        <v>6485</v>
      </c>
      <c r="F2160" s="1" t="s">
        <v>6486</v>
      </c>
      <c r="G2160" s="1">
        <v>1964</v>
      </c>
      <c r="H2160" s="1" t="s">
        <v>11</v>
      </c>
      <c r="I2160" s="6" cm="1">
        <f t="array" ref="I2160">GetLatitude(D2160)</f>
        <v>556789182</v>
      </c>
      <c r="J2160" s="1" cm="1">
        <f t="array" ref="J2160">GetLongitude(D2160)</f>
        <v>125700772</v>
      </c>
      <c r="K2160" s="1">
        <f t="shared" si="100"/>
        <v>55.678918199999998</v>
      </c>
      <c r="L2160" s="1">
        <f t="shared" si="101"/>
        <v>12.5700772</v>
      </c>
    </row>
    <row r="2161" spans="1:12" ht="16" x14ac:dyDescent="0.2">
      <c r="A2161" s="1">
        <v>2160</v>
      </c>
      <c r="B2161" s="1" t="s">
        <v>3980</v>
      </c>
      <c r="C2161" s="1" t="s">
        <v>6487</v>
      </c>
      <c r="D2161" s="1" t="str">
        <f t="shared" si="99"/>
        <v>København KommuneStudiestræde 13 og 13 A</v>
      </c>
      <c r="E2161" s="1" t="s">
        <v>6488</v>
      </c>
      <c r="F2161" s="1" t="s">
        <v>6489</v>
      </c>
      <c r="G2161" s="1">
        <v>1959</v>
      </c>
      <c r="H2161" s="1" t="s">
        <v>99</v>
      </c>
      <c r="I2161" s="6" cm="1">
        <f t="array" ref="I2161">GetLatitude(D2161)</f>
        <v>556786272</v>
      </c>
      <c r="J2161" s="1" cm="1">
        <f t="array" ref="J2161">GetLongitude(D2161)</f>
        <v>125703323</v>
      </c>
      <c r="K2161" s="1">
        <f t="shared" si="100"/>
        <v>55.678627200000001</v>
      </c>
      <c r="L2161" s="1">
        <f t="shared" si="101"/>
        <v>12.5703323</v>
      </c>
    </row>
    <row r="2162" spans="1:12" ht="16" x14ac:dyDescent="0.2">
      <c r="A2162" s="1">
        <v>2161</v>
      </c>
      <c r="B2162" s="1" t="s">
        <v>3980</v>
      </c>
      <c r="C2162" s="1" t="s">
        <v>6490</v>
      </c>
      <c r="D2162" s="1" t="str">
        <f t="shared" si="99"/>
        <v>København KommuneStudiestræde 14</v>
      </c>
      <c r="E2162" s="1" t="s">
        <v>6491</v>
      </c>
      <c r="F2162" s="1" t="s">
        <v>6492</v>
      </c>
      <c r="G2162" s="1">
        <v>1964</v>
      </c>
      <c r="H2162" s="1" t="s">
        <v>11</v>
      </c>
      <c r="I2162" s="6" cm="1">
        <f t="array" ref="I2162">GetLatitude(D2162)</f>
        <v>556789726</v>
      </c>
      <c r="J2162" s="1" cm="1">
        <f t="array" ref="J2162">GetLongitude(D2162)</f>
        <v>125696595</v>
      </c>
      <c r="K2162" s="1">
        <f t="shared" si="100"/>
        <v>55.678972600000002</v>
      </c>
      <c r="L2162" s="1">
        <f t="shared" si="101"/>
        <v>12.5696595</v>
      </c>
    </row>
    <row r="2163" spans="1:12" ht="16" x14ac:dyDescent="0.2">
      <c r="A2163" s="1">
        <v>2162</v>
      </c>
      <c r="B2163" s="1" t="s">
        <v>3980</v>
      </c>
      <c r="C2163" s="1" t="s">
        <v>6493</v>
      </c>
      <c r="D2163" s="1" t="str">
        <f t="shared" si="99"/>
        <v>København KommuneStudiestræde 17 og 17 B</v>
      </c>
      <c r="E2163" s="1" t="s">
        <v>6494</v>
      </c>
      <c r="F2163" s="1" t="s">
        <v>6495</v>
      </c>
      <c r="G2163" s="1">
        <v>1989</v>
      </c>
      <c r="H2163" s="1" t="s">
        <v>11</v>
      </c>
      <c r="I2163" s="6" cm="1">
        <f t="array" ref="I2163">GetLatitude(D2163)</f>
        <v>556787134</v>
      </c>
      <c r="J2163" s="1" cm="1">
        <f t="array" ref="J2163">GetLongitude(D2163)</f>
        <v>125699915</v>
      </c>
      <c r="K2163" s="1">
        <f t="shared" si="100"/>
        <v>55.678713399999999</v>
      </c>
      <c r="L2163" s="1">
        <f t="shared" si="101"/>
        <v>12.5699915</v>
      </c>
    </row>
    <row r="2164" spans="1:12" ht="16" x14ac:dyDescent="0.2">
      <c r="A2164" s="1">
        <v>2163</v>
      </c>
      <c r="B2164" s="1" t="s">
        <v>3980</v>
      </c>
      <c r="C2164" s="1" t="s">
        <v>6496</v>
      </c>
      <c r="D2164" s="1" t="str">
        <f t="shared" si="99"/>
        <v>København KommuneStudiestræde 21</v>
      </c>
      <c r="E2164" s="1" t="s">
        <v>6497</v>
      </c>
      <c r="F2164" s="1" t="s">
        <v>6498</v>
      </c>
      <c r="G2164" s="1">
        <v>1951</v>
      </c>
      <c r="H2164" s="1" t="s">
        <v>11</v>
      </c>
      <c r="I2164" s="6" cm="1">
        <f t="array" ref="I2164">GetLatitude(D2164)</f>
        <v>556784142</v>
      </c>
      <c r="J2164" s="1" cm="1">
        <f t="array" ref="J2164">GetLongitude(D2164)</f>
        <v>125698359</v>
      </c>
      <c r="K2164" s="1">
        <f t="shared" si="100"/>
        <v>55.678414199999999</v>
      </c>
      <c r="L2164" s="1">
        <f t="shared" si="101"/>
        <v>12.569835899999999</v>
      </c>
    </row>
    <row r="2165" spans="1:12" ht="16" x14ac:dyDescent="0.2">
      <c r="A2165" s="1">
        <v>2164</v>
      </c>
      <c r="B2165" s="1" t="s">
        <v>3980</v>
      </c>
      <c r="C2165" s="1" t="s">
        <v>6499</v>
      </c>
      <c r="D2165" s="1" t="str">
        <f t="shared" si="99"/>
        <v>København KommuneStudiestræde 24</v>
      </c>
      <c r="E2165" s="1" t="s">
        <v>6500</v>
      </c>
      <c r="F2165" s="1" t="s">
        <v>5308</v>
      </c>
      <c r="G2165" s="1">
        <v>1959</v>
      </c>
      <c r="H2165" s="1" t="s">
        <v>11</v>
      </c>
      <c r="I2165" s="6" cm="1">
        <f t="array" ref="I2165">GetLatitude(D2165)</f>
        <v>556784659</v>
      </c>
      <c r="J2165" s="1" cm="1">
        <f t="array" ref="J2165">GetLongitude(D2165)</f>
        <v>125685953</v>
      </c>
      <c r="K2165" s="1">
        <f t="shared" si="100"/>
        <v>55.678465899999999</v>
      </c>
      <c r="L2165" s="1">
        <f t="shared" si="101"/>
        <v>12.5685953</v>
      </c>
    </row>
    <row r="2166" spans="1:12" ht="16" x14ac:dyDescent="0.2">
      <c r="A2166" s="1">
        <v>2165</v>
      </c>
      <c r="B2166" s="1" t="s">
        <v>3980</v>
      </c>
      <c r="C2166" s="1" t="s">
        <v>6501</v>
      </c>
      <c r="D2166" s="1" t="str">
        <f t="shared" si="99"/>
        <v>København KommuneStudiestræde 25 A, hj af Larsbjørnsstræde</v>
      </c>
      <c r="E2166" s="1" t="s">
        <v>6502</v>
      </c>
      <c r="F2166" s="1" t="s">
        <v>6503</v>
      </c>
      <c r="G2166" s="1">
        <v>1964</v>
      </c>
      <c r="H2166" s="1" t="s">
        <v>11</v>
      </c>
      <c r="I2166" s="6" cm="1">
        <f t="array" ref="I2166">GetLatitude(D2166)</f>
        <v>556783952</v>
      </c>
      <c r="J2166" s="1" cm="1">
        <f t="array" ref="J2166">GetLongitude(D2166)</f>
        <v>125691695</v>
      </c>
      <c r="K2166" s="1">
        <f t="shared" si="100"/>
        <v>55.678395199999997</v>
      </c>
      <c r="L2166" s="1">
        <f t="shared" si="101"/>
        <v>12.569169499999999</v>
      </c>
    </row>
    <row r="2167" spans="1:12" ht="16" x14ac:dyDescent="0.2">
      <c r="A2167" s="1">
        <v>2166</v>
      </c>
      <c r="B2167" s="1" t="s">
        <v>3980</v>
      </c>
      <c r="C2167" s="1" t="s">
        <v>6504</v>
      </c>
      <c r="D2167" s="1" t="str">
        <f t="shared" si="99"/>
        <v>København KommuneStudiestræde 35</v>
      </c>
      <c r="E2167" s="1" t="s">
        <v>6505</v>
      </c>
      <c r="F2167" s="1" t="s">
        <v>4288</v>
      </c>
      <c r="G2167" s="1">
        <v>1959</v>
      </c>
      <c r="H2167" s="1" t="s">
        <v>11</v>
      </c>
      <c r="I2167" s="6" cm="1">
        <f t="array" ref="I2167">GetLatitude(D2167)</f>
        <v>556781043</v>
      </c>
      <c r="J2167" s="1" cm="1">
        <f t="array" ref="J2167">GetLongitude(D2167)</f>
        <v>125684333</v>
      </c>
      <c r="K2167" s="1">
        <f t="shared" si="100"/>
        <v>55.678104300000001</v>
      </c>
      <c r="L2167" s="1">
        <f t="shared" si="101"/>
        <v>12.568433300000001</v>
      </c>
    </row>
    <row r="2168" spans="1:12" ht="16" x14ac:dyDescent="0.2">
      <c r="A2168" s="1">
        <v>2167</v>
      </c>
      <c r="B2168" s="1" t="s">
        <v>3980</v>
      </c>
      <c r="C2168" s="1" t="s">
        <v>6506</v>
      </c>
      <c r="D2168" s="1" t="str">
        <f t="shared" si="99"/>
        <v>København KommuneStudiestræde 5, 7 og 9</v>
      </c>
      <c r="E2168" s="1" t="s">
        <v>6507</v>
      </c>
      <c r="F2168" s="1" t="s">
        <v>6508</v>
      </c>
      <c r="G2168" s="1">
        <v>1951</v>
      </c>
      <c r="H2168" s="1" t="s">
        <v>11</v>
      </c>
      <c r="I2168" s="6" cm="1">
        <f t="array" ref="I2168">GetLatitude(D2168)</f>
        <v>556789726</v>
      </c>
      <c r="J2168" s="1" cm="1">
        <f t="array" ref="J2168">GetLongitude(D2168)</f>
        <v>125708264</v>
      </c>
      <c r="K2168" s="1">
        <f t="shared" si="100"/>
        <v>55.678972600000002</v>
      </c>
      <c r="L2168" s="1">
        <f t="shared" si="101"/>
        <v>12.5708264</v>
      </c>
    </row>
    <row r="2169" spans="1:12" ht="16" x14ac:dyDescent="0.2">
      <c r="A2169" s="1">
        <v>2168</v>
      </c>
      <c r="B2169" s="1" t="s">
        <v>3980</v>
      </c>
      <c r="C2169" s="1" t="s">
        <v>6509</v>
      </c>
      <c r="D2169" s="1" t="str">
        <f t="shared" si="99"/>
        <v>København KommuneStudiestræde 8</v>
      </c>
      <c r="E2169" s="1" t="s">
        <v>6510</v>
      </c>
      <c r="F2169" s="1" t="s">
        <v>6511</v>
      </c>
      <c r="G2169" s="1">
        <v>1996</v>
      </c>
      <c r="H2169" s="1" t="s">
        <v>15</v>
      </c>
      <c r="I2169" s="6" cm="1">
        <f t="array" ref="I2169">GetLatitude(D2169)</f>
        <v>556790303</v>
      </c>
      <c r="J2169" s="1" cm="1">
        <f t="array" ref="J2169">GetLongitude(D2169)</f>
        <v>125703774</v>
      </c>
      <c r="K2169" s="1">
        <f t="shared" si="100"/>
        <v>55.679030300000001</v>
      </c>
      <c r="L2169" s="1">
        <f t="shared" si="101"/>
        <v>12.5703774</v>
      </c>
    </row>
    <row r="2170" spans="1:12" ht="16" x14ac:dyDescent="0.2">
      <c r="A2170" s="1">
        <v>2169</v>
      </c>
      <c r="B2170" s="1" t="s">
        <v>3980</v>
      </c>
      <c r="C2170" s="1" t="s">
        <v>6512</v>
      </c>
      <c r="D2170" s="1" t="str">
        <f t="shared" si="99"/>
        <v>København KommuneSundbyvestervej 29-31</v>
      </c>
      <c r="E2170" s="1" t="s">
        <v>6513</v>
      </c>
      <c r="F2170" s="1" t="s">
        <v>6514</v>
      </c>
      <c r="G2170" s="1">
        <v>2003</v>
      </c>
      <c r="H2170" s="1" t="s">
        <v>11</v>
      </c>
      <c r="I2170" s="6" cm="1">
        <f t="array" ref="I2170">GetLatitude(D2170)</f>
        <v>556458895</v>
      </c>
      <c r="J2170" s="1" cm="1">
        <f t="array" ref="J2170">GetLongitude(D2170)</f>
        <v>126099119</v>
      </c>
      <c r="K2170" s="1">
        <f t="shared" si="100"/>
        <v>55.645889500000003</v>
      </c>
      <c r="L2170" s="1">
        <f t="shared" si="101"/>
        <v>12.6099119</v>
      </c>
    </row>
    <row r="2171" spans="1:12" ht="16" x14ac:dyDescent="0.2">
      <c r="A2171" s="1">
        <v>2170</v>
      </c>
      <c r="B2171" s="1" t="s">
        <v>3980</v>
      </c>
      <c r="C2171" s="1" t="s">
        <v>6515</v>
      </c>
      <c r="D2171" s="1" t="str">
        <f t="shared" si="99"/>
        <v>København KommuneSundevedsgade 4</v>
      </c>
      <c r="E2171" s="1" t="s">
        <v>6516</v>
      </c>
      <c r="F2171" s="1" t="s">
        <v>6517</v>
      </c>
      <c r="G2171" s="1">
        <v>1987</v>
      </c>
      <c r="H2171" s="1" t="s">
        <v>15</v>
      </c>
      <c r="I2171" s="6" cm="1">
        <f t="array" ref="I2171">GetLatitude(D2171)</f>
        <v>556707340</v>
      </c>
      <c r="J2171" s="1" cm="1">
        <f t="array" ref="J2171">GetLongitude(D2171)</f>
        <v>125439110</v>
      </c>
      <c r="K2171" s="1">
        <f t="shared" si="100"/>
        <v>55.670734000000003</v>
      </c>
      <c r="L2171" s="1">
        <f t="shared" si="101"/>
        <v>12.543911</v>
      </c>
    </row>
    <row r="2172" spans="1:12" ht="16" x14ac:dyDescent="0.2">
      <c r="A2172" s="1">
        <v>2171</v>
      </c>
      <c r="B2172" s="1" t="s">
        <v>3980</v>
      </c>
      <c r="C2172" s="1" t="s">
        <v>6518</v>
      </c>
      <c r="D2172" s="1" t="str">
        <f t="shared" si="99"/>
        <v>København KommuneSværtegade 3</v>
      </c>
      <c r="E2172" s="1" t="s">
        <v>6519</v>
      </c>
      <c r="F2172" s="1" t="s">
        <v>6520</v>
      </c>
      <c r="G2172" s="1">
        <v>1950</v>
      </c>
      <c r="H2172" s="1" t="s">
        <v>2888</v>
      </c>
      <c r="I2172" s="6" cm="1">
        <f t="array" ref="I2172">GetLatitude(D2172)</f>
        <v>556811087</v>
      </c>
      <c r="J2172" s="1" cm="1">
        <f t="array" ref="J2172">GetLongitude(D2172)</f>
        <v>125803961</v>
      </c>
      <c r="K2172" s="1">
        <f t="shared" si="100"/>
        <v>55.681108700000003</v>
      </c>
      <c r="L2172" s="1">
        <f t="shared" si="101"/>
        <v>12.5803961</v>
      </c>
    </row>
    <row r="2173" spans="1:12" ht="16" x14ac:dyDescent="0.2">
      <c r="A2173" s="1">
        <v>2172</v>
      </c>
      <c r="B2173" s="1" t="s">
        <v>3980</v>
      </c>
      <c r="C2173" s="1" t="s">
        <v>6521</v>
      </c>
      <c r="D2173" s="1" t="str">
        <f t="shared" si="99"/>
        <v>København KommuneSværtegade 5</v>
      </c>
      <c r="E2173" s="1" t="s">
        <v>6522</v>
      </c>
      <c r="F2173" s="1" t="s">
        <v>6523</v>
      </c>
      <c r="G2173" s="1">
        <v>1959</v>
      </c>
      <c r="H2173" s="1" t="s">
        <v>1483</v>
      </c>
      <c r="I2173" s="6" cm="1">
        <f t="array" ref="I2173">GetLatitude(D2173)</f>
        <v>556811377</v>
      </c>
      <c r="J2173" s="1" cm="1">
        <f t="array" ref="J2173">GetLongitude(D2173)</f>
        <v>125805415</v>
      </c>
      <c r="K2173" s="1">
        <f t="shared" si="100"/>
        <v>55.681137700000001</v>
      </c>
      <c r="L2173" s="1">
        <f t="shared" si="101"/>
        <v>12.580541500000001</v>
      </c>
    </row>
    <row r="2174" spans="1:12" ht="16" x14ac:dyDescent="0.2">
      <c r="A2174" s="1">
        <v>2173</v>
      </c>
      <c r="B2174" s="1" t="s">
        <v>3980</v>
      </c>
      <c r="C2174" s="1" t="s">
        <v>6524</v>
      </c>
      <c r="D2174" s="1" t="str">
        <f t="shared" si="99"/>
        <v>København KommuneSværtegade 7</v>
      </c>
      <c r="E2174" s="1" t="s">
        <v>6525</v>
      </c>
      <c r="F2174" s="1" t="s">
        <v>6526</v>
      </c>
      <c r="G2174" s="1">
        <v>1950</v>
      </c>
      <c r="H2174" s="1" t="s">
        <v>11</v>
      </c>
      <c r="I2174" s="6" cm="1">
        <f t="array" ref="I2174">GetLatitude(D2174)</f>
        <v>556812022</v>
      </c>
      <c r="J2174" s="1" cm="1">
        <f t="array" ref="J2174">GetLongitude(D2174)</f>
        <v>125807696</v>
      </c>
      <c r="K2174" s="1">
        <f t="shared" si="100"/>
        <v>55.681202200000001</v>
      </c>
      <c r="L2174" s="1">
        <f t="shared" si="101"/>
        <v>12.5807696</v>
      </c>
    </row>
    <row r="2175" spans="1:12" ht="16" x14ac:dyDescent="0.2">
      <c r="A2175" s="1">
        <v>2174</v>
      </c>
      <c r="B2175" s="1" t="s">
        <v>3980</v>
      </c>
      <c r="C2175" s="1" t="s">
        <v>6527</v>
      </c>
      <c r="D2175" s="1" t="str">
        <f t="shared" si="99"/>
        <v>København KommuneSværtegade 9</v>
      </c>
      <c r="E2175" s="1" t="s">
        <v>6528</v>
      </c>
      <c r="F2175" s="1" t="s">
        <v>6529</v>
      </c>
      <c r="G2175" s="1">
        <v>1985</v>
      </c>
      <c r="H2175" s="1" t="s">
        <v>11</v>
      </c>
      <c r="I2175" s="6" cm="1">
        <f t="array" ref="I2175">GetLatitude(D2175)</f>
        <v>556812195</v>
      </c>
      <c r="J2175" s="1" cm="1">
        <f t="array" ref="J2175">GetLongitude(D2175)</f>
        <v>125808683</v>
      </c>
      <c r="K2175" s="1">
        <f t="shared" si="100"/>
        <v>55.681219499999997</v>
      </c>
      <c r="L2175" s="1">
        <f t="shared" si="101"/>
        <v>12.580868300000001</v>
      </c>
    </row>
    <row r="2176" spans="1:12" ht="16" x14ac:dyDescent="0.2">
      <c r="A2176" s="1">
        <v>2175</v>
      </c>
      <c r="B2176" s="1" t="s">
        <v>3980</v>
      </c>
      <c r="C2176" s="1" t="s">
        <v>6530</v>
      </c>
      <c r="D2176" s="1" t="str">
        <f t="shared" si="99"/>
        <v>København KommuneSyddyssen 9</v>
      </c>
      <c r="E2176" s="1" t="s">
        <v>6531</v>
      </c>
      <c r="F2176" s="1" t="s">
        <v>6532</v>
      </c>
      <c r="G2176" s="1">
        <v>2007</v>
      </c>
      <c r="H2176" s="1" t="s">
        <v>15</v>
      </c>
      <c r="I2176" s="6" cm="1">
        <f t="array" ref="I2176">GetLatitude(D2176)</f>
        <v>556715663</v>
      </c>
      <c r="J2176" s="1" cm="1">
        <f t="array" ref="J2176">GetLongitude(D2176)</f>
        <v>126038944</v>
      </c>
      <c r="K2176" s="1">
        <f t="shared" si="100"/>
        <v>55.671566300000002</v>
      </c>
      <c r="L2176" s="1">
        <f t="shared" si="101"/>
        <v>12.6038944</v>
      </c>
    </row>
    <row r="2177" spans="1:12" ht="16" x14ac:dyDescent="0.2">
      <c r="A2177" s="1">
        <v>2176</v>
      </c>
      <c r="B2177" s="1" t="s">
        <v>3980</v>
      </c>
      <c r="C2177" s="1" t="s">
        <v>6533</v>
      </c>
      <c r="D2177" s="1" t="str">
        <f t="shared" si="99"/>
        <v>København KommuneSydområdet 4 A, Christiania</v>
      </c>
      <c r="E2177" s="1" t="s">
        <v>6534</v>
      </c>
      <c r="F2177" s="1" t="s">
        <v>6535</v>
      </c>
      <c r="G2177" s="1">
        <v>2008</v>
      </c>
      <c r="H2177" s="1" t="s">
        <v>11</v>
      </c>
      <c r="I2177" s="6" cm="1">
        <f t="array" ref="I2177">GetLatitude(D2177)</f>
        <v>556740202</v>
      </c>
      <c r="J2177" s="1" cm="1">
        <f t="array" ref="J2177">GetLongitude(D2177)</f>
        <v>125973657</v>
      </c>
      <c r="K2177" s="1">
        <f t="shared" si="100"/>
        <v>55.674020200000001</v>
      </c>
      <c r="L2177" s="1">
        <f t="shared" si="101"/>
        <v>12.597365699999999</v>
      </c>
    </row>
    <row r="2178" spans="1:12" ht="16" x14ac:dyDescent="0.2">
      <c r="A2178" s="1">
        <v>2177</v>
      </c>
      <c r="B2178" s="1" t="s">
        <v>3980</v>
      </c>
      <c r="C2178" s="1" t="s">
        <v>6536</v>
      </c>
      <c r="D2178" s="1" t="str">
        <f t="shared" si="99"/>
        <v>København KommuneSølvgade 16</v>
      </c>
      <c r="E2178" s="1" t="s">
        <v>6537</v>
      </c>
      <c r="F2178" s="1" t="s">
        <v>6538</v>
      </c>
      <c r="G2178" s="1">
        <v>1982</v>
      </c>
      <c r="H2178" s="1" t="s">
        <v>6539</v>
      </c>
      <c r="I2178" s="6" cm="1">
        <f t="array" ref="I2178">GetLatitude(D2178)</f>
        <v>556865116</v>
      </c>
      <c r="J2178" s="1" cm="1">
        <f t="array" ref="J2178">GetLongitude(D2178)</f>
        <v>125833476</v>
      </c>
      <c r="K2178" s="1">
        <f t="shared" si="100"/>
        <v>55.686511600000003</v>
      </c>
      <c r="L2178" s="1">
        <f t="shared" si="101"/>
        <v>12.5833476</v>
      </c>
    </row>
    <row r="2179" spans="1:12" ht="16" x14ac:dyDescent="0.2">
      <c r="A2179" s="1">
        <v>2178</v>
      </c>
      <c r="B2179" s="1" t="s">
        <v>3980</v>
      </c>
      <c r="C2179" s="1" t="s">
        <v>6540</v>
      </c>
      <c r="D2179" s="1" t="str">
        <f t="shared" ref="D2179:D2242" si="102">B2179&amp;C2179</f>
        <v>København KommuneSølvgade 20</v>
      </c>
      <c r="E2179" s="1" t="s">
        <v>6541</v>
      </c>
      <c r="F2179" s="1" t="s">
        <v>6542</v>
      </c>
      <c r="G2179" s="1">
        <v>1977</v>
      </c>
      <c r="H2179" s="1" t="s">
        <v>11</v>
      </c>
      <c r="I2179" s="6" cm="1">
        <f t="array" ref="I2179">GetLatitude(D2179)</f>
        <v>556864685</v>
      </c>
      <c r="J2179" s="1" cm="1">
        <f t="array" ref="J2179">GetLongitude(D2179)</f>
        <v>125827021</v>
      </c>
      <c r="K2179" s="1">
        <f t="shared" si="100"/>
        <v>55.686468499999997</v>
      </c>
      <c r="L2179" s="1">
        <f t="shared" si="101"/>
        <v>12.582702100000001</v>
      </c>
    </row>
    <row r="2180" spans="1:12" ht="16" x14ac:dyDescent="0.2">
      <c r="A2180" s="1">
        <v>2179</v>
      </c>
      <c r="B2180" s="1" t="s">
        <v>3980</v>
      </c>
      <c r="C2180" s="1" t="s">
        <v>6543</v>
      </c>
      <c r="D2180" s="1" t="str">
        <f t="shared" si="102"/>
        <v>København KommuneSølvgade 22</v>
      </c>
      <c r="E2180" s="1" t="s">
        <v>6544</v>
      </c>
      <c r="F2180" s="1" t="s">
        <v>6545</v>
      </c>
      <c r="G2180" s="1">
        <v>1977</v>
      </c>
      <c r="H2180" s="1" t="s">
        <v>11</v>
      </c>
      <c r="I2180" s="6" cm="1">
        <f t="array" ref="I2180">GetLatitude(D2180)</f>
        <v>556865365</v>
      </c>
      <c r="J2180" s="1" cm="1">
        <f t="array" ref="J2180">GetLongitude(D2180)</f>
        <v>125824717</v>
      </c>
      <c r="K2180" s="1">
        <f t="shared" ref="K2180:K2243" si="103">I2180/10000000</f>
        <v>55.686536500000003</v>
      </c>
      <c r="L2180" s="1">
        <f t="shared" ref="L2180:L2243" si="104">J2180/10000000</f>
        <v>12.582471699999999</v>
      </c>
    </row>
    <row r="2181" spans="1:12" ht="16" x14ac:dyDescent="0.2">
      <c r="A2181" s="1">
        <v>2180</v>
      </c>
      <c r="B2181" s="1" t="s">
        <v>3980</v>
      </c>
      <c r="C2181" s="1" t="s">
        <v>6546</v>
      </c>
      <c r="D2181" s="1" t="str">
        <f t="shared" si="102"/>
        <v>København KommuneSølvgade 30</v>
      </c>
      <c r="E2181" s="1" t="s">
        <v>6547</v>
      </c>
      <c r="F2181" s="1" t="s">
        <v>6548</v>
      </c>
      <c r="G2181" s="1">
        <v>1993</v>
      </c>
      <c r="H2181" s="1" t="s">
        <v>11</v>
      </c>
      <c r="I2181" s="6" cm="1">
        <f t="array" ref="I2181">GetLatitude(D2181)</f>
        <v>556868144</v>
      </c>
      <c r="J2181" s="1" cm="1">
        <f t="array" ref="J2181">GetLongitude(D2181)</f>
        <v>125812743</v>
      </c>
      <c r="K2181" s="1">
        <f t="shared" si="103"/>
        <v>55.686814400000003</v>
      </c>
      <c r="L2181" s="1">
        <f t="shared" si="104"/>
        <v>12.5812743</v>
      </c>
    </row>
    <row r="2182" spans="1:12" ht="16" x14ac:dyDescent="0.2">
      <c r="A2182" s="1">
        <v>2181</v>
      </c>
      <c r="B2182" s="1" t="s">
        <v>3980</v>
      </c>
      <c r="C2182" s="1" t="s">
        <v>6549</v>
      </c>
      <c r="D2182" s="1" t="str">
        <f t="shared" si="102"/>
        <v>København KommuneSølvgade 34</v>
      </c>
      <c r="E2182" s="1" t="s">
        <v>6550</v>
      </c>
      <c r="F2182" s="1" t="s">
        <v>6551</v>
      </c>
      <c r="G2182" s="1">
        <v>1964</v>
      </c>
      <c r="H2182" s="1" t="s">
        <v>11</v>
      </c>
      <c r="I2182" s="6" cm="1">
        <f t="array" ref="I2182">GetLatitude(D2182)</f>
        <v>556868936</v>
      </c>
      <c r="J2182" s="1" cm="1">
        <f t="array" ref="J2182">GetLongitude(D2182)</f>
        <v>125810113</v>
      </c>
      <c r="K2182" s="1">
        <f t="shared" si="103"/>
        <v>55.686893599999998</v>
      </c>
      <c r="L2182" s="1">
        <f t="shared" si="104"/>
        <v>12.5810113</v>
      </c>
    </row>
    <row r="2183" spans="1:12" ht="16" x14ac:dyDescent="0.2">
      <c r="A2183" s="1">
        <v>2182</v>
      </c>
      <c r="B2183" s="1" t="s">
        <v>3980</v>
      </c>
      <c r="C2183" s="1" t="s">
        <v>6552</v>
      </c>
      <c r="D2183" s="1" t="str">
        <f t="shared" si="102"/>
        <v>København KommuneSølvgade 38 og 38 A</v>
      </c>
      <c r="E2183" s="1" t="s">
        <v>6553</v>
      </c>
      <c r="F2183" s="1" t="s">
        <v>6554</v>
      </c>
      <c r="G2183" s="1">
        <v>1918</v>
      </c>
      <c r="H2183" s="1" t="s">
        <v>11</v>
      </c>
      <c r="I2183" s="6" cm="1">
        <f t="array" ref="I2183">GetLatitude(D2183)</f>
        <v>556875168</v>
      </c>
      <c r="J2183" s="1" cm="1">
        <f t="array" ref="J2183">GetLongitude(D2183)</f>
        <v>125811002</v>
      </c>
      <c r="K2183" s="1">
        <f t="shared" si="103"/>
        <v>55.687516799999997</v>
      </c>
      <c r="L2183" s="1">
        <f t="shared" si="104"/>
        <v>12.5811002</v>
      </c>
    </row>
    <row r="2184" spans="1:12" ht="16" x14ac:dyDescent="0.2">
      <c r="A2184" s="1">
        <v>2183</v>
      </c>
      <c r="B2184" s="1" t="s">
        <v>3980</v>
      </c>
      <c r="C2184" s="1" t="s">
        <v>6555</v>
      </c>
      <c r="D2184" s="1" t="str">
        <f t="shared" si="102"/>
        <v>København KommuneSøtorvet 1-3, hj af Vendersgade og Frederiksborggade</v>
      </c>
      <c r="E2184" s="1" t="s">
        <v>6556</v>
      </c>
      <c r="F2184" s="1" t="s">
        <v>6557</v>
      </c>
      <c r="G2184" s="1">
        <v>1978</v>
      </c>
      <c r="H2184" s="1" t="s">
        <v>11</v>
      </c>
      <c r="I2184" s="6" cm="1">
        <f t="array" ref="I2184">GetLatitude(D2184)</f>
        <v>556841931</v>
      </c>
      <c r="J2184" s="1" cm="1">
        <f t="array" ref="J2184">GetLongitude(D2184)</f>
        <v>125674401</v>
      </c>
      <c r="K2184" s="1">
        <f t="shared" si="103"/>
        <v>55.684193100000002</v>
      </c>
      <c r="L2184" s="1">
        <f t="shared" si="104"/>
        <v>12.567440100000001</v>
      </c>
    </row>
    <row r="2185" spans="1:12" ht="16" x14ac:dyDescent="0.2">
      <c r="A2185" s="1">
        <v>2184</v>
      </c>
      <c r="B2185" s="1" t="s">
        <v>3980</v>
      </c>
      <c r="C2185" s="1" t="s">
        <v>6558</v>
      </c>
      <c r="D2185" s="1" t="str">
        <f t="shared" si="102"/>
        <v>København KommuneSøtorvet 2, hjørnerne af Gothersgade og Frederiksborggade</v>
      </c>
      <c r="E2185" s="1" t="s">
        <v>6559</v>
      </c>
      <c r="F2185" s="1" t="s">
        <v>6560</v>
      </c>
      <c r="G2185" s="1">
        <v>1979</v>
      </c>
      <c r="H2185" s="1" t="s">
        <v>11</v>
      </c>
      <c r="I2185" s="6" cm="1">
        <f t="array" ref="I2185">GetLatitude(D2185)</f>
        <v>556862730</v>
      </c>
      <c r="J2185" s="1" cm="1">
        <f t="array" ref="J2185">GetLongitude(D2185)</f>
        <v>125658980</v>
      </c>
      <c r="K2185" s="1">
        <f t="shared" si="103"/>
        <v>55.686273</v>
      </c>
      <c r="L2185" s="1">
        <f t="shared" si="104"/>
        <v>12.565898000000001</v>
      </c>
    </row>
    <row r="2186" spans="1:12" ht="16" x14ac:dyDescent="0.2">
      <c r="A2186" s="1">
        <v>2185</v>
      </c>
      <c r="B2186" s="1" t="s">
        <v>3980</v>
      </c>
      <c r="C2186" s="1" t="s">
        <v>6561</v>
      </c>
      <c r="D2186" s="1" t="str">
        <f t="shared" si="102"/>
        <v>København KommuneSøtorvet 5, hj af Vendersgade</v>
      </c>
      <c r="E2186" s="1" t="s">
        <v>6562</v>
      </c>
      <c r="F2186" s="1" t="s">
        <v>6563</v>
      </c>
      <c r="G2186" s="1">
        <v>1978</v>
      </c>
      <c r="H2186" s="1" t="s">
        <v>11</v>
      </c>
      <c r="I2186" s="6" cm="1">
        <f t="array" ref="I2186">GetLatitude(D2186)</f>
        <v>556852943</v>
      </c>
      <c r="J2186" s="1" cm="1">
        <f t="array" ref="J2186">GetLongitude(D2186)</f>
        <v>125647154</v>
      </c>
      <c r="K2186" s="1">
        <f t="shared" si="103"/>
        <v>55.685294300000002</v>
      </c>
      <c r="L2186" s="1">
        <f t="shared" si="104"/>
        <v>12.564715400000001</v>
      </c>
    </row>
    <row r="2187" spans="1:12" ht="16" x14ac:dyDescent="0.2">
      <c r="A2187" s="1">
        <v>2186</v>
      </c>
      <c r="B2187" s="1" t="s">
        <v>3980</v>
      </c>
      <c r="C2187" s="1" t="s">
        <v>6564</v>
      </c>
      <c r="D2187" s="1" t="str">
        <f t="shared" si="102"/>
        <v>København KommuneTagensvej 83 B-F</v>
      </c>
      <c r="E2187" s="1" t="s">
        <v>6565</v>
      </c>
      <c r="F2187" s="1" t="s">
        <v>6566</v>
      </c>
      <c r="G2187" s="1">
        <v>1990</v>
      </c>
      <c r="H2187" s="1" t="s">
        <v>11</v>
      </c>
      <c r="I2187" s="6" cm="1">
        <f t="array" ref="I2187">GetLatitude(D2187)</f>
        <v>556760968</v>
      </c>
      <c r="J2187" s="1" cm="1">
        <f t="array" ref="J2187">GetLongitude(D2187)</f>
        <v>125683371</v>
      </c>
      <c r="K2187" s="1">
        <f t="shared" si="103"/>
        <v>55.676096800000003</v>
      </c>
      <c r="L2187" s="1">
        <f t="shared" si="104"/>
        <v>12.568337100000001</v>
      </c>
    </row>
    <row r="2188" spans="1:12" ht="16" x14ac:dyDescent="0.2">
      <c r="A2188" s="1">
        <v>2187</v>
      </c>
      <c r="B2188" s="1" t="s">
        <v>3980</v>
      </c>
      <c r="C2188" s="1" t="s">
        <v>6567</v>
      </c>
      <c r="D2188" s="1" t="str">
        <f t="shared" si="102"/>
        <v>København KommuneTagensvej 85 C-F</v>
      </c>
      <c r="E2188" s="1" t="s">
        <v>6568</v>
      </c>
      <c r="F2188" s="1" t="s">
        <v>6569</v>
      </c>
      <c r="G2188" s="1">
        <v>1990</v>
      </c>
      <c r="H2188" s="1" t="s">
        <v>11</v>
      </c>
      <c r="I2188" s="6" cm="1">
        <f t="array" ref="I2188">GetLatitude(D2188)</f>
        <v>556760968</v>
      </c>
      <c r="J2188" s="1" cm="1">
        <f t="array" ref="J2188">GetLongitude(D2188)</f>
        <v>125683371</v>
      </c>
      <c r="K2188" s="1">
        <f t="shared" si="103"/>
        <v>55.676096800000003</v>
      </c>
      <c r="L2188" s="1">
        <f t="shared" si="104"/>
        <v>12.568337100000001</v>
      </c>
    </row>
    <row r="2189" spans="1:12" ht="16" x14ac:dyDescent="0.2">
      <c r="A2189" s="1">
        <v>2188</v>
      </c>
      <c r="B2189" s="1" t="s">
        <v>3980</v>
      </c>
      <c r="C2189" s="1" t="s">
        <v>6570</v>
      </c>
      <c r="D2189" s="1" t="str">
        <f t="shared" si="102"/>
        <v>København KommuneTeglgårdsstræde 12</v>
      </c>
      <c r="E2189" s="1" t="s">
        <v>6571</v>
      </c>
      <c r="F2189" s="1" t="s">
        <v>6572</v>
      </c>
      <c r="G2189" s="1">
        <v>1972</v>
      </c>
      <c r="H2189" s="1" t="s">
        <v>11</v>
      </c>
      <c r="I2189" s="6" cm="1">
        <f t="array" ref="I2189">GetLatitude(D2189)</f>
        <v>556797692</v>
      </c>
      <c r="J2189" s="1" cm="1">
        <f t="array" ref="J2189">GetLongitude(D2189)</f>
        <v>125682498</v>
      </c>
      <c r="K2189" s="1">
        <f t="shared" si="103"/>
        <v>55.679769200000003</v>
      </c>
      <c r="L2189" s="1">
        <f t="shared" si="104"/>
        <v>12.5682498</v>
      </c>
    </row>
    <row r="2190" spans="1:12" ht="16" x14ac:dyDescent="0.2">
      <c r="A2190" s="1">
        <v>2189</v>
      </c>
      <c r="B2190" s="1" t="s">
        <v>3980</v>
      </c>
      <c r="C2190" s="1" t="s">
        <v>6573</v>
      </c>
      <c r="D2190" s="1" t="str">
        <f t="shared" si="102"/>
        <v>København KommuneTeglgårdsstræde 16 og 16A</v>
      </c>
      <c r="E2190" s="1" t="s">
        <v>6574</v>
      </c>
      <c r="F2190" s="1" t="s">
        <v>6575</v>
      </c>
      <c r="G2190" s="1">
        <v>1985</v>
      </c>
      <c r="H2190" s="1" t="s">
        <v>11</v>
      </c>
      <c r="I2190" s="6" cm="1">
        <f t="array" ref="I2190">GetLatitude(D2190)</f>
        <v>556799523</v>
      </c>
      <c r="J2190" s="1" cm="1">
        <f t="array" ref="J2190">GetLongitude(D2190)</f>
        <v>125681693</v>
      </c>
      <c r="K2190" s="1">
        <f t="shared" si="103"/>
        <v>55.679952299999997</v>
      </c>
      <c r="L2190" s="1">
        <f t="shared" si="104"/>
        <v>12.568169299999999</v>
      </c>
    </row>
    <row r="2191" spans="1:12" ht="16" x14ac:dyDescent="0.2">
      <c r="A2191" s="1">
        <v>2190</v>
      </c>
      <c r="B2191" s="1" t="s">
        <v>3980</v>
      </c>
      <c r="C2191" s="1" t="s">
        <v>6576</v>
      </c>
      <c r="D2191" s="1" t="str">
        <f t="shared" si="102"/>
        <v>København KommuneTeglgårdsstræde 5-7</v>
      </c>
      <c r="E2191" s="1" t="s">
        <v>6577</v>
      </c>
      <c r="F2191" s="1" t="s">
        <v>6578</v>
      </c>
      <c r="G2191" s="1">
        <v>1959</v>
      </c>
      <c r="H2191" s="1" t="s">
        <v>11</v>
      </c>
      <c r="I2191" s="6" cm="1">
        <f t="array" ref="I2191">GetLatitude(D2191)</f>
        <v>556793167</v>
      </c>
      <c r="J2191" s="1" cm="1">
        <f t="array" ref="J2191">GetLongitude(D2191)</f>
        <v>125683618</v>
      </c>
      <c r="K2191" s="1">
        <f t="shared" si="103"/>
        <v>55.679316700000001</v>
      </c>
      <c r="L2191" s="1">
        <f t="shared" si="104"/>
        <v>12.5683618</v>
      </c>
    </row>
    <row r="2192" spans="1:12" ht="16" x14ac:dyDescent="0.2">
      <c r="A2192" s="1">
        <v>2191</v>
      </c>
      <c r="B2192" s="1" t="s">
        <v>3980</v>
      </c>
      <c r="C2192" s="1" t="s">
        <v>6579</v>
      </c>
      <c r="D2192" s="1" t="str">
        <f t="shared" si="102"/>
        <v>København KommuneToldbodgade 12</v>
      </c>
      <c r="E2192" s="1" t="s">
        <v>6580</v>
      </c>
      <c r="F2192" s="1" t="s">
        <v>6581</v>
      </c>
      <c r="G2192" s="1">
        <v>1959</v>
      </c>
      <c r="H2192" s="1" t="s">
        <v>11</v>
      </c>
      <c r="I2192" s="6" cm="1">
        <f t="array" ref="I2192">GetLatitude(D2192)</f>
        <v>556804346</v>
      </c>
      <c r="J2192" s="1" cm="1">
        <f t="array" ref="J2192">GetLongitude(D2192)</f>
        <v>125921750</v>
      </c>
      <c r="K2192" s="1">
        <f t="shared" si="103"/>
        <v>55.680434599999998</v>
      </c>
      <c r="L2192" s="1">
        <f t="shared" si="104"/>
        <v>12.592174999999999</v>
      </c>
    </row>
    <row r="2193" spans="1:12" ht="16" x14ac:dyDescent="0.2">
      <c r="A2193" s="1">
        <v>2192</v>
      </c>
      <c r="B2193" s="1" t="s">
        <v>3980</v>
      </c>
      <c r="C2193" s="1" t="s">
        <v>6582</v>
      </c>
      <c r="D2193" s="1" t="str">
        <f t="shared" si="102"/>
        <v>København KommuneToldbodgade 24-28</v>
      </c>
      <c r="E2193" s="1" t="s">
        <v>6583</v>
      </c>
      <c r="F2193" s="1" t="s">
        <v>6584</v>
      </c>
      <c r="G2193" s="1">
        <v>1959</v>
      </c>
      <c r="H2193" s="1" t="s">
        <v>11</v>
      </c>
      <c r="I2193" s="6" cm="1">
        <f t="array" ref="I2193">GetLatitude(D2193)</f>
        <v>556818883</v>
      </c>
      <c r="J2193" s="1" cm="1">
        <f t="array" ref="J2193">GetLongitude(D2193)</f>
        <v>125938884</v>
      </c>
      <c r="K2193" s="1">
        <f t="shared" si="103"/>
        <v>55.681888299999997</v>
      </c>
      <c r="L2193" s="1">
        <f t="shared" si="104"/>
        <v>12.593888400000001</v>
      </c>
    </row>
    <row r="2194" spans="1:12" ht="16" x14ac:dyDescent="0.2">
      <c r="A2194" s="1">
        <v>2193</v>
      </c>
      <c r="B2194" s="1" t="s">
        <v>3980</v>
      </c>
      <c r="C2194" s="1" t="s">
        <v>6585</v>
      </c>
      <c r="D2194" s="1" t="str">
        <f t="shared" si="102"/>
        <v>København KommuneToldbodgade 36 A og B</v>
      </c>
      <c r="E2194" s="1" t="s">
        <v>6586</v>
      </c>
      <c r="F2194" s="1" t="s">
        <v>6587</v>
      </c>
      <c r="G2194" s="1">
        <v>1946</v>
      </c>
      <c r="H2194" s="1" t="s">
        <v>11</v>
      </c>
      <c r="I2194" s="6" cm="1">
        <f t="array" ref="I2194">GetLatitude(D2194)</f>
        <v>556849650</v>
      </c>
      <c r="J2194" s="1" cm="1">
        <f t="array" ref="J2194">GetLongitude(D2194)</f>
        <v>125962099</v>
      </c>
      <c r="K2194" s="1">
        <f t="shared" si="103"/>
        <v>55.684964999999998</v>
      </c>
      <c r="L2194" s="1">
        <f t="shared" si="104"/>
        <v>12.5962099</v>
      </c>
    </row>
    <row r="2195" spans="1:12" ht="16" x14ac:dyDescent="0.2">
      <c r="A2195" s="1">
        <v>2194</v>
      </c>
      <c r="B2195" s="1" t="s">
        <v>3980</v>
      </c>
      <c r="C2195" s="1" t="s">
        <v>6588</v>
      </c>
      <c r="D2195" s="1" t="str">
        <f t="shared" si="102"/>
        <v>København KommuneToldbodgade 38</v>
      </c>
      <c r="E2195" s="1" t="s">
        <v>6589</v>
      </c>
      <c r="F2195" s="1" t="s">
        <v>6590</v>
      </c>
      <c r="G2195" s="1">
        <v>1944</v>
      </c>
      <c r="H2195" s="1" t="s">
        <v>15</v>
      </c>
      <c r="I2195" s="6" cm="1">
        <f t="array" ref="I2195">GetLatitude(D2195)</f>
        <v>556855695</v>
      </c>
      <c r="J2195" s="1" cm="1">
        <f t="array" ref="J2195">GetLongitude(D2195)</f>
        <v>125969405</v>
      </c>
      <c r="K2195" s="1">
        <f t="shared" si="103"/>
        <v>55.6855695</v>
      </c>
      <c r="L2195" s="1">
        <f t="shared" si="104"/>
        <v>12.596940500000001</v>
      </c>
    </row>
    <row r="2196" spans="1:12" ht="16" x14ac:dyDescent="0.2">
      <c r="A2196" s="1">
        <v>2195</v>
      </c>
      <c r="B2196" s="1" t="s">
        <v>3980</v>
      </c>
      <c r="C2196" s="1" t="s">
        <v>6591</v>
      </c>
      <c r="D2196" s="1" t="str">
        <f t="shared" si="102"/>
        <v>København KommuneToldbodgade 40</v>
      </c>
      <c r="E2196" s="1" t="s">
        <v>6592</v>
      </c>
      <c r="F2196" s="1" t="s">
        <v>6593</v>
      </c>
      <c r="G2196" s="1">
        <v>1944</v>
      </c>
      <c r="H2196" s="1" t="s">
        <v>11</v>
      </c>
      <c r="I2196" s="6" cm="1">
        <f t="array" ref="I2196">GetLatitude(D2196)</f>
        <v>556861254</v>
      </c>
      <c r="J2196" s="1" cm="1">
        <f t="array" ref="J2196">GetLongitude(D2196)</f>
        <v>125972371</v>
      </c>
      <c r="K2196" s="1">
        <f t="shared" si="103"/>
        <v>55.686125400000002</v>
      </c>
      <c r="L2196" s="1">
        <f t="shared" si="104"/>
        <v>12.597237099999999</v>
      </c>
    </row>
    <row r="2197" spans="1:12" ht="16" x14ac:dyDescent="0.2">
      <c r="A2197" s="1">
        <v>2196</v>
      </c>
      <c r="B2197" s="1" t="s">
        <v>3980</v>
      </c>
      <c r="C2197" s="1" t="s">
        <v>6594</v>
      </c>
      <c r="D2197" s="1" t="str">
        <f t="shared" si="102"/>
        <v>København KommuneToldbodgade 5</v>
      </c>
      <c r="E2197" s="1" t="s">
        <v>6595</v>
      </c>
      <c r="F2197" s="1" t="s">
        <v>6596</v>
      </c>
      <c r="G2197" s="1">
        <v>1977</v>
      </c>
      <c r="H2197" s="1" t="s">
        <v>4589</v>
      </c>
      <c r="I2197" s="6" cm="1">
        <f t="array" ref="I2197">GetLatitude(D2197)</f>
        <v>556800887</v>
      </c>
      <c r="J2197" s="1" cm="1">
        <f t="array" ref="J2197">GetLongitude(D2197)</f>
        <v>125914796</v>
      </c>
      <c r="K2197" s="1">
        <f t="shared" si="103"/>
        <v>55.680088699999999</v>
      </c>
      <c r="L2197" s="1">
        <f t="shared" si="104"/>
        <v>12.5914796</v>
      </c>
    </row>
    <row r="2198" spans="1:12" ht="16" x14ac:dyDescent="0.2">
      <c r="A2198" s="1">
        <v>2197</v>
      </c>
      <c r="B2198" s="1" t="s">
        <v>3980</v>
      </c>
      <c r="C2198" s="1" t="s">
        <v>6597</v>
      </c>
      <c r="D2198" s="1" t="str">
        <f t="shared" si="102"/>
        <v>København KommuneToldbodgade 7</v>
      </c>
      <c r="E2198" s="1" t="s">
        <v>6598</v>
      </c>
      <c r="F2198" s="1" t="s">
        <v>6599</v>
      </c>
      <c r="G2198" s="1">
        <v>1977</v>
      </c>
      <c r="H2198" s="1" t="s">
        <v>2859</v>
      </c>
      <c r="I2198" s="6" cm="1">
        <f t="array" ref="I2198">GetLatitude(D2198)</f>
        <v>556801727</v>
      </c>
      <c r="J2198" s="1" cm="1">
        <f t="array" ref="J2198">GetLongitude(D2198)</f>
        <v>125915199</v>
      </c>
      <c r="K2198" s="1">
        <f t="shared" si="103"/>
        <v>55.6801727</v>
      </c>
      <c r="L2198" s="1">
        <f t="shared" si="104"/>
        <v>12.5915199</v>
      </c>
    </row>
    <row r="2199" spans="1:12" ht="16" x14ac:dyDescent="0.2">
      <c r="A2199" s="1">
        <v>2198</v>
      </c>
      <c r="B2199" s="1" t="s">
        <v>3980</v>
      </c>
      <c r="C2199" s="1" t="s">
        <v>6600</v>
      </c>
      <c r="D2199" s="1" t="str">
        <f t="shared" si="102"/>
        <v>København KommuneToldbodgade 71</v>
      </c>
      <c r="E2199" s="1" t="s">
        <v>6601</v>
      </c>
      <c r="F2199" s="1" t="s">
        <v>6602</v>
      </c>
      <c r="G2199" s="1">
        <v>1978</v>
      </c>
      <c r="H2199" s="1" t="s">
        <v>6603</v>
      </c>
      <c r="I2199" s="6" cm="1">
        <f t="array" ref="I2199">GetLatitude(D2199)</f>
        <v>556861058</v>
      </c>
      <c r="J2199" s="1" cm="1">
        <f t="array" ref="J2199">GetLongitude(D2199)</f>
        <v>125963561</v>
      </c>
      <c r="K2199" s="1">
        <f t="shared" si="103"/>
        <v>55.6861058</v>
      </c>
      <c r="L2199" s="1">
        <f t="shared" si="104"/>
        <v>12.5963561</v>
      </c>
    </row>
    <row r="2200" spans="1:12" ht="16" x14ac:dyDescent="0.2">
      <c r="A2200" s="1">
        <v>2199</v>
      </c>
      <c r="B2200" s="1" t="s">
        <v>3980</v>
      </c>
      <c r="C2200" s="1" t="s">
        <v>6604</v>
      </c>
      <c r="D2200" s="1" t="str">
        <f t="shared" si="102"/>
        <v>København KommuneToldbodgade 73</v>
      </c>
      <c r="E2200" s="1" t="s">
        <v>6605</v>
      </c>
      <c r="F2200" s="1" t="s">
        <v>6602</v>
      </c>
      <c r="G2200" s="1">
        <v>1977</v>
      </c>
      <c r="H2200" s="1" t="s">
        <v>6603</v>
      </c>
      <c r="I2200" s="6" cm="1">
        <f t="array" ref="I2200">GetLatitude(D2200)</f>
        <v>556860412</v>
      </c>
      <c r="J2200" s="1" cm="1">
        <f t="array" ref="J2200">GetLongitude(D2200)</f>
        <v>125963130</v>
      </c>
      <c r="K2200" s="1">
        <f t="shared" si="103"/>
        <v>55.686041199999998</v>
      </c>
      <c r="L2200" s="1">
        <f t="shared" si="104"/>
        <v>12.596313</v>
      </c>
    </row>
    <row r="2201" spans="1:12" ht="16" x14ac:dyDescent="0.2">
      <c r="A2201" s="1">
        <v>2200</v>
      </c>
      <c r="B2201" s="1" t="s">
        <v>3980</v>
      </c>
      <c r="C2201" s="1" t="s">
        <v>6606</v>
      </c>
      <c r="D2201" s="1" t="str">
        <f t="shared" si="102"/>
        <v>København KommuneToldbodgade 75</v>
      </c>
      <c r="E2201" s="1" t="s">
        <v>6607</v>
      </c>
      <c r="F2201" s="1" t="s">
        <v>6602</v>
      </c>
      <c r="G2201" s="1">
        <v>1977</v>
      </c>
      <c r="H2201" s="1" t="s">
        <v>6603</v>
      </c>
      <c r="I2201" s="6" cm="1">
        <f t="array" ref="I2201">GetLatitude(D2201)</f>
        <v>556859879</v>
      </c>
      <c r="J2201" s="1" cm="1">
        <f t="array" ref="J2201">GetLongitude(D2201)</f>
        <v>125962590</v>
      </c>
      <c r="K2201" s="1">
        <f t="shared" si="103"/>
        <v>55.685987900000001</v>
      </c>
      <c r="L2201" s="1">
        <f t="shared" si="104"/>
        <v>12.596259</v>
      </c>
    </row>
    <row r="2202" spans="1:12" ht="16" x14ac:dyDescent="0.2">
      <c r="A2202" s="1">
        <v>2201</v>
      </c>
      <c r="B2202" s="1" t="s">
        <v>3980</v>
      </c>
      <c r="C2202" s="1" t="s">
        <v>6608</v>
      </c>
      <c r="D2202" s="1" t="str">
        <f t="shared" si="102"/>
        <v>København KommuneToldbodgade 77</v>
      </c>
      <c r="E2202" s="1" t="s">
        <v>6609</v>
      </c>
      <c r="F2202" s="1" t="s">
        <v>6602</v>
      </c>
      <c r="G2202" s="1">
        <v>1977</v>
      </c>
      <c r="H2202" s="1" t="s">
        <v>6603</v>
      </c>
      <c r="I2202" s="6" cm="1">
        <f t="array" ref="I2202">GetLatitude(D2202)</f>
        <v>556859353</v>
      </c>
      <c r="J2202" s="1" cm="1">
        <f t="array" ref="J2202">GetLongitude(D2202)</f>
        <v>125962206</v>
      </c>
      <c r="K2202" s="1">
        <f t="shared" si="103"/>
        <v>55.685935299999997</v>
      </c>
      <c r="L2202" s="1">
        <f t="shared" si="104"/>
        <v>12.596220600000001</v>
      </c>
    </row>
    <row r="2203" spans="1:12" ht="16" x14ac:dyDescent="0.2">
      <c r="A2203" s="1">
        <v>2202</v>
      </c>
      <c r="B2203" s="1" t="s">
        <v>3980</v>
      </c>
      <c r="C2203" s="1" t="s">
        <v>6610</v>
      </c>
      <c r="D2203" s="1" t="str">
        <f t="shared" si="102"/>
        <v>København KommuneToldbodgade 79</v>
      </c>
      <c r="E2203" s="1" t="s">
        <v>6611</v>
      </c>
      <c r="F2203" s="1" t="s">
        <v>6602</v>
      </c>
      <c r="G2203" s="1">
        <v>1977</v>
      </c>
      <c r="H2203" s="1" t="s">
        <v>2303</v>
      </c>
      <c r="I2203" s="6" cm="1">
        <f t="array" ref="I2203">GetLatitude(D2203)</f>
        <v>556858729</v>
      </c>
      <c r="J2203" s="1" cm="1">
        <f t="array" ref="J2203">GetLongitude(D2203)</f>
        <v>125961665</v>
      </c>
      <c r="K2203" s="1">
        <f t="shared" si="103"/>
        <v>55.6858729</v>
      </c>
      <c r="L2203" s="1">
        <f t="shared" si="104"/>
        <v>12.596166500000001</v>
      </c>
    </row>
    <row r="2204" spans="1:12" ht="16" x14ac:dyDescent="0.2">
      <c r="A2204" s="1">
        <v>2203</v>
      </c>
      <c r="B2204" s="1" t="s">
        <v>3980</v>
      </c>
      <c r="C2204" s="1" t="s">
        <v>6612</v>
      </c>
      <c r="D2204" s="1" t="str">
        <f t="shared" si="102"/>
        <v>København KommuneToldbodgade 81</v>
      </c>
      <c r="E2204" s="1" t="s">
        <v>6613</v>
      </c>
      <c r="F2204" s="1" t="s">
        <v>6602</v>
      </c>
      <c r="G2204" s="1">
        <v>1978</v>
      </c>
      <c r="H2204" s="1" t="s">
        <v>6603</v>
      </c>
      <c r="I2204" s="6" cm="1">
        <f t="array" ref="I2204">GetLatitude(D2204)</f>
        <v>556858205</v>
      </c>
      <c r="J2204" s="1" cm="1">
        <f t="array" ref="J2204">GetLongitude(D2204)</f>
        <v>125961122</v>
      </c>
      <c r="K2204" s="1">
        <f t="shared" si="103"/>
        <v>55.685820499999998</v>
      </c>
      <c r="L2204" s="1">
        <f t="shared" si="104"/>
        <v>12.5961122</v>
      </c>
    </row>
    <row r="2205" spans="1:12" ht="16" x14ac:dyDescent="0.2">
      <c r="A2205" s="1">
        <v>2204</v>
      </c>
      <c r="B2205" s="1" t="s">
        <v>3980</v>
      </c>
      <c r="C2205" s="1" t="s">
        <v>6614</v>
      </c>
      <c r="D2205" s="1" t="str">
        <f t="shared" si="102"/>
        <v>København KommuneToldbodgade 83</v>
      </c>
      <c r="E2205" s="1" t="s">
        <v>6615</v>
      </c>
      <c r="F2205" s="1" t="s">
        <v>6602</v>
      </c>
      <c r="G2205" s="1">
        <v>1978</v>
      </c>
      <c r="H2205" s="1" t="s">
        <v>6603</v>
      </c>
      <c r="I2205" s="6" cm="1">
        <f t="array" ref="I2205">GetLatitude(D2205)</f>
        <v>556857670</v>
      </c>
      <c r="J2205" s="1" cm="1">
        <f t="array" ref="J2205">GetLongitude(D2205)</f>
        <v>125960751</v>
      </c>
      <c r="K2205" s="1">
        <f t="shared" si="103"/>
        <v>55.685766999999998</v>
      </c>
      <c r="L2205" s="1">
        <f t="shared" si="104"/>
        <v>12.5960751</v>
      </c>
    </row>
    <row r="2206" spans="1:12" ht="16" x14ac:dyDescent="0.2">
      <c r="A2206" s="1">
        <v>2205</v>
      </c>
      <c r="B2206" s="1" t="s">
        <v>3980</v>
      </c>
      <c r="C2206" s="1" t="s">
        <v>6616</v>
      </c>
      <c r="D2206" s="1" t="str">
        <f t="shared" si="102"/>
        <v>København KommuneToldbodgade 85</v>
      </c>
      <c r="E2206" s="1" t="s">
        <v>6617</v>
      </c>
      <c r="F2206" s="1" t="s">
        <v>6602</v>
      </c>
      <c r="G2206" s="1">
        <v>1977</v>
      </c>
      <c r="H2206" s="1" t="s">
        <v>6603</v>
      </c>
      <c r="I2206" s="6" cm="1">
        <f t="array" ref="I2206">GetLatitude(D2206)</f>
        <v>556857055</v>
      </c>
      <c r="J2206" s="1" cm="1">
        <f t="array" ref="J2206">GetLongitude(D2206)</f>
        <v>125960200</v>
      </c>
      <c r="K2206" s="1">
        <f t="shared" si="103"/>
        <v>55.685705499999997</v>
      </c>
      <c r="L2206" s="1">
        <f t="shared" si="104"/>
        <v>12.596019999999999</v>
      </c>
    </row>
    <row r="2207" spans="1:12" ht="16" x14ac:dyDescent="0.2">
      <c r="A2207" s="1">
        <v>2206</v>
      </c>
      <c r="B2207" s="1" t="s">
        <v>3980</v>
      </c>
      <c r="C2207" s="1" t="s">
        <v>6618</v>
      </c>
      <c r="D2207" s="1" t="str">
        <f t="shared" si="102"/>
        <v>København KommuneToldbodgade 87</v>
      </c>
      <c r="E2207" s="1" t="s">
        <v>6619</v>
      </c>
      <c r="F2207" s="1" t="s">
        <v>6602</v>
      </c>
      <c r="G2207" s="1">
        <v>1977</v>
      </c>
      <c r="H2207" s="1" t="s">
        <v>6603</v>
      </c>
      <c r="I2207" s="6" cm="1">
        <f t="array" ref="I2207">GetLatitude(D2207)</f>
        <v>556856520</v>
      </c>
      <c r="J2207" s="1" cm="1">
        <f t="array" ref="J2207">GetLongitude(D2207)</f>
        <v>125959826</v>
      </c>
      <c r="K2207" s="1">
        <f t="shared" si="103"/>
        <v>55.685651999999997</v>
      </c>
      <c r="L2207" s="1">
        <f t="shared" si="104"/>
        <v>12.595982599999999</v>
      </c>
    </row>
    <row r="2208" spans="1:12" ht="16" x14ac:dyDescent="0.2">
      <c r="A2208" s="1">
        <v>2207</v>
      </c>
      <c r="B2208" s="1" t="s">
        <v>3980</v>
      </c>
      <c r="C2208" s="1" t="s">
        <v>6620</v>
      </c>
      <c r="D2208" s="1" t="str">
        <f t="shared" si="102"/>
        <v>København KommuneToldbodgade 9</v>
      </c>
      <c r="E2208" s="1" t="s">
        <v>6621</v>
      </c>
      <c r="F2208" s="1" t="s">
        <v>6622</v>
      </c>
      <c r="G2208" s="1">
        <v>1959</v>
      </c>
      <c r="H2208" s="1" t="s">
        <v>391</v>
      </c>
      <c r="I2208" s="6" cm="1">
        <f t="array" ref="I2208">GetLatitude(D2208)</f>
        <v>556802997</v>
      </c>
      <c r="J2208" s="1" cm="1">
        <f t="array" ref="J2208">GetLongitude(D2208)</f>
        <v>125917253</v>
      </c>
      <c r="K2208" s="1">
        <f t="shared" si="103"/>
        <v>55.680299699999999</v>
      </c>
      <c r="L2208" s="1">
        <f t="shared" si="104"/>
        <v>12.5917253</v>
      </c>
    </row>
    <row r="2209" spans="1:12" ht="16" x14ac:dyDescent="0.2">
      <c r="A2209" s="1">
        <v>2208</v>
      </c>
      <c r="B2209" s="1" t="s">
        <v>3980</v>
      </c>
      <c r="C2209" s="1" t="s">
        <v>6623</v>
      </c>
      <c r="D2209" s="1" t="str">
        <f t="shared" si="102"/>
        <v>København KommuneTorvegade 22</v>
      </c>
      <c r="E2209" s="1" t="s">
        <v>6624</v>
      </c>
      <c r="F2209" s="1" t="s">
        <v>6625</v>
      </c>
      <c r="G2209" s="1">
        <v>1950</v>
      </c>
      <c r="H2209" s="1" t="s">
        <v>11</v>
      </c>
      <c r="I2209" s="6" cm="1">
        <f t="array" ref="I2209">GetLatitude(D2209)</f>
        <v>556732875</v>
      </c>
      <c r="J2209" s="1" cm="1">
        <f t="array" ref="J2209">GetLongitude(D2209)</f>
        <v>125893668</v>
      </c>
      <c r="K2209" s="1">
        <f t="shared" si="103"/>
        <v>55.673287500000001</v>
      </c>
      <c r="L2209" s="1">
        <f t="shared" si="104"/>
        <v>12.589366800000001</v>
      </c>
    </row>
    <row r="2210" spans="1:12" ht="16" x14ac:dyDescent="0.2">
      <c r="A2210" s="1">
        <v>2209</v>
      </c>
      <c r="B2210" s="1" t="s">
        <v>3980</v>
      </c>
      <c r="C2210" s="1" t="s">
        <v>6626</v>
      </c>
      <c r="D2210" s="1" t="str">
        <f t="shared" si="102"/>
        <v>København KommuneTorvegade 24</v>
      </c>
      <c r="E2210" s="1" t="s">
        <v>6627</v>
      </c>
      <c r="F2210" s="1" t="s">
        <v>6628</v>
      </c>
      <c r="G2210" s="1">
        <v>1991</v>
      </c>
      <c r="H2210" s="1" t="s">
        <v>11</v>
      </c>
      <c r="I2210" s="6" cm="1">
        <f t="array" ref="I2210">GetLatitude(D2210)</f>
        <v>556732042</v>
      </c>
      <c r="J2210" s="1" cm="1">
        <f t="array" ref="J2210">GetLongitude(D2210)</f>
        <v>125894269</v>
      </c>
      <c r="K2210" s="1">
        <f t="shared" si="103"/>
        <v>55.673204200000001</v>
      </c>
      <c r="L2210" s="1">
        <f t="shared" si="104"/>
        <v>12.589426899999999</v>
      </c>
    </row>
    <row r="2211" spans="1:12" ht="16" x14ac:dyDescent="0.2">
      <c r="A2211" s="1">
        <v>2210</v>
      </c>
      <c r="B2211" s="1" t="s">
        <v>3980</v>
      </c>
      <c r="C2211" s="1" t="s">
        <v>6629</v>
      </c>
      <c r="D2211" s="1" t="str">
        <f t="shared" si="102"/>
        <v>København KommuneTorvegade 28</v>
      </c>
      <c r="E2211" s="1" t="s">
        <v>6630</v>
      </c>
      <c r="F2211" s="1" t="s">
        <v>6631</v>
      </c>
      <c r="G2211" s="1">
        <v>1982</v>
      </c>
      <c r="H2211" s="1" t="s">
        <v>11</v>
      </c>
      <c r="I2211" s="6" cm="1">
        <f t="array" ref="I2211">GetLatitude(D2211)</f>
        <v>556729601</v>
      </c>
      <c r="J2211" s="1" cm="1">
        <f t="array" ref="J2211">GetLongitude(D2211)</f>
        <v>125900223</v>
      </c>
      <c r="K2211" s="1">
        <f t="shared" si="103"/>
        <v>55.672960099999997</v>
      </c>
      <c r="L2211" s="1">
        <f t="shared" si="104"/>
        <v>12.590022299999999</v>
      </c>
    </row>
    <row r="2212" spans="1:12" ht="16" x14ac:dyDescent="0.2">
      <c r="A2212" s="1">
        <v>2211</v>
      </c>
      <c r="B2212" s="1" t="s">
        <v>3980</v>
      </c>
      <c r="C2212" s="1" t="s">
        <v>6632</v>
      </c>
      <c r="D2212" s="1" t="str">
        <f t="shared" si="102"/>
        <v>København KommuneTorvegade 30</v>
      </c>
      <c r="E2212" s="1" t="s">
        <v>6633</v>
      </c>
      <c r="F2212" s="1" t="s">
        <v>6634</v>
      </c>
      <c r="G2212" s="1">
        <v>1918</v>
      </c>
      <c r="H2212" s="1" t="s">
        <v>6635</v>
      </c>
      <c r="I2212" s="6" cm="1">
        <f t="array" ref="I2212">GetLatitude(D2212)</f>
        <v>556729356</v>
      </c>
      <c r="J2212" s="1" cm="1">
        <f t="array" ref="J2212">GetLongitude(D2212)</f>
        <v>125900773</v>
      </c>
      <c r="K2212" s="1">
        <f t="shared" si="103"/>
        <v>55.672935600000002</v>
      </c>
      <c r="L2212" s="1">
        <f t="shared" si="104"/>
        <v>12.590077300000001</v>
      </c>
    </row>
    <row r="2213" spans="1:12" ht="16" x14ac:dyDescent="0.2">
      <c r="A2213" s="1">
        <v>2212</v>
      </c>
      <c r="B2213" s="1" t="s">
        <v>3980</v>
      </c>
      <c r="C2213" s="1" t="s">
        <v>6636</v>
      </c>
      <c r="D2213" s="1" t="str">
        <f t="shared" si="102"/>
        <v>København KommuneTorvegade 32</v>
      </c>
      <c r="E2213" s="1" t="s">
        <v>6637</v>
      </c>
      <c r="F2213" s="1" t="s">
        <v>6638</v>
      </c>
      <c r="G2213" s="1">
        <v>1993</v>
      </c>
      <c r="H2213" s="1" t="s">
        <v>11</v>
      </c>
      <c r="I2213" s="6" cm="1">
        <f t="array" ref="I2213">GetLatitude(D2213)</f>
        <v>556729616</v>
      </c>
      <c r="J2213" s="1" cm="1">
        <f t="array" ref="J2213">GetLongitude(D2213)</f>
        <v>125906219</v>
      </c>
      <c r="K2213" s="1">
        <f t="shared" si="103"/>
        <v>55.672961600000001</v>
      </c>
      <c r="L2213" s="1">
        <f t="shared" si="104"/>
        <v>12.5906219</v>
      </c>
    </row>
    <row r="2214" spans="1:12" ht="16" x14ac:dyDescent="0.2">
      <c r="A2214" s="1">
        <v>2213</v>
      </c>
      <c r="B2214" s="1" t="s">
        <v>3980</v>
      </c>
      <c r="C2214" s="1" t="s">
        <v>6639</v>
      </c>
      <c r="D2214" s="1" t="str">
        <f t="shared" si="102"/>
        <v>København KommuneTrekroner 1, Københavns havn</v>
      </c>
      <c r="E2214" s="1" t="s">
        <v>6640</v>
      </c>
      <c r="F2214" s="1" t="s">
        <v>6641</v>
      </c>
      <c r="G2214" s="1">
        <v>1984</v>
      </c>
      <c r="H2214" s="1" t="s">
        <v>11</v>
      </c>
      <c r="I2214" s="6" cm="1">
        <f t="array" ref="I2214">GetLatitude(D2214)</f>
        <v>557035788</v>
      </c>
      <c r="J2214" s="1" cm="1">
        <f t="array" ref="J2214">GetLongitude(D2214)</f>
        <v>126138462</v>
      </c>
      <c r="K2214" s="1">
        <f t="shared" si="103"/>
        <v>55.703578800000003</v>
      </c>
      <c r="L2214" s="1">
        <f t="shared" si="104"/>
        <v>12.613846199999999</v>
      </c>
    </row>
    <row r="2215" spans="1:12" ht="16" x14ac:dyDescent="0.2">
      <c r="A2215" s="1">
        <v>2214</v>
      </c>
      <c r="B2215" s="1" t="s">
        <v>3980</v>
      </c>
      <c r="C2215" s="1" t="s">
        <v>6642</v>
      </c>
      <c r="D2215" s="1" t="str">
        <f t="shared" si="102"/>
        <v>København KommuneTøjhusgade 3</v>
      </c>
      <c r="E2215" s="1" t="s">
        <v>6643</v>
      </c>
      <c r="F2215" s="1" t="s">
        <v>6644</v>
      </c>
      <c r="G2215" s="1">
        <v>1918</v>
      </c>
      <c r="H2215" s="1" t="s">
        <v>15</v>
      </c>
      <c r="I2215" s="6" cm="1">
        <f t="array" ref="I2215">GetLatitude(D2215)</f>
        <v>556741510</v>
      </c>
      <c r="J2215" s="1" cm="1">
        <f t="array" ref="J2215">GetLongitude(D2215)</f>
        <v>125803648</v>
      </c>
      <c r="K2215" s="1">
        <f t="shared" si="103"/>
        <v>55.674151000000002</v>
      </c>
      <c r="L2215" s="1">
        <f t="shared" si="104"/>
        <v>12.5803648</v>
      </c>
    </row>
    <row r="2216" spans="1:12" ht="16" x14ac:dyDescent="0.2">
      <c r="A2216" s="1">
        <v>2215</v>
      </c>
      <c r="B2216" s="1" t="s">
        <v>3980</v>
      </c>
      <c r="C2216" s="1" t="s">
        <v>6645</v>
      </c>
      <c r="D2216" s="1" t="str">
        <f t="shared" si="102"/>
        <v>København KommuneValdemarsgade 5, 7 og 9</v>
      </c>
      <c r="E2216" s="1" t="s">
        <v>6646</v>
      </c>
      <c r="F2216" s="1" t="s">
        <v>6647</v>
      </c>
      <c r="G2216" s="1">
        <v>2003</v>
      </c>
      <c r="H2216" s="1" t="s">
        <v>701</v>
      </c>
      <c r="I2216" s="6" cm="1">
        <f t="array" ref="I2216">GetLatitude(D2216)</f>
        <v>556760968</v>
      </c>
      <c r="J2216" s="1" cm="1">
        <f t="array" ref="J2216">GetLongitude(D2216)</f>
        <v>125683371</v>
      </c>
      <c r="K2216" s="1">
        <f t="shared" si="103"/>
        <v>55.676096800000003</v>
      </c>
      <c r="L2216" s="1">
        <f t="shared" si="104"/>
        <v>12.568337100000001</v>
      </c>
    </row>
    <row r="2217" spans="1:12" ht="16" x14ac:dyDescent="0.2">
      <c r="A2217" s="1">
        <v>2216</v>
      </c>
      <c r="B2217" s="1" t="s">
        <v>3980</v>
      </c>
      <c r="C2217" s="1" t="s">
        <v>6648</v>
      </c>
      <c r="D2217" s="1" t="str">
        <f t="shared" si="102"/>
        <v>København KommuneValkendorfsgade 11</v>
      </c>
      <c r="E2217" s="1" t="s">
        <v>6649</v>
      </c>
      <c r="F2217" s="1" t="s">
        <v>6650</v>
      </c>
      <c r="G2217" s="1">
        <v>1918</v>
      </c>
      <c r="H2217" s="1" t="s">
        <v>11</v>
      </c>
      <c r="I2217" s="6" cm="1">
        <f t="array" ref="I2217">GetLatitude(D2217)</f>
        <v>556798737</v>
      </c>
      <c r="J2217" s="1" cm="1">
        <f t="array" ref="J2217">GetLongitude(D2217)</f>
        <v>125777497</v>
      </c>
      <c r="K2217" s="1">
        <f t="shared" si="103"/>
        <v>55.679873700000002</v>
      </c>
      <c r="L2217" s="1">
        <f t="shared" si="104"/>
        <v>12.5777497</v>
      </c>
    </row>
    <row r="2218" spans="1:12" ht="16" x14ac:dyDescent="0.2">
      <c r="A2218" s="1">
        <v>2217</v>
      </c>
      <c r="B2218" s="1" t="s">
        <v>3980</v>
      </c>
      <c r="C2218" s="1" t="s">
        <v>6651</v>
      </c>
      <c r="D2218" s="1" t="str">
        <f t="shared" si="102"/>
        <v>København KommuneValkendorfsgade 15</v>
      </c>
      <c r="E2218" s="1" t="s">
        <v>6652</v>
      </c>
      <c r="F2218" s="1" t="s">
        <v>6653</v>
      </c>
      <c r="G2218" s="1">
        <v>1959</v>
      </c>
      <c r="H2218" s="1" t="s">
        <v>11</v>
      </c>
      <c r="I2218" s="6" cm="1">
        <f t="array" ref="I2218">GetLatitude(D2218)</f>
        <v>556797122</v>
      </c>
      <c r="J2218" s="1" cm="1">
        <f t="array" ref="J2218">GetLongitude(D2218)</f>
        <v>125776066</v>
      </c>
      <c r="K2218" s="1">
        <f t="shared" si="103"/>
        <v>55.679712199999997</v>
      </c>
      <c r="L2218" s="1">
        <f t="shared" si="104"/>
        <v>12.577606599999999</v>
      </c>
    </row>
    <row r="2219" spans="1:12" ht="16" x14ac:dyDescent="0.2">
      <c r="A2219" s="1">
        <v>2218</v>
      </c>
      <c r="B2219" s="1" t="s">
        <v>3980</v>
      </c>
      <c r="C2219" s="1" t="s">
        <v>6654</v>
      </c>
      <c r="D2219" s="1" t="str">
        <f t="shared" si="102"/>
        <v>København KommuneValkendorfsgade 17</v>
      </c>
      <c r="E2219" s="1" t="s">
        <v>6655</v>
      </c>
      <c r="F2219" s="1" t="s">
        <v>6656</v>
      </c>
      <c r="G2219" s="1">
        <v>1959</v>
      </c>
      <c r="H2219" s="1" t="s">
        <v>11</v>
      </c>
      <c r="I2219" s="6" cm="1">
        <f t="array" ref="I2219">GetLatitude(D2219)</f>
        <v>556797252</v>
      </c>
      <c r="J2219" s="1" cm="1">
        <f t="array" ref="J2219">GetLongitude(D2219)</f>
        <v>125774813</v>
      </c>
      <c r="K2219" s="1">
        <f t="shared" si="103"/>
        <v>55.6797252</v>
      </c>
      <c r="L2219" s="1">
        <f t="shared" si="104"/>
        <v>12.577481300000001</v>
      </c>
    </row>
    <row r="2220" spans="1:12" ht="16" x14ac:dyDescent="0.2">
      <c r="A2220" s="1">
        <v>2219</v>
      </c>
      <c r="B2220" s="1" t="s">
        <v>3980</v>
      </c>
      <c r="C2220" s="1" t="s">
        <v>6657</v>
      </c>
      <c r="D2220" s="1" t="str">
        <f t="shared" si="102"/>
        <v>København KommuneValkendorfsgade 23</v>
      </c>
      <c r="E2220" s="1" t="s">
        <v>6658</v>
      </c>
      <c r="F2220" s="1" t="s">
        <v>6659</v>
      </c>
      <c r="G2220" s="1">
        <v>1984</v>
      </c>
      <c r="H2220" s="1" t="s">
        <v>15</v>
      </c>
      <c r="I2220" s="6" cm="1">
        <f t="array" ref="I2220">GetLatitude(D2220)</f>
        <v>556791822</v>
      </c>
      <c r="J2220" s="1" cm="1">
        <f t="array" ref="J2220">GetLongitude(D2220)</f>
        <v>125764487</v>
      </c>
      <c r="K2220" s="1">
        <f t="shared" si="103"/>
        <v>55.6791822</v>
      </c>
      <c r="L2220" s="1">
        <f t="shared" si="104"/>
        <v>12.5764487</v>
      </c>
    </row>
    <row r="2221" spans="1:12" ht="16" x14ac:dyDescent="0.2">
      <c r="A2221" s="1">
        <v>2220</v>
      </c>
      <c r="B2221" s="1" t="s">
        <v>3980</v>
      </c>
      <c r="C2221" s="1" t="s">
        <v>6660</v>
      </c>
      <c r="D2221" s="1" t="str">
        <f t="shared" si="102"/>
        <v>København KommuneValkendorfsgade 3</v>
      </c>
      <c r="E2221" s="1" t="s">
        <v>6661</v>
      </c>
      <c r="F2221" s="1" t="s">
        <v>6662</v>
      </c>
      <c r="G2221" s="1">
        <v>1959</v>
      </c>
      <c r="H2221" s="1" t="s">
        <v>11</v>
      </c>
      <c r="I2221" s="6" cm="1">
        <f t="array" ref="I2221">GetLatitude(D2221)</f>
        <v>556802224</v>
      </c>
      <c r="J2221" s="1" cm="1">
        <f t="array" ref="J2221">GetLongitude(D2221)</f>
        <v>125782126</v>
      </c>
      <c r="K2221" s="1">
        <f t="shared" si="103"/>
        <v>55.680222399999998</v>
      </c>
      <c r="L2221" s="1">
        <f t="shared" si="104"/>
        <v>12.578212600000001</v>
      </c>
    </row>
    <row r="2222" spans="1:12" ht="16" x14ac:dyDescent="0.2">
      <c r="A2222" s="1">
        <v>2221</v>
      </c>
      <c r="B2222" s="1" t="s">
        <v>3980</v>
      </c>
      <c r="C2222" s="1" t="s">
        <v>6663</v>
      </c>
      <c r="D2222" s="1" t="str">
        <f t="shared" si="102"/>
        <v>København KommuneValkendorfsgade 36</v>
      </c>
      <c r="E2222" s="1" t="s">
        <v>6664</v>
      </c>
      <c r="F2222" s="1" t="s">
        <v>6665</v>
      </c>
      <c r="G2222" s="1">
        <v>1918</v>
      </c>
      <c r="H2222" s="1" t="s">
        <v>11</v>
      </c>
      <c r="I2222" s="6" cm="1">
        <f t="array" ref="I2222">GetLatitude(D2222)</f>
        <v>556790589</v>
      </c>
      <c r="J2222" s="1" cm="1">
        <f t="array" ref="J2222">GetLongitude(D2222)</f>
        <v>125760445</v>
      </c>
      <c r="K2222" s="1">
        <f t="shared" si="103"/>
        <v>55.679058900000001</v>
      </c>
      <c r="L2222" s="1">
        <f t="shared" si="104"/>
        <v>12.5760445</v>
      </c>
    </row>
    <row r="2223" spans="1:12" ht="16" x14ac:dyDescent="0.2">
      <c r="A2223" s="1">
        <v>2222</v>
      </c>
      <c r="B2223" s="1" t="s">
        <v>3980</v>
      </c>
      <c r="C2223" s="1" t="s">
        <v>6666</v>
      </c>
      <c r="D2223" s="1" t="str">
        <f t="shared" si="102"/>
        <v>København KommuneValkendorfsgade 5</v>
      </c>
      <c r="E2223" s="1" t="s">
        <v>6667</v>
      </c>
      <c r="F2223" s="1" t="s">
        <v>6668</v>
      </c>
      <c r="G2223" s="1">
        <v>1959</v>
      </c>
      <c r="H2223" s="1" t="s">
        <v>391</v>
      </c>
      <c r="I2223" s="6" cm="1">
        <f t="array" ref="I2223">GetLatitude(D2223)</f>
        <v>556801239</v>
      </c>
      <c r="J2223" s="1" cm="1">
        <f t="array" ref="J2223">GetLongitude(D2223)</f>
        <v>125780997</v>
      </c>
      <c r="K2223" s="1">
        <f t="shared" si="103"/>
        <v>55.680123899999998</v>
      </c>
      <c r="L2223" s="1">
        <f t="shared" si="104"/>
        <v>12.578099699999999</v>
      </c>
    </row>
    <row r="2224" spans="1:12" ht="16" x14ac:dyDescent="0.2">
      <c r="A2224" s="1">
        <v>2223</v>
      </c>
      <c r="B2224" s="1" t="s">
        <v>3980</v>
      </c>
      <c r="C2224" s="1" t="s">
        <v>6669</v>
      </c>
      <c r="D2224" s="1" t="str">
        <f t="shared" si="102"/>
        <v>København KommuneVandkunsten 10, hj af Gåsegade</v>
      </c>
      <c r="E2224" s="1" t="s">
        <v>6670</v>
      </c>
      <c r="F2224" s="1" t="s">
        <v>5587</v>
      </c>
      <c r="G2224" s="1">
        <v>1945</v>
      </c>
      <c r="H2224" s="1" t="s">
        <v>701</v>
      </c>
      <c r="I2224" s="6" cm="1">
        <f t="array" ref="I2224">GetLatitude(D2224)</f>
        <v>556762694</v>
      </c>
      <c r="J2224" s="1" cm="1">
        <f t="array" ref="J2224">GetLongitude(D2224)</f>
        <v>125732672</v>
      </c>
      <c r="K2224" s="1">
        <f t="shared" si="103"/>
        <v>55.676269400000002</v>
      </c>
      <c r="L2224" s="1">
        <f t="shared" si="104"/>
        <v>12.5732672</v>
      </c>
    </row>
    <row r="2225" spans="1:12" ht="16" x14ac:dyDescent="0.2">
      <c r="A2225" s="1">
        <v>2224</v>
      </c>
      <c r="B2225" s="1" t="s">
        <v>3980</v>
      </c>
      <c r="C2225" s="1" t="s">
        <v>6671</v>
      </c>
      <c r="D2225" s="1" t="str">
        <f t="shared" si="102"/>
        <v>København KommuneVandkunsten 11</v>
      </c>
      <c r="E2225" s="1" t="s">
        <v>6672</v>
      </c>
      <c r="F2225" s="1" t="s">
        <v>6673</v>
      </c>
      <c r="G2225" s="1">
        <v>1977</v>
      </c>
      <c r="H2225" s="1" t="s">
        <v>11</v>
      </c>
      <c r="I2225" s="6" cm="1">
        <f t="array" ref="I2225">GetLatitude(D2225)</f>
        <v>556758930</v>
      </c>
      <c r="J2225" s="1" cm="1">
        <f t="array" ref="J2225">GetLongitude(D2225)</f>
        <v>125740380</v>
      </c>
      <c r="K2225" s="1">
        <f t="shared" si="103"/>
        <v>55.675893000000002</v>
      </c>
      <c r="L2225" s="1">
        <f t="shared" si="104"/>
        <v>12.574038</v>
      </c>
    </row>
    <row r="2226" spans="1:12" ht="16" x14ac:dyDescent="0.2">
      <c r="A2226" s="1">
        <v>2225</v>
      </c>
      <c r="B2226" s="1" t="s">
        <v>3980</v>
      </c>
      <c r="C2226" s="1" t="s">
        <v>6674</v>
      </c>
      <c r="D2226" s="1" t="str">
        <f t="shared" si="102"/>
        <v>København KommuneVandkunsten 13</v>
      </c>
      <c r="E2226" s="1" t="s">
        <v>6675</v>
      </c>
      <c r="F2226" s="1" t="s">
        <v>6676</v>
      </c>
      <c r="G2226" s="1">
        <v>1972</v>
      </c>
      <c r="H2226" s="1" t="s">
        <v>11</v>
      </c>
      <c r="I2226" s="6" cm="1">
        <f t="array" ref="I2226">GetLatitude(D2226)</f>
        <v>556758287</v>
      </c>
      <c r="J2226" s="1" cm="1">
        <f t="array" ref="J2226">GetLongitude(D2226)</f>
        <v>125740370</v>
      </c>
      <c r="K2226" s="1">
        <f t="shared" si="103"/>
        <v>55.675828699999997</v>
      </c>
      <c r="L2226" s="1">
        <f t="shared" si="104"/>
        <v>12.574037000000001</v>
      </c>
    </row>
    <row r="2227" spans="1:12" ht="16" x14ac:dyDescent="0.2">
      <c r="A2227" s="1">
        <v>2226</v>
      </c>
      <c r="B2227" s="1" t="s">
        <v>3980</v>
      </c>
      <c r="C2227" s="1" t="s">
        <v>6677</v>
      </c>
      <c r="D2227" s="1" t="str">
        <f t="shared" si="102"/>
        <v>København KommuneVandkunsten 8 og Kompagnistræde 39</v>
      </c>
      <c r="E2227" s="1" t="s">
        <v>6678</v>
      </c>
      <c r="F2227" s="1" t="s">
        <v>6679</v>
      </c>
      <c r="G2227" s="1">
        <v>1918</v>
      </c>
      <c r="H2227" s="1" t="s">
        <v>701</v>
      </c>
      <c r="I2227" s="6" cm="1">
        <f t="array" ref="I2227">GetLatitude(D2227)</f>
        <v>556776538</v>
      </c>
      <c r="J2227" s="1" cm="1">
        <f t="array" ref="J2227">GetLongitude(D2227)</f>
        <v>125763081</v>
      </c>
      <c r="K2227" s="1">
        <f t="shared" si="103"/>
        <v>55.677653800000002</v>
      </c>
      <c r="L2227" s="1">
        <f t="shared" si="104"/>
        <v>12.5763081</v>
      </c>
    </row>
    <row r="2228" spans="1:12" ht="16" x14ac:dyDescent="0.2">
      <c r="A2228" s="1">
        <v>2227</v>
      </c>
      <c r="B2228" s="1" t="s">
        <v>3980</v>
      </c>
      <c r="C2228" s="1" t="s">
        <v>6680</v>
      </c>
      <c r="D2228" s="1" t="str">
        <f t="shared" si="102"/>
        <v>København KommuneVed Stranden 10, hj af Boldhusgade</v>
      </c>
      <c r="E2228" s="1" t="s">
        <v>6681</v>
      </c>
      <c r="F2228" s="1" t="s">
        <v>6682</v>
      </c>
      <c r="G2228" s="1">
        <v>1918</v>
      </c>
      <c r="H2228" s="1" t="s">
        <v>11</v>
      </c>
      <c r="I2228" s="6" cm="1">
        <f t="array" ref="I2228">GetLatitude(D2228)</f>
        <v>556773044</v>
      </c>
      <c r="J2228" s="1" cm="1">
        <f t="array" ref="J2228">GetLongitude(D2228)</f>
        <v>125816159</v>
      </c>
      <c r="K2228" s="1">
        <f t="shared" si="103"/>
        <v>55.677304399999997</v>
      </c>
      <c r="L2228" s="1">
        <f t="shared" si="104"/>
        <v>12.581615899999999</v>
      </c>
    </row>
    <row r="2229" spans="1:12" ht="16" x14ac:dyDescent="0.2">
      <c r="A2229" s="1">
        <v>2228</v>
      </c>
      <c r="B2229" s="1" t="s">
        <v>3980</v>
      </c>
      <c r="C2229" s="1" t="s">
        <v>6683</v>
      </c>
      <c r="D2229" s="1" t="str">
        <f t="shared" si="102"/>
        <v>København KommuneVed Stranden 12</v>
      </c>
      <c r="E2229" s="1" t="s">
        <v>6684</v>
      </c>
      <c r="F2229" s="1" t="s">
        <v>6685</v>
      </c>
      <c r="G2229" s="1">
        <v>1932</v>
      </c>
      <c r="H2229" s="1" t="s">
        <v>11</v>
      </c>
      <c r="I2229" s="6" cm="1">
        <f t="array" ref="I2229">GetLatitude(D2229)</f>
        <v>556773876</v>
      </c>
      <c r="J2229" s="1" cm="1">
        <f t="array" ref="J2229">GetLongitude(D2229)</f>
        <v>125815219</v>
      </c>
      <c r="K2229" s="1">
        <f t="shared" si="103"/>
        <v>55.677387600000003</v>
      </c>
      <c r="L2229" s="1">
        <f t="shared" si="104"/>
        <v>12.5815219</v>
      </c>
    </row>
    <row r="2230" spans="1:12" ht="16" x14ac:dyDescent="0.2">
      <c r="A2230" s="1">
        <v>2229</v>
      </c>
      <c r="B2230" s="1" t="s">
        <v>3980</v>
      </c>
      <c r="C2230" s="1" t="s">
        <v>6686</v>
      </c>
      <c r="D2230" s="1" t="str">
        <f t="shared" si="102"/>
        <v>København KommuneVed Stranden 14 og Admiralgade 24</v>
      </c>
      <c r="E2230" s="1" t="s">
        <v>6687</v>
      </c>
      <c r="F2230" s="1" t="s">
        <v>6688</v>
      </c>
      <c r="G2230" s="1">
        <v>1918</v>
      </c>
      <c r="H2230" s="1" t="s">
        <v>11</v>
      </c>
      <c r="I2230" s="6" cm="1">
        <f t="array" ref="I2230">GetLatitude(D2230)</f>
        <v>556776017</v>
      </c>
      <c r="J2230" s="1" cm="1">
        <f t="array" ref="J2230">GetLongitude(D2230)</f>
        <v>125814766</v>
      </c>
      <c r="K2230" s="1">
        <f t="shared" si="103"/>
        <v>55.677601699999997</v>
      </c>
      <c r="L2230" s="1">
        <f t="shared" si="104"/>
        <v>12.5814766</v>
      </c>
    </row>
    <row r="2231" spans="1:12" ht="16" x14ac:dyDescent="0.2">
      <c r="A2231" s="1">
        <v>2230</v>
      </c>
      <c r="B2231" s="1" t="s">
        <v>3980</v>
      </c>
      <c r="C2231" s="1" t="s">
        <v>6689</v>
      </c>
      <c r="D2231" s="1" t="str">
        <f t="shared" si="102"/>
        <v>København KommuneVed Stranden 16</v>
      </c>
      <c r="E2231" s="1" t="s">
        <v>6690</v>
      </c>
      <c r="F2231" s="1" t="s">
        <v>6691</v>
      </c>
      <c r="G2231" s="1">
        <v>1918</v>
      </c>
      <c r="H2231" s="1" t="s">
        <v>4663</v>
      </c>
      <c r="I2231" s="6" cm="1">
        <f t="array" ref="I2231">GetLatitude(D2231)</f>
        <v>556776567</v>
      </c>
      <c r="J2231" s="1" cm="1">
        <f t="array" ref="J2231">GetLongitude(D2231)</f>
        <v>125813715</v>
      </c>
      <c r="K2231" s="1">
        <f t="shared" si="103"/>
        <v>55.6776567</v>
      </c>
      <c r="L2231" s="1">
        <f t="shared" si="104"/>
        <v>12.581371499999999</v>
      </c>
    </row>
    <row r="2232" spans="1:12" ht="16" x14ac:dyDescent="0.2">
      <c r="A2232" s="1">
        <v>2231</v>
      </c>
      <c r="B2232" s="1" t="s">
        <v>3980</v>
      </c>
      <c r="C2232" s="1" t="s">
        <v>6692</v>
      </c>
      <c r="D2232" s="1" t="str">
        <f t="shared" si="102"/>
        <v>København KommuneVed Stranden 8, hj af Boldhusgade</v>
      </c>
      <c r="E2232" s="1" t="s">
        <v>6693</v>
      </c>
      <c r="F2232" s="1" t="s">
        <v>6694</v>
      </c>
      <c r="G2232" s="1">
        <v>1932</v>
      </c>
      <c r="H2232" s="1" t="s">
        <v>15</v>
      </c>
      <c r="I2232" s="6" cm="1">
        <f t="array" ref="I2232">GetLatitude(D2232)</f>
        <v>556774483</v>
      </c>
      <c r="J2232" s="1" cm="1">
        <f t="array" ref="J2232">GetLongitude(D2232)</f>
        <v>125821326</v>
      </c>
      <c r="K2232" s="1">
        <f t="shared" si="103"/>
        <v>55.677448300000002</v>
      </c>
      <c r="L2232" s="1">
        <f t="shared" si="104"/>
        <v>12.5821326</v>
      </c>
    </row>
    <row r="2233" spans="1:12" ht="16" x14ac:dyDescent="0.2">
      <c r="A2233" s="1">
        <v>2232</v>
      </c>
      <c r="B2233" s="1" t="s">
        <v>3980</v>
      </c>
      <c r="C2233" s="1" t="s">
        <v>6695</v>
      </c>
      <c r="D2233" s="1" t="str">
        <f t="shared" si="102"/>
        <v>København KommuneVestagervej 29</v>
      </c>
      <c r="E2233" s="1" t="s">
        <v>6696</v>
      </c>
      <c r="F2233" s="1" t="s">
        <v>6697</v>
      </c>
      <c r="G2233" s="1">
        <v>2022</v>
      </c>
      <c r="H2233" s="1" t="s">
        <v>15</v>
      </c>
      <c r="I2233" s="6" cm="1">
        <f t="array" ref="I2233">GetLatitude(D2233)</f>
        <v>557239183</v>
      </c>
      <c r="J2233" s="1" cm="1">
        <f t="array" ref="J2233">GetLongitude(D2233)</f>
        <v>125724256</v>
      </c>
      <c r="K2233" s="1">
        <f t="shared" si="103"/>
        <v>55.723918300000001</v>
      </c>
      <c r="L2233" s="1">
        <f t="shared" si="104"/>
        <v>12.572425600000001</v>
      </c>
    </row>
    <row r="2234" spans="1:12" ht="16" x14ac:dyDescent="0.2">
      <c r="A2234" s="1">
        <v>2233</v>
      </c>
      <c r="B2234" s="1" t="s">
        <v>3980</v>
      </c>
      <c r="C2234" s="1" t="s">
        <v>6698</v>
      </c>
      <c r="D2234" s="1" t="str">
        <f t="shared" si="102"/>
        <v xml:space="preserve">København KommuneVesterbrogade </v>
      </c>
      <c r="E2234" s="1" t="s">
        <v>6699</v>
      </c>
      <c r="F2234" s="1" t="s">
        <v>6700</v>
      </c>
      <c r="G2234" s="1">
        <v>1918</v>
      </c>
      <c r="H2234" s="1" t="s">
        <v>15</v>
      </c>
      <c r="I2234" s="6" cm="1">
        <f t="array" ref="I2234">GetLatitude(D2234)</f>
        <v>556760968</v>
      </c>
      <c r="J2234" s="1" cm="1">
        <f t="array" ref="J2234">GetLongitude(D2234)</f>
        <v>125683371</v>
      </c>
      <c r="K2234" s="1">
        <f t="shared" si="103"/>
        <v>55.676096800000003</v>
      </c>
      <c r="L2234" s="1">
        <f t="shared" si="104"/>
        <v>12.568337100000001</v>
      </c>
    </row>
    <row r="2235" spans="1:12" ht="16" x14ac:dyDescent="0.2">
      <c r="A2235" s="1">
        <v>2234</v>
      </c>
      <c r="B2235" s="1" t="s">
        <v>3980</v>
      </c>
      <c r="C2235" s="1" t="s">
        <v>6701</v>
      </c>
      <c r="D2235" s="1" t="str">
        <f t="shared" si="102"/>
        <v>København KommuneVesterbrogade 140-142</v>
      </c>
      <c r="E2235" s="1" t="s">
        <v>6702</v>
      </c>
      <c r="F2235" s="1" t="s">
        <v>6703</v>
      </c>
      <c r="G2235" s="1">
        <v>1980</v>
      </c>
      <c r="H2235" s="1" t="s">
        <v>11</v>
      </c>
      <c r="I2235" s="6" cm="1">
        <f t="array" ref="I2235">GetLatitude(D2235)</f>
        <v>556760968</v>
      </c>
      <c r="J2235" s="1" cm="1">
        <f t="array" ref="J2235">GetLongitude(D2235)</f>
        <v>125683371</v>
      </c>
      <c r="K2235" s="1">
        <f t="shared" si="103"/>
        <v>55.676096800000003</v>
      </c>
      <c r="L2235" s="1">
        <f t="shared" si="104"/>
        <v>12.568337100000001</v>
      </c>
    </row>
    <row r="2236" spans="1:12" ht="16" x14ac:dyDescent="0.2">
      <c r="A2236" s="1">
        <v>2235</v>
      </c>
      <c r="B2236" s="1" t="s">
        <v>3980</v>
      </c>
      <c r="C2236" s="1" t="s">
        <v>6704</v>
      </c>
      <c r="D2236" s="1" t="str">
        <f t="shared" si="102"/>
        <v>København KommuneVesterbrogade 144</v>
      </c>
      <c r="E2236" s="1" t="s">
        <v>6705</v>
      </c>
      <c r="F2236" s="1" t="s">
        <v>6706</v>
      </c>
      <c r="G2236" s="1">
        <v>1980</v>
      </c>
      <c r="H2236" s="1" t="s">
        <v>11</v>
      </c>
      <c r="I2236" s="6" cm="1">
        <f t="array" ref="I2236">GetLatitude(D2236)</f>
        <v>556760968</v>
      </c>
      <c r="J2236" s="1" cm="1">
        <f t="array" ref="J2236">GetLongitude(D2236)</f>
        <v>125683371</v>
      </c>
      <c r="K2236" s="1">
        <f t="shared" si="103"/>
        <v>55.676096800000003</v>
      </c>
      <c r="L2236" s="1">
        <f t="shared" si="104"/>
        <v>12.568337100000001</v>
      </c>
    </row>
    <row r="2237" spans="1:12" ht="16" x14ac:dyDescent="0.2">
      <c r="A2237" s="1">
        <v>2236</v>
      </c>
      <c r="B2237" s="1" t="s">
        <v>3980</v>
      </c>
      <c r="C2237" s="1" t="s">
        <v>6707</v>
      </c>
      <c r="D2237" s="1" t="str">
        <f t="shared" si="102"/>
        <v>København KommuneVesterbrogade 148</v>
      </c>
      <c r="E2237" s="1" t="s">
        <v>6708</v>
      </c>
      <c r="F2237" s="1" t="s">
        <v>6709</v>
      </c>
      <c r="G2237" s="1">
        <v>1980</v>
      </c>
      <c r="H2237" s="1" t="s">
        <v>11</v>
      </c>
      <c r="I2237" s="6" cm="1">
        <f t="array" ref="I2237">GetLatitude(D2237)</f>
        <v>556760968</v>
      </c>
      <c r="J2237" s="1" cm="1">
        <f t="array" ref="J2237">GetLongitude(D2237)</f>
        <v>125683371</v>
      </c>
      <c r="K2237" s="1">
        <f t="shared" si="103"/>
        <v>55.676096800000003</v>
      </c>
      <c r="L2237" s="1">
        <f t="shared" si="104"/>
        <v>12.568337100000001</v>
      </c>
    </row>
    <row r="2238" spans="1:12" ht="16" x14ac:dyDescent="0.2">
      <c r="A2238" s="1">
        <v>2237</v>
      </c>
      <c r="B2238" s="1" t="s">
        <v>3980</v>
      </c>
      <c r="C2238" s="1" t="s">
        <v>6710</v>
      </c>
      <c r="D2238" s="1" t="str">
        <f t="shared" si="102"/>
        <v>København KommuneVesterbrogade 3</v>
      </c>
      <c r="E2238" s="1" t="s">
        <v>6711</v>
      </c>
      <c r="F2238" s="1" t="s">
        <v>6712</v>
      </c>
      <c r="G2238" s="1">
        <v>2014</v>
      </c>
      <c r="H2238" s="1" t="s">
        <v>11</v>
      </c>
      <c r="I2238" s="6" cm="1">
        <f t="array" ref="I2238">GetLatitude(D2238)</f>
        <v>556760968</v>
      </c>
      <c r="J2238" s="1" cm="1">
        <f t="array" ref="J2238">GetLongitude(D2238)</f>
        <v>125683371</v>
      </c>
      <c r="K2238" s="1">
        <f t="shared" si="103"/>
        <v>55.676096800000003</v>
      </c>
      <c r="L2238" s="1">
        <f t="shared" si="104"/>
        <v>12.568337100000001</v>
      </c>
    </row>
    <row r="2239" spans="1:12" ht="16" x14ac:dyDescent="0.2">
      <c r="A2239" s="1">
        <v>2238</v>
      </c>
      <c r="B2239" s="1" t="s">
        <v>3980</v>
      </c>
      <c r="C2239" s="1" t="s">
        <v>6713</v>
      </c>
      <c r="D2239" s="1" t="str">
        <f t="shared" si="102"/>
        <v>København KommuneVesterbrogade 3, Tivoli</v>
      </c>
      <c r="E2239" s="1" t="s">
        <v>6714</v>
      </c>
      <c r="F2239" s="1" t="s">
        <v>6715</v>
      </c>
      <c r="G2239" s="1">
        <v>1979</v>
      </c>
      <c r="H2239" s="1" t="s">
        <v>701</v>
      </c>
      <c r="I2239" s="6" cm="1">
        <f t="array" ref="I2239">GetLatitude(D2239)</f>
        <v>556736841</v>
      </c>
      <c r="J2239" s="1" cm="1">
        <f t="array" ref="J2239">GetLongitude(D2239)</f>
        <v>125681471</v>
      </c>
      <c r="K2239" s="1">
        <f t="shared" si="103"/>
        <v>55.673684100000003</v>
      </c>
      <c r="L2239" s="1">
        <f t="shared" si="104"/>
        <v>12.568147099999999</v>
      </c>
    </row>
    <row r="2240" spans="1:12" ht="16" x14ac:dyDescent="0.2">
      <c r="A2240" s="1">
        <v>2239</v>
      </c>
      <c r="B2240" s="1" t="s">
        <v>3980</v>
      </c>
      <c r="C2240" s="1" t="s">
        <v>6716</v>
      </c>
      <c r="D2240" s="1" t="str">
        <f t="shared" si="102"/>
        <v>København KommuneVesterbrogade 34</v>
      </c>
      <c r="E2240" s="1" t="s">
        <v>3336</v>
      </c>
      <c r="F2240" s="1" t="s">
        <v>6717</v>
      </c>
      <c r="G2240" s="1">
        <v>1985</v>
      </c>
      <c r="H2240" s="1" t="s">
        <v>11</v>
      </c>
      <c r="I2240" s="6" cm="1">
        <f t="array" ref="I2240">GetLatitude(D2240)</f>
        <v>556760968</v>
      </c>
      <c r="J2240" s="1" cm="1">
        <f t="array" ref="J2240">GetLongitude(D2240)</f>
        <v>125683371</v>
      </c>
      <c r="K2240" s="1">
        <f t="shared" si="103"/>
        <v>55.676096800000003</v>
      </c>
      <c r="L2240" s="1">
        <f t="shared" si="104"/>
        <v>12.568337100000001</v>
      </c>
    </row>
    <row r="2241" spans="1:12" ht="16" x14ac:dyDescent="0.2">
      <c r="A2241" s="1">
        <v>2240</v>
      </c>
      <c r="B2241" s="1" t="s">
        <v>3980</v>
      </c>
      <c r="C2241" s="1" t="s">
        <v>6718</v>
      </c>
      <c r="D2241" s="1" t="str">
        <f t="shared" si="102"/>
        <v>København KommuneVesterbrogade 59</v>
      </c>
      <c r="E2241" s="1" t="s">
        <v>6719</v>
      </c>
      <c r="F2241" s="1" t="s">
        <v>6720</v>
      </c>
      <c r="G2241" s="1">
        <v>1926</v>
      </c>
      <c r="H2241" s="1" t="s">
        <v>15</v>
      </c>
      <c r="I2241" s="6" cm="1">
        <f t="array" ref="I2241">GetLatitude(D2241)</f>
        <v>556760968</v>
      </c>
      <c r="J2241" s="1" cm="1">
        <f t="array" ref="J2241">GetLongitude(D2241)</f>
        <v>125683371</v>
      </c>
      <c r="K2241" s="1">
        <f t="shared" si="103"/>
        <v>55.676096800000003</v>
      </c>
      <c r="L2241" s="1">
        <f t="shared" si="104"/>
        <v>12.568337100000001</v>
      </c>
    </row>
    <row r="2242" spans="1:12" ht="16" x14ac:dyDescent="0.2">
      <c r="A2242" s="1">
        <v>2241</v>
      </c>
      <c r="B2242" s="1" t="s">
        <v>3980</v>
      </c>
      <c r="C2242" s="1" t="s">
        <v>6721</v>
      </c>
      <c r="D2242" s="1" t="str">
        <f t="shared" si="102"/>
        <v>København KommuneVesterbrogade 60 og 60 A-C</v>
      </c>
      <c r="E2242" s="1" t="s">
        <v>6722</v>
      </c>
      <c r="F2242" s="1" t="s">
        <v>6723</v>
      </c>
      <c r="G2242" s="1">
        <v>1981</v>
      </c>
      <c r="H2242" s="1" t="s">
        <v>11</v>
      </c>
      <c r="I2242" s="6" cm="1">
        <f t="array" ref="I2242">GetLatitude(D2242)</f>
        <v>556760968</v>
      </c>
      <c r="J2242" s="1" cm="1">
        <f t="array" ref="J2242">GetLongitude(D2242)</f>
        <v>125683371</v>
      </c>
      <c r="K2242" s="1">
        <f t="shared" si="103"/>
        <v>55.676096800000003</v>
      </c>
      <c r="L2242" s="1">
        <f t="shared" si="104"/>
        <v>12.568337100000001</v>
      </c>
    </row>
    <row r="2243" spans="1:12" ht="16" x14ac:dyDescent="0.2">
      <c r="A2243" s="1">
        <v>2242</v>
      </c>
      <c r="B2243" s="1" t="s">
        <v>3980</v>
      </c>
      <c r="C2243" s="1" t="s">
        <v>6724</v>
      </c>
      <c r="D2243" s="1" t="str">
        <f t="shared" ref="D2243:D2306" si="105">B2243&amp;C2243</f>
        <v>København KommuneVesterbrogade 72 og 72 A-B</v>
      </c>
      <c r="E2243" s="1" t="s">
        <v>6725</v>
      </c>
      <c r="F2243" s="1" t="s">
        <v>6726</v>
      </c>
      <c r="G2243" s="1">
        <v>1979</v>
      </c>
      <c r="H2243" s="1" t="s">
        <v>1483</v>
      </c>
      <c r="I2243" s="6" cm="1">
        <f t="array" ref="I2243">GetLatitude(D2243)</f>
        <v>556760968</v>
      </c>
      <c r="J2243" s="1" cm="1">
        <f t="array" ref="J2243">GetLongitude(D2243)</f>
        <v>125683371</v>
      </c>
      <c r="K2243" s="1">
        <f t="shared" si="103"/>
        <v>55.676096800000003</v>
      </c>
      <c r="L2243" s="1">
        <f t="shared" si="104"/>
        <v>12.568337100000001</v>
      </c>
    </row>
    <row r="2244" spans="1:12" ht="16" x14ac:dyDescent="0.2">
      <c r="A2244" s="1">
        <v>2243</v>
      </c>
      <c r="B2244" s="1" t="s">
        <v>3980</v>
      </c>
      <c r="C2244" s="1" t="s">
        <v>6727</v>
      </c>
      <c r="D2244" s="1" t="str">
        <f t="shared" si="105"/>
        <v xml:space="preserve">København KommuneVesterfælledvej 100 (m.fl. Adresser) </v>
      </c>
      <c r="E2244" s="1" t="s">
        <v>6728</v>
      </c>
      <c r="F2244" s="1" t="s">
        <v>6729</v>
      </c>
      <c r="G2244" s="1">
        <v>1996</v>
      </c>
      <c r="H2244" s="1" t="s">
        <v>11389</v>
      </c>
      <c r="I2244" s="6" cm="1">
        <f t="array" ref="I2244">GetLatitude(D2244)</f>
        <v>556650955</v>
      </c>
      <c r="J2244" s="1" cm="1">
        <f t="array" ref="J2244">GetLongitude(D2244)</f>
        <v>125376777</v>
      </c>
      <c r="K2244" s="1">
        <f t="shared" ref="K2244:K2307" si="106">I2244/10000000</f>
        <v>55.6650955</v>
      </c>
      <c r="L2244" s="1">
        <f t="shared" ref="L2244:L2307" si="107">J2244/10000000</f>
        <v>12.5376777</v>
      </c>
    </row>
    <row r="2245" spans="1:12" ht="16" x14ac:dyDescent="0.2">
      <c r="A2245" s="1">
        <v>2244</v>
      </c>
      <c r="B2245" s="1" t="s">
        <v>3980</v>
      </c>
      <c r="C2245" s="1" t="s">
        <v>6730</v>
      </c>
      <c r="D2245" s="1" t="str">
        <f t="shared" si="105"/>
        <v>København KommuneVestergade 1, hj af Vestergade og Gammeltorv</v>
      </c>
      <c r="E2245" s="1" t="s">
        <v>6731</v>
      </c>
      <c r="F2245" s="1" t="s">
        <v>4288</v>
      </c>
      <c r="G2245" s="1">
        <v>1950</v>
      </c>
      <c r="H2245" s="1" t="s">
        <v>11</v>
      </c>
      <c r="I2245" s="6" cm="1">
        <f t="array" ref="I2245">GetLatitude(D2245)</f>
        <v>556760968</v>
      </c>
      <c r="J2245" s="1" cm="1">
        <f t="array" ref="J2245">GetLongitude(D2245)</f>
        <v>125683371</v>
      </c>
      <c r="K2245" s="1">
        <f t="shared" si="106"/>
        <v>55.676096800000003</v>
      </c>
      <c r="L2245" s="1">
        <f t="shared" si="107"/>
        <v>12.568337100000001</v>
      </c>
    </row>
    <row r="2246" spans="1:12" ht="16" x14ac:dyDescent="0.2">
      <c r="A2246" s="1">
        <v>2245</v>
      </c>
      <c r="B2246" s="1" t="s">
        <v>3980</v>
      </c>
      <c r="C2246" s="1" t="s">
        <v>6732</v>
      </c>
      <c r="D2246" s="1" t="str">
        <f t="shared" si="105"/>
        <v>København KommuneVestergade 14-16, hj af Larsbjørnsstræde</v>
      </c>
      <c r="E2246" s="1" t="s">
        <v>6733</v>
      </c>
      <c r="F2246" s="1" t="s">
        <v>6734</v>
      </c>
      <c r="G2246" s="1">
        <v>1939</v>
      </c>
      <c r="H2246" s="1" t="s">
        <v>15</v>
      </c>
      <c r="I2246" s="6" cm="1">
        <f t="array" ref="I2246">GetLatitude(D2246)</f>
        <v>556784476</v>
      </c>
      <c r="J2246" s="1" cm="1">
        <f t="array" ref="J2246">GetLongitude(D2246)</f>
        <v>125693947</v>
      </c>
      <c r="K2246" s="1">
        <f t="shared" si="106"/>
        <v>55.678447599999998</v>
      </c>
      <c r="L2246" s="1">
        <f t="shared" si="107"/>
        <v>12.5693947</v>
      </c>
    </row>
    <row r="2247" spans="1:12" ht="16" x14ac:dyDescent="0.2">
      <c r="A2247" s="1">
        <v>2246</v>
      </c>
      <c r="B2247" s="1" t="s">
        <v>3980</v>
      </c>
      <c r="C2247" s="1" t="s">
        <v>6735</v>
      </c>
      <c r="D2247" s="1" t="str">
        <f t="shared" si="105"/>
        <v>København KommuneVestergade 15, hj af Kattesundet</v>
      </c>
      <c r="E2247" s="1" t="s">
        <v>6736</v>
      </c>
      <c r="F2247" s="1" t="s">
        <v>6737</v>
      </c>
      <c r="G2247" s="1">
        <v>1959</v>
      </c>
      <c r="H2247" s="1" t="s">
        <v>701</v>
      </c>
      <c r="I2247" s="6" cm="1">
        <f t="array" ref="I2247">GetLatitude(D2247)</f>
        <v>556772902</v>
      </c>
      <c r="J2247" s="1" cm="1">
        <f t="array" ref="J2247">GetLongitude(D2247)</f>
        <v>125711598</v>
      </c>
      <c r="K2247" s="1">
        <f t="shared" si="106"/>
        <v>55.677290200000002</v>
      </c>
      <c r="L2247" s="1">
        <f t="shared" si="107"/>
        <v>12.5711598</v>
      </c>
    </row>
    <row r="2248" spans="1:12" ht="16" x14ac:dyDescent="0.2">
      <c r="A2248" s="1">
        <v>2247</v>
      </c>
      <c r="B2248" s="1" t="s">
        <v>3980</v>
      </c>
      <c r="C2248" s="1" t="s">
        <v>6738</v>
      </c>
      <c r="D2248" s="1" t="str">
        <f t="shared" si="105"/>
        <v>København KommuneVestergade 2</v>
      </c>
      <c r="E2248" s="1" t="s">
        <v>6739</v>
      </c>
      <c r="F2248" s="1" t="s">
        <v>4156</v>
      </c>
      <c r="G2248" s="1">
        <v>1918</v>
      </c>
      <c r="H2248" s="1" t="s">
        <v>99</v>
      </c>
      <c r="I2248" s="6" cm="1">
        <f t="array" ref="I2248">GetLatitude(D2248)</f>
        <v>556781769</v>
      </c>
      <c r="J2248" s="1" cm="1">
        <f t="array" ref="J2248">GetLongitude(D2248)</f>
        <v>125712339</v>
      </c>
      <c r="K2248" s="1">
        <f t="shared" si="106"/>
        <v>55.678176899999997</v>
      </c>
      <c r="L2248" s="1">
        <f t="shared" si="107"/>
        <v>12.571233899999999</v>
      </c>
    </row>
    <row r="2249" spans="1:12" ht="16" x14ac:dyDescent="0.2">
      <c r="A2249" s="1">
        <v>2248</v>
      </c>
      <c r="B2249" s="1" t="s">
        <v>3980</v>
      </c>
      <c r="C2249" s="1" t="s">
        <v>6740</v>
      </c>
      <c r="D2249" s="1" t="str">
        <f t="shared" si="105"/>
        <v>København KommuneVestergade 20</v>
      </c>
      <c r="E2249" s="1" t="s">
        <v>6740</v>
      </c>
      <c r="F2249" s="1" t="s">
        <v>6741</v>
      </c>
      <c r="G2249" s="1">
        <v>1939</v>
      </c>
      <c r="H2249" s="1" t="s">
        <v>11</v>
      </c>
      <c r="I2249" s="6" cm="1">
        <f t="array" ref="I2249">GetLatitude(D2249)</f>
        <v>556773628</v>
      </c>
      <c r="J2249" s="1" cm="1">
        <f t="array" ref="J2249">GetLongitude(D2249)</f>
        <v>125694985</v>
      </c>
      <c r="K2249" s="1">
        <f t="shared" si="106"/>
        <v>55.677362799999997</v>
      </c>
      <c r="L2249" s="1">
        <f t="shared" si="107"/>
        <v>12.5694985</v>
      </c>
    </row>
    <row r="2250" spans="1:12" ht="16" x14ac:dyDescent="0.2">
      <c r="A2250" s="1">
        <v>2249</v>
      </c>
      <c r="B2250" s="1" t="s">
        <v>3980</v>
      </c>
      <c r="C2250" s="1" t="s">
        <v>6742</v>
      </c>
      <c r="D2250" s="1" t="str">
        <f t="shared" si="105"/>
        <v>København KommuneVestergade 21</v>
      </c>
      <c r="E2250" s="1" t="s">
        <v>6743</v>
      </c>
      <c r="F2250" s="1" t="s">
        <v>6744</v>
      </c>
      <c r="G2250" s="1">
        <v>1977</v>
      </c>
      <c r="H2250" s="1" t="s">
        <v>99</v>
      </c>
      <c r="I2250" s="6" cm="1">
        <f t="array" ref="I2250">GetLatitude(D2250)</f>
        <v>556774276</v>
      </c>
      <c r="J2250" s="1" cm="1">
        <f t="array" ref="J2250">GetLongitude(D2250)</f>
        <v>125699465</v>
      </c>
      <c r="K2250" s="1">
        <f t="shared" si="106"/>
        <v>55.677427600000001</v>
      </c>
      <c r="L2250" s="1">
        <f t="shared" si="107"/>
        <v>12.5699465</v>
      </c>
    </row>
    <row r="2251" spans="1:12" ht="16" x14ac:dyDescent="0.2">
      <c r="A2251" s="1">
        <v>2250</v>
      </c>
      <c r="B2251" s="1" t="s">
        <v>3980</v>
      </c>
      <c r="C2251" s="1" t="s">
        <v>6745</v>
      </c>
      <c r="D2251" s="1" t="str">
        <f t="shared" si="105"/>
        <v>København KommuneVestergade 22</v>
      </c>
      <c r="E2251" s="1" t="s">
        <v>6745</v>
      </c>
      <c r="F2251" s="1" t="s">
        <v>6257</v>
      </c>
      <c r="G2251" s="1">
        <v>1959</v>
      </c>
      <c r="H2251" s="1" t="s">
        <v>11</v>
      </c>
      <c r="I2251" s="6" cm="1">
        <f t="array" ref="I2251">GetLatitude(D2251)</f>
        <v>556772803</v>
      </c>
      <c r="J2251" s="1" cm="1">
        <f t="array" ref="J2251">GetLongitude(D2251)</f>
        <v>125692929</v>
      </c>
      <c r="K2251" s="1">
        <f t="shared" si="106"/>
        <v>55.6772803</v>
      </c>
      <c r="L2251" s="1">
        <f t="shared" si="107"/>
        <v>12.569292900000001</v>
      </c>
    </row>
    <row r="2252" spans="1:12" ht="16" x14ac:dyDescent="0.2">
      <c r="A2252" s="1">
        <v>2251</v>
      </c>
      <c r="B2252" s="1" t="s">
        <v>3980</v>
      </c>
      <c r="C2252" s="1" t="s">
        <v>6746</v>
      </c>
      <c r="D2252" s="1" t="str">
        <f t="shared" si="105"/>
        <v>København KommuneVestergade 24</v>
      </c>
      <c r="E2252" s="1" t="s">
        <v>6747</v>
      </c>
      <c r="F2252" s="1" t="s">
        <v>1235</v>
      </c>
      <c r="G2252" s="1">
        <v>1959</v>
      </c>
      <c r="H2252" s="1" t="s">
        <v>11</v>
      </c>
      <c r="I2252" s="6" cm="1">
        <f t="array" ref="I2252">GetLatitude(D2252)</f>
        <v>556771936</v>
      </c>
      <c r="J2252" s="1" cm="1">
        <f t="array" ref="J2252">GetLongitude(D2252)</f>
        <v>125691540</v>
      </c>
      <c r="K2252" s="1">
        <f t="shared" si="106"/>
        <v>55.677193600000003</v>
      </c>
      <c r="L2252" s="1">
        <f t="shared" si="107"/>
        <v>12.569153999999999</v>
      </c>
    </row>
    <row r="2253" spans="1:12" ht="16" x14ac:dyDescent="0.2">
      <c r="A2253" s="1">
        <v>2252</v>
      </c>
      <c r="B2253" s="1" t="s">
        <v>3980</v>
      </c>
      <c r="C2253" s="1" t="s">
        <v>6748</v>
      </c>
      <c r="D2253" s="1" t="str">
        <f t="shared" si="105"/>
        <v>København KommuneVestergade 26</v>
      </c>
      <c r="E2253" s="1" t="s">
        <v>6749</v>
      </c>
      <c r="F2253" s="1" t="s">
        <v>4156</v>
      </c>
      <c r="G2253" s="1">
        <v>1939</v>
      </c>
      <c r="H2253" s="1" t="s">
        <v>11</v>
      </c>
      <c r="I2253" s="6" cm="1">
        <f t="array" ref="I2253">GetLatitude(D2253)</f>
        <v>556771383</v>
      </c>
      <c r="J2253" s="1" cm="1">
        <f t="array" ref="J2253">GetLongitude(D2253)</f>
        <v>125689620</v>
      </c>
      <c r="K2253" s="1">
        <f t="shared" si="106"/>
        <v>55.677138300000003</v>
      </c>
      <c r="L2253" s="1">
        <f t="shared" si="107"/>
        <v>12.568962000000001</v>
      </c>
    </row>
    <row r="2254" spans="1:12" ht="16" x14ac:dyDescent="0.2">
      <c r="A2254" s="1">
        <v>2253</v>
      </c>
      <c r="B2254" s="1" t="s">
        <v>3980</v>
      </c>
      <c r="C2254" s="1" t="s">
        <v>6750</v>
      </c>
      <c r="D2254" s="1" t="str">
        <f t="shared" si="105"/>
        <v>København KommuneVestergade 27</v>
      </c>
      <c r="E2254" s="1" t="s">
        <v>6751</v>
      </c>
      <c r="F2254" s="1" t="s">
        <v>6752</v>
      </c>
      <c r="G2254" s="1">
        <v>1959</v>
      </c>
      <c r="H2254" s="1" t="s">
        <v>11</v>
      </c>
      <c r="I2254" s="6" cm="1">
        <f t="array" ref="I2254">GetLatitude(D2254)</f>
        <v>556772413</v>
      </c>
      <c r="J2254" s="1" cm="1">
        <f t="array" ref="J2254">GetLongitude(D2254)</f>
        <v>125696686</v>
      </c>
      <c r="K2254" s="1">
        <f t="shared" si="106"/>
        <v>55.677241299999999</v>
      </c>
      <c r="L2254" s="1">
        <f t="shared" si="107"/>
        <v>12.5696686</v>
      </c>
    </row>
    <row r="2255" spans="1:12" ht="16" x14ac:dyDescent="0.2">
      <c r="A2255" s="1">
        <v>2254</v>
      </c>
      <c r="B2255" s="1" t="s">
        <v>3980</v>
      </c>
      <c r="C2255" s="1" t="s">
        <v>2070</v>
      </c>
      <c r="D2255" s="1" t="str">
        <f t="shared" si="105"/>
        <v>København KommuneVestergade 3</v>
      </c>
      <c r="E2255" s="1" t="s">
        <v>2071</v>
      </c>
      <c r="F2255" s="1" t="s">
        <v>6753</v>
      </c>
      <c r="G2255" s="1">
        <v>1959</v>
      </c>
      <c r="H2255" s="1" t="s">
        <v>4003</v>
      </c>
      <c r="I2255" s="6" cm="1">
        <f t="array" ref="I2255">GetLatitude(D2255)</f>
        <v>556778607</v>
      </c>
      <c r="J2255" s="1" cm="1">
        <f t="array" ref="J2255">GetLongitude(D2255)</f>
        <v>125713456</v>
      </c>
      <c r="K2255" s="1">
        <f t="shared" si="106"/>
        <v>55.677860699999997</v>
      </c>
      <c r="L2255" s="1">
        <f t="shared" si="107"/>
        <v>12.571345600000001</v>
      </c>
    </row>
    <row r="2256" spans="1:12" ht="16" x14ac:dyDescent="0.2">
      <c r="A2256" s="1">
        <v>2255</v>
      </c>
      <c r="B2256" s="1" t="s">
        <v>3980</v>
      </c>
      <c r="C2256" s="1" t="s">
        <v>2073</v>
      </c>
      <c r="D2256" s="1" t="str">
        <f t="shared" si="105"/>
        <v>København KommuneVestergade 5</v>
      </c>
      <c r="E2256" s="1" t="s">
        <v>6754</v>
      </c>
      <c r="F2256" s="1" t="s">
        <v>4156</v>
      </c>
      <c r="G2256" s="1">
        <v>1918</v>
      </c>
      <c r="H2256" s="1" t="s">
        <v>11</v>
      </c>
      <c r="I2256" s="6" cm="1">
        <f t="array" ref="I2256">GetLatitude(D2256)</f>
        <v>556779525</v>
      </c>
      <c r="J2256" s="1" cm="1">
        <f t="array" ref="J2256">GetLongitude(D2256)</f>
        <v>125710941</v>
      </c>
      <c r="K2256" s="1">
        <f t="shared" si="106"/>
        <v>55.677952500000004</v>
      </c>
      <c r="L2256" s="1">
        <f t="shared" si="107"/>
        <v>12.5710941</v>
      </c>
    </row>
    <row r="2257" spans="1:12" ht="16" x14ac:dyDescent="0.2">
      <c r="A2257" s="1">
        <v>2256</v>
      </c>
      <c r="B2257" s="1" t="s">
        <v>3980</v>
      </c>
      <c r="C2257" s="1" t="s">
        <v>6755</v>
      </c>
      <c r="D2257" s="1" t="str">
        <f t="shared" si="105"/>
        <v>København KommuneVestergade 7</v>
      </c>
      <c r="E2257" s="1" t="s">
        <v>6756</v>
      </c>
      <c r="F2257" s="1" t="s">
        <v>6757</v>
      </c>
      <c r="G2257" s="1">
        <v>1991</v>
      </c>
      <c r="H2257" s="1" t="s">
        <v>11</v>
      </c>
      <c r="I2257" s="6" cm="1">
        <f t="array" ref="I2257">GetLatitude(D2257)</f>
        <v>556778222</v>
      </c>
      <c r="J2257" s="1" cm="1">
        <f t="array" ref="J2257">GetLongitude(D2257)</f>
        <v>125708670</v>
      </c>
      <c r="K2257" s="1">
        <f t="shared" si="106"/>
        <v>55.677822200000001</v>
      </c>
      <c r="L2257" s="1">
        <f t="shared" si="107"/>
        <v>12.570867</v>
      </c>
    </row>
    <row r="2258" spans="1:12" ht="16" x14ac:dyDescent="0.2">
      <c r="A2258" s="1">
        <v>2257</v>
      </c>
      <c r="B2258" s="1" t="s">
        <v>3980</v>
      </c>
      <c r="C2258" s="1" t="s">
        <v>6758</v>
      </c>
      <c r="D2258" s="1" t="str">
        <f t="shared" si="105"/>
        <v>København KommuneVester Søgade 44-78 og Gyldenløvesgade 21 og 25</v>
      </c>
      <c r="E2258" s="1" t="s">
        <v>6759</v>
      </c>
      <c r="F2258" s="1" t="s">
        <v>6760</v>
      </c>
      <c r="G2258" s="1">
        <v>1994</v>
      </c>
      <c r="H2258" s="1" t="s">
        <v>11</v>
      </c>
      <c r="I2258" s="6" cm="1">
        <f t="array" ref="I2258">GetLatitude(D2258)</f>
        <v>556818390</v>
      </c>
      <c r="J2258" s="1" cm="1">
        <f t="array" ref="J2258">GetLongitude(D2258)</f>
        <v>125586031</v>
      </c>
      <c r="K2258" s="1">
        <f t="shared" si="106"/>
        <v>55.681838999999997</v>
      </c>
      <c r="L2258" s="1">
        <f t="shared" si="107"/>
        <v>12.558603099999999</v>
      </c>
    </row>
    <row r="2259" spans="1:12" ht="16" x14ac:dyDescent="0.2">
      <c r="A2259" s="1">
        <v>2258</v>
      </c>
      <c r="B2259" s="1" t="s">
        <v>3980</v>
      </c>
      <c r="C2259" s="1" t="s">
        <v>6761</v>
      </c>
      <c r="D2259" s="1" t="str">
        <f t="shared" si="105"/>
        <v>København KommuneVester Voldgade 19, hj af Studiestræde</v>
      </c>
      <c r="E2259" s="1" t="s">
        <v>6762</v>
      </c>
      <c r="F2259" s="1" t="s">
        <v>6763</v>
      </c>
      <c r="G2259" s="1">
        <v>1974</v>
      </c>
      <c r="H2259" s="1" t="s">
        <v>11</v>
      </c>
      <c r="I2259" s="6" cm="1">
        <f t="array" ref="I2259">GetLatitude(D2259)</f>
        <v>556777666</v>
      </c>
      <c r="J2259" s="1" cm="1">
        <f t="array" ref="J2259">GetLongitude(D2259)</f>
        <v>125673798</v>
      </c>
      <c r="K2259" s="1">
        <f t="shared" si="106"/>
        <v>55.677766599999998</v>
      </c>
      <c r="L2259" s="1">
        <f t="shared" si="107"/>
        <v>12.567379799999999</v>
      </c>
    </row>
    <row r="2260" spans="1:12" ht="16" x14ac:dyDescent="0.2">
      <c r="A2260" s="1">
        <v>2259</v>
      </c>
      <c r="B2260" s="1" t="s">
        <v>3980</v>
      </c>
      <c r="C2260" s="1" t="s">
        <v>6764</v>
      </c>
      <c r="D2260" s="1" t="str">
        <f t="shared" si="105"/>
        <v>København KommuneViktoriagade 10</v>
      </c>
      <c r="E2260" s="1" t="s">
        <v>6765</v>
      </c>
      <c r="F2260" s="1" t="s">
        <v>6766</v>
      </c>
      <c r="G2260" s="1">
        <v>1986</v>
      </c>
      <c r="H2260" s="1" t="s">
        <v>11</v>
      </c>
      <c r="I2260" s="6" cm="1">
        <f t="array" ref="I2260">GetLatitude(D2260)</f>
        <v>556717869</v>
      </c>
      <c r="J2260" s="1" cm="1">
        <f t="array" ref="J2260">GetLongitude(D2260)</f>
        <v>125576608</v>
      </c>
      <c r="K2260" s="1">
        <f t="shared" si="106"/>
        <v>55.671786900000001</v>
      </c>
      <c r="L2260" s="1">
        <f t="shared" si="107"/>
        <v>12.557660800000001</v>
      </c>
    </row>
    <row r="2261" spans="1:12" ht="16" x14ac:dyDescent="0.2">
      <c r="A2261" s="1">
        <v>2260</v>
      </c>
      <c r="B2261" s="1" t="s">
        <v>3980</v>
      </c>
      <c r="C2261" s="1" t="s">
        <v>6767</v>
      </c>
      <c r="D2261" s="1" t="str">
        <f t="shared" si="105"/>
        <v>København KommuneViktoriagade 12</v>
      </c>
      <c r="E2261" s="1" t="s">
        <v>6768</v>
      </c>
      <c r="F2261" s="1" t="s">
        <v>6769</v>
      </c>
      <c r="G2261" s="1">
        <v>1986</v>
      </c>
      <c r="H2261" s="1" t="s">
        <v>11</v>
      </c>
      <c r="I2261" s="6" cm="1">
        <f t="array" ref="I2261">GetLatitude(D2261)</f>
        <v>556716899</v>
      </c>
      <c r="J2261" s="1" cm="1">
        <f t="array" ref="J2261">GetLongitude(D2261)</f>
        <v>125577458</v>
      </c>
      <c r="K2261" s="1">
        <f t="shared" si="106"/>
        <v>55.671689899999997</v>
      </c>
      <c r="L2261" s="1">
        <f t="shared" si="107"/>
        <v>12.557745799999999</v>
      </c>
    </row>
    <row r="2262" spans="1:12" ht="16" x14ac:dyDescent="0.2">
      <c r="A2262" s="1">
        <v>2261</v>
      </c>
      <c r="B2262" s="1" t="s">
        <v>3980</v>
      </c>
      <c r="C2262" s="1" t="s">
        <v>6770</v>
      </c>
      <c r="D2262" s="1" t="str">
        <f t="shared" si="105"/>
        <v>København KommuneViktoriagade 8</v>
      </c>
      <c r="E2262" s="1" t="s">
        <v>6771</v>
      </c>
      <c r="F2262" s="1" t="s">
        <v>1489</v>
      </c>
      <c r="G2262" s="1">
        <v>1984</v>
      </c>
      <c r="H2262" s="1" t="s">
        <v>11</v>
      </c>
      <c r="I2262" s="6" cm="1">
        <f t="array" ref="I2262">GetLatitude(D2262)</f>
        <v>556720065</v>
      </c>
      <c r="J2262" s="1" cm="1">
        <f t="array" ref="J2262">GetLongitude(D2262)</f>
        <v>125573986</v>
      </c>
      <c r="K2262" s="1">
        <f t="shared" si="106"/>
        <v>55.672006500000002</v>
      </c>
      <c r="L2262" s="1">
        <f t="shared" si="107"/>
        <v>12.557398600000001</v>
      </c>
    </row>
    <row r="2263" spans="1:12" ht="16" x14ac:dyDescent="0.2">
      <c r="A2263" s="1">
        <v>2262</v>
      </c>
      <c r="B2263" s="1" t="s">
        <v>3980</v>
      </c>
      <c r="C2263" s="1" t="s">
        <v>6772</v>
      </c>
      <c r="D2263" s="1" t="str">
        <f t="shared" si="105"/>
        <v>København KommuneVingårdsstræde 22 og Nikolaj Plads 15 (tidl Nikolaj Plads 13)</v>
      </c>
      <c r="E2263" s="1" t="s">
        <v>6773</v>
      </c>
      <c r="F2263" s="1" t="s">
        <v>6774</v>
      </c>
      <c r="G2263" s="1">
        <v>1959</v>
      </c>
      <c r="H2263" s="1" t="s">
        <v>701</v>
      </c>
      <c r="I2263" s="6" cm="1">
        <f t="array" ref="I2263">GetLatitude(D2263)</f>
        <v>556784148</v>
      </c>
      <c r="J2263" s="1" cm="1">
        <f t="array" ref="J2263">GetLongitude(D2263)</f>
        <v>125822101</v>
      </c>
      <c r="K2263" s="1">
        <f t="shared" si="106"/>
        <v>55.678414799999999</v>
      </c>
      <c r="L2263" s="1">
        <f t="shared" si="107"/>
        <v>12.582210099999999</v>
      </c>
    </row>
    <row r="2264" spans="1:12" ht="16" x14ac:dyDescent="0.2">
      <c r="A2264" s="1">
        <v>2263</v>
      </c>
      <c r="B2264" s="1" t="s">
        <v>3980</v>
      </c>
      <c r="C2264" s="1" t="s">
        <v>6775</v>
      </c>
      <c r="D2264" s="1" t="str">
        <f t="shared" si="105"/>
        <v>København KommuneVingårdstræde 19</v>
      </c>
      <c r="E2264" s="1" t="s">
        <v>6776</v>
      </c>
      <c r="F2264" s="1" t="s">
        <v>6777</v>
      </c>
      <c r="G2264" s="1">
        <v>1959</v>
      </c>
      <c r="H2264" s="1" t="s">
        <v>11</v>
      </c>
      <c r="I2264" s="6" cm="1">
        <f t="array" ref="I2264">GetLatitude(D2264)</f>
        <v>556784280</v>
      </c>
      <c r="J2264" s="1" cm="1">
        <f t="array" ref="J2264">GetLongitude(D2264)</f>
        <v>125828588</v>
      </c>
      <c r="K2264" s="1">
        <f t="shared" si="106"/>
        <v>55.678427999999997</v>
      </c>
      <c r="L2264" s="1">
        <f t="shared" si="107"/>
        <v>12.5828588</v>
      </c>
    </row>
    <row r="2265" spans="1:12" ht="16" x14ac:dyDescent="0.2">
      <c r="A2265" s="1">
        <v>2264</v>
      </c>
      <c r="B2265" s="1" t="s">
        <v>3980</v>
      </c>
      <c r="C2265" s="1" t="s">
        <v>6778</v>
      </c>
      <c r="D2265" s="1" t="str">
        <f t="shared" si="105"/>
        <v>København KommuneVingårdstræde 20</v>
      </c>
      <c r="E2265" s="1" t="s">
        <v>6779</v>
      </c>
      <c r="F2265" s="1" t="s">
        <v>6780</v>
      </c>
      <c r="G2265" s="1">
        <v>1959</v>
      </c>
      <c r="H2265" s="1" t="s">
        <v>11</v>
      </c>
      <c r="I2265" s="6" cm="1">
        <f t="array" ref="I2265">GetLatitude(D2265)</f>
        <v>556786090</v>
      </c>
      <c r="J2265" s="1" cm="1">
        <f t="array" ref="J2265">GetLongitude(D2265)</f>
        <v>125828141</v>
      </c>
      <c r="K2265" s="1">
        <f t="shared" si="106"/>
        <v>55.678609000000002</v>
      </c>
      <c r="L2265" s="1">
        <f t="shared" si="107"/>
        <v>12.5828141</v>
      </c>
    </row>
    <row r="2266" spans="1:12" ht="16" x14ac:dyDescent="0.2">
      <c r="A2266" s="1">
        <v>2265</v>
      </c>
      <c r="B2266" s="1" t="s">
        <v>3980</v>
      </c>
      <c r="C2266" s="1" t="s">
        <v>6781</v>
      </c>
      <c r="D2266" s="1" t="str">
        <f t="shared" si="105"/>
        <v>København KommuneVingårdstræde 21, hj af Nikolajgade</v>
      </c>
      <c r="E2266" s="1" t="s">
        <v>6782</v>
      </c>
      <c r="F2266" s="1" t="s">
        <v>6783</v>
      </c>
      <c r="G2266" s="1">
        <v>1945</v>
      </c>
      <c r="H2266" s="1" t="s">
        <v>11</v>
      </c>
      <c r="I2266" s="6" cm="1">
        <f t="array" ref="I2266">GetLatitude(D2266)</f>
        <v>556784140</v>
      </c>
      <c r="J2266" s="1" cm="1">
        <f t="array" ref="J2266">GetLongitude(D2266)</f>
        <v>125825440</v>
      </c>
      <c r="K2266" s="1">
        <f t="shared" si="106"/>
        <v>55.678413999999997</v>
      </c>
      <c r="L2266" s="1">
        <f t="shared" si="107"/>
        <v>12.582544</v>
      </c>
    </row>
    <row r="2267" spans="1:12" ht="16" x14ac:dyDescent="0.2">
      <c r="A2267" s="1">
        <v>2266</v>
      </c>
      <c r="B2267" s="1" t="s">
        <v>3980</v>
      </c>
      <c r="C2267" s="1" t="s">
        <v>6784</v>
      </c>
      <c r="D2267" s="1" t="str">
        <f t="shared" si="105"/>
        <v>København KommuneVingårdstræde 6</v>
      </c>
      <c r="E2267" s="1" t="s">
        <v>6785</v>
      </c>
      <c r="F2267" s="1" t="s">
        <v>6786</v>
      </c>
      <c r="G2267" s="1">
        <v>1918</v>
      </c>
      <c r="H2267" s="1" t="s">
        <v>11</v>
      </c>
      <c r="I2267" s="6" cm="1">
        <f t="array" ref="I2267">GetLatitude(D2267)</f>
        <v>556787794</v>
      </c>
      <c r="J2267" s="1" cm="1">
        <f t="array" ref="J2267">GetLongitude(D2267)</f>
        <v>125839834</v>
      </c>
      <c r="K2267" s="1">
        <f t="shared" si="106"/>
        <v>55.678779400000003</v>
      </c>
      <c r="L2267" s="1">
        <f t="shared" si="107"/>
        <v>12.583983399999999</v>
      </c>
    </row>
    <row r="2268" spans="1:12" ht="16" x14ac:dyDescent="0.2">
      <c r="A2268" s="1">
        <v>2267</v>
      </c>
      <c r="B2268" s="1" t="s">
        <v>3980</v>
      </c>
      <c r="C2268" s="1" t="s">
        <v>6787</v>
      </c>
      <c r="D2268" s="1" t="str">
        <f t="shared" si="105"/>
        <v>København KommuneWagnersvej 19</v>
      </c>
      <c r="E2268" s="1" t="s">
        <v>6788</v>
      </c>
      <c r="F2268" s="1" t="s">
        <v>6789</v>
      </c>
      <c r="G2268" s="1">
        <v>1992</v>
      </c>
      <c r="H2268" s="1" t="s">
        <v>15</v>
      </c>
      <c r="I2268" s="6" cm="1">
        <f t="array" ref="I2268">GetLatitude(D2268)</f>
        <v>556464766</v>
      </c>
      <c r="J2268" s="1" cm="1">
        <f t="array" ref="J2268">GetLongitude(D2268)</f>
        <v>125292862</v>
      </c>
      <c r="K2268" s="1">
        <f t="shared" si="106"/>
        <v>55.6464766</v>
      </c>
      <c r="L2268" s="1">
        <f t="shared" si="107"/>
        <v>12.5292862</v>
      </c>
    </row>
    <row r="2269" spans="1:12" ht="16" x14ac:dyDescent="0.2">
      <c r="A2269" s="1">
        <v>2268</v>
      </c>
      <c r="B2269" s="1" t="s">
        <v>3980</v>
      </c>
      <c r="C2269" s="1" t="s">
        <v>6790</v>
      </c>
      <c r="D2269" s="1" t="str">
        <f t="shared" si="105"/>
        <v>København KommuneWildersgade 15</v>
      </c>
      <c r="E2269" s="1" t="s">
        <v>6791</v>
      </c>
      <c r="F2269" s="1" t="s">
        <v>6792</v>
      </c>
      <c r="G2269" s="1">
        <v>1964</v>
      </c>
      <c r="H2269" s="1" t="s">
        <v>11</v>
      </c>
      <c r="I2269" s="6" cm="1">
        <f t="array" ref="I2269">GetLatitude(D2269)</f>
        <v>556727843</v>
      </c>
      <c r="J2269" s="1" cm="1">
        <f t="array" ref="J2269">GetLongitude(D2269)</f>
        <v>125892255</v>
      </c>
      <c r="K2269" s="1">
        <f t="shared" si="106"/>
        <v>55.672784299999996</v>
      </c>
      <c r="L2269" s="1">
        <f t="shared" si="107"/>
        <v>12.5892255</v>
      </c>
    </row>
    <row r="2270" spans="1:12" ht="16" x14ac:dyDescent="0.2">
      <c r="A2270" s="1">
        <v>2269</v>
      </c>
      <c r="B2270" s="1" t="s">
        <v>3980</v>
      </c>
      <c r="C2270" s="1" t="s">
        <v>6793</v>
      </c>
      <c r="D2270" s="1" t="str">
        <f t="shared" si="105"/>
        <v>København KommuneWildersgade 17</v>
      </c>
      <c r="E2270" s="1" t="s">
        <v>6794</v>
      </c>
      <c r="F2270" s="1" t="s">
        <v>6795</v>
      </c>
      <c r="G2270" s="1">
        <v>1989</v>
      </c>
      <c r="H2270" s="1" t="s">
        <v>15</v>
      </c>
      <c r="I2270" s="6" cm="1">
        <f t="array" ref="I2270">GetLatitude(D2270)</f>
        <v>556728319</v>
      </c>
      <c r="J2270" s="1" cm="1">
        <f t="array" ref="J2270">GetLongitude(D2270)</f>
        <v>125892976</v>
      </c>
      <c r="K2270" s="1">
        <f t="shared" si="106"/>
        <v>55.672831899999998</v>
      </c>
      <c r="L2270" s="1">
        <f t="shared" si="107"/>
        <v>12.5892976</v>
      </c>
    </row>
    <row r="2271" spans="1:12" ht="16" x14ac:dyDescent="0.2">
      <c r="A2271" s="1">
        <v>2270</v>
      </c>
      <c r="B2271" s="1" t="s">
        <v>3980</v>
      </c>
      <c r="C2271" s="1" t="s">
        <v>6796</v>
      </c>
      <c r="D2271" s="1" t="str">
        <f t="shared" si="105"/>
        <v>København KommuneWildersgade 19</v>
      </c>
      <c r="E2271" s="1" t="s">
        <v>6797</v>
      </c>
      <c r="F2271" s="1" t="s">
        <v>6798</v>
      </c>
      <c r="G2271" s="1">
        <v>1989</v>
      </c>
      <c r="H2271" s="1" t="s">
        <v>11</v>
      </c>
      <c r="I2271" s="6" cm="1">
        <f t="array" ref="I2271">GetLatitude(D2271)</f>
        <v>556728463</v>
      </c>
      <c r="J2271" s="1" cm="1">
        <f t="array" ref="J2271">GetLongitude(D2271)</f>
        <v>125893703</v>
      </c>
      <c r="K2271" s="1">
        <f t="shared" si="106"/>
        <v>55.672846300000003</v>
      </c>
      <c r="L2271" s="1">
        <f t="shared" si="107"/>
        <v>12.589370300000001</v>
      </c>
    </row>
    <row r="2272" spans="1:12" ht="16" x14ac:dyDescent="0.2">
      <c r="A2272" s="1">
        <v>2271</v>
      </c>
      <c r="B2272" s="1" t="s">
        <v>3980</v>
      </c>
      <c r="C2272" s="1" t="s">
        <v>6799</v>
      </c>
      <c r="D2272" s="1" t="str">
        <f t="shared" si="105"/>
        <v>København KommuneWildersgade 20, Overgaden neden Vandet 17</v>
      </c>
      <c r="E2272" s="1" t="s">
        <v>6800</v>
      </c>
      <c r="F2272" s="1" t="s">
        <v>6801</v>
      </c>
      <c r="G2272" s="1">
        <v>1989</v>
      </c>
      <c r="H2272" s="1" t="s">
        <v>11</v>
      </c>
      <c r="I2272" s="6" cm="1">
        <f t="array" ref="I2272">GetLatitude(D2272)</f>
        <v>556727186</v>
      </c>
      <c r="J2272" s="1" cm="1">
        <f t="array" ref="J2272">GetLongitude(D2272)</f>
        <v>125895391</v>
      </c>
      <c r="K2272" s="1">
        <f t="shared" si="106"/>
        <v>55.672718600000003</v>
      </c>
      <c r="L2272" s="1">
        <f t="shared" si="107"/>
        <v>12.5895391</v>
      </c>
    </row>
    <row r="2273" spans="1:12" ht="16" x14ac:dyDescent="0.2">
      <c r="A2273" s="1">
        <v>2272</v>
      </c>
      <c r="B2273" s="1" t="s">
        <v>3980</v>
      </c>
      <c r="C2273" s="1" t="s">
        <v>6802</v>
      </c>
      <c r="D2273" s="1" t="str">
        <f t="shared" si="105"/>
        <v>København KommuneWildersgade 34</v>
      </c>
      <c r="E2273" s="1" t="s">
        <v>6803</v>
      </c>
      <c r="F2273" s="1" t="s">
        <v>6804</v>
      </c>
      <c r="G2273" s="1">
        <v>1959</v>
      </c>
      <c r="H2273" s="1" t="s">
        <v>11</v>
      </c>
      <c r="I2273" s="6" cm="1">
        <f t="array" ref="I2273">GetLatitude(D2273)</f>
        <v>556733253</v>
      </c>
      <c r="J2273" s="1" cm="1">
        <f t="array" ref="J2273">GetLongitude(D2273)</f>
        <v>125904875</v>
      </c>
      <c r="K2273" s="1">
        <f t="shared" si="106"/>
        <v>55.673325300000002</v>
      </c>
      <c r="L2273" s="1">
        <f t="shared" si="107"/>
        <v>12.5904875</v>
      </c>
    </row>
    <row r="2274" spans="1:12" ht="16" x14ac:dyDescent="0.2">
      <c r="A2274" s="1">
        <v>2273</v>
      </c>
      <c r="B2274" s="1" t="s">
        <v>3980</v>
      </c>
      <c r="C2274" s="1" t="s">
        <v>6805</v>
      </c>
      <c r="D2274" s="1" t="str">
        <f t="shared" si="105"/>
        <v>København KommuneWildersgade 36</v>
      </c>
      <c r="E2274" s="1" t="s">
        <v>6806</v>
      </c>
      <c r="F2274" s="1" t="s">
        <v>6807</v>
      </c>
      <c r="G2274" s="1">
        <v>1964</v>
      </c>
      <c r="H2274" s="1" t="s">
        <v>6808</v>
      </c>
      <c r="I2274" s="6" cm="1">
        <f t="array" ref="I2274">GetLatitude(D2274)</f>
        <v>556733753</v>
      </c>
      <c r="J2274" s="1" cm="1">
        <f t="array" ref="J2274">GetLongitude(D2274)</f>
        <v>125906430</v>
      </c>
      <c r="K2274" s="1">
        <f t="shared" si="106"/>
        <v>55.673375299999996</v>
      </c>
      <c r="L2274" s="1">
        <f t="shared" si="107"/>
        <v>12.590643</v>
      </c>
    </row>
    <row r="2275" spans="1:12" ht="16" x14ac:dyDescent="0.2">
      <c r="A2275" s="1">
        <v>2274</v>
      </c>
      <c r="B2275" s="1" t="s">
        <v>3980</v>
      </c>
      <c r="C2275" s="1" t="s">
        <v>6809</v>
      </c>
      <c r="D2275" s="1" t="str">
        <f t="shared" si="105"/>
        <v>København KommuneWildersgade 37</v>
      </c>
      <c r="E2275" s="1" t="s">
        <v>6810</v>
      </c>
      <c r="F2275" s="1" t="s">
        <v>6811</v>
      </c>
      <c r="G2275" s="1">
        <v>1980</v>
      </c>
      <c r="H2275" s="1" t="s">
        <v>11</v>
      </c>
      <c r="I2275" s="6" cm="1">
        <f t="array" ref="I2275">GetLatitude(D2275)</f>
        <v>556735903</v>
      </c>
      <c r="J2275" s="1" cm="1">
        <f t="array" ref="J2275">GetLongitude(D2275)</f>
        <v>125904831</v>
      </c>
      <c r="K2275" s="1">
        <f t="shared" si="106"/>
        <v>55.673590300000001</v>
      </c>
      <c r="L2275" s="1">
        <f t="shared" si="107"/>
        <v>12.5904831</v>
      </c>
    </row>
    <row r="2276" spans="1:12" ht="16" x14ac:dyDescent="0.2">
      <c r="A2276" s="1">
        <v>2275</v>
      </c>
      <c r="B2276" s="1" t="s">
        <v>3980</v>
      </c>
      <c r="C2276" s="1" t="s">
        <v>6812</v>
      </c>
      <c r="D2276" s="1" t="str">
        <f t="shared" si="105"/>
        <v>København KommuneWildersgade 40</v>
      </c>
      <c r="E2276" s="1" t="s">
        <v>6813</v>
      </c>
      <c r="F2276" s="1" t="s">
        <v>6814</v>
      </c>
      <c r="G2276" s="1">
        <v>1964</v>
      </c>
      <c r="H2276" s="1" t="s">
        <v>15</v>
      </c>
      <c r="I2276" s="6" cm="1">
        <f t="array" ref="I2276">GetLatitude(D2276)</f>
        <v>556734915</v>
      </c>
      <c r="J2276" s="1" cm="1">
        <f t="array" ref="J2276">GetLongitude(D2276)</f>
        <v>125907973</v>
      </c>
      <c r="K2276" s="1">
        <f t="shared" si="106"/>
        <v>55.673491499999997</v>
      </c>
      <c r="L2276" s="1">
        <f t="shared" si="107"/>
        <v>12.5907973</v>
      </c>
    </row>
    <row r="2277" spans="1:12" ht="16" x14ac:dyDescent="0.2">
      <c r="A2277" s="1">
        <v>2276</v>
      </c>
      <c r="B2277" s="1" t="s">
        <v>3980</v>
      </c>
      <c r="C2277" s="1" t="s">
        <v>6815</v>
      </c>
      <c r="D2277" s="1" t="str">
        <f t="shared" si="105"/>
        <v>København KommuneWildersgade 46</v>
      </c>
      <c r="E2277" s="1" t="s">
        <v>6816</v>
      </c>
      <c r="F2277" s="1" t="s">
        <v>6817</v>
      </c>
      <c r="G2277" s="1">
        <v>1959</v>
      </c>
      <c r="H2277" s="1" t="s">
        <v>1483</v>
      </c>
      <c r="I2277" s="6" cm="1">
        <f t="array" ref="I2277">GetLatitude(D2277)</f>
        <v>556736483</v>
      </c>
      <c r="J2277" s="1" cm="1">
        <f t="array" ref="J2277">GetLongitude(D2277)</f>
        <v>125910130</v>
      </c>
      <c r="K2277" s="1">
        <f t="shared" si="106"/>
        <v>55.673648300000004</v>
      </c>
      <c r="L2277" s="1">
        <f t="shared" si="107"/>
        <v>12.591013</v>
      </c>
    </row>
    <row r="2278" spans="1:12" ht="16" x14ac:dyDescent="0.2">
      <c r="A2278" s="1">
        <v>2277</v>
      </c>
      <c r="B2278" s="1" t="s">
        <v>3980</v>
      </c>
      <c r="C2278" s="1" t="s">
        <v>6818</v>
      </c>
      <c r="D2278" s="1" t="str">
        <f t="shared" si="105"/>
        <v>København KommuneWildersgade 49 A-B</v>
      </c>
      <c r="E2278" s="1" t="s">
        <v>6819</v>
      </c>
      <c r="F2278" s="1" t="s">
        <v>6820</v>
      </c>
      <c r="G2278" s="1">
        <v>1982</v>
      </c>
      <c r="H2278" s="1" t="s">
        <v>11</v>
      </c>
      <c r="I2278" s="6" cm="1">
        <f t="array" ref="I2278">GetLatitude(D2278)</f>
        <v>556742481</v>
      </c>
      <c r="J2278" s="1" cm="1">
        <f t="array" ref="J2278">GetLongitude(D2278)</f>
        <v>125915459</v>
      </c>
      <c r="K2278" s="1">
        <f t="shared" si="106"/>
        <v>55.6742481</v>
      </c>
      <c r="L2278" s="1">
        <f t="shared" si="107"/>
        <v>12.5915459</v>
      </c>
    </row>
    <row r="2279" spans="1:12" ht="16" x14ac:dyDescent="0.2">
      <c r="A2279" s="1">
        <v>2278</v>
      </c>
      <c r="B2279" s="1" t="s">
        <v>3980</v>
      </c>
      <c r="C2279" s="1" t="s">
        <v>6821</v>
      </c>
      <c r="D2279" s="1" t="str">
        <f t="shared" si="105"/>
        <v>København KommuneWildersgade 52, hj af Sankt Annæ Gade</v>
      </c>
      <c r="E2279" s="1" t="s">
        <v>6822</v>
      </c>
      <c r="F2279" s="1" t="s">
        <v>6823</v>
      </c>
      <c r="G2279" s="1">
        <v>1950</v>
      </c>
      <c r="H2279" s="1" t="s">
        <v>11</v>
      </c>
      <c r="I2279" s="6" cm="1">
        <f t="array" ref="I2279">GetLatitude(D2279)</f>
        <v>556732499</v>
      </c>
      <c r="J2279" s="1" cm="1">
        <f t="array" ref="J2279">GetLongitude(D2279)</f>
        <v>125926595</v>
      </c>
      <c r="K2279" s="1">
        <f t="shared" si="106"/>
        <v>55.673249900000002</v>
      </c>
      <c r="L2279" s="1">
        <f t="shared" si="107"/>
        <v>12.5926595</v>
      </c>
    </row>
    <row r="2280" spans="1:12" ht="16" x14ac:dyDescent="0.2">
      <c r="A2280" s="1">
        <v>2279</v>
      </c>
      <c r="B2280" s="1" t="s">
        <v>3980</v>
      </c>
      <c r="C2280" s="1" t="s">
        <v>6824</v>
      </c>
      <c r="D2280" s="1" t="str">
        <f t="shared" si="105"/>
        <v>København KommuneWildersgade 53</v>
      </c>
      <c r="E2280" s="1" t="s">
        <v>6825</v>
      </c>
      <c r="F2280" s="1" t="s">
        <v>6826</v>
      </c>
      <c r="G2280" s="1">
        <v>1959</v>
      </c>
      <c r="H2280" s="1" t="s">
        <v>11</v>
      </c>
      <c r="I2280" s="6" cm="1">
        <f t="array" ref="I2280">GetLatitude(D2280)</f>
        <v>556744314</v>
      </c>
      <c r="J2280" s="1" cm="1">
        <f t="array" ref="J2280">GetLongitude(D2280)</f>
        <v>125918839</v>
      </c>
      <c r="K2280" s="1">
        <f t="shared" si="106"/>
        <v>55.674431400000003</v>
      </c>
      <c r="L2280" s="1">
        <f t="shared" si="107"/>
        <v>12.591883899999999</v>
      </c>
    </row>
    <row r="2281" spans="1:12" ht="16" x14ac:dyDescent="0.2">
      <c r="A2281" s="1">
        <v>2280</v>
      </c>
      <c r="B2281" s="1" t="s">
        <v>3980</v>
      </c>
      <c r="C2281" s="1" t="s">
        <v>6827</v>
      </c>
      <c r="D2281" s="1" t="str">
        <f t="shared" si="105"/>
        <v>København KommuneWildersgade 58</v>
      </c>
      <c r="E2281" s="1" t="s">
        <v>6828</v>
      </c>
      <c r="F2281" s="1" t="s">
        <v>6829</v>
      </c>
      <c r="G2281" s="1">
        <v>1981</v>
      </c>
      <c r="H2281" s="1" t="s">
        <v>15</v>
      </c>
      <c r="I2281" s="6" cm="1">
        <f t="array" ref="I2281">GetLatitude(D2281)</f>
        <v>556740772</v>
      </c>
      <c r="J2281" s="1" cm="1">
        <f t="array" ref="J2281">GetLongitude(D2281)</f>
        <v>125917357</v>
      </c>
      <c r="K2281" s="1">
        <f t="shared" si="106"/>
        <v>55.674077199999999</v>
      </c>
      <c r="L2281" s="1">
        <f t="shared" si="107"/>
        <v>12.591735699999999</v>
      </c>
    </row>
    <row r="2282" spans="1:12" ht="16" x14ac:dyDescent="0.2">
      <c r="A2282" s="1">
        <v>2281</v>
      </c>
      <c r="B2282" s="1" t="s">
        <v>3980</v>
      </c>
      <c r="C2282" s="1" t="s">
        <v>6830</v>
      </c>
      <c r="D2282" s="1" t="str">
        <f t="shared" si="105"/>
        <v>København KommuneWildersgade 64-66</v>
      </c>
      <c r="E2282" s="1" t="s">
        <v>6831</v>
      </c>
      <c r="F2282" s="1" t="s">
        <v>6832</v>
      </c>
      <c r="G2282" s="1">
        <v>1987</v>
      </c>
      <c r="H2282" s="1" t="s">
        <v>15</v>
      </c>
      <c r="I2282" s="6" cm="1">
        <f t="array" ref="I2282">GetLatitude(D2282)</f>
        <v>556745006</v>
      </c>
      <c r="J2282" s="1" cm="1">
        <f t="array" ref="J2282">GetLongitude(D2282)</f>
        <v>125923712</v>
      </c>
      <c r="K2282" s="1">
        <f t="shared" si="106"/>
        <v>55.674500600000002</v>
      </c>
      <c r="L2282" s="1">
        <f t="shared" si="107"/>
        <v>12.592371200000001</v>
      </c>
    </row>
    <row r="2283" spans="1:12" ht="16" x14ac:dyDescent="0.2">
      <c r="A2283" s="1">
        <v>2282</v>
      </c>
      <c r="B2283" s="1" t="s">
        <v>3980</v>
      </c>
      <c r="C2283" s="1" t="s">
        <v>6833</v>
      </c>
      <c r="D2283" s="1" t="str">
        <f t="shared" si="105"/>
        <v>København KommuneWilders Plads 7 (tidl 10)</v>
      </c>
      <c r="E2283" s="1" t="s">
        <v>6834</v>
      </c>
      <c r="F2283" s="1" t="s">
        <v>6835</v>
      </c>
      <c r="G2283" s="1">
        <v>1945</v>
      </c>
      <c r="H2283" s="1" t="s">
        <v>11</v>
      </c>
      <c r="I2283" s="6" cm="1">
        <f t="array" ref="I2283">GetLatitude(D2283)</f>
        <v>556754660</v>
      </c>
      <c r="J2283" s="1" cm="1">
        <f t="array" ref="J2283">GetLongitude(D2283)</f>
        <v>125935361</v>
      </c>
      <c r="K2283" s="1">
        <f t="shared" si="106"/>
        <v>55.675466</v>
      </c>
      <c r="L2283" s="1">
        <f t="shared" si="107"/>
        <v>12.5935361</v>
      </c>
    </row>
    <row r="2284" spans="1:12" ht="16" x14ac:dyDescent="0.2">
      <c r="A2284" s="1">
        <v>2283</v>
      </c>
      <c r="B2284" s="1" t="s">
        <v>3980</v>
      </c>
      <c r="C2284" s="1" t="s">
        <v>6836</v>
      </c>
      <c r="D2284" s="1" t="str">
        <f t="shared" si="105"/>
        <v>København KommuneØstbanegade 11, Trondhjems Plads 2</v>
      </c>
      <c r="E2284" s="1" t="s">
        <v>6837</v>
      </c>
      <c r="F2284" s="1" t="s">
        <v>6838</v>
      </c>
      <c r="G2284" s="1">
        <v>2001</v>
      </c>
      <c r="H2284" s="1" t="s">
        <v>11</v>
      </c>
      <c r="I2284" s="6" cm="1">
        <f t="array" ref="I2284">GetLatitude(D2284)</f>
        <v>556943067</v>
      </c>
      <c r="J2284" s="1" cm="1">
        <f t="array" ref="J2284">GetLongitude(D2284)</f>
        <v>125889277</v>
      </c>
      <c r="K2284" s="1">
        <f t="shared" si="106"/>
        <v>55.694306699999999</v>
      </c>
      <c r="L2284" s="1">
        <f t="shared" si="107"/>
        <v>12.588927699999999</v>
      </c>
    </row>
    <row r="2285" spans="1:12" ht="16" x14ac:dyDescent="0.2">
      <c r="A2285" s="1">
        <v>2284</v>
      </c>
      <c r="B2285" s="1" t="s">
        <v>3980</v>
      </c>
      <c r="C2285" s="1" t="s">
        <v>6839</v>
      </c>
      <c r="D2285" s="1" t="str">
        <f t="shared" si="105"/>
        <v>København KommuneØstbanegade 19</v>
      </c>
      <c r="E2285" s="1" t="s">
        <v>6840</v>
      </c>
      <c r="F2285" s="1" t="s">
        <v>6841</v>
      </c>
      <c r="G2285" s="1">
        <v>2001</v>
      </c>
      <c r="H2285" s="1" t="s">
        <v>15</v>
      </c>
      <c r="I2285" s="6" cm="1">
        <f t="array" ref="I2285">GetLatitude(D2285)</f>
        <v>556954986</v>
      </c>
      <c r="J2285" s="1" cm="1">
        <f t="array" ref="J2285">GetLongitude(D2285)</f>
        <v>125900887</v>
      </c>
      <c r="K2285" s="1">
        <f t="shared" si="106"/>
        <v>55.695498600000001</v>
      </c>
      <c r="L2285" s="1">
        <f t="shared" si="107"/>
        <v>12.590088700000001</v>
      </c>
    </row>
    <row r="2286" spans="1:12" ht="16" x14ac:dyDescent="0.2">
      <c r="A2286" s="1">
        <v>2285</v>
      </c>
      <c r="B2286" s="1" t="s">
        <v>3980</v>
      </c>
      <c r="C2286" s="1" t="s">
        <v>6842</v>
      </c>
      <c r="D2286" s="1" t="str">
        <f t="shared" si="105"/>
        <v>København KommuneØstbanegade 21</v>
      </c>
      <c r="E2286" s="1" t="s">
        <v>6843</v>
      </c>
      <c r="F2286" s="1" t="s">
        <v>6844</v>
      </c>
      <c r="G2286" s="1">
        <v>2000</v>
      </c>
      <c r="H2286" s="1" t="s">
        <v>15</v>
      </c>
      <c r="I2286" s="6" cm="1">
        <f t="array" ref="I2286">GetLatitude(D2286)</f>
        <v>556958854</v>
      </c>
      <c r="J2286" s="1" cm="1">
        <f t="array" ref="J2286">GetLongitude(D2286)</f>
        <v>125903950</v>
      </c>
      <c r="K2286" s="1">
        <f t="shared" si="106"/>
        <v>55.695885400000002</v>
      </c>
      <c r="L2286" s="1">
        <f t="shared" si="107"/>
        <v>12.590394999999999</v>
      </c>
    </row>
    <row r="2287" spans="1:12" ht="16" x14ac:dyDescent="0.2">
      <c r="A2287" s="1">
        <v>2286</v>
      </c>
      <c r="B2287" s="1" t="s">
        <v>3980</v>
      </c>
      <c r="C2287" s="1" t="s">
        <v>6845</v>
      </c>
      <c r="D2287" s="1" t="str">
        <f t="shared" si="105"/>
        <v>København KommuneØsterbrogade 158-160 og Nyborggade 2</v>
      </c>
      <c r="E2287" s="1" t="s">
        <v>6846</v>
      </c>
      <c r="F2287" s="1" t="s">
        <v>6847</v>
      </c>
      <c r="G2287" s="1">
        <v>1987</v>
      </c>
      <c r="H2287" s="1" t="s">
        <v>11</v>
      </c>
      <c r="I2287" s="6" cm="1">
        <f t="array" ref="I2287">GetLatitude(D2287)</f>
        <v>557094316</v>
      </c>
      <c r="J2287" s="1" cm="1">
        <f t="array" ref="J2287">GetLongitude(D2287)</f>
        <v>125778203</v>
      </c>
      <c r="K2287" s="1">
        <f t="shared" si="106"/>
        <v>55.709431600000002</v>
      </c>
      <c r="L2287" s="1">
        <f t="shared" si="107"/>
        <v>12.577820300000001</v>
      </c>
    </row>
    <row r="2288" spans="1:12" ht="16" x14ac:dyDescent="0.2">
      <c r="A2288" s="1">
        <v>2287</v>
      </c>
      <c r="B2288" s="1" t="s">
        <v>3980</v>
      </c>
      <c r="C2288" s="1" t="s">
        <v>6848</v>
      </c>
      <c r="D2288" s="1" t="str">
        <f t="shared" si="105"/>
        <v>København KommuneØsterbrogade 29 B, tidl Trianglen 1Z</v>
      </c>
      <c r="E2288" s="1" t="s">
        <v>6849</v>
      </c>
      <c r="F2288" s="1" t="s">
        <v>6850</v>
      </c>
      <c r="G2288" s="1">
        <v>1986</v>
      </c>
      <c r="H2288" s="1" t="s">
        <v>15</v>
      </c>
      <c r="I2288" s="6" cm="1">
        <f t="array" ref="I2288">GetLatitude(D2288)</f>
        <v>556989939</v>
      </c>
      <c r="J2288" s="1" cm="1">
        <f t="array" ref="J2288">GetLongitude(D2288)</f>
        <v>125777802</v>
      </c>
      <c r="K2288" s="1">
        <f t="shared" si="106"/>
        <v>55.698993899999998</v>
      </c>
      <c r="L2288" s="1">
        <f t="shared" si="107"/>
        <v>12.577780199999999</v>
      </c>
    </row>
    <row r="2289" spans="1:12" ht="16" x14ac:dyDescent="0.2">
      <c r="A2289" s="1">
        <v>2288</v>
      </c>
      <c r="B2289" s="1" t="s">
        <v>3980</v>
      </c>
      <c r="C2289" s="1" t="s">
        <v>6851</v>
      </c>
      <c r="D2289" s="1" t="str">
        <f t="shared" si="105"/>
        <v>København KommuneØsterbrogade 57</v>
      </c>
      <c r="E2289" s="1" t="s">
        <v>6852</v>
      </c>
      <c r="F2289" s="1" t="s">
        <v>6853</v>
      </c>
      <c r="G2289" s="1">
        <v>1959</v>
      </c>
      <c r="H2289" s="1" t="s">
        <v>3510</v>
      </c>
      <c r="I2289" s="6" cm="1">
        <f t="array" ref="I2289">GetLatitude(D2289)</f>
        <v>556760968</v>
      </c>
      <c r="J2289" s="1" cm="1">
        <f t="array" ref="J2289">GetLongitude(D2289)</f>
        <v>125683371</v>
      </c>
      <c r="K2289" s="1">
        <f t="shared" si="106"/>
        <v>55.676096800000003</v>
      </c>
      <c r="L2289" s="1">
        <f t="shared" si="107"/>
        <v>12.568337100000001</v>
      </c>
    </row>
    <row r="2290" spans="1:12" ht="16" x14ac:dyDescent="0.2">
      <c r="A2290" s="1">
        <v>2289</v>
      </c>
      <c r="B2290" s="1" t="s">
        <v>3980</v>
      </c>
      <c r="C2290" s="1" t="s">
        <v>6854</v>
      </c>
      <c r="D2290" s="1" t="str">
        <f t="shared" si="105"/>
        <v>København KommuneØster Farimagsgade 2 C</v>
      </c>
      <c r="E2290" s="1" t="s">
        <v>6855</v>
      </c>
      <c r="F2290" s="1" t="s">
        <v>6856</v>
      </c>
      <c r="G2290" s="1">
        <v>1979</v>
      </c>
      <c r="H2290" s="1" t="s">
        <v>2115</v>
      </c>
      <c r="I2290" s="6" cm="1">
        <f t="array" ref="I2290">GetLatitude(D2290)</f>
        <v>556878850</v>
      </c>
      <c r="J2290" s="1" cm="1">
        <f t="array" ref="J2290">GetLongitude(D2290)</f>
        <v>125732080</v>
      </c>
      <c r="K2290" s="1">
        <f t="shared" si="106"/>
        <v>55.687885000000001</v>
      </c>
      <c r="L2290" s="1">
        <f t="shared" si="107"/>
        <v>12.573207999999999</v>
      </c>
    </row>
    <row r="2291" spans="1:12" ht="16" x14ac:dyDescent="0.2">
      <c r="A2291" s="1">
        <v>2290</v>
      </c>
      <c r="B2291" s="1" t="s">
        <v>3980</v>
      </c>
      <c r="C2291" s="1" t="s">
        <v>6857</v>
      </c>
      <c r="D2291" s="1" t="str">
        <f t="shared" si="105"/>
        <v>København KommuneØster Farimagsgade 3-7</v>
      </c>
      <c r="E2291" s="1" t="s">
        <v>6858</v>
      </c>
      <c r="F2291" s="1" t="s">
        <v>6859</v>
      </c>
      <c r="G2291" s="1">
        <v>1959</v>
      </c>
      <c r="H2291" s="1" t="s">
        <v>6860</v>
      </c>
      <c r="I2291" s="6" cm="1">
        <f t="array" ref="I2291">GetLatitude(D2291)</f>
        <v>556749208</v>
      </c>
      <c r="J2291" s="1" cm="1">
        <f t="array" ref="J2291">GetLongitude(D2291)</f>
        <v>125618545</v>
      </c>
      <c r="K2291" s="1">
        <f t="shared" si="106"/>
        <v>55.674920800000002</v>
      </c>
      <c r="L2291" s="1">
        <f t="shared" si="107"/>
        <v>12.561854500000001</v>
      </c>
    </row>
    <row r="2292" spans="1:12" ht="16" x14ac:dyDescent="0.2">
      <c r="A2292" s="1">
        <v>2291</v>
      </c>
      <c r="B2292" s="1" t="s">
        <v>3980</v>
      </c>
      <c r="C2292" s="1" t="s">
        <v>6861</v>
      </c>
      <c r="D2292" s="1" t="str">
        <f t="shared" si="105"/>
        <v>København KommuneØstergade 15</v>
      </c>
      <c r="E2292" s="1" t="s">
        <v>6862</v>
      </c>
      <c r="F2292" s="1" t="s">
        <v>6863</v>
      </c>
      <c r="G2292" s="1">
        <v>1918</v>
      </c>
      <c r="H2292" s="1" t="s">
        <v>11</v>
      </c>
      <c r="I2292" s="6" cm="1">
        <f t="array" ref="I2292">GetLatitude(D2292)</f>
        <v>556797298</v>
      </c>
      <c r="J2292" s="1" cm="1">
        <f t="array" ref="J2292">GetLongitude(D2292)</f>
        <v>125834829</v>
      </c>
      <c r="K2292" s="1">
        <f t="shared" si="106"/>
        <v>55.679729799999997</v>
      </c>
      <c r="L2292" s="1">
        <f t="shared" si="107"/>
        <v>12.5834829</v>
      </c>
    </row>
    <row r="2293" spans="1:12" ht="16" x14ac:dyDescent="0.2">
      <c r="A2293" s="1">
        <v>2292</v>
      </c>
      <c r="B2293" s="1" t="s">
        <v>3980</v>
      </c>
      <c r="C2293" s="1" t="s">
        <v>6864</v>
      </c>
      <c r="D2293" s="1" t="str">
        <f t="shared" si="105"/>
        <v>København KommuneØstergade 16</v>
      </c>
      <c r="E2293" s="1" t="s">
        <v>6865</v>
      </c>
      <c r="F2293" s="1" t="s">
        <v>6866</v>
      </c>
      <c r="G2293" s="1">
        <v>1978</v>
      </c>
      <c r="H2293" s="1" t="s">
        <v>11</v>
      </c>
      <c r="I2293" s="6" cm="1">
        <f t="array" ref="I2293">GetLatitude(D2293)</f>
        <v>556802207</v>
      </c>
      <c r="J2293" s="1" cm="1">
        <f t="array" ref="J2293">GetLongitude(D2293)</f>
        <v>125838497</v>
      </c>
      <c r="K2293" s="1">
        <f t="shared" si="106"/>
        <v>55.6802207</v>
      </c>
      <c r="L2293" s="1">
        <f t="shared" si="107"/>
        <v>12.5838497</v>
      </c>
    </row>
    <row r="2294" spans="1:12" ht="16" x14ac:dyDescent="0.2">
      <c r="A2294" s="1">
        <v>2293</v>
      </c>
      <c r="B2294" s="1" t="s">
        <v>3980</v>
      </c>
      <c r="C2294" s="1" t="s">
        <v>6867</v>
      </c>
      <c r="D2294" s="1" t="str">
        <f t="shared" si="105"/>
        <v>København KommuneØstergade 18, hj af Ny Østergade</v>
      </c>
      <c r="E2294" s="1" t="s">
        <v>6868</v>
      </c>
      <c r="F2294" s="1" t="s">
        <v>6869</v>
      </c>
      <c r="G2294" s="1">
        <v>1995</v>
      </c>
      <c r="H2294" s="1" t="s">
        <v>11</v>
      </c>
      <c r="I2294" s="6" cm="1">
        <f t="array" ref="I2294">GetLatitude(D2294)</f>
        <v>556801190</v>
      </c>
      <c r="J2294" s="1" cm="1">
        <f t="array" ref="J2294">GetLongitude(D2294)</f>
        <v>125835750</v>
      </c>
      <c r="K2294" s="1">
        <f t="shared" si="106"/>
        <v>55.680118999999998</v>
      </c>
      <c r="L2294" s="1">
        <f t="shared" si="107"/>
        <v>12.583575</v>
      </c>
    </row>
    <row r="2295" spans="1:12" ht="16" x14ac:dyDescent="0.2">
      <c r="A2295" s="1">
        <v>2294</v>
      </c>
      <c r="B2295" s="1" t="s">
        <v>3980</v>
      </c>
      <c r="C2295" s="1" t="s">
        <v>6870</v>
      </c>
      <c r="D2295" s="1" t="str">
        <f t="shared" si="105"/>
        <v>København KommuneØster Søgade 8</v>
      </c>
      <c r="E2295" s="1" t="s">
        <v>6871</v>
      </c>
      <c r="F2295" s="1" t="s">
        <v>6872</v>
      </c>
      <c r="G2295" s="1">
        <v>1978</v>
      </c>
      <c r="H2295" s="1" t="s">
        <v>6873</v>
      </c>
      <c r="I2295" s="6" cm="1">
        <f t="array" ref="I2295">GetLatitude(D2295)</f>
        <v>556869273</v>
      </c>
      <c r="J2295" s="1" cm="1">
        <f t="array" ref="J2295">GetLongitude(D2295)</f>
        <v>125664132</v>
      </c>
      <c r="K2295" s="1">
        <f t="shared" si="106"/>
        <v>55.686927300000001</v>
      </c>
      <c r="L2295" s="1">
        <f t="shared" si="107"/>
        <v>12.5664132</v>
      </c>
    </row>
    <row r="2296" spans="1:12" ht="16" x14ac:dyDescent="0.2">
      <c r="A2296" s="1">
        <v>2295</v>
      </c>
      <c r="B2296" s="1" t="s">
        <v>3980</v>
      </c>
      <c r="C2296" s="1" t="s">
        <v>6874</v>
      </c>
      <c r="D2296" s="1" t="str">
        <f t="shared" si="105"/>
        <v>København KommuneØster Voldgade 3</v>
      </c>
      <c r="E2296" s="1" t="s">
        <v>6875</v>
      </c>
      <c r="F2296" s="1" t="s">
        <v>6876</v>
      </c>
      <c r="G2296" s="1">
        <v>1959</v>
      </c>
      <c r="H2296" s="1" t="s">
        <v>15</v>
      </c>
      <c r="I2296" s="6" cm="1">
        <f t="array" ref="I2296">GetLatitude(D2296)</f>
        <v>556866493</v>
      </c>
      <c r="J2296" s="1" cm="1">
        <f t="array" ref="J2296">GetLongitude(D2296)</f>
        <v>125765937</v>
      </c>
      <c r="K2296" s="1">
        <f t="shared" si="106"/>
        <v>55.686649299999999</v>
      </c>
      <c r="L2296" s="1">
        <f t="shared" si="107"/>
        <v>12.5765937</v>
      </c>
    </row>
    <row r="2297" spans="1:12" ht="16" x14ac:dyDescent="0.2">
      <c r="A2297" s="1">
        <v>2296</v>
      </c>
      <c r="B2297" s="1" t="s">
        <v>3980</v>
      </c>
      <c r="C2297" s="1" t="s">
        <v>6877</v>
      </c>
      <c r="D2297" s="1" t="str">
        <f t="shared" si="105"/>
        <v>København KommuneØster Voldgade 4 A</v>
      </c>
      <c r="E2297" s="1" t="s">
        <v>6878</v>
      </c>
      <c r="F2297" s="1" t="s">
        <v>6879</v>
      </c>
      <c r="G2297" s="1">
        <v>1918</v>
      </c>
      <c r="H2297" s="1" t="s">
        <v>11</v>
      </c>
      <c r="I2297" s="6" cm="1">
        <f t="array" ref="I2297">GetLatitude(D2297)</f>
        <v>556862007</v>
      </c>
      <c r="J2297" s="1" cm="1">
        <f t="array" ref="J2297">GetLongitude(D2297)</f>
        <v>125764746</v>
      </c>
      <c r="K2297" s="1">
        <f t="shared" si="106"/>
        <v>55.686200700000001</v>
      </c>
      <c r="L2297" s="1">
        <f t="shared" si="107"/>
        <v>12.576474599999999</v>
      </c>
    </row>
    <row r="2298" spans="1:12" ht="16" x14ac:dyDescent="0.2">
      <c r="A2298" s="1">
        <v>2297</v>
      </c>
      <c r="B2298" s="1" t="s">
        <v>3980</v>
      </c>
      <c r="C2298" s="1" t="s">
        <v>6880</v>
      </c>
      <c r="D2298" s="1" t="str">
        <f t="shared" si="105"/>
        <v>København KommuneØster Voldgade 4 B</v>
      </c>
      <c r="E2298" s="1" t="s">
        <v>6881</v>
      </c>
      <c r="F2298" s="1" t="s">
        <v>6882</v>
      </c>
      <c r="G2298" s="1">
        <v>1964</v>
      </c>
      <c r="H2298" s="1" t="s">
        <v>15</v>
      </c>
      <c r="I2298" s="6" cm="1">
        <f t="array" ref="I2298">GetLatitude(D2298)</f>
        <v>556867082</v>
      </c>
      <c r="J2298" s="1" cm="1">
        <f t="array" ref="J2298">GetLongitude(D2298)</f>
        <v>125774247</v>
      </c>
      <c r="K2298" s="1">
        <f t="shared" si="106"/>
        <v>55.686708199999998</v>
      </c>
      <c r="L2298" s="1">
        <f t="shared" si="107"/>
        <v>12.5774247</v>
      </c>
    </row>
    <row r="2299" spans="1:12" ht="16" x14ac:dyDescent="0.2">
      <c r="A2299" s="1">
        <v>2298</v>
      </c>
      <c r="B2299" s="1" t="s">
        <v>3980</v>
      </c>
      <c r="C2299" s="1" t="s">
        <v>6883</v>
      </c>
      <c r="D2299" s="1" t="str">
        <f t="shared" si="105"/>
        <v>København KommuneÅbenrå 25</v>
      </c>
      <c r="E2299" s="1" t="s">
        <v>6884</v>
      </c>
      <c r="F2299" s="1" t="s">
        <v>5064</v>
      </c>
      <c r="G2299" s="1">
        <v>1945</v>
      </c>
      <c r="H2299" s="1" t="s">
        <v>11</v>
      </c>
      <c r="I2299" s="6" cm="1">
        <f t="array" ref="I2299">GetLatitude(D2299)</f>
        <v>556833187</v>
      </c>
      <c r="J2299" s="1" cm="1">
        <f t="array" ref="J2299">GetLongitude(D2299)</f>
        <v>125760656</v>
      </c>
      <c r="K2299" s="1">
        <f t="shared" si="106"/>
        <v>55.683318700000001</v>
      </c>
      <c r="L2299" s="1">
        <f t="shared" si="107"/>
        <v>12.5760656</v>
      </c>
    </row>
    <row r="2300" spans="1:12" ht="16" x14ac:dyDescent="0.2">
      <c r="A2300" s="1">
        <v>2299</v>
      </c>
      <c r="B2300" s="1" t="s">
        <v>3980</v>
      </c>
      <c r="C2300" s="1" t="s">
        <v>6885</v>
      </c>
      <c r="D2300" s="1" t="str">
        <f t="shared" si="105"/>
        <v>København KommuneÅbenrå 26</v>
      </c>
      <c r="E2300" s="1" t="s">
        <v>6886</v>
      </c>
      <c r="F2300" s="1" t="s">
        <v>5928</v>
      </c>
      <c r="G2300" s="1">
        <v>1964</v>
      </c>
      <c r="H2300" s="1" t="s">
        <v>11</v>
      </c>
      <c r="I2300" s="6" cm="1">
        <f t="array" ref="I2300">GetLatitude(D2300)</f>
        <v>556833187</v>
      </c>
      <c r="J2300" s="1" cm="1">
        <f t="array" ref="J2300">GetLongitude(D2300)</f>
        <v>125760656</v>
      </c>
      <c r="K2300" s="1">
        <f t="shared" si="106"/>
        <v>55.683318700000001</v>
      </c>
      <c r="L2300" s="1">
        <f t="shared" si="107"/>
        <v>12.5760656</v>
      </c>
    </row>
    <row r="2301" spans="1:12" ht="16" x14ac:dyDescent="0.2">
      <c r="A2301" s="1">
        <v>2300</v>
      </c>
      <c r="B2301" s="1" t="s">
        <v>3980</v>
      </c>
      <c r="C2301" s="1" t="s">
        <v>6887</v>
      </c>
      <c r="D2301" s="1" t="str">
        <f t="shared" si="105"/>
        <v>København KommuneÅbenrå 27</v>
      </c>
      <c r="E2301" s="1" t="s">
        <v>6888</v>
      </c>
      <c r="F2301" s="1" t="s">
        <v>6889</v>
      </c>
      <c r="G2301" s="1">
        <v>1959</v>
      </c>
      <c r="H2301" s="1" t="s">
        <v>11</v>
      </c>
      <c r="I2301" s="6" cm="1">
        <f t="array" ref="I2301">GetLatitude(D2301)</f>
        <v>556833678</v>
      </c>
      <c r="J2301" s="1" cm="1">
        <f t="array" ref="J2301">GetLongitude(D2301)</f>
        <v>125756269</v>
      </c>
      <c r="K2301" s="1">
        <f t="shared" si="106"/>
        <v>55.683367799999999</v>
      </c>
      <c r="L2301" s="1">
        <f t="shared" si="107"/>
        <v>12.5756269</v>
      </c>
    </row>
    <row r="2302" spans="1:12" ht="16" x14ac:dyDescent="0.2">
      <c r="A2302" s="1">
        <v>2301</v>
      </c>
      <c r="B2302" s="1" t="s">
        <v>3980</v>
      </c>
      <c r="C2302" s="1" t="s">
        <v>6890</v>
      </c>
      <c r="D2302" s="1" t="str">
        <f t="shared" si="105"/>
        <v>København KommuneÅbenrå 32-34</v>
      </c>
      <c r="E2302" s="1" t="s">
        <v>6891</v>
      </c>
      <c r="F2302" s="1" t="s">
        <v>6892</v>
      </c>
      <c r="G2302" s="1">
        <v>1918</v>
      </c>
      <c r="H2302" s="1" t="s">
        <v>11</v>
      </c>
      <c r="I2302" s="6" cm="1">
        <f t="array" ref="I2302">GetLatitude(D2302)</f>
        <v>556760968</v>
      </c>
      <c r="J2302" s="1" cm="1">
        <f t="array" ref="J2302">GetLongitude(D2302)</f>
        <v>125683371</v>
      </c>
      <c r="K2302" s="1">
        <f t="shared" si="106"/>
        <v>55.676096800000003</v>
      </c>
      <c r="L2302" s="1">
        <f t="shared" si="107"/>
        <v>12.568337100000001</v>
      </c>
    </row>
    <row r="2303" spans="1:12" ht="16" x14ac:dyDescent="0.2">
      <c r="A2303" s="1">
        <v>2302</v>
      </c>
      <c r="B2303" s="1" t="s">
        <v>3980</v>
      </c>
      <c r="C2303" s="1" t="s">
        <v>6893</v>
      </c>
      <c r="D2303" s="1" t="str">
        <f t="shared" si="105"/>
        <v>København KommuneÅboulevard 12-14</v>
      </c>
      <c r="E2303" s="1" t="s">
        <v>6894</v>
      </c>
      <c r="F2303" s="1" t="s">
        <v>6895</v>
      </c>
      <c r="G2303" s="1">
        <v>1981</v>
      </c>
      <c r="H2303" s="1" t="s">
        <v>15</v>
      </c>
      <c r="I2303" s="6" cm="1">
        <f t="array" ref="I2303">GetLatitude(D2303)</f>
        <v>556818103</v>
      </c>
      <c r="J2303" s="1" cm="1">
        <f t="array" ref="J2303">GetLongitude(D2303)</f>
        <v>125753410</v>
      </c>
      <c r="K2303" s="1">
        <f t="shared" si="106"/>
        <v>55.681810300000002</v>
      </c>
      <c r="L2303" s="1">
        <f t="shared" si="107"/>
        <v>12.575341</v>
      </c>
    </row>
    <row r="2304" spans="1:12" ht="16" x14ac:dyDescent="0.2">
      <c r="A2304" s="1">
        <v>2303</v>
      </c>
      <c r="B2304" s="1" t="s">
        <v>3980</v>
      </c>
      <c r="C2304" s="1" t="s">
        <v>6896</v>
      </c>
      <c r="D2304" s="1" t="str">
        <f t="shared" si="105"/>
        <v>København KommuneÅboulevard 16-18</v>
      </c>
      <c r="E2304" s="1" t="s">
        <v>6894</v>
      </c>
      <c r="F2304" s="1" t="s">
        <v>6897</v>
      </c>
      <c r="G2304" s="1">
        <v>1981</v>
      </c>
      <c r="H2304" s="1" t="s">
        <v>11</v>
      </c>
      <c r="I2304" s="6" cm="1">
        <f t="array" ref="I2304">GetLatitude(D2304)</f>
        <v>556836417</v>
      </c>
      <c r="J2304" s="1" cm="1">
        <f t="array" ref="J2304">GetLongitude(D2304)</f>
        <v>125560442</v>
      </c>
      <c r="K2304" s="1">
        <f t="shared" si="106"/>
        <v>55.683641700000003</v>
      </c>
      <c r="L2304" s="1">
        <f t="shared" si="107"/>
        <v>12.556044200000001</v>
      </c>
    </row>
    <row r="2305" spans="1:12" ht="16" x14ac:dyDescent="0.2">
      <c r="A2305" s="1">
        <v>2304</v>
      </c>
      <c r="B2305" s="1" t="s">
        <v>3980</v>
      </c>
      <c r="C2305" s="1" t="s">
        <v>6898</v>
      </c>
      <c r="D2305" s="1" t="str">
        <f t="shared" si="105"/>
        <v>København KommuneÅboulevard 84-86, Hans Egedes Gade 19-15, Henrik Runges Gade 14-18, Jesper Brochmands Gade 17</v>
      </c>
      <c r="E2305" s="1" t="s">
        <v>6899</v>
      </c>
      <c r="F2305" s="1" t="s">
        <v>6900</v>
      </c>
      <c r="G2305" s="1">
        <v>2009</v>
      </c>
      <c r="H2305" s="1" t="s">
        <v>701</v>
      </c>
      <c r="I2305" s="6" cm="1">
        <f t="array" ref="I2305">GetLatitude(D2305)</f>
        <v>556863522</v>
      </c>
      <c r="J2305" s="1" cm="1">
        <f t="array" ref="J2305">GetLongitude(D2305)</f>
        <v>125457976</v>
      </c>
      <c r="K2305" s="1">
        <f t="shared" si="106"/>
        <v>55.686352200000002</v>
      </c>
      <c r="L2305" s="1">
        <f t="shared" si="107"/>
        <v>12.5457976</v>
      </c>
    </row>
    <row r="2306" spans="1:12" ht="16" x14ac:dyDescent="0.2">
      <c r="A2306" s="1">
        <v>2305</v>
      </c>
      <c r="B2306" s="1" t="s">
        <v>3980</v>
      </c>
      <c r="C2306" s="1" t="s">
        <v>6901</v>
      </c>
      <c r="D2306" s="1" t="str">
        <f t="shared" si="105"/>
        <v>København KommuneÅdalsvej 5</v>
      </c>
      <c r="E2306" s="1" t="s">
        <v>6902</v>
      </c>
      <c r="F2306" s="1" t="s">
        <v>6903</v>
      </c>
      <c r="G2306" s="1">
        <v>2022</v>
      </c>
      <c r="H2306" s="1" t="s">
        <v>15</v>
      </c>
      <c r="I2306" s="6" cm="1">
        <f t="array" ref="I2306">GetLatitude(D2306)</f>
        <v>556891134</v>
      </c>
      <c r="J2306" s="1" cm="1">
        <f t="array" ref="J2306">GetLongitude(D2306)</f>
        <v>125017303</v>
      </c>
      <c r="K2306" s="1">
        <f t="shared" si="106"/>
        <v>55.689113399999997</v>
      </c>
      <c r="L2306" s="1">
        <f t="shared" si="107"/>
        <v>12.5017303</v>
      </c>
    </row>
    <row r="2307" spans="1:12" ht="16" x14ac:dyDescent="0.2">
      <c r="A2307" s="1">
        <v>2306</v>
      </c>
      <c r="B2307" s="1" t="s">
        <v>6904</v>
      </c>
      <c r="C2307" s="1" t="s">
        <v>6905</v>
      </c>
      <c r="D2307" s="1" t="str">
        <f t="shared" ref="D2307:D2370" si="108">B2307&amp;C2307</f>
        <v>Køge KommuneBillesborgvej 59 A</v>
      </c>
      <c r="E2307" s="1" t="s">
        <v>6906</v>
      </c>
      <c r="F2307" s="1" t="s">
        <v>6907</v>
      </c>
      <c r="G2307" s="1">
        <v>1918</v>
      </c>
      <c r="H2307" s="1" t="s">
        <v>15</v>
      </c>
      <c r="I2307" s="6" cm="1">
        <f t="array" ref="I2307">GetLatitude(D2307)</f>
        <v>554575260</v>
      </c>
      <c r="J2307" s="1" cm="1">
        <f t="array" ref="J2307">GetLongitude(D2307)</f>
        <v>121821810</v>
      </c>
      <c r="K2307" s="1">
        <f t="shared" si="106"/>
        <v>55.457526000000001</v>
      </c>
      <c r="L2307" s="1">
        <f t="shared" si="107"/>
        <v>12.182181</v>
      </c>
    </row>
    <row r="2308" spans="1:12" ht="16" x14ac:dyDescent="0.2">
      <c r="A2308" s="1">
        <v>2307</v>
      </c>
      <c r="B2308" s="1" t="s">
        <v>6904</v>
      </c>
      <c r="C2308" s="1" t="s">
        <v>6908</v>
      </c>
      <c r="D2308" s="1" t="str">
        <f t="shared" si="108"/>
        <v>Køge KommuneBorup-Lammestrup strækning</v>
      </c>
      <c r="E2308" s="1" t="s">
        <v>6909</v>
      </c>
      <c r="F2308" s="1" t="s">
        <v>6910</v>
      </c>
      <c r="G2308" s="1">
        <v>1981</v>
      </c>
      <c r="H2308" s="1" t="s">
        <v>15</v>
      </c>
      <c r="I2308" s="6" cm="1">
        <f t="array" ref="I2308">GetLatitude(D2308)</f>
        <v>555183098</v>
      </c>
      <c r="J2308" s="1" cm="1">
        <f t="array" ref="J2308">GetLongitude(D2308)</f>
        <v>119462062</v>
      </c>
      <c r="K2308" s="1">
        <f t="shared" ref="K2308:K2371" si="109">I2308/10000000</f>
        <v>55.518309799999997</v>
      </c>
      <c r="L2308" s="1">
        <f t="shared" ref="L2308:L2371" si="110">J2308/10000000</f>
        <v>11.946206200000001</v>
      </c>
    </row>
    <row r="2309" spans="1:12" ht="16" x14ac:dyDescent="0.2">
      <c r="A2309" s="1">
        <v>2308</v>
      </c>
      <c r="B2309" s="1" t="s">
        <v>6904</v>
      </c>
      <c r="C2309" s="1" t="s">
        <v>6911</v>
      </c>
      <c r="D2309" s="1" t="str">
        <f t="shared" si="108"/>
        <v>Køge KommuneBorupvej 96, 98 A, 98 B og 100</v>
      </c>
      <c r="E2309" s="1" t="s">
        <v>6912</v>
      </c>
      <c r="F2309" s="1" t="s">
        <v>6913</v>
      </c>
      <c r="G2309" s="1">
        <v>1918</v>
      </c>
      <c r="H2309" s="1" t="s">
        <v>6860</v>
      </c>
      <c r="I2309" s="6" cm="1">
        <f t="array" ref="I2309">GetLatitude(D2309)</f>
        <v>554914354</v>
      </c>
      <c r="J2309" s="1" cm="1">
        <f t="array" ref="J2309">GetLongitude(D2309)</f>
        <v>119545669</v>
      </c>
      <c r="K2309" s="1">
        <f t="shared" si="109"/>
        <v>55.4914354</v>
      </c>
      <c r="L2309" s="1">
        <f t="shared" si="110"/>
        <v>11.9545669</v>
      </c>
    </row>
    <row r="2310" spans="1:12" ht="16" x14ac:dyDescent="0.2">
      <c r="A2310" s="1">
        <v>2309</v>
      </c>
      <c r="B2310" s="1" t="s">
        <v>6904</v>
      </c>
      <c r="C2310" s="1" t="s">
        <v>6914</v>
      </c>
      <c r="D2310" s="1" t="str">
        <f t="shared" si="108"/>
        <v>Køge KommuneBrogade 1</v>
      </c>
      <c r="E2310" s="1" t="s">
        <v>180</v>
      </c>
      <c r="F2310" s="1" t="s">
        <v>6915</v>
      </c>
      <c r="G2310" s="1">
        <v>1919</v>
      </c>
      <c r="H2310" s="1" t="s">
        <v>794</v>
      </c>
      <c r="I2310" s="6" cm="1">
        <f t="array" ref="I2310">GetLatitude(D2310)</f>
        <v>554559412</v>
      </c>
      <c r="J2310" s="1" cm="1">
        <f t="array" ref="J2310">GetLongitude(D2310)</f>
        <v>121824898</v>
      </c>
      <c r="K2310" s="1">
        <f t="shared" si="109"/>
        <v>55.455941199999998</v>
      </c>
      <c r="L2310" s="1">
        <f t="shared" si="110"/>
        <v>12.182489800000001</v>
      </c>
    </row>
    <row r="2311" spans="1:12" ht="16" x14ac:dyDescent="0.2">
      <c r="A2311" s="1">
        <v>2310</v>
      </c>
      <c r="B2311" s="1" t="s">
        <v>6904</v>
      </c>
      <c r="C2311" s="1" t="s">
        <v>6916</v>
      </c>
      <c r="D2311" s="1" t="str">
        <f t="shared" si="108"/>
        <v>Køge KommuneBrogade 16</v>
      </c>
      <c r="E2311" s="1" t="s">
        <v>6917</v>
      </c>
      <c r="F2311" s="1" t="s">
        <v>6918</v>
      </c>
      <c r="G2311" s="1">
        <v>1918</v>
      </c>
      <c r="H2311" s="1" t="s">
        <v>6919</v>
      </c>
      <c r="I2311" s="6" cm="1">
        <f t="array" ref="I2311">GetLatitude(D2311)</f>
        <v>554553458</v>
      </c>
      <c r="J2311" s="1" cm="1">
        <f t="array" ref="J2311">GetLongitude(D2311)</f>
        <v>121816487</v>
      </c>
      <c r="K2311" s="1">
        <f t="shared" si="109"/>
        <v>55.455345800000003</v>
      </c>
      <c r="L2311" s="1">
        <f t="shared" si="110"/>
        <v>12.1816487</v>
      </c>
    </row>
    <row r="2312" spans="1:12" ht="16" x14ac:dyDescent="0.2">
      <c r="A2312" s="1">
        <v>2311</v>
      </c>
      <c r="B2312" s="1" t="s">
        <v>6904</v>
      </c>
      <c r="C2312" s="1" t="s">
        <v>6920</v>
      </c>
      <c r="D2312" s="1" t="str">
        <f t="shared" si="108"/>
        <v>Køge KommuneBrogade 18</v>
      </c>
      <c r="E2312" s="1" t="s">
        <v>6921</v>
      </c>
      <c r="F2312" s="1" t="s">
        <v>6922</v>
      </c>
      <c r="G2312" s="1">
        <v>1983</v>
      </c>
      <c r="H2312" s="1" t="s">
        <v>11</v>
      </c>
      <c r="I2312" s="6" cm="1">
        <f t="array" ref="I2312">GetLatitude(D2312)</f>
        <v>554552025</v>
      </c>
      <c r="J2312" s="1" cm="1">
        <f t="array" ref="J2312">GetLongitude(D2312)</f>
        <v>121815893</v>
      </c>
      <c r="K2312" s="1">
        <f t="shared" si="109"/>
        <v>55.455202499999999</v>
      </c>
      <c r="L2312" s="1">
        <f t="shared" si="110"/>
        <v>12.181589300000001</v>
      </c>
    </row>
    <row r="2313" spans="1:12" ht="16" x14ac:dyDescent="0.2">
      <c r="A2313" s="1">
        <v>2312</v>
      </c>
      <c r="B2313" s="1" t="s">
        <v>6904</v>
      </c>
      <c r="C2313" s="1" t="s">
        <v>6923</v>
      </c>
      <c r="D2313" s="1" t="str">
        <f t="shared" si="108"/>
        <v>Køge KommuneBrogade 21 og Bag Haverne 52 A</v>
      </c>
      <c r="E2313" s="1" t="s">
        <v>6924</v>
      </c>
      <c r="F2313" s="1" t="s">
        <v>6925</v>
      </c>
      <c r="G2313" s="1">
        <v>1983</v>
      </c>
      <c r="H2313" s="1" t="s">
        <v>11</v>
      </c>
      <c r="I2313" s="6" cm="1">
        <f t="array" ref="I2313">GetLatitude(D2313)</f>
        <v>554548143</v>
      </c>
      <c r="J2313" s="1" cm="1">
        <f t="array" ref="J2313">GetLongitude(D2313)</f>
        <v>121846876</v>
      </c>
      <c r="K2313" s="1">
        <f t="shared" si="109"/>
        <v>55.454814300000002</v>
      </c>
      <c r="L2313" s="1">
        <f t="shared" si="110"/>
        <v>12.1846876</v>
      </c>
    </row>
    <row r="2314" spans="1:12" ht="16" x14ac:dyDescent="0.2">
      <c r="A2314" s="1">
        <v>2313</v>
      </c>
      <c r="B2314" s="1" t="s">
        <v>6904</v>
      </c>
      <c r="C2314" s="1" t="s">
        <v>6926</v>
      </c>
      <c r="D2314" s="1" t="str">
        <f t="shared" si="108"/>
        <v>Køge KommuneBrogade 22</v>
      </c>
      <c r="E2314" s="1" t="s">
        <v>6927</v>
      </c>
      <c r="F2314" s="1" t="s">
        <v>6928</v>
      </c>
      <c r="G2314" s="1">
        <v>1983</v>
      </c>
      <c r="H2314" s="1" t="s">
        <v>701</v>
      </c>
      <c r="I2314" s="6" cm="1">
        <f t="array" ref="I2314">GetLatitude(D2314)</f>
        <v>554551222</v>
      </c>
      <c r="J2314" s="1" cm="1">
        <f t="array" ref="J2314">GetLongitude(D2314)</f>
        <v>121814626</v>
      </c>
      <c r="K2314" s="1">
        <f t="shared" si="109"/>
        <v>55.455122199999998</v>
      </c>
      <c r="L2314" s="1">
        <f t="shared" si="110"/>
        <v>12.1814626</v>
      </c>
    </row>
    <row r="2315" spans="1:12" ht="16" x14ac:dyDescent="0.2">
      <c r="A2315" s="1">
        <v>2314</v>
      </c>
      <c r="B2315" s="1" t="s">
        <v>6904</v>
      </c>
      <c r="C2315" s="1" t="s">
        <v>6929</v>
      </c>
      <c r="D2315" s="1" t="str">
        <f t="shared" si="108"/>
        <v>Køge KommuneBrogade 23, hj af Fennediget</v>
      </c>
      <c r="E2315" s="1" t="s">
        <v>6930</v>
      </c>
      <c r="F2315" s="1" t="s">
        <v>6931</v>
      </c>
      <c r="G2315" s="1">
        <v>1919</v>
      </c>
      <c r="H2315" s="1" t="s">
        <v>1483</v>
      </c>
      <c r="I2315" s="6" cm="1">
        <f t="array" ref="I2315">GetLatitude(D2315)</f>
        <v>554539893</v>
      </c>
      <c r="J2315" s="1" cm="1">
        <f t="array" ref="J2315">GetLongitude(D2315)</f>
        <v>121831436</v>
      </c>
      <c r="K2315" s="1">
        <f t="shared" si="109"/>
        <v>55.453989300000003</v>
      </c>
      <c r="L2315" s="1">
        <f t="shared" si="110"/>
        <v>12.183143599999999</v>
      </c>
    </row>
    <row r="2316" spans="1:12" ht="16" x14ac:dyDescent="0.2">
      <c r="A2316" s="1">
        <v>2315</v>
      </c>
      <c r="B2316" s="1" t="s">
        <v>6904</v>
      </c>
      <c r="C2316" s="1" t="s">
        <v>6932</v>
      </c>
      <c r="D2316" s="1" t="str">
        <f t="shared" si="108"/>
        <v>Køge KommuneBrogade 26</v>
      </c>
      <c r="E2316" s="1" t="s">
        <v>6933</v>
      </c>
      <c r="F2316" s="1" t="s">
        <v>6934</v>
      </c>
      <c r="G2316" s="1">
        <v>1950</v>
      </c>
      <c r="H2316" s="1" t="s">
        <v>11</v>
      </c>
      <c r="I2316" s="6" cm="1">
        <f t="array" ref="I2316">GetLatitude(D2316)</f>
        <v>554548221</v>
      </c>
      <c r="J2316" s="1" cm="1">
        <f t="array" ref="J2316">GetLongitude(D2316)</f>
        <v>121813888</v>
      </c>
      <c r="K2316" s="1">
        <f t="shared" si="109"/>
        <v>55.454822100000001</v>
      </c>
      <c r="L2316" s="1">
        <f t="shared" si="110"/>
        <v>12.181388800000001</v>
      </c>
    </row>
    <row r="2317" spans="1:12" ht="16" x14ac:dyDescent="0.2">
      <c r="A2317" s="1">
        <v>2316</v>
      </c>
      <c r="B2317" s="1" t="s">
        <v>6904</v>
      </c>
      <c r="C2317" s="1" t="s">
        <v>6935</v>
      </c>
      <c r="D2317" s="1" t="str">
        <f t="shared" si="108"/>
        <v>Køge KommuneBrogade 5-7</v>
      </c>
      <c r="E2317" s="1" t="s">
        <v>6936</v>
      </c>
      <c r="F2317" s="1" t="s">
        <v>6937</v>
      </c>
      <c r="G2317" s="1">
        <v>1983</v>
      </c>
      <c r="H2317" s="1" t="s">
        <v>11</v>
      </c>
      <c r="I2317" s="6" cm="1">
        <f t="array" ref="I2317">GetLatitude(D2317)</f>
        <v>554557882</v>
      </c>
      <c r="J2317" s="1" cm="1">
        <f t="array" ref="J2317">GetLongitude(D2317)</f>
        <v>121821977</v>
      </c>
      <c r="K2317" s="1">
        <f t="shared" si="109"/>
        <v>55.455788200000001</v>
      </c>
      <c r="L2317" s="1">
        <f t="shared" si="110"/>
        <v>12.1821977</v>
      </c>
    </row>
    <row r="2318" spans="1:12" ht="16" x14ac:dyDescent="0.2">
      <c r="A2318" s="1">
        <v>2317</v>
      </c>
      <c r="B2318" s="1" t="s">
        <v>6904</v>
      </c>
      <c r="C2318" s="1" t="s">
        <v>6938</v>
      </c>
      <c r="D2318" s="1" t="str">
        <f t="shared" si="108"/>
        <v>Køge KommuneBrogade - Vordingborgvej</v>
      </c>
      <c r="E2318" s="1" t="s">
        <v>6939</v>
      </c>
      <c r="F2318" s="1" t="s">
        <v>6940</v>
      </c>
      <c r="G2318" s="1">
        <v>1918</v>
      </c>
      <c r="H2318" s="1" t="s">
        <v>15</v>
      </c>
      <c r="I2318" s="6" cm="1">
        <f t="array" ref="I2318">GetLatitude(D2318)</f>
        <v>554151908</v>
      </c>
      <c r="J2318" s="1" cm="1">
        <f t="array" ref="J2318">GetLongitude(D2318)</f>
        <v>121391222</v>
      </c>
      <c r="K2318" s="1">
        <f t="shared" si="109"/>
        <v>55.415190799999998</v>
      </c>
      <c r="L2318" s="1">
        <f t="shared" si="110"/>
        <v>12.139122199999999</v>
      </c>
    </row>
    <row r="2319" spans="1:12" ht="16" x14ac:dyDescent="0.2">
      <c r="A2319" s="1">
        <v>2318</v>
      </c>
      <c r="B2319" s="1" t="s">
        <v>6904</v>
      </c>
      <c r="C2319" s="1" t="s">
        <v>6941</v>
      </c>
      <c r="D2319" s="1" t="str">
        <f t="shared" si="108"/>
        <v>Køge KommuneGammel Køgegård 3</v>
      </c>
      <c r="E2319" s="1" t="s">
        <v>6942</v>
      </c>
      <c r="F2319" s="1" t="s">
        <v>6943</v>
      </c>
      <c r="G2319" s="1">
        <v>1944</v>
      </c>
      <c r="H2319" s="1" t="s">
        <v>15</v>
      </c>
      <c r="I2319" s="6" cm="1">
        <f t="array" ref="I2319">GetLatitude(D2319)</f>
        <v>554593045</v>
      </c>
      <c r="J2319" s="1" cm="1">
        <f t="array" ref="J2319">GetLongitude(D2319)</f>
        <v>121668664</v>
      </c>
      <c r="K2319" s="1">
        <f t="shared" si="109"/>
        <v>55.459304500000002</v>
      </c>
      <c r="L2319" s="1">
        <f t="shared" si="110"/>
        <v>12.1668664</v>
      </c>
    </row>
    <row r="2320" spans="1:12" ht="16" x14ac:dyDescent="0.2">
      <c r="A2320" s="1">
        <v>2319</v>
      </c>
      <c r="B2320" s="1" t="s">
        <v>6904</v>
      </c>
      <c r="C2320" s="1" t="s">
        <v>6944</v>
      </c>
      <c r="D2320" s="1" t="str">
        <f t="shared" si="108"/>
        <v>Køge KommuneHovedgaden 41</v>
      </c>
      <c r="E2320" s="1" t="s">
        <v>6945</v>
      </c>
      <c r="F2320" s="1" t="s">
        <v>6946</v>
      </c>
      <c r="G2320" s="1">
        <v>1971</v>
      </c>
      <c r="H2320" s="1" t="s">
        <v>99</v>
      </c>
      <c r="I2320" s="6" cm="1">
        <f t="array" ref="I2320">GetLatitude(D2320)</f>
        <v>554980307</v>
      </c>
      <c r="J2320" s="1" cm="1">
        <f t="array" ref="J2320">GetLongitude(D2320)</f>
        <v>119759536</v>
      </c>
      <c r="K2320" s="1">
        <f t="shared" si="109"/>
        <v>55.498030700000001</v>
      </c>
      <c r="L2320" s="1">
        <f t="shared" si="110"/>
        <v>11.9759536</v>
      </c>
    </row>
    <row r="2321" spans="1:12" ht="16" x14ac:dyDescent="0.2">
      <c r="A2321" s="1">
        <v>2320</v>
      </c>
      <c r="B2321" s="1" t="s">
        <v>6904</v>
      </c>
      <c r="C2321" s="1" t="s">
        <v>6947</v>
      </c>
      <c r="D2321" s="1" t="str">
        <f t="shared" si="108"/>
        <v>Køge KommuneKirkestræde 10</v>
      </c>
      <c r="E2321" s="1" t="s">
        <v>6948</v>
      </c>
      <c r="F2321" s="1" t="s">
        <v>6949</v>
      </c>
      <c r="G2321" s="1">
        <v>1919</v>
      </c>
      <c r="H2321" s="1" t="s">
        <v>11</v>
      </c>
      <c r="I2321" s="6" cm="1">
        <f t="array" ref="I2321">GetLatitude(D2321)</f>
        <v>554574808</v>
      </c>
      <c r="J2321" s="1" cm="1">
        <f t="array" ref="J2321">GetLongitude(D2321)</f>
        <v>121820338</v>
      </c>
      <c r="K2321" s="1">
        <f t="shared" si="109"/>
        <v>55.457480799999999</v>
      </c>
      <c r="L2321" s="1">
        <f t="shared" si="110"/>
        <v>12.182033799999999</v>
      </c>
    </row>
    <row r="2322" spans="1:12" ht="16" x14ac:dyDescent="0.2">
      <c r="A2322" s="1">
        <v>2321</v>
      </c>
      <c r="B2322" s="1" t="s">
        <v>6904</v>
      </c>
      <c r="C2322" s="1" t="s">
        <v>1909</v>
      </c>
      <c r="D2322" s="1" t="str">
        <f t="shared" si="108"/>
        <v>Køge KommuneKirkestræde 11</v>
      </c>
      <c r="E2322" s="1" t="s">
        <v>6950</v>
      </c>
      <c r="F2322" s="1" t="s">
        <v>6951</v>
      </c>
      <c r="G2322" s="1">
        <v>1950</v>
      </c>
      <c r="H2322" s="1" t="s">
        <v>11</v>
      </c>
      <c r="I2322" s="6" cm="1">
        <f t="array" ref="I2322">GetLatitude(D2322)</f>
        <v>554581166</v>
      </c>
      <c r="J2322" s="1" cm="1">
        <f t="array" ref="J2322">GetLongitude(D2322)</f>
        <v>121822400</v>
      </c>
      <c r="K2322" s="1">
        <f t="shared" si="109"/>
        <v>55.458116599999997</v>
      </c>
      <c r="L2322" s="1">
        <f t="shared" si="110"/>
        <v>12.18224</v>
      </c>
    </row>
    <row r="2323" spans="1:12" ht="16" x14ac:dyDescent="0.2">
      <c r="A2323" s="1">
        <v>2322</v>
      </c>
      <c r="B2323" s="1" t="s">
        <v>6904</v>
      </c>
      <c r="C2323" s="1" t="s">
        <v>6952</v>
      </c>
      <c r="D2323" s="1" t="str">
        <f t="shared" si="108"/>
        <v>Køge KommuneKirkestræde 13</v>
      </c>
      <c r="E2323" s="1" t="s">
        <v>6953</v>
      </c>
      <c r="F2323" s="1" t="s">
        <v>6954</v>
      </c>
      <c r="G2323" s="1">
        <v>1918</v>
      </c>
      <c r="H2323" s="1" t="s">
        <v>1483</v>
      </c>
      <c r="I2323" s="6" cm="1">
        <f t="array" ref="I2323">GetLatitude(D2323)</f>
        <v>554576406</v>
      </c>
      <c r="J2323" s="1" cm="1">
        <f t="array" ref="J2323">GetLongitude(D2323)</f>
        <v>121818378</v>
      </c>
      <c r="K2323" s="1">
        <f t="shared" si="109"/>
        <v>55.457640599999998</v>
      </c>
      <c r="L2323" s="1">
        <f t="shared" si="110"/>
        <v>12.1818378</v>
      </c>
    </row>
    <row r="2324" spans="1:12" ht="16" x14ac:dyDescent="0.2">
      <c r="A2324" s="1">
        <v>2323</v>
      </c>
      <c r="B2324" s="1" t="s">
        <v>6904</v>
      </c>
      <c r="C2324" s="1" t="s">
        <v>6955</v>
      </c>
      <c r="D2324" s="1" t="str">
        <f t="shared" si="108"/>
        <v>Køge KommuneKirkestræde 15</v>
      </c>
      <c r="E2324" s="1" t="s">
        <v>6956</v>
      </c>
      <c r="F2324" s="1" t="s">
        <v>6957</v>
      </c>
      <c r="G2324" s="1">
        <v>1984</v>
      </c>
      <c r="H2324" s="1" t="s">
        <v>11</v>
      </c>
      <c r="I2324" s="6" cm="1">
        <f t="array" ref="I2324">GetLatitude(D2324)</f>
        <v>554576924</v>
      </c>
      <c r="J2324" s="1" cm="1">
        <f t="array" ref="J2324">GetLongitude(D2324)</f>
        <v>121816775</v>
      </c>
      <c r="K2324" s="1">
        <f t="shared" si="109"/>
        <v>55.457692399999999</v>
      </c>
      <c r="L2324" s="1">
        <f t="shared" si="110"/>
        <v>12.181677499999999</v>
      </c>
    </row>
    <row r="2325" spans="1:12" ht="16" x14ac:dyDescent="0.2">
      <c r="A2325" s="1">
        <v>2324</v>
      </c>
      <c r="B2325" s="1" t="s">
        <v>6904</v>
      </c>
      <c r="C2325" s="1" t="s">
        <v>6958</v>
      </c>
      <c r="D2325" s="1" t="str">
        <f t="shared" si="108"/>
        <v>Køge KommuneKirkestræde 17</v>
      </c>
      <c r="E2325" s="1" t="s">
        <v>6959</v>
      </c>
      <c r="F2325" s="1" t="s">
        <v>6960</v>
      </c>
      <c r="G2325" s="1">
        <v>1944</v>
      </c>
      <c r="H2325" s="1" t="s">
        <v>11</v>
      </c>
      <c r="I2325" s="6" cm="1">
        <f t="array" ref="I2325">GetLatitude(D2325)</f>
        <v>554581166</v>
      </c>
      <c r="J2325" s="1" cm="1">
        <f t="array" ref="J2325">GetLongitude(D2325)</f>
        <v>121822400</v>
      </c>
      <c r="K2325" s="1">
        <f t="shared" si="109"/>
        <v>55.458116599999997</v>
      </c>
      <c r="L2325" s="1">
        <f t="shared" si="110"/>
        <v>12.18224</v>
      </c>
    </row>
    <row r="2326" spans="1:12" ht="16" x14ac:dyDescent="0.2">
      <c r="A2326" s="1">
        <v>2325</v>
      </c>
      <c r="B2326" s="1" t="s">
        <v>6904</v>
      </c>
      <c r="C2326" s="1" t="s">
        <v>6961</v>
      </c>
      <c r="D2326" s="1" t="str">
        <f t="shared" si="108"/>
        <v>Køge KommuneKirkestræde 20</v>
      </c>
      <c r="E2326" s="1" t="s">
        <v>6962</v>
      </c>
      <c r="F2326" s="1" t="s">
        <v>6963</v>
      </c>
      <c r="G2326" s="1">
        <v>1918</v>
      </c>
      <c r="H2326" s="1" t="s">
        <v>15</v>
      </c>
      <c r="I2326" s="6" cm="1">
        <f t="array" ref="I2326">GetLatitude(D2326)</f>
        <v>554578885</v>
      </c>
      <c r="J2326" s="1" cm="1">
        <f t="array" ref="J2326">GetLongitude(D2326)</f>
        <v>121822385</v>
      </c>
      <c r="K2326" s="1">
        <f t="shared" si="109"/>
        <v>55.457888500000003</v>
      </c>
      <c r="L2326" s="1">
        <f t="shared" si="110"/>
        <v>12.1822385</v>
      </c>
    </row>
    <row r="2327" spans="1:12" ht="16" x14ac:dyDescent="0.2">
      <c r="A2327" s="1">
        <v>2326</v>
      </c>
      <c r="B2327" s="1" t="s">
        <v>6904</v>
      </c>
      <c r="C2327" s="1" t="s">
        <v>6964</v>
      </c>
      <c r="D2327" s="1" t="str">
        <f t="shared" si="108"/>
        <v>Køge KommuneKirkestræde 21</v>
      </c>
      <c r="E2327" s="1" t="s">
        <v>6965</v>
      </c>
      <c r="F2327" s="1" t="s">
        <v>6966</v>
      </c>
      <c r="G2327" s="1">
        <v>1944</v>
      </c>
      <c r="H2327" s="1" t="s">
        <v>11</v>
      </c>
      <c r="I2327" s="6" cm="1">
        <f t="array" ref="I2327">GetLatitude(D2327)</f>
        <v>554580827</v>
      </c>
      <c r="J2327" s="1" cm="1">
        <f t="array" ref="J2327">GetLongitude(D2327)</f>
        <v>121820815</v>
      </c>
      <c r="K2327" s="1">
        <f t="shared" si="109"/>
        <v>55.458082699999999</v>
      </c>
      <c r="L2327" s="1">
        <f t="shared" si="110"/>
        <v>12.182081500000001</v>
      </c>
    </row>
    <row r="2328" spans="1:12" ht="16" x14ac:dyDescent="0.2">
      <c r="A2328" s="1">
        <v>2327</v>
      </c>
      <c r="B2328" s="1" t="s">
        <v>6904</v>
      </c>
      <c r="C2328" s="1" t="s">
        <v>6967</v>
      </c>
      <c r="D2328" s="1" t="str">
        <f t="shared" si="108"/>
        <v>Køge KommuneKirkestræde 23</v>
      </c>
      <c r="E2328" s="1" t="s">
        <v>6968</v>
      </c>
      <c r="F2328" s="1" t="s">
        <v>6969</v>
      </c>
      <c r="G2328" s="1">
        <v>1982</v>
      </c>
      <c r="H2328" s="1" t="s">
        <v>15</v>
      </c>
      <c r="I2328" s="6" cm="1">
        <f t="array" ref="I2328">GetLatitude(D2328)</f>
        <v>554582194</v>
      </c>
      <c r="J2328" s="1" cm="1">
        <f t="array" ref="J2328">GetLongitude(D2328)</f>
        <v>121821157</v>
      </c>
      <c r="K2328" s="1">
        <f t="shared" si="109"/>
        <v>55.458219399999997</v>
      </c>
      <c r="L2328" s="1">
        <f t="shared" si="110"/>
        <v>12.182115700000001</v>
      </c>
    </row>
    <row r="2329" spans="1:12" ht="16" x14ac:dyDescent="0.2">
      <c r="A2329" s="1">
        <v>2328</v>
      </c>
      <c r="B2329" s="1" t="s">
        <v>6904</v>
      </c>
      <c r="C2329" s="1" t="s">
        <v>6970</v>
      </c>
      <c r="D2329" s="1" t="str">
        <f t="shared" si="108"/>
        <v>Køge KommuneKirkestræde 25-27</v>
      </c>
      <c r="E2329" s="1" t="s">
        <v>6971</v>
      </c>
      <c r="F2329" s="1" t="s">
        <v>6972</v>
      </c>
      <c r="G2329" s="1">
        <v>1983</v>
      </c>
      <c r="H2329" s="1" t="s">
        <v>11</v>
      </c>
      <c r="I2329" s="6" cm="1">
        <f t="array" ref="I2329">GetLatitude(D2329)</f>
        <v>554583346</v>
      </c>
      <c r="J2329" s="1" cm="1">
        <f t="array" ref="J2329">GetLongitude(D2329)</f>
        <v>121822279</v>
      </c>
      <c r="K2329" s="1">
        <f t="shared" si="109"/>
        <v>55.458334600000001</v>
      </c>
      <c r="L2329" s="1">
        <f t="shared" si="110"/>
        <v>12.182227900000001</v>
      </c>
    </row>
    <row r="2330" spans="1:12" ht="16" x14ac:dyDescent="0.2">
      <c r="A2330" s="1">
        <v>2329</v>
      </c>
      <c r="B2330" s="1" t="s">
        <v>6904</v>
      </c>
      <c r="C2330" s="1" t="s">
        <v>1429</v>
      </c>
      <c r="D2330" s="1" t="str">
        <f t="shared" si="108"/>
        <v>Køge KommuneKirkestræde 3</v>
      </c>
      <c r="E2330" s="1" t="s">
        <v>6973</v>
      </c>
      <c r="F2330" s="1" t="s">
        <v>6974</v>
      </c>
      <c r="G2330" s="1">
        <v>1919</v>
      </c>
      <c r="H2330" s="1" t="s">
        <v>15</v>
      </c>
      <c r="I2330" s="6" cm="1">
        <f t="array" ref="I2330">GetLatitude(D2330)</f>
        <v>554570425</v>
      </c>
      <c r="J2330" s="1" cm="1">
        <f t="array" ref="J2330">GetLongitude(D2330)</f>
        <v>121813781</v>
      </c>
      <c r="K2330" s="1">
        <f t="shared" si="109"/>
        <v>55.4570425</v>
      </c>
      <c r="L2330" s="1">
        <f t="shared" si="110"/>
        <v>12.1813781</v>
      </c>
    </row>
    <row r="2331" spans="1:12" ht="16" x14ac:dyDescent="0.2">
      <c r="A2331" s="1">
        <v>2330</v>
      </c>
      <c r="B2331" s="1" t="s">
        <v>6904</v>
      </c>
      <c r="C2331" s="1" t="s">
        <v>6975</v>
      </c>
      <c r="D2331" s="1" t="str">
        <f t="shared" si="108"/>
        <v>Køge KommuneKirkestræde 5</v>
      </c>
      <c r="E2331" s="1" t="s">
        <v>6976</v>
      </c>
      <c r="F2331" s="1" t="s">
        <v>6977</v>
      </c>
      <c r="G2331" s="1">
        <v>1984</v>
      </c>
      <c r="H2331" s="1" t="s">
        <v>11</v>
      </c>
      <c r="I2331" s="6" cm="1">
        <f t="array" ref="I2331">GetLatitude(D2331)</f>
        <v>554581166</v>
      </c>
      <c r="J2331" s="1" cm="1">
        <f t="array" ref="J2331">GetLongitude(D2331)</f>
        <v>121822400</v>
      </c>
      <c r="K2331" s="1">
        <f t="shared" si="109"/>
        <v>55.458116599999997</v>
      </c>
      <c r="L2331" s="1">
        <f t="shared" si="110"/>
        <v>12.18224</v>
      </c>
    </row>
    <row r="2332" spans="1:12" ht="16" x14ac:dyDescent="0.2">
      <c r="A2332" s="1">
        <v>2331</v>
      </c>
      <c r="B2332" s="1" t="s">
        <v>6904</v>
      </c>
      <c r="C2332" s="1" t="s">
        <v>6978</v>
      </c>
      <c r="D2332" s="1" t="str">
        <f t="shared" si="108"/>
        <v>Køge KommuneKirkestræde 6</v>
      </c>
      <c r="E2332" s="1" t="s">
        <v>6979</v>
      </c>
      <c r="F2332" s="1" t="s">
        <v>6980</v>
      </c>
      <c r="G2332" s="1">
        <v>1944</v>
      </c>
      <c r="H2332" s="1" t="s">
        <v>11</v>
      </c>
      <c r="I2332" s="6" cm="1">
        <f t="array" ref="I2332">GetLatitude(D2332)</f>
        <v>554573093</v>
      </c>
      <c r="J2332" s="1" cm="1">
        <f t="array" ref="J2332">GetLongitude(D2332)</f>
        <v>121818595</v>
      </c>
      <c r="K2332" s="1">
        <f t="shared" si="109"/>
        <v>55.457309299999999</v>
      </c>
      <c r="L2332" s="1">
        <f t="shared" si="110"/>
        <v>12.1818595</v>
      </c>
    </row>
    <row r="2333" spans="1:12" ht="16" x14ac:dyDescent="0.2">
      <c r="A2333" s="1">
        <v>2332</v>
      </c>
      <c r="B2333" s="1" t="s">
        <v>6904</v>
      </c>
      <c r="C2333" s="1" t="s">
        <v>6981</v>
      </c>
      <c r="D2333" s="1" t="str">
        <f t="shared" si="108"/>
        <v>Køge KommuneKirkestræde 8</v>
      </c>
      <c r="E2333" s="1" t="s">
        <v>6982</v>
      </c>
      <c r="F2333" s="1" t="s">
        <v>6983</v>
      </c>
      <c r="G2333" s="1">
        <v>1984</v>
      </c>
      <c r="H2333" s="1" t="s">
        <v>11</v>
      </c>
      <c r="I2333" s="6" cm="1">
        <f t="array" ref="I2333">GetLatitude(D2333)</f>
        <v>554581166</v>
      </c>
      <c r="J2333" s="1" cm="1">
        <f t="array" ref="J2333">GetLongitude(D2333)</f>
        <v>121822400</v>
      </c>
      <c r="K2333" s="1">
        <f t="shared" si="109"/>
        <v>55.458116599999997</v>
      </c>
      <c r="L2333" s="1">
        <f t="shared" si="110"/>
        <v>12.18224</v>
      </c>
    </row>
    <row r="2334" spans="1:12" ht="16" x14ac:dyDescent="0.2">
      <c r="A2334" s="1">
        <v>2333</v>
      </c>
      <c r="B2334" s="1" t="s">
        <v>6904</v>
      </c>
      <c r="C2334" s="1" t="s">
        <v>6984</v>
      </c>
      <c r="D2334" s="1" t="str">
        <f t="shared" si="108"/>
        <v>Køge KommuneKirkestræde 9</v>
      </c>
      <c r="E2334" s="1" t="s">
        <v>6985</v>
      </c>
      <c r="F2334" s="1" t="s">
        <v>6986</v>
      </c>
      <c r="G2334" s="1">
        <v>1984</v>
      </c>
      <c r="H2334" s="1" t="s">
        <v>11</v>
      </c>
      <c r="I2334" s="6" cm="1">
        <f t="array" ref="I2334">GetLatitude(D2334)</f>
        <v>554572676</v>
      </c>
      <c r="J2334" s="1" cm="1">
        <f t="array" ref="J2334">GetLongitude(D2334)</f>
        <v>121816021</v>
      </c>
      <c r="K2334" s="1">
        <f t="shared" si="109"/>
        <v>55.457267600000002</v>
      </c>
      <c r="L2334" s="1">
        <f t="shared" si="110"/>
        <v>12.181602099999999</v>
      </c>
    </row>
    <row r="2335" spans="1:12" ht="16" x14ac:dyDescent="0.2">
      <c r="A2335" s="1">
        <v>2334</v>
      </c>
      <c r="B2335" s="1" t="s">
        <v>6904</v>
      </c>
      <c r="C2335" s="1" t="s">
        <v>6987</v>
      </c>
      <c r="D2335" s="1" t="str">
        <f t="shared" si="108"/>
        <v>Køge KommuneKirkevej 3 og 3 A</v>
      </c>
      <c r="E2335" s="1" t="s">
        <v>6988</v>
      </c>
      <c r="F2335" s="1" t="s">
        <v>6989</v>
      </c>
      <c r="G2335" s="1">
        <v>1939</v>
      </c>
      <c r="H2335" s="1" t="s">
        <v>15</v>
      </c>
      <c r="I2335" s="6" cm="1">
        <f t="array" ref="I2335">GetLatitude(D2335)</f>
        <v>554504972</v>
      </c>
      <c r="J2335" s="1" cm="1">
        <f t="array" ref="J2335">GetLongitude(D2335)</f>
        <v>120794352</v>
      </c>
      <c r="K2335" s="1">
        <f t="shared" si="109"/>
        <v>55.450497200000001</v>
      </c>
      <c r="L2335" s="1">
        <f t="shared" si="110"/>
        <v>12.079435200000001</v>
      </c>
    </row>
    <row r="2336" spans="1:12" ht="16" x14ac:dyDescent="0.2">
      <c r="A2336" s="1">
        <v>2335</v>
      </c>
      <c r="B2336" s="1" t="s">
        <v>6904</v>
      </c>
      <c r="C2336" s="1" t="s">
        <v>6990</v>
      </c>
      <c r="D2336" s="1" t="str">
        <f t="shared" si="108"/>
        <v>Køge KommuneLaugshusgade 8</v>
      </c>
      <c r="E2336" s="1" t="s">
        <v>6991</v>
      </c>
      <c r="F2336" s="1" t="s">
        <v>6992</v>
      </c>
      <c r="G2336" s="1">
        <v>1983</v>
      </c>
      <c r="H2336" s="1" t="s">
        <v>11</v>
      </c>
      <c r="I2336" s="6" cm="1">
        <f t="array" ref="I2336">GetLatitude(D2336)</f>
        <v>554588984</v>
      </c>
      <c r="J2336" s="1" cm="1">
        <f t="array" ref="J2336">GetLongitude(D2336)</f>
        <v>121814804</v>
      </c>
      <c r="K2336" s="1">
        <f t="shared" si="109"/>
        <v>55.458898400000002</v>
      </c>
      <c r="L2336" s="1">
        <f t="shared" si="110"/>
        <v>12.1814804</v>
      </c>
    </row>
    <row r="2337" spans="1:12" ht="16" x14ac:dyDescent="0.2">
      <c r="A2337" s="1">
        <v>2336</v>
      </c>
      <c r="B2337" s="1" t="s">
        <v>6904</v>
      </c>
      <c r="C2337" s="1" t="s">
        <v>6993</v>
      </c>
      <c r="D2337" s="1" t="str">
        <f t="shared" si="108"/>
        <v>Køge KommuneNiels Juelsgade 1</v>
      </c>
      <c r="E2337" s="1" t="s">
        <v>6994</v>
      </c>
      <c r="F2337" s="1" t="s">
        <v>6995</v>
      </c>
      <c r="G2337" s="1">
        <v>1919</v>
      </c>
      <c r="H2337" s="1" t="s">
        <v>11</v>
      </c>
      <c r="I2337" s="6" cm="1">
        <f t="array" ref="I2337">GetLatitude(D2337)</f>
        <v>554606066</v>
      </c>
      <c r="J2337" s="1" cm="1">
        <f t="array" ref="J2337">GetLongitude(D2337)</f>
        <v>121845816</v>
      </c>
      <c r="K2337" s="1">
        <f t="shared" si="109"/>
        <v>55.460606599999998</v>
      </c>
      <c r="L2337" s="1">
        <f t="shared" si="110"/>
        <v>12.1845816</v>
      </c>
    </row>
    <row r="2338" spans="1:12" ht="16" x14ac:dyDescent="0.2">
      <c r="A2338" s="1">
        <v>2337</v>
      </c>
      <c r="B2338" s="1" t="s">
        <v>6904</v>
      </c>
      <c r="C2338" s="1" t="s">
        <v>6996</v>
      </c>
      <c r="D2338" s="1" t="str">
        <f t="shared" si="108"/>
        <v>Køge KommuneNørregade 22</v>
      </c>
      <c r="E2338" s="1" t="s">
        <v>6997</v>
      </c>
      <c r="F2338" s="1" t="s">
        <v>6998</v>
      </c>
      <c r="G2338" s="1">
        <v>1983</v>
      </c>
      <c r="H2338" s="1" t="s">
        <v>11</v>
      </c>
      <c r="I2338" s="6" cm="1">
        <f t="array" ref="I2338">GetLatitude(D2338)</f>
        <v>554580900</v>
      </c>
      <c r="J2338" s="1" cm="1">
        <f t="array" ref="J2338">GetLongitude(D2338)</f>
        <v>121835486</v>
      </c>
      <c r="K2338" s="1">
        <f t="shared" si="109"/>
        <v>55.458089999999999</v>
      </c>
      <c r="L2338" s="1">
        <f t="shared" si="110"/>
        <v>12.1835486</v>
      </c>
    </row>
    <row r="2339" spans="1:12" ht="16" x14ac:dyDescent="0.2">
      <c r="A2339" s="1">
        <v>2338</v>
      </c>
      <c r="B2339" s="1" t="s">
        <v>6904</v>
      </c>
      <c r="C2339" s="1" t="s">
        <v>3449</v>
      </c>
      <c r="D2339" s="1" t="str">
        <f t="shared" si="108"/>
        <v>Køge KommuneNørregade 31</v>
      </c>
      <c r="E2339" s="1" t="s">
        <v>6999</v>
      </c>
      <c r="F2339" s="1" t="s">
        <v>7000</v>
      </c>
      <c r="G2339" s="1">
        <v>1918</v>
      </c>
      <c r="H2339" s="1" t="s">
        <v>11</v>
      </c>
      <c r="I2339" s="6" cm="1">
        <f t="array" ref="I2339">GetLatitude(D2339)</f>
        <v>554584992</v>
      </c>
      <c r="J2339" s="1" cm="1">
        <f t="array" ref="J2339">GetLongitude(D2339)</f>
        <v>121836148</v>
      </c>
      <c r="K2339" s="1">
        <f t="shared" si="109"/>
        <v>55.458499199999999</v>
      </c>
      <c r="L2339" s="1">
        <f t="shared" si="110"/>
        <v>12.183614800000001</v>
      </c>
    </row>
    <row r="2340" spans="1:12" ht="16" x14ac:dyDescent="0.2">
      <c r="A2340" s="1">
        <v>2339</v>
      </c>
      <c r="B2340" s="1" t="s">
        <v>6904</v>
      </c>
      <c r="C2340" s="1" t="s">
        <v>2588</v>
      </c>
      <c r="D2340" s="1" t="str">
        <f t="shared" si="108"/>
        <v>Køge KommuneNørregade 4</v>
      </c>
      <c r="E2340" s="1" t="s">
        <v>7001</v>
      </c>
      <c r="F2340" s="1" t="s">
        <v>7002</v>
      </c>
      <c r="G2340" s="1">
        <v>1918</v>
      </c>
      <c r="H2340" s="1" t="s">
        <v>11</v>
      </c>
      <c r="I2340" s="6" cm="1">
        <f t="array" ref="I2340">GetLatitude(D2340)</f>
        <v>554504972</v>
      </c>
      <c r="J2340" s="1" cm="1">
        <f t="array" ref="J2340">GetLongitude(D2340)</f>
        <v>120794352</v>
      </c>
      <c r="K2340" s="1">
        <f t="shared" si="109"/>
        <v>55.450497200000001</v>
      </c>
      <c r="L2340" s="1">
        <f t="shared" si="110"/>
        <v>12.079435200000001</v>
      </c>
    </row>
    <row r="2341" spans="1:12" ht="16" x14ac:dyDescent="0.2">
      <c r="A2341" s="1">
        <v>2340</v>
      </c>
      <c r="B2341" s="1" t="s">
        <v>6904</v>
      </c>
      <c r="C2341" s="1" t="s">
        <v>7003</v>
      </c>
      <c r="D2341" s="1" t="str">
        <f t="shared" si="108"/>
        <v>Køge KommuneNørregade 41</v>
      </c>
      <c r="E2341" s="1" t="s">
        <v>7004</v>
      </c>
      <c r="F2341" s="1" t="s">
        <v>7005</v>
      </c>
      <c r="G2341" s="1">
        <v>1983</v>
      </c>
      <c r="H2341" s="1" t="s">
        <v>15</v>
      </c>
      <c r="I2341" s="6" cm="1">
        <f t="array" ref="I2341">GetLatitude(D2341)</f>
        <v>554598336</v>
      </c>
      <c r="J2341" s="1" cm="1">
        <f t="array" ref="J2341">GetLongitude(D2341)</f>
        <v>121840179</v>
      </c>
      <c r="K2341" s="1">
        <f t="shared" si="109"/>
        <v>55.459833600000003</v>
      </c>
      <c r="L2341" s="1">
        <f t="shared" si="110"/>
        <v>12.184017900000001</v>
      </c>
    </row>
    <row r="2342" spans="1:12" ht="16" x14ac:dyDescent="0.2">
      <c r="A2342" s="1">
        <v>2341</v>
      </c>
      <c r="B2342" s="1" t="s">
        <v>6904</v>
      </c>
      <c r="C2342" s="1" t="s">
        <v>7006</v>
      </c>
      <c r="D2342" s="1" t="str">
        <f t="shared" si="108"/>
        <v>Køge KommuneNørregade 43</v>
      </c>
      <c r="E2342" s="1" t="s">
        <v>7007</v>
      </c>
      <c r="F2342" s="1" t="s">
        <v>7008</v>
      </c>
      <c r="G2342" s="1">
        <v>1983</v>
      </c>
      <c r="H2342" s="1" t="s">
        <v>15</v>
      </c>
      <c r="I2342" s="6" cm="1">
        <f t="array" ref="I2342">GetLatitude(D2342)</f>
        <v>554584992</v>
      </c>
      <c r="J2342" s="1" cm="1">
        <f t="array" ref="J2342">GetLongitude(D2342)</f>
        <v>121836148</v>
      </c>
      <c r="K2342" s="1">
        <f t="shared" si="109"/>
        <v>55.458499199999999</v>
      </c>
      <c r="L2342" s="1">
        <f t="shared" si="110"/>
        <v>12.183614800000001</v>
      </c>
    </row>
    <row r="2343" spans="1:12" ht="16" x14ac:dyDescent="0.2">
      <c r="A2343" s="1">
        <v>2342</v>
      </c>
      <c r="B2343" s="1" t="s">
        <v>6904</v>
      </c>
      <c r="C2343" s="1" t="s">
        <v>7009</v>
      </c>
      <c r="D2343" s="1" t="str">
        <f t="shared" si="108"/>
        <v>Køge KommuneNørregade 5</v>
      </c>
      <c r="E2343" s="1" t="s">
        <v>7010</v>
      </c>
      <c r="F2343" s="1" t="s">
        <v>6949</v>
      </c>
      <c r="G2343" s="1">
        <v>1919</v>
      </c>
      <c r="H2343" s="1" t="s">
        <v>11</v>
      </c>
      <c r="I2343" s="6" cm="1">
        <f t="array" ref="I2343">GetLatitude(D2343)</f>
        <v>554572549</v>
      </c>
      <c r="J2343" s="1" cm="1">
        <f t="array" ref="J2343">GetLongitude(D2343)</f>
        <v>121829673</v>
      </c>
      <c r="K2343" s="1">
        <f t="shared" si="109"/>
        <v>55.457254900000002</v>
      </c>
      <c r="L2343" s="1">
        <f t="shared" si="110"/>
        <v>12.1829673</v>
      </c>
    </row>
    <row r="2344" spans="1:12" ht="16" x14ac:dyDescent="0.2">
      <c r="A2344" s="1">
        <v>2343</v>
      </c>
      <c r="B2344" s="1" t="s">
        <v>6904</v>
      </c>
      <c r="C2344" s="1" t="s">
        <v>7011</v>
      </c>
      <c r="D2344" s="1" t="str">
        <f t="shared" si="108"/>
        <v>Køge KommuneStationsvej 16</v>
      </c>
      <c r="E2344" s="1" t="s">
        <v>7012</v>
      </c>
      <c r="F2344" s="1" t="s">
        <v>7013</v>
      </c>
      <c r="G2344" s="1">
        <v>1992</v>
      </c>
      <c r="H2344" s="1" t="s">
        <v>15</v>
      </c>
      <c r="I2344" s="6" cm="1">
        <f t="array" ref="I2344">GetLatitude(D2344)</f>
        <v>554174373</v>
      </c>
      <c r="J2344" s="1" cm="1">
        <f t="array" ref="J2344">GetLongitude(D2344)</f>
        <v>121396069</v>
      </c>
      <c r="K2344" s="1">
        <f t="shared" si="109"/>
        <v>55.417437300000003</v>
      </c>
      <c r="L2344" s="1">
        <f t="shared" si="110"/>
        <v>12.1396069</v>
      </c>
    </row>
    <row r="2345" spans="1:12" ht="16" x14ac:dyDescent="0.2">
      <c r="A2345" s="1">
        <v>2344</v>
      </c>
      <c r="B2345" s="1" t="s">
        <v>6904</v>
      </c>
      <c r="C2345" s="1" t="s">
        <v>965</v>
      </c>
      <c r="D2345" s="1" t="str">
        <f t="shared" si="108"/>
        <v>Køge KommuneTorvet 1</v>
      </c>
      <c r="E2345" s="1" t="s">
        <v>7014</v>
      </c>
      <c r="F2345" s="1" t="s">
        <v>7015</v>
      </c>
      <c r="G2345" s="1">
        <v>1918</v>
      </c>
      <c r="H2345" s="1" t="s">
        <v>15</v>
      </c>
      <c r="I2345" s="6" cm="1">
        <f t="array" ref="I2345">GetLatitude(D2345)</f>
        <v>554561264</v>
      </c>
      <c r="J2345" s="1" cm="1">
        <f t="array" ref="J2345">GetLongitude(D2345)</f>
        <v>121825752</v>
      </c>
      <c r="K2345" s="1">
        <f t="shared" si="109"/>
        <v>55.456126400000002</v>
      </c>
      <c r="L2345" s="1">
        <f t="shared" si="110"/>
        <v>12.1825752</v>
      </c>
    </row>
    <row r="2346" spans="1:12" ht="16" x14ac:dyDescent="0.2">
      <c r="A2346" s="1">
        <v>2345</v>
      </c>
      <c r="B2346" s="1" t="s">
        <v>6904</v>
      </c>
      <c r="C2346" s="1" t="s">
        <v>7016</v>
      </c>
      <c r="D2346" s="1" t="str">
        <f t="shared" si="108"/>
        <v>Køge KommuneTorvet 1 (tidl Bygårdsstræde 1)</v>
      </c>
      <c r="E2346" s="1" t="s">
        <v>7017</v>
      </c>
      <c r="F2346" s="1" t="s">
        <v>7018</v>
      </c>
      <c r="G2346" s="1">
        <v>1979</v>
      </c>
      <c r="H2346" s="1" t="s">
        <v>15</v>
      </c>
      <c r="I2346" s="6" cm="1">
        <f t="array" ref="I2346">GetLatitude(D2346)</f>
        <v>554563162</v>
      </c>
      <c r="J2346" s="1" cm="1">
        <f t="array" ref="J2346">GetLongitude(D2346)</f>
        <v>121848438</v>
      </c>
      <c r="K2346" s="1">
        <f t="shared" si="109"/>
        <v>55.456316200000003</v>
      </c>
      <c r="L2346" s="1">
        <f t="shared" si="110"/>
        <v>12.184843799999999</v>
      </c>
    </row>
    <row r="2347" spans="1:12" ht="16" x14ac:dyDescent="0.2">
      <c r="A2347" s="1">
        <v>2346</v>
      </c>
      <c r="B2347" s="1" t="s">
        <v>6904</v>
      </c>
      <c r="C2347" s="1" t="s">
        <v>2696</v>
      </c>
      <c r="D2347" s="1" t="str">
        <f t="shared" si="108"/>
        <v>Køge KommuneTorvet 13</v>
      </c>
      <c r="E2347" s="1" t="s">
        <v>7019</v>
      </c>
      <c r="F2347" s="1" t="s">
        <v>7020</v>
      </c>
      <c r="G2347" s="1">
        <v>1919</v>
      </c>
      <c r="H2347" s="1" t="s">
        <v>7021</v>
      </c>
      <c r="I2347" s="6" cm="1">
        <f t="array" ref="I2347">GetLatitude(D2347)</f>
        <v>554561155</v>
      </c>
      <c r="J2347" s="1" cm="1">
        <f t="array" ref="J2347">GetLongitude(D2347)</f>
        <v>121817696</v>
      </c>
      <c r="K2347" s="1">
        <f t="shared" si="109"/>
        <v>55.456115500000003</v>
      </c>
      <c r="L2347" s="1">
        <f t="shared" si="110"/>
        <v>12.181769600000001</v>
      </c>
    </row>
    <row r="2348" spans="1:12" ht="16" x14ac:dyDescent="0.2">
      <c r="A2348" s="1">
        <v>2347</v>
      </c>
      <c r="B2348" s="1" t="s">
        <v>6904</v>
      </c>
      <c r="C2348" s="1" t="s">
        <v>2045</v>
      </c>
      <c r="D2348" s="1" t="str">
        <f t="shared" si="108"/>
        <v>Køge KommuneTorvet 19</v>
      </c>
      <c r="E2348" s="1" t="s">
        <v>7022</v>
      </c>
      <c r="F2348" s="1" t="s">
        <v>7023</v>
      </c>
      <c r="G2348" s="1">
        <v>1985</v>
      </c>
      <c r="H2348" s="1" t="s">
        <v>11</v>
      </c>
      <c r="I2348" s="6" cm="1">
        <f t="array" ref="I2348">GetLatitude(D2348)</f>
        <v>554563555</v>
      </c>
      <c r="J2348" s="1" cm="1">
        <f t="array" ref="J2348">GetLongitude(D2348)</f>
        <v>121809948</v>
      </c>
      <c r="K2348" s="1">
        <f t="shared" si="109"/>
        <v>55.456355500000001</v>
      </c>
      <c r="L2348" s="1">
        <f t="shared" si="110"/>
        <v>12.180994800000001</v>
      </c>
    </row>
    <row r="2349" spans="1:12" ht="16" x14ac:dyDescent="0.2">
      <c r="A2349" s="1">
        <v>2348</v>
      </c>
      <c r="B2349" s="1" t="s">
        <v>6904</v>
      </c>
      <c r="C2349" s="1" t="s">
        <v>7024</v>
      </c>
      <c r="D2349" s="1" t="str">
        <f t="shared" si="108"/>
        <v>Køge KommuneTorvet 21</v>
      </c>
      <c r="E2349" s="1" t="s">
        <v>7025</v>
      </c>
      <c r="F2349" s="1" t="s">
        <v>7026</v>
      </c>
      <c r="G2349" s="1">
        <v>1919</v>
      </c>
      <c r="H2349" s="1" t="s">
        <v>7027</v>
      </c>
      <c r="I2349" s="6" cm="1">
        <f t="array" ref="I2349">GetLatitude(D2349)</f>
        <v>554564412</v>
      </c>
      <c r="J2349" s="1" cm="1">
        <f t="array" ref="J2349">GetLongitude(D2349)</f>
        <v>121805803</v>
      </c>
      <c r="K2349" s="1">
        <f t="shared" si="109"/>
        <v>55.4564412</v>
      </c>
      <c r="L2349" s="1">
        <f t="shared" si="110"/>
        <v>12.180580300000001</v>
      </c>
    </row>
    <row r="2350" spans="1:12" ht="16" x14ac:dyDescent="0.2">
      <c r="A2350" s="1">
        <v>2349</v>
      </c>
      <c r="B2350" s="1" t="s">
        <v>6904</v>
      </c>
      <c r="C2350" s="1" t="s">
        <v>7028</v>
      </c>
      <c r="D2350" s="1" t="str">
        <f t="shared" si="108"/>
        <v>Køge KommuneTorvet 28</v>
      </c>
      <c r="E2350" s="1" t="s">
        <v>7029</v>
      </c>
      <c r="F2350" s="1" t="s">
        <v>6766</v>
      </c>
      <c r="G2350" s="1">
        <v>1983</v>
      </c>
      <c r="H2350" s="1" t="s">
        <v>11</v>
      </c>
      <c r="I2350" s="6" cm="1">
        <f t="array" ref="I2350">GetLatitude(D2350)</f>
        <v>554563787</v>
      </c>
      <c r="J2350" s="1" cm="1">
        <f t="array" ref="J2350">GetLongitude(D2350)</f>
        <v>121813320</v>
      </c>
      <c r="K2350" s="1">
        <f t="shared" si="109"/>
        <v>55.456378700000002</v>
      </c>
      <c r="L2350" s="1">
        <f t="shared" si="110"/>
        <v>12.181331999999999</v>
      </c>
    </row>
    <row r="2351" spans="1:12" ht="16" x14ac:dyDescent="0.2">
      <c r="A2351" s="1">
        <v>2350</v>
      </c>
      <c r="B2351" s="1" t="s">
        <v>6904</v>
      </c>
      <c r="C2351" s="1" t="s">
        <v>2049</v>
      </c>
      <c r="D2351" s="1" t="str">
        <f t="shared" si="108"/>
        <v>Køge KommuneTorvet 5</v>
      </c>
      <c r="E2351" s="1" t="s">
        <v>2050</v>
      </c>
      <c r="F2351" s="1" t="s">
        <v>7030</v>
      </c>
      <c r="G2351" s="1">
        <v>1950</v>
      </c>
      <c r="H2351" s="1" t="s">
        <v>15</v>
      </c>
      <c r="I2351" s="6" cm="1">
        <f t="array" ref="I2351">GetLatitude(D2351)</f>
        <v>554563787</v>
      </c>
      <c r="J2351" s="1" cm="1">
        <f t="array" ref="J2351">GetLongitude(D2351)</f>
        <v>121813320</v>
      </c>
      <c r="K2351" s="1">
        <f t="shared" si="109"/>
        <v>55.456378700000002</v>
      </c>
      <c r="L2351" s="1">
        <f t="shared" si="110"/>
        <v>12.181331999999999</v>
      </c>
    </row>
    <row r="2352" spans="1:12" ht="16" x14ac:dyDescent="0.2">
      <c r="A2352" s="1">
        <v>2351</v>
      </c>
      <c r="B2352" s="1" t="s">
        <v>6904</v>
      </c>
      <c r="C2352" s="1" t="s">
        <v>2465</v>
      </c>
      <c r="D2352" s="1" t="str">
        <f t="shared" si="108"/>
        <v>Køge KommuneVestergade 16</v>
      </c>
      <c r="E2352" s="1" t="s">
        <v>7031</v>
      </c>
      <c r="F2352" s="1" t="s">
        <v>7032</v>
      </c>
      <c r="G2352" s="1">
        <v>1918</v>
      </c>
      <c r="H2352" s="1" t="s">
        <v>11</v>
      </c>
      <c r="I2352" s="6" cm="1">
        <f t="array" ref="I2352">GetLatitude(D2352)</f>
        <v>554572225</v>
      </c>
      <c r="J2352" s="1" cm="1">
        <f t="array" ref="J2352">GetLongitude(D2352)</f>
        <v>121789305</v>
      </c>
      <c r="K2352" s="1">
        <f t="shared" si="109"/>
        <v>55.4572225</v>
      </c>
      <c r="L2352" s="1">
        <f t="shared" si="110"/>
        <v>12.1789305</v>
      </c>
    </row>
    <row r="2353" spans="1:12" ht="16" x14ac:dyDescent="0.2">
      <c r="A2353" s="1">
        <v>2352</v>
      </c>
      <c r="B2353" s="1" t="s">
        <v>6904</v>
      </c>
      <c r="C2353" s="1" t="s">
        <v>7033</v>
      </c>
      <c r="D2353" s="1" t="str">
        <f t="shared" si="108"/>
        <v>Køge KommuneVestergade 29 A-C</v>
      </c>
      <c r="E2353" s="1" t="s">
        <v>7034</v>
      </c>
      <c r="F2353" s="1" t="s">
        <v>7035</v>
      </c>
      <c r="G2353" s="1">
        <v>1983</v>
      </c>
      <c r="H2353" s="1" t="s">
        <v>701</v>
      </c>
      <c r="I2353" s="6" cm="1">
        <f t="array" ref="I2353">GetLatitude(D2353)</f>
        <v>554574672</v>
      </c>
      <c r="J2353" s="1" cm="1">
        <f t="array" ref="J2353">GetLongitude(D2353)</f>
        <v>121778111</v>
      </c>
      <c r="K2353" s="1">
        <f t="shared" si="109"/>
        <v>55.457467200000004</v>
      </c>
      <c r="L2353" s="1">
        <f t="shared" si="110"/>
        <v>12.1778111</v>
      </c>
    </row>
    <row r="2354" spans="1:12" ht="16" x14ac:dyDescent="0.2">
      <c r="A2354" s="1">
        <v>2353</v>
      </c>
      <c r="B2354" s="1" t="s">
        <v>6904</v>
      </c>
      <c r="C2354" s="1" t="s">
        <v>7036</v>
      </c>
      <c r="D2354" s="1" t="str">
        <f t="shared" si="108"/>
        <v>Køge KommuneVestergade 31</v>
      </c>
      <c r="E2354" s="1" t="s">
        <v>7037</v>
      </c>
      <c r="F2354" s="1" t="s">
        <v>7038</v>
      </c>
      <c r="G2354" s="1">
        <v>1983</v>
      </c>
      <c r="H2354" s="1" t="s">
        <v>15</v>
      </c>
      <c r="I2354" s="6" cm="1">
        <f t="array" ref="I2354">GetLatitude(D2354)</f>
        <v>554577188</v>
      </c>
      <c r="J2354" s="1" cm="1">
        <f t="array" ref="J2354">GetLongitude(D2354)</f>
        <v>121775097</v>
      </c>
      <c r="K2354" s="1">
        <f t="shared" si="109"/>
        <v>55.457718800000002</v>
      </c>
      <c r="L2354" s="1">
        <f t="shared" si="110"/>
        <v>12.1775097</v>
      </c>
    </row>
    <row r="2355" spans="1:12" ht="16" x14ac:dyDescent="0.2">
      <c r="A2355" s="1">
        <v>2354</v>
      </c>
      <c r="B2355" s="1" t="s">
        <v>6904</v>
      </c>
      <c r="C2355" s="1" t="s">
        <v>7039</v>
      </c>
      <c r="D2355" s="1" t="str">
        <f t="shared" si="108"/>
        <v>Køge KommuneVestergade 33</v>
      </c>
      <c r="E2355" s="1" t="s">
        <v>7040</v>
      </c>
      <c r="F2355" s="1" t="s">
        <v>7041</v>
      </c>
      <c r="G2355" s="1">
        <v>1983</v>
      </c>
      <c r="H2355" s="1" t="s">
        <v>11</v>
      </c>
      <c r="I2355" s="6" cm="1">
        <f t="array" ref="I2355">GetLatitude(D2355)</f>
        <v>554577188</v>
      </c>
      <c r="J2355" s="1" cm="1">
        <f t="array" ref="J2355">GetLongitude(D2355)</f>
        <v>121775097</v>
      </c>
      <c r="K2355" s="1">
        <f t="shared" si="109"/>
        <v>55.457718800000002</v>
      </c>
      <c r="L2355" s="1">
        <f t="shared" si="110"/>
        <v>12.1775097</v>
      </c>
    </row>
    <row r="2356" spans="1:12" ht="16" x14ac:dyDescent="0.2">
      <c r="A2356" s="1">
        <v>2355</v>
      </c>
      <c r="B2356" s="1" t="s">
        <v>6904</v>
      </c>
      <c r="C2356" s="1" t="s">
        <v>2073</v>
      </c>
      <c r="D2356" s="1" t="str">
        <f t="shared" si="108"/>
        <v>Køge KommuneVestergade 5</v>
      </c>
      <c r="E2356" s="1" t="s">
        <v>6754</v>
      </c>
      <c r="F2356" s="1" t="s">
        <v>7042</v>
      </c>
      <c r="G2356" s="1">
        <v>1983</v>
      </c>
      <c r="H2356" s="1" t="s">
        <v>11</v>
      </c>
      <c r="I2356" s="6" cm="1">
        <f t="array" ref="I2356">GetLatitude(D2356)</f>
        <v>554577188</v>
      </c>
      <c r="J2356" s="1" cm="1">
        <f t="array" ref="J2356">GetLongitude(D2356)</f>
        <v>121775097</v>
      </c>
      <c r="K2356" s="1">
        <f t="shared" si="109"/>
        <v>55.457718800000002</v>
      </c>
      <c r="L2356" s="1">
        <f t="shared" si="110"/>
        <v>12.1775097</v>
      </c>
    </row>
    <row r="2357" spans="1:12" ht="16" x14ac:dyDescent="0.2">
      <c r="A2357" s="1">
        <v>2356</v>
      </c>
      <c r="B2357" s="1" t="s">
        <v>6904</v>
      </c>
      <c r="C2357" s="1" t="s">
        <v>7043</v>
      </c>
      <c r="D2357" s="1" t="str">
        <f t="shared" si="108"/>
        <v>Køge KommuneVestergade 6</v>
      </c>
      <c r="E2357" s="1" t="s">
        <v>7044</v>
      </c>
      <c r="F2357" s="1" t="s">
        <v>7045</v>
      </c>
      <c r="G2357" s="1">
        <v>1919</v>
      </c>
      <c r="H2357" s="1" t="s">
        <v>1483</v>
      </c>
      <c r="I2357" s="6" cm="1">
        <f t="array" ref="I2357">GetLatitude(D2357)</f>
        <v>554577188</v>
      </c>
      <c r="J2357" s="1" cm="1">
        <f t="array" ref="J2357">GetLongitude(D2357)</f>
        <v>121775097</v>
      </c>
      <c r="K2357" s="1">
        <f t="shared" si="109"/>
        <v>55.457718800000002</v>
      </c>
      <c r="L2357" s="1">
        <f t="shared" si="110"/>
        <v>12.1775097</v>
      </c>
    </row>
    <row r="2358" spans="1:12" ht="16" x14ac:dyDescent="0.2">
      <c r="A2358" s="1">
        <v>2357</v>
      </c>
      <c r="B2358" s="1" t="s">
        <v>6904</v>
      </c>
      <c r="C2358" s="1" t="s">
        <v>7046</v>
      </c>
      <c r="D2358" s="1" t="str">
        <f t="shared" si="108"/>
        <v>Køge KommuneVestergade 7 og 7 A</v>
      </c>
      <c r="E2358" s="1" t="s">
        <v>7047</v>
      </c>
      <c r="F2358" s="1" t="s">
        <v>7048</v>
      </c>
      <c r="G2358" s="1">
        <v>1918</v>
      </c>
      <c r="H2358" s="1" t="s">
        <v>1483</v>
      </c>
      <c r="I2358" s="6" cm="1">
        <f t="array" ref="I2358">GetLatitude(D2358)</f>
        <v>554504972</v>
      </c>
      <c r="J2358" s="1" cm="1">
        <f t="array" ref="J2358">GetLongitude(D2358)</f>
        <v>120794352</v>
      </c>
      <c r="K2358" s="1">
        <f t="shared" si="109"/>
        <v>55.450497200000001</v>
      </c>
      <c r="L2358" s="1">
        <f t="shared" si="110"/>
        <v>12.079435200000001</v>
      </c>
    </row>
    <row r="2359" spans="1:12" ht="16" x14ac:dyDescent="0.2">
      <c r="A2359" s="1">
        <v>2358</v>
      </c>
      <c r="B2359" s="1" t="s">
        <v>6904</v>
      </c>
      <c r="C2359" s="1" t="s">
        <v>7049</v>
      </c>
      <c r="D2359" s="1" t="str">
        <f t="shared" si="108"/>
        <v>Køge KommuneVordingborgvej 82</v>
      </c>
      <c r="E2359" s="1" t="s">
        <v>7050</v>
      </c>
      <c r="F2359" s="1" t="s">
        <v>2587</v>
      </c>
      <c r="G2359" s="1">
        <v>1939</v>
      </c>
      <c r="H2359" s="1" t="s">
        <v>15</v>
      </c>
      <c r="I2359" s="6" cm="1">
        <f t="array" ref="I2359">GetLatitude(D2359)</f>
        <v>554216694</v>
      </c>
      <c r="J2359" s="1" cm="1">
        <f t="array" ref="J2359">GetLongitude(D2359)</f>
        <v>121425046</v>
      </c>
      <c r="K2359" s="1">
        <f t="shared" si="109"/>
        <v>55.421669399999999</v>
      </c>
      <c r="L2359" s="1">
        <f t="shared" si="110"/>
        <v>12.142504600000001</v>
      </c>
    </row>
    <row r="2360" spans="1:12" ht="16" x14ac:dyDescent="0.2">
      <c r="A2360" s="1">
        <v>2359</v>
      </c>
      <c r="B2360" s="1" t="s">
        <v>6904</v>
      </c>
      <c r="C2360" s="1" t="s">
        <v>7051</v>
      </c>
      <c r="D2360" s="1" t="str">
        <f t="shared" si="108"/>
        <v>Køge KommuneÅgade 1</v>
      </c>
      <c r="E2360" s="1" t="s">
        <v>7052</v>
      </c>
      <c r="F2360" s="1" t="s">
        <v>7053</v>
      </c>
      <c r="G2360" s="1">
        <v>1997</v>
      </c>
      <c r="H2360" s="1" t="s">
        <v>15</v>
      </c>
      <c r="I2360" s="6" cm="1">
        <f t="array" ref="I2360">GetLatitude(D2360)</f>
        <v>554570784</v>
      </c>
      <c r="J2360" s="1" cm="1">
        <f t="array" ref="J2360">GetLongitude(D2360)</f>
        <v>121765807</v>
      </c>
      <c r="K2360" s="1">
        <f t="shared" si="109"/>
        <v>55.4570784</v>
      </c>
      <c r="L2360" s="1">
        <f t="shared" si="110"/>
        <v>12.176580700000001</v>
      </c>
    </row>
    <row r="2361" spans="1:12" ht="16" x14ac:dyDescent="0.2">
      <c r="A2361" s="1">
        <v>2360</v>
      </c>
      <c r="B2361" s="1" t="s">
        <v>7054</v>
      </c>
      <c r="C2361" s="1" t="s">
        <v>7055</v>
      </c>
      <c r="D2361" s="1" t="str">
        <f t="shared" si="108"/>
        <v>Langeland KommuneBrogade 14</v>
      </c>
      <c r="E2361" s="1" t="s">
        <v>7056</v>
      </c>
      <c r="F2361" s="1" t="s">
        <v>7057</v>
      </c>
      <c r="G2361" s="1">
        <v>1939</v>
      </c>
      <c r="H2361" s="1" t="s">
        <v>15</v>
      </c>
      <c r="I2361" s="6" cm="1">
        <f t="array" ref="I2361">GetLatitude(D2361)</f>
        <v>549368082</v>
      </c>
      <c r="J2361" s="1" cm="1">
        <f t="array" ref="J2361">GetLongitude(D2361)</f>
        <v>107087606</v>
      </c>
      <c r="K2361" s="1">
        <f t="shared" si="109"/>
        <v>54.936808200000002</v>
      </c>
      <c r="L2361" s="1">
        <f t="shared" si="110"/>
        <v>10.7087606</v>
      </c>
    </row>
    <row r="2362" spans="1:12" ht="16" x14ac:dyDescent="0.2">
      <c r="A2362" s="1">
        <v>2361</v>
      </c>
      <c r="B2362" s="1" t="s">
        <v>7054</v>
      </c>
      <c r="C2362" s="1" t="s">
        <v>7058</v>
      </c>
      <c r="D2362" s="1" t="str">
        <f t="shared" si="108"/>
        <v>Langeland KommuneBrogade 15</v>
      </c>
      <c r="E2362" s="1" t="s">
        <v>180</v>
      </c>
      <c r="F2362" s="1" t="s">
        <v>7059</v>
      </c>
      <c r="G2362" s="1">
        <v>1978</v>
      </c>
      <c r="H2362" s="1" t="s">
        <v>11</v>
      </c>
      <c r="I2362" s="6" cm="1">
        <f t="array" ref="I2362">GetLatitude(D2362)</f>
        <v>549369830</v>
      </c>
      <c r="J2362" s="1" cm="1">
        <f t="array" ref="J2362">GetLongitude(D2362)</f>
        <v>107080900</v>
      </c>
      <c r="K2362" s="1">
        <f t="shared" si="109"/>
        <v>54.936982999999998</v>
      </c>
      <c r="L2362" s="1">
        <f t="shared" si="110"/>
        <v>10.70809</v>
      </c>
    </row>
    <row r="2363" spans="1:12" ht="16" x14ac:dyDescent="0.2">
      <c r="A2363" s="1">
        <v>2362</v>
      </c>
      <c r="B2363" s="1" t="s">
        <v>7054</v>
      </c>
      <c r="C2363" s="1" t="s">
        <v>7060</v>
      </c>
      <c r="D2363" s="1" t="str">
        <f t="shared" si="108"/>
        <v>Langeland KommuneBygaden 1</v>
      </c>
      <c r="E2363" s="1" t="s">
        <v>7061</v>
      </c>
      <c r="F2363" s="1" t="s">
        <v>7062</v>
      </c>
      <c r="G2363" s="1">
        <v>1964</v>
      </c>
      <c r="H2363" s="1" t="s">
        <v>15</v>
      </c>
      <c r="I2363" s="6" cm="1">
        <f t="array" ref="I2363">GetLatitude(D2363)</f>
        <v>549547782</v>
      </c>
      <c r="J2363" s="1" cm="1">
        <f t="array" ref="J2363">GetLongitude(D2363)</f>
        <v>107870229</v>
      </c>
      <c r="K2363" s="1">
        <f t="shared" si="109"/>
        <v>54.9547782</v>
      </c>
      <c r="L2363" s="1">
        <f t="shared" si="110"/>
        <v>10.7870229</v>
      </c>
    </row>
    <row r="2364" spans="1:12" ht="16" x14ac:dyDescent="0.2">
      <c r="A2364" s="1">
        <v>2363</v>
      </c>
      <c r="B2364" s="1" t="s">
        <v>7054</v>
      </c>
      <c r="C2364" s="1" t="s">
        <v>7063</v>
      </c>
      <c r="D2364" s="1" t="str">
        <f t="shared" si="108"/>
        <v>Langeland KommuneEgeløkkevej 3</v>
      </c>
      <c r="E2364" s="1" t="s">
        <v>7064</v>
      </c>
      <c r="F2364" s="1" t="s">
        <v>7065</v>
      </c>
      <c r="G2364" s="1">
        <v>1979</v>
      </c>
      <c r="H2364" s="1" t="s">
        <v>15</v>
      </c>
      <c r="I2364" s="6" cm="1">
        <f t="array" ref="I2364">GetLatitude(D2364)</f>
        <v>550442314</v>
      </c>
      <c r="J2364" s="1" cm="1">
        <f t="array" ref="J2364">GetLongitude(D2364)</f>
        <v>108588277</v>
      </c>
      <c r="K2364" s="1">
        <f t="shared" si="109"/>
        <v>55.044231400000001</v>
      </c>
      <c r="L2364" s="1">
        <f t="shared" si="110"/>
        <v>10.858827700000001</v>
      </c>
    </row>
    <row r="2365" spans="1:12" ht="16" x14ac:dyDescent="0.2">
      <c r="A2365" s="1">
        <v>2364</v>
      </c>
      <c r="B2365" s="1" t="s">
        <v>7054</v>
      </c>
      <c r="C2365" s="1" t="s">
        <v>7066</v>
      </c>
      <c r="D2365" s="1" t="str">
        <f t="shared" si="108"/>
        <v>Langeland KommuneGrønnegade 13, hj af Smedegade</v>
      </c>
      <c r="E2365" s="1" t="s">
        <v>7067</v>
      </c>
      <c r="F2365" s="1" t="s">
        <v>7068</v>
      </c>
      <c r="G2365" s="1">
        <v>1945</v>
      </c>
      <c r="H2365" s="1" t="s">
        <v>15</v>
      </c>
      <c r="I2365" s="6" cm="1">
        <f t="array" ref="I2365">GetLatitude(D2365)</f>
        <v>548199409</v>
      </c>
      <c r="J2365" s="1" cm="1">
        <f t="array" ref="J2365">GetLongitude(D2365)</f>
        <v>107050999</v>
      </c>
      <c r="K2365" s="1">
        <f t="shared" si="109"/>
        <v>54.819940899999999</v>
      </c>
      <c r="L2365" s="1">
        <f t="shared" si="110"/>
        <v>10.7050999</v>
      </c>
    </row>
    <row r="2366" spans="1:12" ht="16" x14ac:dyDescent="0.2">
      <c r="A2366" s="1">
        <v>2365</v>
      </c>
      <c r="B2366" s="1" t="s">
        <v>7054</v>
      </c>
      <c r="C2366" s="1" t="s">
        <v>7069</v>
      </c>
      <c r="D2366" s="1" t="str">
        <f t="shared" si="108"/>
        <v>Langeland KommuneHaveskovvej 17</v>
      </c>
      <c r="E2366" s="1" t="s">
        <v>7070</v>
      </c>
      <c r="F2366" s="1" t="s">
        <v>7071</v>
      </c>
      <c r="G2366" s="1">
        <v>1918</v>
      </c>
      <c r="H2366" s="1" t="s">
        <v>4164</v>
      </c>
      <c r="I2366" s="6" cm="1">
        <f t="array" ref="I2366">GetLatitude(D2366)</f>
        <v>548226820</v>
      </c>
      <c r="J2366" s="1" cm="1">
        <f t="array" ref="J2366">GetLongitude(D2366)</f>
        <v>107574030</v>
      </c>
      <c r="K2366" s="1">
        <f t="shared" si="109"/>
        <v>54.822682</v>
      </c>
      <c r="L2366" s="1">
        <f t="shared" si="110"/>
        <v>10.757403</v>
      </c>
    </row>
    <row r="2367" spans="1:12" ht="16" x14ac:dyDescent="0.2">
      <c r="A2367" s="1">
        <v>2366</v>
      </c>
      <c r="B2367" s="1" t="s">
        <v>7054</v>
      </c>
      <c r="C2367" s="1" t="s">
        <v>7072</v>
      </c>
      <c r="D2367" s="1" t="str">
        <f t="shared" si="108"/>
        <v>Langeland KommuneHedevejen 33</v>
      </c>
      <c r="E2367" s="1" t="s">
        <v>7073</v>
      </c>
      <c r="F2367" s="1" t="s">
        <v>7074</v>
      </c>
      <c r="G2367" s="1">
        <v>1918</v>
      </c>
      <c r="H2367" s="1" t="s">
        <v>2953</v>
      </c>
      <c r="I2367" s="6" cm="1">
        <f t="array" ref="I2367">GetLatitude(D2367)</f>
        <v>547691244</v>
      </c>
      <c r="J2367" s="1" cm="1">
        <f t="array" ref="J2367">GetLongitude(D2367)</f>
        <v>107220924</v>
      </c>
      <c r="K2367" s="1">
        <f t="shared" si="109"/>
        <v>54.769124400000003</v>
      </c>
      <c r="L2367" s="1">
        <f t="shared" si="110"/>
        <v>10.722092399999999</v>
      </c>
    </row>
    <row r="2368" spans="1:12" ht="16" x14ac:dyDescent="0.2">
      <c r="A2368" s="1">
        <v>2367</v>
      </c>
      <c r="B2368" s="1" t="s">
        <v>7054</v>
      </c>
      <c r="C2368" s="1" t="s">
        <v>7075</v>
      </c>
      <c r="D2368" s="1" t="str">
        <f t="shared" si="108"/>
        <v>Langeland KommuneHennetvedvej 19</v>
      </c>
      <c r="E2368" s="1" t="s">
        <v>7076</v>
      </c>
      <c r="F2368" s="1" t="s">
        <v>7077</v>
      </c>
      <c r="G2368" s="1">
        <v>1985</v>
      </c>
      <c r="H2368" s="1" t="s">
        <v>15</v>
      </c>
      <c r="I2368" s="6" cm="1">
        <f t="array" ref="I2368">GetLatitude(D2368)</f>
        <v>548498836</v>
      </c>
      <c r="J2368" s="1" cm="1">
        <f t="array" ref="J2368">GetLongitude(D2368)</f>
        <v>107361939</v>
      </c>
      <c r="K2368" s="1">
        <f t="shared" si="109"/>
        <v>54.849883599999998</v>
      </c>
      <c r="L2368" s="1">
        <f t="shared" si="110"/>
        <v>10.7361939</v>
      </c>
    </row>
    <row r="2369" spans="1:12" ht="16" x14ac:dyDescent="0.2">
      <c r="A2369" s="1">
        <v>2368</v>
      </c>
      <c r="B2369" s="1" t="s">
        <v>7054</v>
      </c>
      <c r="C2369" s="1" t="s">
        <v>7078</v>
      </c>
      <c r="D2369" s="1" t="str">
        <f t="shared" si="108"/>
        <v>Langeland KommuneKågårdsvej 3</v>
      </c>
      <c r="E2369" s="1" t="s">
        <v>7079</v>
      </c>
      <c r="F2369" s="1" t="s">
        <v>7080</v>
      </c>
      <c r="G2369" s="1">
        <v>2012</v>
      </c>
      <c r="H2369" s="1" t="s">
        <v>15</v>
      </c>
      <c r="I2369" s="6" cm="1">
        <f t="array" ref="I2369">GetLatitude(D2369)</f>
        <v>548470920</v>
      </c>
      <c r="J2369" s="1" cm="1">
        <f t="array" ref="J2369">GetLongitude(D2369)</f>
        <v>107813755</v>
      </c>
      <c r="K2369" s="1">
        <f t="shared" si="109"/>
        <v>54.847092000000004</v>
      </c>
      <c r="L2369" s="1">
        <f t="shared" si="110"/>
        <v>10.781375499999999</v>
      </c>
    </row>
    <row r="2370" spans="1:12" ht="16" x14ac:dyDescent="0.2">
      <c r="A2370" s="1">
        <v>2369</v>
      </c>
      <c r="B2370" s="1" t="s">
        <v>7054</v>
      </c>
      <c r="C2370" s="1" t="s">
        <v>7081</v>
      </c>
      <c r="D2370" s="1" t="str">
        <f t="shared" si="108"/>
        <v>Langeland KommuneLejbøllevej 3</v>
      </c>
      <c r="E2370" s="1" t="s">
        <v>7082</v>
      </c>
      <c r="F2370" s="1" t="s">
        <v>7083</v>
      </c>
      <c r="G2370" s="1">
        <v>1959</v>
      </c>
      <c r="H2370" s="1" t="s">
        <v>11</v>
      </c>
      <c r="I2370" s="6" cm="1">
        <f t="array" ref="I2370">GetLatitude(D2370)</f>
        <v>550109859</v>
      </c>
      <c r="J2370" s="1" cm="1">
        <f t="array" ref="J2370">GetLongitude(D2370)</f>
        <v>108597812</v>
      </c>
      <c r="K2370" s="1">
        <f t="shared" si="109"/>
        <v>55.010985900000001</v>
      </c>
      <c r="L2370" s="1">
        <f t="shared" si="110"/>
        <v>10.8597812</v>
      </c>
    </row>
    <row r="2371" spans="1:12" ht="16" x14ac:dyDescent="0.2">
      <c r="A2371" s="1">
        <v>2370</v>
      </c>
      <c r="B2371" s="1" t="s">
        <v>7054</v>
      </c>
      <c r="C2371" s="1" t="s">
        <v>7084</v>
      </c>
      <c r="D2371" s="1" t="str">
        <f t="shared" ref="D2371:D2434" si="111">B2371&amp;C2371</f>
        <v>Langeland KommuneMøllebanken 1</v>
      </c>
      <c r="E2371" s="1" t="s">
        <v>7085</v>
      </c>
      <c r="F2371" s="1" t="s">
        <v>7086</v>
      </c>
      <c r="G2371" s="1">
        <v>1964</v>
      </c>
      <c r="H2371" s="1" t="s">
        <v>7087</v>
      </c>
      <c r="I2371" s="6" cm="1">
        <f t="array" ref="I2371">GetLatitude(D2371)</f>
        <v>548677540</v>
      </c>
      <c r="J2371" s="1" cm="1">
        <f t="array" ref="J2371">GetLongitude(D2371)</f>
        <v>107404990</v>
      </c>
      <c r="K2371" s="1">
        <f t="shared" si="109"/>
        <v>54.867753999999998</v>
      </c>
      <c r="L2371" s="1">
        <f t="shared" si="110"/>
        <v>10.740499</v>
      </c>
    </row>
    <row r="2372" spans="1:12" ht="16" x14ac:dyDescent="0.2">
      <c r="A2372" s="1">
        <v>2371</v>
      </c>
      <c r="B2372" s="1" t="s">
        <v>7054</v>
      </c>
      <c r="C2372" s="1" t="s">
        <v>7088</v>
      </c>
      <c r="D2372" s="1" t="str">
        <f t="shared" si="111"/>
        <v>Langeland KommuneMøllevejen 30</v>
      </c>
      <c r="E2372" s="1" t="s">
        <v>7089</v>
      </c>
      <c r="F2372" s="1" t="s">
        <v>7090</v>
      </c>
      <c r="G2372" s="1">
        <v>1984</v>
      </c>
      <c r="H2372" s="1" t="s">
        <v>11</v>
      </c>
      <c r="I2372" s="6" cm="1">
        <f t="array" ref="I2372">GetLatitude(D2372)</f>
        <v>548199409</v>
      </c>
      <c r="J2372" s="1" cm="1">
        <f t="array" ref="J2372">GetLongitude(D2372)</f>
        <v>107050999</v>
      </c>
      <c r="K2372" s="1">
        <f t="shared" ref="K2372:K2435" si="112">I2372/10000000</f>
        <v>54.819940899999999</v>
      </c>
      <c r="L2372" s="1">
        <f t="shared" ref="L2372:L2435" si="113">J2372/10000000</f>
        <v>10.7050999</v>
      </c>
    </row>
    <row r="2373" spans="1:12" ht="16" x14ac:dyDescent="0.2">
      <c r="A2373" s="1">
        <v>2372</v>
      </c>
      <c r="B2373" s="1" t="s">
        <v>7054</v>
      </c>
      <c r="C2373" s="1" t="s">
        <v>7091</v>
      </c>
      <c r="D2373" s="1" t="str">
        <f t="shared" si="111"/>
        <v>Langeland KommuneNørregade 12-14, hj af Sidsel Bagersgade</v>
      </c>
      <c r="E2373" s="1" t="s">
        <v>7092</v>
      </c>
      <c r="F2373" s="1" t="s">
        <v>7093</v>
      </c>
      <c r="G2373" s="1">
        <v>1918</v>
      </c>
      <c r="H2373" s="1" t="s">
        <v>15</v>
      </c>
      <c r="I2373" s="6" cm="1">
        <f t="array" ref="I2373">GetLatitude(D2373)</f>
        <v>549369253</v>
      </c>
      <c r="J2373" s="1" cm="1">
        <f t="array" ref="J2373">GetLongitude(D2373)</f>
        <v>107113226</v>
      </c>
      <c r="K2373" s="1">
        <f t="shared" si="112"/>
        <v>54.936925299999999</v>
      </c>
      <c r="L2373" s="1">
        <f t="shared" si="113"/>
        <v>10.711322600000001</v>
      </c>
    </row>
    <row r="2374" spans="1:12" ht="16" x14ac:dyDescent="0.2">
      <c r="A2374" s="1">
        <v>2373</v>
      </c>
      <c r="B2374" s="1" t="s">
        <v>7054</v>
      </c>
      <c r="C2374" s="1" t="s">
        <v>7094</v>
      </c>
      <c r="D2374" s="1" t="str">
        <f t="shared" si="111"/>
        <v>Langeland KommuneNørregade 21 og Strandgade 1-3</v>
      </c>
      <c r="E2374" s="1" t="s">
        <v>4032</v>
      </c>
      <c r="F2374" s="1" t="s">
        <v>7095</v>
      </c>
      <c r="G2374" s="1">
        <v>1919</v>
      </c>
      <c r="H2374" s="1" t="s">
        <v>1890</v>
      </c>
      <c r="I2374" s="6" cm="1">
        <f t="array" ref="I2374">GetLatitude(D2374)</f>
        <v>556726960</v>
      </c>
      <c r="J2374" s="1" cm="1">
        <f t="array" ref="J2374">GetLongitude(D2374)</f>
        <v>125874247</v>
      </c>
      <c r="K2374" s="1">
        <f t="shared" si="112"/>
        <v>55.672696000000002</v>
      </c>
      <c r="L2374" s="1">
        <f t="shared" si="113"/>
        <v>12.5874247</v>
      </c>
    </row>
    <row r="2375" spans="1:12" ht="16" x14ac:dyDescent="0.2">
      <c r="A2375" s="1">
        <v>2374</v>
      </c>
      <c r="B2375" s="1" t="s">
        <v>7054</v>
      </c>
      <c r="C2375" s="1" t="s">
        <v>7096</v>
      </c>
      <c r="D2375" s="1" t="str">
        <f t="shared" si="111"/>
        <v>Langeland KommuneNørrevej 1</v>
      </c>
      <c r="E2375" s="1" t="s">
        <v>7097</v>
      </c>
      <c r="F2375" s="1" t="s">
        <v>7098</v>
      </c>
      <c r="G2375" s="1">
        <v>1999</v>
      </c>
      <c r="H2375" s="1" t="s">
        <v>15</v>
      </c>
      <c r="I2375" s="6" cm="1">
        <f t="array" ref="I2375">GetLatitude(D2375)</f>
        <v>549054941</v>
      </c>
      <c r="J2375" s="1" cm="1">
        <f t="array" ref="J2375">GetLongitude(D2375)</f>
        <v>106083254</v>
      </c>
      <c r="K2375" s="1">
        <f t="shared" si="112"/>
        <v>54.905494099999999</v>
      </c>
      <c r="L2375" s="1">
        <f t="shared" si="113"/>
        <v>10.6083254</v>
      </c>
    </row>
    <row r="2376" spans="1:12" ht="16" x14ac:dyDescent="0.2">
      <c r="A2376" s="1">
        <v>2375</v>
      </c>
      <c r="B2376" s="1" t="s">
        <v>7054</v>
      </c>
      <c r="C2376" s="1" t="s">
        <v>7099</v>
      </c>
      <c r="D2376" s="1" t="str">
        <f t="shared" si="111"/>
        <v>Langeland KommunePåøvej 1</v>
      </c>
      <c r="E2376" s="1" t="s">
        <v>7100</v>
      </c>
      <c r="F2376" s="1" t="s">
        <v>7101</v>
      </c>
      <c r="G2376" s="1">
        <v>1983</v>
      </c>
      <c r="H2376" s="1" t="s">
        <v>11</v>
      </c>
      <c r="I2376" s="6" cm="1">
        <f t="array" ref="I2376">GetLatitude(D2376)</f>
        <v>548389074</v>
      </c>
      <c r="J2376" s="1" cm="1">
        <f t="array" ref="J2376">GetLongitude(D2376)</f>
        <v>107436272</v>
      </c>
      <c r="K2376" s="1">
        <f t="shared" si="112"/>
        <v>54.838907399999997</v>
      </c>
      <c r="L2376" s="1">
        <f t="shared" si="113"/>
        <v>10.743627200000001</v>
      </c>
    </row>
    <row r="2377" spans="1:12" ht="16" x14ac:dyDescent="0.2">
      <c r="A2377" s="1">
        <v>2376</v>
      </c>
      <c r="B2377" s="1" t="s">
        <v>7054</v>
      </c>
      <c r="C2377" s="1" t="s">
        <v>7102</v>
      </c>
      <c r="D2377" s="1" t="str">
        <f t="shared" si="111"/>
        <v>Langeland KommuneRathvej 8</v>
      </c>
      <c r="E2377" s="1" t="s">
        <v>7103</v>
      </c>
      <c r="F2377" s="1" t="s">
        <v>7104</v>
      </c>
      <c r="G2377" s="1">
        <v>2002</v>
      </c>
      <c r="H2377" s="1" t="s">
        <v>11</v>
      </c>
      <c r="I2377" s="6" cm="1">
        <f t="array" ref="I2377">GetLatitude(D2377)</f>
        <v>547314845</v>
      </c>
      <c r="J2377" s="1" cm="1">
        <f t="array" ref="J2377">GetLongitude(D2377)</f>
        <v>107205181</v>
      </c>
      <c r="K2377" s="1">
        <f t="shared" si="112"/>
        <v>54.731484500000001</v>
      </c>
      <c r="L2377" s="1">
        <f t="shared" si="113"/>
        <v>10.7205181</v>
      </c>
    </row>
    <row r="2378" spans="1:12" ht="16" x14ac:dyDescent="0.2">
      <c r="A2378" s="1">
        <v>2377</v>
      </c>
      <c r="B2378" s="1" t="s">
        <v>7054</v>
      </c>
      <c r="C2378" s="1" t="s">
        <v>7105</v>
      </c>
      <c r="D2378" s="1" t="str">
        <f t="shared" si="111"/>
        <v>Langeland KommuneRue 1</v>
      </c>
      <c r="E2378" s="1" t="s">
        <v>7106</v>
      </c>
      <c r="F2378" s="1" t="s">
        <v>7107</v>
      </c>
      <c r="G2378" s="1">
        <v>1959</v>
      </c>
      <c r="H2378" s="1" t="s">
        <v>99</v>
      </c>
      <c r="I2378" s="6" cm="1">
        <f t="array" ref="I2378">GetLatitude(D2378)</f>
        <v>548199409</v>
      </c>
      <c r="J2378" s="1" cm="1">
        <f t="array" ref="J2378">GetLongitude(D2378)</f>
        <v>107050999</v>
      </c>
      <c r="K2378" s="1">
        <f t="shared" si="112"/>
        <v>54.819940899999999</v>
      </c>
      <c r="L2378" s="1">
        <f t="shared" si="113"/>
        <v>10.7050999</v>
      </c>
    </row>
    <row r="2379" spans="1:12" ht="16" x14ac:dyDescent="0.2">
      <c r="A2379" s="1">
        <v>2378</v>
      </c>
      <c r="B2379" s="1" t="s">
        <v>7054</v>
      </c>
      <c r="C2379" s="1" t="s">
        <v>7108</v>
      </c>
      <c r="D2379" s="1" t="str">
        <f t="shared" si="111"/>
        <v>Langeland KommuneRue 1 A</v>
      </c>
      <c r="E2379" s="1" t="s">
        <v>7109</v>
      </c>
      <c r="F2379" s="1" t="s">
        <v>7110</v>
      </c>
      <c r="G2379" s="1">
        <v>1959</v>
      </c>
      <c r="H2379" s="1" t="s">
        <v>15</v>
      </c>
      <c r="I2379" s="6" cm="1">
        <f t="array" ref="I2379">GetLatitude(D2379)</f>
        <v>548199409</v>
      </c>
      <c r="J2379" s="1" cm="1">
        <f t="array" ref="J2379">GetLongitude(D2379)</f>
        <v>107050999</v>
      </c>
      <c r="K2379" s="1">
        <f t="shared" si="112"/>
        <v>54.819940899999999</v>
      </c>
      <c r="L2379" s="1">
        <f t="shared" si="113"/>
        <v>10.7050999</v>
      </c>
    </row>
    <row r="2380" spans="1:12" ht="16" x14ac:dyDescent="0.2">
      <c r="A2380" s="1">
        <v>2379</v>
      </c>
      <c r="B2380" s="1" t="s">
        <v>7054</v>
      </c>
      <c r="C2380" s="1" t="s">
        <v>7111</v>
      </c>
      <c r="D2380" s="1" t="str">
        <f t="shared" si="111"/>
        <v>Langeland KommuneRøjlevej 8 A</v>
      </c>
      <c r="E2380" s="1" t="s">
        <v>7112</v>
      </c>
      <c r="F2380" s="1" t="s">
        <v>7113</v>
      </c>
      <c r="G2380" s="1">
        <v>1998</v>
      </c>
      <c r="H2380" s="1" t="s">
        <v>11</v>
      </c>
      <c r="I2380" s="6" cm="1">
        <f t="array" ref="I2380">GetLatitude(D2380)</f>
        <v>547631006</v>
      </c>
      <c r="J2380" s="1" cm="1">
        <f t="array" ref="J2380">GetLongitude(D2380)</f>
        <v>107095406</v>
      </c>
      <c r="K2380" s="1">
        <f t="shared" si="112"/>
        <v>54.763100600000001</v>
      </c>
      <c r="L2380" s="1">
        <f t="shared" si="113"/>
        <v>10.7095406</v>
      </c>
    </row>
    <row r="2381" spans="1:12" ht="16" x14ac:dyDescent="0.2">
      <c r="A2381" s="1">
        <v>2380</v>
      </c>
      <c r="B2381" s="1" t="s">
        <v>7054</v>
      </c>
      <c r="C2381" s="1" t="s">
        <v>7114</v>
      </c>
      <c r="D2381" s="1" t="str">
        <f t="shared" si="111"/>
        <v>Langeland KommuneRøjlevej 8 B</v>
      </c>
      <c r="E2381" s="1" t="s">
        <v>7115</v>
      </c>
      <c r="F2381" s="1" t="s">
        <v>7116</v>
      </c>
      <c r="G2381" s="1">
        <v>1998</v>
      </c>
      <c r="H2381" s="1" t="s">
        <v>11</v>
      </c>
      <c r="I2381" s="6" cm="1">
        <f t="array" ref="I2381">GetLatitude(D2381)</f>
        <v>547629600</v>
      </c>
      <c r="J2381" s="1" cm="1">
        <f t="array" ref="J2381">GetLongitude(D2381)</f>
        <v>107091274</v>
      </c>
      <c r="K2381" s="1">
        <f t="shared" si="112"/>
        <v>54.76296</v>
      </c>
      <c r="L2381" s="1">
        <f t="shared" si="113"/>
        <v>10.7091274</v>
      </c>
    </row>
    <row r="2382" spans="1:12" ht="16" x14ac:dyDescent="0.2">
      <c r="A2382" s="1">
        <v>2381</v>
      </c>
      <c r="B2382" s="1" t="s">
        <v>7054</v>
      </c>
      <c r="C2382" s="1" t="s">
        <v>7117</v>
      </c>
      <c r="D2382" s="1" t="str">
        <f t="shared" si="111"/>
        <v>Langeland KommuneSidsel Bagersgade 11</v>
      </c>
      <c r="E2382" s="1" t="s">
        <v>7118</v>
      </c>
      <c r="F2382" s="1" t="s">
        <v>7119</v>
      </c>
      <c r="G2382" s="1">
        <v>1996</v>
      </c>
      <c r="H2382" s="1" t="s">
        <v>11</v>
      </c>
      <c r="I2382" s="6" cm="1">
        <f t="array" ref="I2382">GetLatitude(D2382)</f>
        <v>549367596</v>
      </c>
      <c r="J2382" s="1" cm="1">
        <f t="array" ref="J2382">GetLongitude(D2382)</f>
        <v>107112644</v>
      </c>
      <c r="K2382" s="1">
        <f t="shared" si="112"/>
        <v>54.936759600000002</v>
      </c>
      <c r="L2382" s="1">
        <f t="shared" si="113"/>
        <v>10.711264399999999</v>
      </c>
    </row>
    <row r="2383" spans="1:12" ht="16" x14ac:dyDescent="0.2">
      <c r="A2383" s="1">
        <v>2382</v>
      </c>
      <c r="B2383" s="1" t="s">
        <v>7054</v>
      </c>
      <c r="C2383" s="1" t="s">
        <v>1382</v>
      </c>
      <c r="D2383" s="1" t="str">
        <f t="shared" si="111"/>
        <v>Langeland KommuneSlotsgade 20</v>
      </c>
      <c r="E2383" s="1" t="s">
        <v>7120</v>
      </c>
      <c r="F2383" s="1" t="s">
        <v>7121</v>
      </c>
      <c r="G2383" s="1">
        <v>1918</v>
      </c>
      <c r="H2383" s="1" t="s">
        <v>701</v>
      </c>
      <c r="I2383" s="6" cm="1">
        <f t="array" ref="I2383">GetLatitude(D2383)</f>
        <v>549973408</v>
      </c>
      <c r="J2383" s="1" cm="1">
        <f t="array" ref="J2383">GetLongitude(D2383)</f>
        <v>108453889</v>
      </c>
      <c r="K2383" s="1">
        <f t="shared" si="112"/>
        <v>54.997340800000003</v>
      </c>
      <c r="L2383" s="1">
        <f t="shared" si="113"/>
        <v>10.8453889</v>
      </c>
    </row>
    <row r="2384" spans="1:12" ht="16" x14ac:dyDescent="0.2">
      <c r="A2384" s="1">
        <v>2383</v>
      </c>
      <c r="B2384" s="1" t="s">
        <v>7054</v>
      </c>
      <c r="C2384" s="1" t="s">
        <v>7122</v>
      </c>
      <c r="D2384" s="1" t="str">
        <f t="shared" si="111"/>
        <v>Langeland KommuneSlotsgade 82-88</v>
      </c>
      <c r="E2384" s="1" t="s">
        <v>7123</v>
      </c>
      <c r="F2384" s="1" t="s">
        <v>7124</v>
      </c>
      <c r="G2384" s="1">
        <v>1918</v>
      </c>
      <c r="H2384" s="1" t="s">
        <v>7125</v>
      </c>
      <c r="I2384" s="6" cm="1">
        <f t="array" ref="I2384">GetLatitude(D2384)</f>
        <v>548199409</v>
      </c>
      <c r="J2384" s="1" cm="1">
        <f t="array" ref="J2384">GetLongitude(D2384)</f>
        <v>107050999</v>
      </c>
      <c r="K2384" s="1">
        <f t="shared" si="112"/>
        <v>54.819940899999999</v>
      </c>
      <c r="L2384" s="1">
        <f t="shared" si="113"/>
        <v>10.7050999</v>
      </c>
    </row>
    <row r="2385" spans="1:12" ht="16" x14ac:dyDescent="0.2">
      <c r="A2385" s="1">
        <v>2384</v>
      </c>
      <c r="B2385" s="1" t="s">
        <v>7054</v>
      </c>
      <c r="C2385" s="1" t="s">
        <v>7126</v>
      </c>
      <c r="D2385" s="1" t="str">
        <f t="shared" si="111"/>
        <v>Langeland KommuneSlotsgade 88</v>
      </c>
      <c r="E2385" s="1" t="s">
        <v>7127</v>
      </c>
      <c r="F2385" s="1" t="s">
        <v>7128</v>
      </c>
      <c r="G2385" s="1">
        <v>2007</v>
      </c>
      <c r="H2385" s="1" t="s">
        <v>15</v>
      </c>
      <c r="I2385" s="6" cm="1">
        <f t="array" ref="I2385">GetLatitude(D2385)</f>
        <v>548199409</v>
      </c>
      <c r="J2385" s="1" cm="1">
        <f t="array" ref="J2385">GetLongitude(D2385)</f>
        <v>107050999</v>
      </c>
      <c r="K2385" s="1">
        <f t="shared" si="112"/>
        <v>54.819940899999999</v>
      </c>
      <c r="L2385" s="1">
        <f t="shared" si="113"/>
        <v>10.7050999</v>
      </c>
    </row>
    <row r="2386" spans="1:12" ht="16" x14ac:dyDescent="0.2">
      <c r="A2386" s="1">
        <v>2385</v>
      </c>
      <c r="B2386" s="1" t="s">
        <v>7054</v>
      </c>
      <c r="C2386" s="1" t="s">
        <v>7129</v>
      </c>
      <c r="D2386" s="1" t="str">
        <f t="shared" si="111"/>
        <v>Langeland KommuneSmedegade 3</v>
      </c>
      <c r="E2386" s="1" t="s">
        <v>7130</v>
      </c>
      <c r="F2386" s="1" t="s">
        <v>7131</v>
      </c>
      <c r="G2386" s="1">
        <v>1945</v>
      </c>
      <c r="H2386" s="1" t="s">
        <v>11</v>
      </c>
      <c r="I2386" s="6" cm="1">
        <f t="array" ref="I2386">GetLatitude(D2386)</f>
        <v>548199409</v>
      </c>
      <c r="J2386" s="1" cm="1">
        <f t="array" ref="J2386">GetLongitude(D2386)</f>
        <v>107050999</v>
      </c>
      <c r="K2386" s="1">
        <f t="shared" si="112"/>
        <v>54.819940899999999</v>
      </c>
      <c r="L2386" s="1">
        <f t="shared" si="113"/>
        <v>10.7050999</v>
      </c>
    </row>
    <row r="2387" spans="1:12" ht="16" x14ac:dyDescent="0.2">
      <c r="A2387" s="1">
        <v>2386</v>
      </c>
      <c r="B2387" s="1" t="s">
        <v>7054</v>
      </c>
      <c r="C2387" s="1" t="s">
        <v>7132</v>
      </c>
      <c r="D2387" s="1" t="str">
        <f t="shared" si="111"/>
        <v>Langeland KommuneSmedegade 5</v>
      </c>
      <c r="E2387" s="1" t="s">
        <v>7133</v>
      </c>
      <c r="F2387" s="1" t="s">
        <v>416</v>
      </c>
      <c r="G2387" s="1">
        <v>1955</v>
      </c>
      <c r="H2387" s="1" t="s">
        <v>11</v>
      </c>
      <c r="I2387" s="6" cm="1">
        <f t="array" ref="I2387">GetLatitude(D2387)</f>
        <v>549370232</v>
      </c>
      <c r="J2387" s="1" cm="1">
        <f t="array" ref="J2387">GetLongitude(D2387)</f>
        <v>107098907</v>
      </c>
      <c r="K2387" s="1">
        <f t="shared" si="112"/>
        <v>54.937023199999999</v>
      </c>
      <c r="L2387" s="1">
        <f t="shared" si="113"/>
        <v>10.709890700000001</v>
      </c>
    </row>
    <row r="2388" spans="1:12" ht="16" x14ac:dyDescent="0.2">
      <c r="A2388" s="1">
        <v>2387</v>
      </c>
      <c r="B2388" s="1" t="s">
        <v>7054</v>
      </c>
      <c r="C2388" s="1" t="s">
        <v>7134</v>
      </c>
      <c r="D2388" s="1" t="str">
        <f t="shared" si="111"/>
        <v>Langeland KommuneSmedegade 7</v>
      </c>
      <c r="E2388" s="1" t="s">
        <v>7135</v>
      </c>
      <c r="F2388" s="1" t="s">
        <v>416</v>
      </c>
      <c r="G2388" s="1">
        <v>1955</v>
      </c>
      <c r="H2388" s="1" t="s">
        <v>15</v>
      </c>
      <c r="I2388" s="6" cm="1">
        <f t="array" ref="I2388">GetLatitude(D2388)</f>
        <v>548199409</v>
      </c>
      <c r="J2388" s="1" cm="1">
        <f t="array" ref="J2388">GetLongitude(D2388)</f>
        <v>107050999</v>
      </c>
      <c r="K2388" s="1">
        <f t="shared" si="112"/>
        <v>54.819940899999999</v>
      </c>
      <c r="L2388" s="1">
        <f t="shared" si="113"/>
        <v>10.7050999</v>
      </c>
    </row>
    <row r="2389" spans="1:12" ht="16" x14ac:dyDescent="0.2">
      <c r="A2389" s="1">
        <v>2388</v>
      </c>
      <c r="B2389" s="1" t="s">
        <v>7054</v>
      </c>
      <c r="C2389" s="1" t="s">
        <v>7136</v>
      </c>
      <c r="D2389" s="1" t="str">
        <f t="shared" si="111"/>
        <v>Langeland Kommune Smedegade 9</v>
      </c>
      <c r="E2389" s="1" t="s">
        <v>7137</v>
      </c>
      <c r="F2389" s="1" t="s">
        <v>7138</v>
      </c>
      <c r="G2389" s="1">
        <v>1955</v>
      </c>
      <c r="H2389" s="1" t="s">
        <v>11</v>
      </c>
      <c r="I2389" s="6" cm="1">
        <f t="array" ref="I2389">GetLatitude(D2389)</f>
        <v>549371820</v>
      </c>
      <c r="J2389" s="1" cm="1">
        <f t="array" ref="J2389">GetLongitude(D2389)</f>
        <v>107095080</v>
      </c>
      <c r="K2389" s="1">
        <f t="shared" si="112"/>
        <v>54.937182</v>
      </c>
      <c r="L2389" s="1">
        <f t="shared" si="113"/>
        <v>10.709508</v>
      </c>
    </row>
    <row r="2390" spans="1:12" ht="16" x14ac:dyDescent="0.2">
      <c r="A2390" s="1">
        <v>2389</v>
      </c>
      <c r="B2390" s="1" t="s">
        <v>7054</v>
      </c>
      <c r="C2390" s="1" t="s">
        <v>7139</v>
      </c>
      <c r="D2390" s="1" t="str">
        <f t="shared" si="111"/>
        <v>Langeland KommuneStengårdsvej 7</v>
      </c>
      <c r="E2390" s="1" t="s">
        <v>2023</v>
      </c>
      <c r="F2390" s="1" t="s">
        <v>7140</v>
      </c>
      <c r="G2390" s="1">
        <v>1985</v>
      </c>
      <c r="H2390" s="1" t="s">
        <v>15</v>
      </c>
      <c r="I2390" s="6" cm="1">
        <f t="array" ref="I2390">GetLatitude(D2390)</f>
        <v>554805429</v>
      </c>
      <c r="J2390" s="1" cm="1">
        <f t="array" ref="J2390">GetLongitude(D2390)</f>
        <v>84930762</v>
      </c>
      <c r="K2390" s="1">
        <f t="shared" si="112"/>
        <v>55.480542900000003</v>
      </c>
      <c r="L2390" s="1">
        <f t="shared" si="113"/>
        <v>8.4930762000000009</v>
      </c>
    </row>
    <row r="2391" spans="1:12" ht="16" x14ac:dyDescent="0.2">
      <c r="A2391" s="1">
        <v>2390</v>
      </c>
      <c r="B2391" s="1" t="s">
        <v>7054</v>
      </c>
      <c r="C2391" s="1" t="s">
        <v>7141</v>
      </c>
      <c r="D2391" s="1" t="str">
        <f t="shared" si="111"/>
        <v>Langeland KommuneSøvertorpvej 2</v>
      </c>
      <c r="E2391" s="1" t="s">
        <v>7142</v>
      </c>
      <c r="F2391" s="1" t="s">
        <v>7143</v>
      </c>
      <c r="G2391" s="1">
        <v>1988</v>
      </c>
      <c r="H2391" s="1" t="s">
        <v>11</v>
      </c>
      <c r="I2391" s="6" cm="1">
        <f t="array" ref="I2391">GetLatitude(D2391)</f>
        <v>549148206</v>
      </c>
      <c r="J2391" s="1" cm="1">
        <f t="array" ref="J2391">GetLongitude(D2391)</f>
        <v>107719747</v>
      </c>
      <c r="K2391" s="1">
        <f t="shared" si="112"/>
        <v>54.914820599999999</v>
      </c>
      <c r="L2391" s="1">
        <f t="shared" si="113"/>
        <v>10.771974699999999</v>
      </c>
    </row>
    <row r="2392" spans="1:12" ht="16" x14ac:dyDescent="0.2">
      <c r="A2392" s="1">
        <v>2391</v>
      </c>
      <c r="B2392" s="1" t="s">
        <v>7054</v>
      </c>
      <c r="C2392" s="1" t="s">
        <v>7144</v>
      </c>
      <c r="D2392" s="1" t="str">
        <f t="shared" si="111"/>
        <v>Langeland KommuneTorvet 1 A</v>
      </c>
      <c r="E2392" s="1" t="s">
        <v>7145</v>
      </c>
      <c r="F2392" s="1" t="s">
        <v>7146</v>
      </c>
      <c r="G2392" s="1">
        <v>1977</v>
      </c>
      <c r="H2392" s="1" t="s">
        <v>701</v>
      </c>
      <c r="I2392" s="6" cm="1">
        <f t="array" ref="I2392">GetLatitude(D2392)</f>
        <v>548199409</v>
      </c>
      <c r="J2392" s="1" cm="1">
        <f t="array" ref="J2392">GetLongitude(D2392)</f>
        <v>107050999</v>
      </c>
      <c r="K2392" s="1">
        <f t="shared" si="112"/>
        <v>54.819940899999999</v>
      </c>
      <c r="L2392" s="1">
        <f t="shared" si="113"/>
        <v>10.7050999</v>
      </c>
    </row>
    <row r="2393" spans="1:12" ht="16" x14ac:dyDescent="0.2">
      <c r="A2393" s="1">
        <v>2392</v>
      </c>
      <c r="B2393" s="1" t="s">
        <v>7054</v>
      </c>
      <c r="C2393" s="1" t="s">
        <v>7147</v>
      </c>
      <c r="D2393" s="1" t="str">
        <f t="shared" si="111"/>
        <v>Langeland KommuneTorvet 6 og 6 B</v>
      </c>
      <c r="E2393" s="1" t="s">
        <v>7148</v>
      </c>
      <c r="F2393" s="1" t="s">
        <v>7149</v>
      </c>
      <c r="G2393" s="1">
        <v>1987</v>
      </c>
      <c r="H2393" s="1" t="s">
        <v>11</v>
      </c>
      <c r="I2393" s="6" cm="1">
        <f t="array" ref="I2393">GetLatitude(D2393)</f>
        <v>548199409</v>
      </c>
      <c r="J2393" s="1" cm="1">
        <f t="array" ref="J2393">GetLongitude(D2393)</f>
        <v>107050999</v>
      </c>
      <c r="K2393" s="1">
        <f t="shared" si="112"/>
        <v>54.819940899999999</v>
      </c>
      <c r="L2393" s="1">
        <f t="shared" si="113"/>
        <v>10.7050999</v>
      </c>
    </row>
    <row r="2394" spans="1:12" ht="16" x14ac:dyDescent="0.2">
      <c r="A2394" s="1">
        <v>2393</v>
      </c>
      <c r="B2394" s="1" t="s">
        <v>7054</v>
      </c>
      <c r="C2394" s="1" t="s">
        <v>7150</v>
      </c>
      <c r="D2394" s="1" t="str">
        <f t="shared" si="111"/>
        <v>Langeland KommuneTryggelev 27</v>
      </c>
      <c r="E2394" s="1" t="s">
        <v>7151</v>
      </c>
      <c r="F2394" s="1" t="s">
        <v>7152</v>
      </c>
      <c r="G2394" s="1">
        <v>1980</v>
      </c>
      <c r="H2394" s="1" t="s">
        <v>15</v>
      </c>
      <c r="I2394" s="6" cm="1">
        <f t="array" ref="I2394">GetLatitude(D2394)</f>
        <v>548036260</v>
      </c>
      <c r="J2394" s="1" cm="1">
        <f t="array" ref="J2394">GetLongitude(D2394)</f>
        <v>107021820</v>
      </c>
      <c r="K2394" s="1">
        <f t="shared" si="112"/>
        <v>54.803626000000001</v>
      </c>
      <c r="L2394" s="1">
        <f t="shared" si="113"/>
        <v>10.702182000000001</v>
      </c>
    </row>
    <row r="2395" spans="1:12" ht="16" x14ac:dyDescent="0.2">
      <c r="A2395" s="1">
        <v>2394</v>
      </c>
      <c r="B2395" s="1" t="s">
        <v>7054</v>
      </c>
      <c r="C2395" s="1" t="s">
        <v>371</v>
      </c>
      <c r="D2395" s="1" t="str">
        <f t="shared" si="111"/>
        <v>Langeland KommuneØstergade 2</v>
      </c>
      <c r="E2395" s="1" t="s">
        <v>7153</v>
      </c>
      <c r="F2395" s="1" t="s">
        <v>1472</v>
      </c>
      <c r="G2395" s="1">
        <v>1919</v>
      </c>
      <c r="H2395" s="1" t="s">
        <v>11</v>
      </c>
      <c r="I2395" s="6" cm="1">
        <f t="array" ref="I2395">GetLatitude(D2395)</f>
        <v>548199409</v>
      </c>
      <c r="J2395" s="1" cm="1">
        <f t="array" ref="J2395">GetLongitude(D2395)</f>
        <v>107050999</v>
      </c>
      <c r="K2395" s="1">
        <f t="shared" si="112"/>
        <v>54.819940899999999</v>
      </c>
      <c r="L2395" s="1">
        <f t="shared" si="113"/>
        <v>10.7050999</v>
      </c>
    </row>
    <row r="2396" spans="1:12" ht="16" x14ac:dyDescent="0.2">
      <c r="A2396" s="1">
        <v>2395</v>
      </c>
      <c r="B2396" s="1" t="s">
        <v>7054</v>
      </c>
      <c r="C2396" s="1" t="s">
        <v>7154</v>
      </c>
      <c r="D2396" s="1" t="str">
        <f t="shared" si="111"/>
        <v>Langeland KommuneØstergade 24</v>
      </c>
      <c r="E2396" s="1" t="s">
        <v>7155</v>
      </c>
      <c r="F2396" s="1" t="s">
        <v>7156</v>
      </c>
      <c r="G2396" s="1">
        <v>1919</v>
      </c>
      <c r="H2396" s="1" t="s">
        <v>1410</v>
      </c>
      <c r="I2396" s="6" cm="1">
        <f t="array" ref="I2396">GetLatitude(D2396)</f>
        <v>548199409</v>
      </c>
      <c r="J2396" s="1" cm="1">
        <f t="array" ref="J2396">GetLongitude(D2396)</f>
        <v>107050999</v>
      </c>
      <c r="K2396" s="1">
        <f t="shared" si="112"/>
        <v>54.819940899999999</v>
      </c>
      <c r="L2396" s="1">
        <f t="shared" si="113"/>
        <v>10.7050999</v>
      </c>
    </row>
    <row r="2397" spans="1:12" ht="16" x14ac:dyDescent="0.2">
      <c r="A2397" s="1">
        <v>2396</v>
      </c>
      <c r="B2397" s="1" t="s">
        <v>7157</v>
      </c>
      <c r="C2397" s="1" t="s">
        <v>7158</v>
      </c>
      <c r="D2397" s="1" t="str">
        <f t="shared" si="111"/>
        <v>Lejre KommuneAbbetvedvej 2 A og 2E-F (Tidl Abbetvej 2A-B)</v>
      </c>
      <c r="E2397" s="1" t="s">
        <v>7159</v>
      </c>
      <c r="F2397" s="1" t="s">
        <v>7160</v>
      </c>
      <c r="G2397" s="1">
        <v>1918</v>
      </c>
      <c r="H2397" s="1" t="s">
        <v>15</v>
      </c>
      <c r="I2397" s="6" cm="1">
        <f t="array" ref="I2397">GetLatitude(D2397)</f>
        <v>556385344</v>
      </c>
      <c r="J2397" s="1" cm="1">
        <f t="array" ref="J2397">GetLongitude(D2397)</f>
        <v>119381993</v>
      </c>
      <c r="K2397" s="1">
        <f t="shared" si="112"/>
        <v>55.638534399999998</v>
      </c>
      <c r="L2397" s="1">
        <f t="shared" si="113"/>
        <v>11.938199300000001</v>
      </c>
    </row>
    <row r="2398" spans="1:12" ht="16" x14ac:dyDescent="0.2">
      <c r="A2398" s="1">
        <v>2397</v>
      </c>
      <c r="B2398" s="1" t="s">
        <v>7157</v>
      </c>
      <c r="C2398" s="1" t="s">
        <v>7161</v>
      </c>
      <c r="D2398" s="1" t="str">
        <f t="shared" si="111"/>
        <v>Lejre KommuneDellingevej 3</v>
      </c>
      <c r="E2398" s="1" t="s">
        <v>7162</v>
      </c>
      <c r="F2398" s="1" t="s">
        <v>7163</v>
      </c>
      <c r="G2398" s="1">
        <v>1959</v>
      </c>
      <c r="H2398" s="1" t="s">
        <v>15</v>
      </c>
      <c r="I2398" s="6" cm="1">
        <f t="array" ref="I2398">GetLatitude(D2398)</f>
        <v>556006678</v>
      </c>
      <c r="J2398" s="1" cm="1">
        <f t="array" ref="J2398">GetLongitude(D2398)</f>
        <v>119472879</v>
      </c>
      <c r="K2398" s="1">
        <f t="shared" si="112"/>
        <v>55.600667799999997</v>
      </c>
      <c r="L2398" s="1">
        <f t="shared" si="113"/>
        <v>11.947287899999999</v>
      </c>
    </row>
    <row r="2399" spans="1:12" ht="16" x14ac:dyDescent="0.2">
      <c r="A2399" s="1">
        <v>2398</v>
      </c>
      <c r="B2399" s="1" t="s">
        <v>7157</v>
      </c>
      <c r="C2399" s="1" t="s">
        <v>7164</v>
      </c>
      <c r="D2399" s="1" t="str">
        <f t="shared" si="111"/>
        <v>Lejre KommuneGershøjvej 110-112</v>
      </c>
      <c r="E2399" s="1" t="s">
        <v>7165</v>
      </c>
      <c r="F2399" s="1" t="s">
        <v>7166</v>
      </c>
      <c r="G2399" s="1">
        <v>1986</v>
      </c>
      <c r="H2399" s="1" t="s">
        <v>7167</v>
      </c>
      <c r="I2399" s="6" cm="1">
        <f t="array" ref="I2399">GetLatitude(D2399)</f>
        <v>557183250</v>
      </c>
      <c r="J2399" s="1" cm="1">
        <f t="array" ref="J2399">GetLongitude(D2399)</f>
        <v>119775820</v>
      </c>
      <c r="K2399" s="1">
        <f t="shared" si="112"/>
        <v>55.718325</v>
      </c>
      <c r="L2399" s="1">
        <f t="shared" si="113"/>
        <v>11.977582</v>
      </c>
    </row>
    <row r="2400" spans="1:12" ht="16" x14ac:dyDescent="0.2">
      <c r="A2400" s="1">
        <v>2399</v>
      </c>
      <c r="B2400" s="1" t="s">
        <v>7157</v>
      </c>
      <c r="C2400" s="1" t="s">
        <v>7168</v>
      </c>
      <c r="D2400" s="1" t="str">
        <f t="shared" si="111"/>
        <v>Lejre KommuneHornsherredvej 430</v>
      </c>
      <c r="E2400" s="1" t="s">
        <v>7169</v>
      </c>
      <c r="F2400" s="1" t="s">
        <v>7170</v>
      </c>
      <c r="G2400" s="1">
        <v>1945</v>
      </c>
      <c r="H2400" s="1" t="s">
        <v>1746</v>
      </c>
      <c r="I2400" s="6" cm="1">
        <f t="array" ref="I2400">GetLatitude(D2400)</f>
        <v>557046778</v>
      </c>
      <c r="J2400" s="1" cm="1">
        <f t="array" ref="J2400">GetLongitude(D2400)</f>
        <v>119398318</v>
      </c>
      <c r="K2400" s="1">
        <f t="shared" si="112"/>
        <v>55.704677799999999</v>
      </c>
      <c r="L2400" s="1">
        <f t="shared" si="113"/>
        <v>11.9398318</v>
      </c>
    </row>
    <row r="2401" spans="1:12" ht="16" x14ac:dyDescent="0.2">
      <c r="A2401" s="1">
        <v>2400</v>
      </c>
      <c r="B2401" s="1" t="s">
        <v>7157</v>
      </c>
      <c r="C2401" s="1" t="s">
        <v>7171</v>
      </c>
      <c r="D2401" s="1" t="str">
        <f t="shared" si="111"/>
        <v>Lejre KommuneHvalsøvej 16</v>
      </c>
      <c r="E2401" s="1" t="s">
        <v>7172</v>
      </c>
      <c r="F2401" s="1" t="s">
        <v>7173</v>
      </c>
      <c r="G2401" s="1">
        <v>1959</v>
      </c>
      <c r="H2401" s="1" t="s">
        <v>15</v>
      </c>
      <c r="I2401" s="6" cm="1">
        <f t="array" ref="I2401">GetLatitude(D2401)</f>
        <v>555720048</v>
      </c>
      <c r="J2401" s="1" cm="1">
        <f t="array" ref="J2401">GetLongitude(D2401)</f>
        <v>119509714</v>
      </c>
      <c r="K2401" s="1">
        <f t="shared" si="112"/>
        <v>55.572004800000002</v>
      </c>
      <c r="L2401" s="1">
        <f t="shared" si="113"/>
        <v>11.9509714</v>
      </c>
    </row>
    <row r="2402" spans="1:12" ht="16" x14ac:dyDescent="0.2">
      <c r="A2402" s="1">
        <v>2401</v>
      </c>
      <c r="B2402" s="1" t="s">
        <v>7157</v>
      </c>
      <c r="C2402" s="1" t="s">
        <v>7174</v>
      </c>
      <c r="D2402" s="1" t="str">
        <f t="shared" si="111"/>
        <v>Lejre KommuneKisserupvej 5</v>
      </c>
      <c r="E2402" s="1" t="s">
        <v>7175</v>
      </c>
      <c r="F2402" s="1" t="s">
        <v>7176</v>
      </c>
      <c r="G2402" s="1">
        <v>1984</v>
      </c>
      <c r="H2402" s="1" t="s">
        <v>15</v>
      </c>
      <c r="I2402" s="6" cm="1">
        <f t="array" ref="I2402">GetLatitude(D2402)</f>
        <v>555954142</v>
      </c>
      <c r="J2402" s="1" cm="1">
        <f t="array" ref="J2402">GetLongitude(D2402)</f>
        <v>119332213</v>
      </c>
      <c r="K2402" s="1">
        <f t="shared" si="112"/>
        <v>55.5954142</v>
      </c>
      <c r="L2402" s="1">
        <f t="shared" si="113"/>
        <v>11.9332213</v>
      </c>
    </row>
    <row r="2403" spans="1:12" ht="16" x14ac:dyDescent="0.2">
      <c r="A2403" s="1">
        <v>2402</v>
      </c>
      <c r="B2403" s="1" t="s">
        <v>7157</v>
      </c>
      <c r="C2403" s="1" t="s">
        <v>7177</v>
      </c>
      <c r="D2403" s="1" t="str">
        <f t="shared" si="111"/>
        <v>Lejre KommuneLandevejen 105</v>
      </c>
      <c r="E2403" s="1" t="s">
        <v>7178</v>
      </c>
      <c r="F2403" s="1" t="s">
        <v>7179</v>
      </c>
      <c r="G2403" s="1">
        <v>1971</v>
      </c>
      <c r="H2403" s="1" t="s">
        <v>15</v>
      </c>
      <c r="I2403" s="6" cm="1">
        <f t="array" ref="I2403">GetLatitude(D2403)</f>
        <v>556452935</v>
      </c>
      <c r="J2403" s="1" cm="1">
        <f t="array" ref="J2403">GetLongitude(D2403)</f>
        <v>118664562</v>
      </c>
      <c r="K2403" s="1">
        <f t="shared" si="112"/>
        <v>55.645293500000001</v>
      </c>
      <c r="L2403" s="1">
        <f t="shared" si="113"/>
        <v>11.8664562</v>
      </c>
    </row>
    <row r="2404" spans="1:12" ht="16" x14ac:dyDescent="0.2">
      <c r="A2404" s="1">
        <v>2403</v>
      </c>
      <c r="B2404" s="1" t="s">
        <v>7157</v>
      </c>
      <c r="C2404" s="1" t="s">
        <v>7180</v>
      </c>
      <c r="D2404" s="1" t="str">
        <f t="shared" si="111"/>
        <v>Lejre KommuneLedreborg Allé</v>
      </c>
      <c r="E2404" s="1" t="s">
        <v>7181</v>
      </c>
      <c r="F2404" s="1" t="s">
        <v>7182</v>
      </c>
      <c r="G2404" s="1">
        <v>1949</v>
      </c>
      <c r="H2404" s="1" t="s">
        <v>15</v>
      </c>
      <c r="I2404" s="6" cm="1">
        <f t="array" ref="I2404">GetLatitude(D2404)</f>
        <v>556141743</v>
      </c>
      <c r="J2404" s="1" cm="1">
        <f t="array" ref="J2404">GetLongitude(D2404)</f>
        <v>119911527</v>
      </c>
      <c r="K2404" s="1">
        <f t="shared" si="112"/>
        <v>55.614174300000002</v>
      </c>
      <c r="L2404" s="1">
        <f t="shared" si="113"/>
        <v>11.991152700000001</v>
      </c>
    </row>
    <row r="2405" spans="1:12" ht="16" x14ac:dyDescent="0.2">
      <c r="A2405" s="1">
        <v>2404</v>
      </c>
      <c r="B2405" s="1" t="s">
        <v>7157</v>
      </c>
      <c r="C2405" s="1" t="s">
        <v>7183</v>
      </c>
      <c r="D2405" s="1" t="str">
        <f t="shared" si="111"/>
        <v>Lejre KommuneLedreborg Allé 2 A, B og E</v>
      </c>
      <c r="E2405" s="1" t="s">
        <v>7184</v>
      </c>
      <c r="F2405" s="1" t="s">
        <v>7185</v>
      </c>
      <c r="G2405" s="1">
        <v>1918</v>
      </c>
      <c r="H2405" s="1" t="s">
        <v>7186</v>
      </c>
      <c r="I2405" s="6" cm="1">
        <f t="array" ref="I2405">GetLatitude(D2405)</f>
        <v>556071049</v>
      </c>
      <c r="J2405" s="1" cm="1">
        <f t="array" ref="J2405">GetLongitude(D2405)</f>
        <v>119520286</v>
      </c>
      <c r="K2405" s="1">
        <f t="shared" si="112"/>
        <v>55.607104900000003</v>
      </c>
      <c r="L2405" s="1">
        <f t="shared" si="113"/>
        <v>11.9520286</v>
      </c>
    </row>
    <row r="2406" spans="1:12" ht="16" x14ac:dyDescent="0.2">
      <c r="A2406" s="1">
        <v>2405</v>
      </c>
      <c r="B2406" s="1" t="s">
        <v>7157</v>
      </c>
      <c r="C2406" s="1" t="s">
        <v>7187</v>
      </c>
      <c r="D2406" s="1" t="str">
        <f t="shared" si="111"/>
        <v>Lejre KommuneOrehøjvej 12</v>
      </c>
      <c r="E2406" s="1" t="s">
        <v>7188</v>
      </c>
      <c r="F2406" s="1" t="s">
        <v>7189</v>
      </c>
      <c r="G2406" s="1">
        <v>1946</v>
      </c>
      <c r="H2406" s="1" t="s">
        <v>15</v>
      </c>
      <c r="I2406" s="6" cm="1">
        <f t="array" ref="I2406">GetLatitude(D2406)</f>
        <v>556170983</v>
      </c>
      <c r="J2406" s="1" cm="1">
        <f t="array" ref="J2406">GetLongitude(D2406)</f>
        <v>119697574</v>
      </c>
      <c r="K2406" s="1">
        <f t="shared" si="112"/>
        <v>55.617098300000002</v>
      </c>
      <c r="L2406" s="1">
        <f t="shared" si="113"/>
        <v>11.969757400000001</v>
      </c>
    </row>
    <row r="2407" spans="1:12" ht="16" x14ac:dyDescent="0.2">
      <c r="A2407" s="1">
        <v>2406</v>
      </c>
      <c r="B2407" s="1" t="s">
        <v>7157</v>
      </c>
      <c r="C2407" s="1" t="s">
        <v>7190</v>
      </c>
      <c r="D2407" s="1" t="str">
        <f t="shared" si="111"/>
        <v>Lejre KommuneRaunshøjvej 40</v>
      </c>
      <c r="E2407" s="1" t="s">
        <v>7191</v>
      </c>
      <c r="F2407" s="1" t="s">
        <v>7192</v>
      </c>
      <c r="G2407" s="1">
        <v>1984</v>
      </c>
      <c r="H2407" s="1" t="s">
        <v>11</v>
      </c>
      <c r="I2407" s="6" cm="1">
        <f t="array" ref="I2407">GetLatitude(D2407)</f>
        <v>556312766</v>
      </c>
      <c r="J2407" s="1" cm="1">
        <f t="array" ref="J2407">GetLongitude(D2407)</f>
        <v>119805330</v>
      </c>
      <c r="K2407" s="1">
        <f t="shared" si="112"/>
        <v>55.6312766</v>
      </c>
      <c r="L2407" s="1">
        <f t="shared" si="113"/>
        <v>11.980532999999999</v>
      </c>
    </row>
    <row r="2408" spans="1:12" ht="16" x14ac:dyDescent="0.2">
      <c r="A2408" s="1">
        <v>2407</v>
      </c>
      <c r="B2408" s="1" t="s">
        <v>7157</v>
      </c>
      <c r="C2408" s="1" t="s">
        <v>7193</v>
      </c>
      <c r="D2408" s="1" t="str">
        <f t="shared" si="111"/>
        <v>Lejre KommuneTadre Møllevej 23</v>
      </c>
      <c r="E2408" s="1" t="s">
        <v>7194</v>
      </c>
      <c r="F2408" s="1" t="s">
        <v>7195</v>
      </c>
      <c r="G2408" s="1">
        <v>1959</v>
      </c>
      <c r="H2408" s="1" t="s">
        <v>7196</v>
      </c>
      <c r="I2408" s="6" cm="1">
        <f t="array" ref="I2408">GetLatitude(D2408)</f>
        <v>556148295</v>
      </c>
      <c r="J2408" s="1" cm="1">
        <f t="array" ref="J2408">GetLongitude(D2408)</f>
        <v>118131799</v>
      </c>
      <c r="K2408" s="1">
        <f t="shared" si="112"/>
        <v>55.614829499999999</v>
      </c>
      <c r="L2408" s="1">
        <f t="shared" si="113"/>
        <v>11.8131799</v>
      </c>
    </row>
    <row r="2409" spans="1:12" ht="16" x14ac:dyDescent="0.2">
      <c r="A2409" s="1">
        <v>2408</v>
      </c>
      <c r="B2409" s="1" t="s">
        <v>7157</v>
      </c>
      <c r="C2409" s="1" t="s">
        <v>7197</v>
      </c>
      <c r="D2409" s="1" t="str">
        <f t="shared" si="111"/>
        <v>Lejre KommuneTingstedet 6</v>
      </c>
      <c r="E2409" s="1" t="s">
        <v>7198</v>
      </c>
      <c r="F2409" s="1" t="s">
        <v>7199</v>
      </c>
      <c r="G2409" s="1">
        <v>1970</v>
      </c>
      <c r="H2409" s="1" t="s">
        <v>11</v>
      </c>
      <c r="I2409" s="6" cm="1">
        <f t="array" ref="I2409">GetLatitude(D2409)</f>
        <v>555985726</v>
      </c>
      <c r="J2409" s="1" cm="1">
        <f t="array" ref="J2409">GetLongitude(D2409)</f>
        <v>119477976</v>
      </c>
      <c r="K2409" s="1">
        <f t="shared" si="112"/>
        <v>55.598572599999997</v>
      </c>
      <c r="L2409" s="1">
        <f t="shared" si="113"/>
        <v>11.947797599999999</v>
      </c>
    </row>
    <row r="2410" spans="1:12" ht="16" x14ac:dyDescent="0.2">
      <c r="A2410" s="1">
        <v>2409</v>
      </c>
      <c r="B2410" s="1" t="s">
        <v>7157</v>
      </c>
      <c r="C2410" s="1" t="s">
        <v>7200</v>
      </c>
      <c r="D2410" s="1" t="str">
        <f t="shared" si="111"/>
        <v>Lejre KommuneTrehøjevej 45</v>
      </c>
      <c r="E2410" s="1" t="s">
        <v>7201</v>
      </c>
      <c r="F2410" s="1" t="s">
        <v>7202</v>
      </c>
      <c r="G2410" s="1">
        <v>1989</v>
      </c>
      <c r="H2410" s="1" t="s">
        <v>11</v>
      </c>
      <c r="I2410" s="6" cm="1">
        <f t="array" ref="I2410">GetLatitude(D2410)</f>
        <v>557328913</v>
      </c>
      <c r="J2410" s="1" cm="1">
        <f t="array" ref="J2410">GetLongitude(D2410)</f>
        <v>119124091</v>
      </c>
      <c r="K2410" s="1">
        <f t="shared" si="112"/>
        <v>55.732891299999999</v>
      </c>
      <c r="L2410" s="1">
        <f t="shared" si="113"/>
        <v>11.9124091</v>
      </c>
    </row>
    <row r="2411" spans="1:12" ht="16" x14ac:dyDescent="0.2">
      <c r="A2411" s="1">
        <v>2410</v>
      </c>
      <c r="B2411" s="1" t="s">
        <v>7157</v>
      </c>
      <c r="C2411" s="1" t="s">
        <v>7203</v>
      </c>
      <c r="D2411" s="1" t="str">
        <f t="shared" si="111"/>
        <v>Lejre KommuneÅstrupvej 63</v>
      </c>
      <c r="E2411" s="1" t="s">
        <v>7204</v>
      </c>
      <c r="F2411" s="1" t="s">
        <v>7205</v>
      </c>
      <c r="G2411" s="1">
        <v>1918</v>
      </c>
      <c r="H2411" s="1" t="s">
        <v>11</v>
      </c>
      <c r="I2411" s="6" cm="1">
        <f t="array" ref="I2411">GetLatitude(D2411)</f>
        <v>556205327</v>
      </c>
      <c r="J2411" s="1" cm="1">
        <f t="array" ref="J2411">GetLongitude(D2411)</f>
        <v>118059793</v>
      </c>
      <c r="K2411" s="1">
        <f t="shared" si="112"/>
        <v>55.620532699999998</v>
      </c>
      <c r="L2411" s="1">
        <f t="shared" si="113"/>
        <v>11.805979300000001</v>
      </c>
    </row>
    <row r="2412" spans="1:12" ht="16" x14ac:dyDescent="0.2">
      <c r="A2412" s="1">
        <v>2411</v>
      </c>
      <c r="B2412" s="1" t="s">
        <v>7206</v>
      </c>
      <c r="C2412" s="1" t="s">
        <v>7207</v>
      </c>
      <c r="D2412" s="1" t="str">
        <f t="shared" si="111"/>
        <v>Lemvig KommuneBøvlingvej 40</v>
      </c>
      <c r="E2412" s="1" t="s">
        <v>7208</v>
      </c>
      <c r="F2412" s="1" t="s">
        <v>7209</v>
      </c>
      <c r="G2412" s="1">
        <v>1918</v>
      </c>
      <c r="H2412" s="1" t="s">
        <v>11</v>
      </c>
      <c r="I2412" s="6" cm="1">
        <f t="array" ref="I2412">GetLatitude(D2412)</f>
        <v>564530360</v>
      </c>
      <c r="J2412" s="1" cm="1">
        <f t="array" ref="J2412">GetLongitude(D2412)</f>
        <v>81782402</v>
      </c>
      <c r="K2412" s="1">
        <f t="shared" si="112"/>
        <v>56.453035999999997</v>
      </c>
      <c r="L2412" s="1">
        <f t="shared" si="113"/>
        <v>8.1782401999999994</v>
      </c>
    </row>
    <row r="2413" spans="1:12" ht="16" x14ac:dyDescent="0.2">
      <c r="A2413" s="1">
        <v>2412</v>
      </c>
      <c r="B2413" s="1" t="s">
        <v>7206</v>
      </c>
      <c r="C2413" s="1" t="s">
        <v>7210</v>
      </c>
      <c r="D2413" s="1" t="str">
        <f t="shared" si="111"/>
        <v>Lemvig KommuneFlyvholmvej 33 (tidl Flyvholm 3)</v>
      </c>
      <c r="E2413" s="1" t="s">
        <v>7211</v>
      </c>
      <c r="F2413" s="1" t="s">
        <v>7212</v>
      </c>
      <c r="G2413" s="1">
        <v>1995</v>
      </c>
      <c r="H2413" s="1" t="s">
        <v>15</v>
      </c>
      <c r="I2413" s="6" cm="1">
        <f t="array" ref="I2413">GetLatitude(D2413)</f>
        <v>566230910</v>
      </c>
      <c r="J2413" s="1" cm="1">
        <f t="array" ref="J2413">GetLongitude(D2413)</f>
        <v>81544633</v>
      </c>
      <c r="K2413" s="1">
        <f t="shared" si="112"/>
        <v>56.623091000000002</v>
      </c>
      <c r="L2413" s="1">
        <f t="shared" si="113"/>
        <v>8.1544632999999997</v>
      </c>
    </row>
    <row r="2414" spans="1:12" ht="16" x14ac:dyDescent="0.2">
      <c r="A2414" s="1">
        <v>2413</v>
      </c>
      <c r="B2414" s="1" t="s">
        <v>7206</v>
      </c>
      <c r="C2414" s="1" t="s">
        <v>7213</v>
      </c>
      <c r="D2414" s="1" t="str">
        <f t="shared" si="111"/>
        <v>Lemvig KommuneKabbelvej 1</v>
      </c>
      <c r="E2414" s="1" t="s">
        <v>7214</v>
      </c>
      <c r="F2414" s="1" t="s">
        <v>7215</v>
      </c>
      <c r="G2414" s="1">
        <v>1950</v>
      </c>
      <c r="H2414" s="1" t="s">
        <v>15</v>
      </c>
      <c r="I2414" s="6" cm="1">
        <f t="array" ref="I2414">GetLatitude(D2414)</f>
        <v>565543943</v>
      </c>
      <c r="J2414" s="1" cm="1">
        <f t="array" ref="J2414">GetLongitude(D2414)</f>
        <v>83243641</v>
      </c>
      <c r="K2414" s="1">
        <f t="shared" si="112"/>
        <v>56.554394299999998</v>
      </c>
      <c r="L2414" s="1">
        <f t="shared" si="113"/>
        <v>8.3243641000000004</v>
      </c>
    </row>
    <row r="2415" spans="1:12" ht="16" x14ac:dyDescent="0.2">
      <c r="A2415" s="1">
        <v>2414</v>
      </c>
      <c r="B2415" s="1" t="s">
        <v>7206</v>
      </c>
      <c r="C2415" s="1" t="s">
        <v>7216</v>
      </c>
      <c r="D2415" s="1" t="str">
        <f t="shared" si="111"/>
        <v>Lemvig KommuneKabbelvej 55</v>
      </c>
      <c r="E2415" s="1" t="s">
        <v>7217</v>
      </c>
      <c r="F2415" s="1" t="s">
        <v>7218</v>
      </c>
      <c r="G2415" s="1">
        <v>2012</v>
      </c>
      <c r="H2415" s="1" t="s">
        <v>15</v>
      </c>
      <c r="I2415" s="6" cm="1">
        <f t="array" ref="I2415">GetLatitude(D2415)</f>
        <v>565708604</v>
      </c>
      <c r="J2415" s="1" cm="1">
        <f t="array" ref="J2415">GetLongitude(D2415)</f>
        <v>83136636</v>
      </c>
      <c r="K2415" s="1">
        <f t="shared" si="112"/>
        <v>56.570860400000001</v>
      </c>
      <c r="L2415" s="1">
        <f t="shared" si="113"/>
        <v>8.3136635999999999</v>
      </c>
    </row>
    <row r="2416" spans="1:12" ht="16" x14ac:dyDescent="0.2">
      <c r="A2416" s="1">
        <v>2415</v>
      </c>
      <c r="B2416" s="1" t="s">
        <v>7206</v>
      </c>
      <c r="C2416" s="1" t="s">
        <v>7219</v>
      </c>
      <c r="D2416" s="1" t="str">
        <f t="shared" si="111"/>
        <v>Lemvig KommuneLemvigvej 12</v>
      </c>
      <c r="E2416" s="1" t="s">
        <v>7220</v>
      </c>
      <c r="F2416" s="1" t="s">
        <v>7221</v>
      </c>
      <c r="G2416" s="1">
        <v>1950</v>
      </c>
      <c r="H2416" s="1" t="s">
        <v>15</v>
      </c>
      <c r="I2416" s="6" cm="1">
        <f t="array" ref="I2416">GetLatitude(D2416)</f>
        <v>565594287</v>
      </c>
      <c r="J2416" s="1" cm="1">
        <f t="array" ref="J2416">GetLongitude(D2416)</f>
        <v>82808913</v>
      </c>
      <c r="K2416" s="1">
        <f t="shared" si="112"/>
        <v>56.559428699999998</v>
      </c>
      <c r="L2416" s="1">
        <f t="shared" si="113"/>
        <v>8.2808913000000004</v>
      </c>
    </row>
    <row r="2417" spans="1:12" ht="16" x14ac:dyDescent="0.2">
      <c r="A2417" s="1">
        <v>2416</v>
      </c>
      <c r="B2417" s="1" t="s">
        <v>7206</v>
      </c>
      <c r="C2417" s="1" t="s">
        <v>7222</v>
      </c>
      <c r="D2417" s="1" t="str">
        <f t="shared" si="111"/>
        <v>Lemvig KommuneRemmerstrandvej 186-188</v>
      </c>
      <c r="E2417" s="1" t="s">
        <v>7223</v>
      </c>
      <c r="F2417" s="1" t="s">
        <v>7224</v>
      </c>
      <c r="G2417" s="1">
        <v>1959</v>
      </c>
      <c r="H2417" s="1" t="s">
        <v>11</v>
      </c>
      <c r="I2417" s="6" cm="1">
        <f t="array" ref="I2417">GetLatitude(D2417)</f>
        <v>565417930</v>
      </c>
      <c r="J2417" s="1" cm="1">
        <f t="array" ref="J2417">GetLongitude(D2417)</f>
        <v>85024080</v>
      </c>
      <c r="K2417" s="1">
        <f t="shared" si="112"/>
        <v>56.541792999999998</v>
      </c>
      <c r="L2417" s="1">
        <f t="shared" si="113"/>
        <v>8.5024080000000009</v>
      </c>
    </row>
    <row r="2418" spans="1:12" ht="16" x14ac:dyDescent="0.2">
      <c r="A2418" s="1">
        <v>2417</v>
      </c>
      <c r="B2418" s="1" t="s">
        <v>7206</v>
      </c>
      <c r="C2418" s="1" t="s">
        <v>7225</v>
      </c>
      <c r="D2418" s="1" t="str">
        <f t="shared" si="111"/>
        <v>Lemvig KommuneRubyvej 23</v>
      </c>
      <c r="E2418" s="1" t="s">
        <v>7226</v>
      </c>
      <c r="F2418" s="1" t="s">
        <v>7212</v>
      </c>
      <c r="G2418" s="1">
        <v>1995</v>
      </c>
      <c r="H2418" s="1" t="s">
        <v>15</v>
      </c>
      <c r="I2418" s="6" cm="1">
        <f t="array" ref="I2418">GetLatitude(D2418)</f>
        <v>564698690</v>
      </c>
      <c r="J2418" s="1" cm="1">
        <f t="array" ref="J2418">GetLongitude(D2418)</f>
        <v>81306818</v>
      </c>
      <c r="K2418" s="1">
        <f t="shared" si="112"/>
        <v>56.469869000000003</v>
      </c>
      <c r="L2418" s="1">
        <f t="shared" si="113"/>
        <v>8.1306817999999996</v>
      </c>
    </row>
    <row r="2419" spans="1:12" ht="16" x14ac:dyDescent="0.2">
      <c r="A2419" s="1">
        <v>2418</v>
      </c>
      <c r="B2419" s="1" t="s">
        <v>7206</v>
      </c>
      <c r="C2419" s="1" t="s">
        <v>7227</v>
      </c>
      <c r="D2419" s="1" t="str">
        <f t="shared" si="111"/>
        <v>Lemvig KommuneSodborgvej 10</v>
      </c>
      <c r="E2419" s="1" t="s">
        <v>7228</v>
      </c>
      <c r="F2419" s="1" t="s">
        <v>7229</v>
      </c>
      <c r="G2419" s="1">
        <v>1950</v>
      </c>
      <c r="H2419" s="1" t="s">
        <v>15</v>
      </c>
      <c r="I2419" s="6" cm="1">
        <f t="array" ref="I2419">GetLatitude(D2419)</f>
        <v>565295114</v>
      </c>
      <c r="J2419" s="1" cm="1">
        <f t="array" ref="J2419">GetLongitude(D2419)</f>
        <v>82897382</v>
      </c>
      <c r="K2419" s="1">
        <f t="shared" si="112"/>
        <v>56.529511399999997</v>
      </c>
      <c r="L2419" s="1">
        <f t="shared" si="113"/>
        <v>8.2897382000000004</v>
      </c>
    </row>
    <row r="2420" spans="1:12" ht="16" x14ac:dyDescent="0.2">
      <c r="A2420" s="1">
        <v>2419</v>
      </c>
      <c r="B2420" s="1" t="s">
        <v>7206</v>
      </c>
      <c r="C2420" s="1" t="s">
        <v>7230</v>
      </c>
      <c r="D2420" s="1" t="str">
        <f t="shared" si="111"/>
        <v>Lemvig KommuneVestergade 44</v>
      </c>
      <c r="E2420" s="1" t="s">
        <v>7231</v>
      </c>
      <c r="F2420" s="1" t="s">
        <v>7232</v>
      </c>
      <c r="G2420" s="1">
        <v>1919</v>
      </c>
      <c r="H2420" s="1" t="s">
        <v>11</v>
      </c>
      <c r="I2420" s="6" cm="1">
        <f t="array" ref="I2420">GetLatitude(D2420)</f>
        <v>565498390</v>
      </c>
      <c r="J2420" s="1" cm="1">
        <f t="array" ref="J2420">GetLongitude(D2420)</f>
        <v>83055004</v>
      </c>
      <c r="K2420" s="1">
        <f t="shared" si="112"/>
        <v>56.549838999999999</v>
      </c>
      <c r="L2420" s="1">
        <f t="shared" si="113"/>
        <v>8.3055003999999997</v>
      </c>
    </row>
    <row r="2421" spans="1:12" ht="16" x14ac:dyDescent="0.2">
      <c r="A2421" s="1">
        <v>2420</v>
      </c>
      <c r="B2421" s="1" t="s">
        <v>7233</v>
      </c>
      <c r="C2421" s="1" t="s">
        <v>7234</v>
      </c>
      <c r="D2421" s="1" t="str">
        <f t="shared" si="111"/>
        <v>Lolland KommuneAxeltorv 1 og Havnegade 55 A-C</v>
      </c>
      <c r="E2421" s="1" t="s">
        <v>7235</v>
      </c>
      <c r="F2421" s="1" t="s">
        <v>7236</v>
      </c>
      <c r="G2421" s="1">
        <v>1918</v>
      </c>
      <c r="H2421" s="1" t="s">
        <v>11</v>
      </c>
      <c r="I2421" s="6" cm="1">
        <f t="array" ref="I2421">GetLatitude(D2421)</f>
        <v>548365154</v>
      </c>
      <c r="J2421" s="1" cm="1">
        <f t="array" ref="J2421">GetLongitude(D2421)</f>
        <v>112547448</v>
      </c>
      <c r="K2421" s="1">
        <f t="shared" si="112"/>
        <v>54.836515400000003</v>
      </c>
      <c r="L2421" s="1">
        <f t="shared" si="113"/>
        <v>11.254744799999999</v>
      </c>
    </row>
    <row r="2422" spans="1:12" ht="16" x14ac:dyDescent="0.2">
      <c r="A2422" s="1">
        <v>2421</v>
      </c>
      <c r="B2422" s="1" t="s">
        <v>7233</v>
      </c>
      <c r="C2422" s="1" t="s">
        <v>7237</v>
      </c>
      <c r="D2422" s="1" t="str">
        <f t="shared" si="111"/>
        <v>Lolland KommuneAxeltorv 3</v>
      </c>
      <c r="E2422" s="1" t="s">
        <v>7238</v>
      </c>
      <c r="F2422" s="1" t="s">
        <v>7239</v>
      </c>
      <c r="G2422" s="1">
        <v>1919</v>
      </c>
      <c r="H2422" s="1" t="s">
        <v>11</v>
      </c>
      <c r="I2422" s="6" cm="1">
        <f t="array" ref="I2422">GetLatitude(D2422)</f>
        <v>556755903</v>
      </c>
      <c r="J2422" s="1" cm="1">
        <f t="array" ref="J2422">GetLongitude(D2422)</f>
        <v>125640142</v>
      </c>
      <c r="K2422" s="1">
        <f t="shared" si="112"/>
        <v>55.675590300000003</v>
      </c>
      <c r="L2422" s="1">
        <f t="shared" si="113"/>
        <v>12.564014200000001</v>
      </c>
    </row>
    <row r="2423" spans="1:12" ht="16" x14ac:dyDescent="0.2">
      <c r="A2423" s="1">
        <v>2422</v>
      </c>
      <c r="B2423" s="1" t="s">
        <v>7233</v>
      </c>
      <c r="C2423" s="1" t="s">
        <v>7240</v>
      </c>
      <c r="D2423" s="1" t="str">
        <f t="shared" si="111"/>
        <v>Lolland KommuneBirketvej 64-66</v>
      </c>
      <c r="E2423" s="1" t="s">
        <v>7241</v>
      </c>
      <c r="F2423" s="1" t="s">
        <v>7242</v>
      </c>
      <c r="G2423" s="1">
        <v>1993</v>
      </c>
      <c r="H2423" s="1" t="s">
        <v>11</v>
      </c>
      <c r="I2423" s="6" cm="1">
        <f t="array" ref="I2423">GetLatitude(D2423)</f>
        <v>548360677</v>
      </c>
      <c r="J2423" s="1" cm="1">
        <f t="array" ref="J2423">GetLongitude(D2423)</f>
        <v>114751603</v>
      </c>
      <c r="K2423" s="1">
        <f t="shared" si="112"/>
        <v>54.836067700000001</v>
      </c>
      <c r="L2423" s="1">
        <f t="shared" si="113"/>
        <v>11.475160300000001</v>
      </c>
    </row>
    <row r="2424" spans="1:12" ht="16" x14ac:dyDescent="0.2">
      <c r="A2424" s="1">
        <v>2423</v>
      </c>
      <c r="B2424" s="1" t="s">
        <v>7233</v>
      </c>
      <c r="C2424" s="1" t="s">
        <v>7243</v>
      </c>
      <c r="D2424" s="1" t="str">
        <f t="shared" si="111"/>
        <v>Lolland KommuneErrindlevvej 34 B</v>
      </c>
      <c r="E2424" s="1" t="s">
        <v>7244</v>
      </c>
      <c r="F2424" s="1" t="s">
        <v>7245</v>
      </c>
      <c r="G2424" s="1">
        <v>2000</v>
      </c>
      <c r="H2424" s="1" t="s">
        <v>15</v>
      </c>
      <c r="I2424" s="6" cm="1">
        <f t="array" ref="I2424">GetLatitude(D2424)</f>
        <v>546716459</v>
      </c>
      <c r="J2424" s="1" cm="1">
        <f t="array" ref="J2424">GetLongitude(D2424)</f>
        <v>114962771</v>
      </c>
      <c r="K2424" s="1">
        <f t="shared" si="112"/>
        <v>54.671645900000001</v>
      </c>
      <c r="L2424" s="1">
        <f t="shared" si="113"/>
        <v>11.4962771</v>
      </c>
    </row>
    <row r="2425" spans="1:12" ht="16" x14ac:dyDescent="0.2">
      <c r="A2425" s="1">
        <v>2424</v>
      </c>
      <c r="B2425" s="1" t="s">
        <v>7233</v>
      </c>
      <c r="C2425" s="1" t="s">
        <v>7246</v>
      </c>
      <c r="D2425" s="1" t="str">
        <f t="shared" si="111"/>
        <v>Lolland KommuneFrederiksdalsvej 30</v>
      </c>
      <c r="E2425" s="1" t="s">
        <v>7247</v>
      </c>
      <c r="F2425" s="1" t="s">
        <v>7248</v>
      </c>
      <c r="G2425" s="1">
        <v>1918</v>
      </c>
      <c r="H2425" s="1" t="s">
        <v>1483</v>
      </c>
      <c r="I2425" s="6" cm="1">
        <f t="array" ref="I2425">GetLatitude(D2425)</f>
        <v>549043080</v>
      </c>
      <c r="J2425" s="1" cm="1">
        <f t="array" ref="J2425">GetLongitude(D2425)</f>
        <v>110408320</v>
      </c>
      <c r="K2425" s="1">
        <f t="shared" si="112"/>
        <v>54.904308</v>
      </c>
      <c r="L2425" s="1">
        <f t="shared" si="113"/>
        <v>11.040832</v>
      </c>
    </row>
    <row r="2426" spans="1:12" ht="16" x14ac:dyDescent="0.2">
      <c r="A2426" s="1">
        <v>2425</v>
      </c>
      <c r="B2426" s="1" t="s">
        <v>7233</v>
      </c>
      <c r="C2426" s="1" t="s">
        <v>4875</v>
      </c>
      <c r="D2426" s="1" t="str">
        <f t="shared" si="111"/>
        <v>Lolland KommuneHavnegade 23</v>
      </c>
      <c r="E2426" s="1" t="s">
        <v>7249</v>
      </c>
      <c r="F2426" s="1" t="s">
        <v>7250</v>
      </c>
      <c r="G2426" s="1">
        <v>1994</v>
      </c>
      <c r="H2426" s="1" t="s">
        <v>11</v>
      </c>
      <c r="I2426" s="6" cm="1">
        <f t="array" ref="I2426">GetLatitude(D2426)</f>
        <v>546608842</v>
      </c>
      <c r="J2426" s="1" cm="1">
        <f t="array" ref="J2426">GetLongitude(D2426)</f>
        <v>113560757</v>
      </c>
      <c r="K2426" s="1">
        <f t="shared" si="112"/>
        <v>54.660884199999998</v>
      </c>
      <c r="L2426" s="1">
        <f t="shared" si="113"/>
        <v>11.3560757</v>
      </c>
    </row>
    <row r="2427" spans="1:12" ht="16" x14ac:dyDescent="0.2">
      <c r="A2427" s="1">
        <v>2426</v>
      </c>
      <c r="B2427" s="1" t="s">
        <v>7233</v>
      </c>
      <c r="C2427" s="1" t="s">
        <v>7251</v>
      </c>
      <c r="D2427" s="1" t="str">
        <f t="shared" si="111"/>
        <v>Lolland KommuneHavnegade 73</v>
      </c>
      <c r="E2427" s="1" t="s">
        <v>7252</v>
      </c>
      <c r="F2427" s="1" t="s">
        <v>7253</v>
      </c>
      <c r="G2427" s="1">
        <v>1965</v>
      </c>
      <c r="H2427" s="1" t="s">
        <v>11</v>
      </c>
      <c r="I2427" s="6" cm="1">
        <f t="array" ref="I2427">GetLatitude(D2427)</f>
        <v>546640065</v>
      </c>
      <c r="J2427" s="1" cm="1">
        <f t="array" ref="J2427">GetLongitude(D2427)</f>
        <v>113593236</v>
      </c>
      <c r="K2427" s="1">
        <f t="shared" si="112"/>
        <v>54.664006499999999</v>
      </c>
      <c r="L2427" s="1">
        <f t="shared" si="113"/>
        <v>11.3593236</v>
      </c>
    </row>
    <row r="2428" spans="1:12" ht="16" x14ac:dyDescent="0.2">
      <c r="A2428" s="1">
        <v>2427</v>
      </c>
      <c r="B2428" s="1" t="s">
        <v>7233</v>
      </c>
      <c r="C2428" s="1" t="s">
        <v>7254</v>
      </c>
      <c r="D2428" s="1" t="str">
        <f t="shared" si="111"/>
        <v>Lolland KommuneHerredsvej 281, Fejø</v>
      </c>
      <c r="E2428" s="1" t="s">
        <v>7255</v>
      </c>
      <c r="F2428" s="1" t="s">
        <v>7256</v>
      </c>
      <c r="G2428" s="1">
        <v>1987</v>
      </c>
      <c r="H2428" s="1" t="s">
        <v>11</v>
      </c>
      <c r="I2428" s="6" cm="1">
        <f t="array" ref="I2428">GetLatitude(D2428)</f>
        <v>549515563</v>
      </c>
      <c r="J2428" s="1" cm="1">
        <f t="array" ref="J2428">GetLongitude(D2428)</f>
        <v>114333350</v>
      </c>
      <c r="K2428" s="1">
        <f t="shared" si="112"/>
        <v>54.9515563</v>
      </c>
      <c r="L2428" s="1">
        <f t="shared" si="113"/>
        <v>11.433335</v>
      </c>
    </row>
    <row r="2429" spans="1:12" ht="16" x14ac:dyDescent="0.2">
      <c r="A2429" s="1">
        <v>2428</v>
      </c>
      <c r="B2429" s="1" t="s">
        <v>7233</v>
      </c>
      <c r="C2429" s="1" t="s">
        <v>7257</v>
      </c>
      <c r="D2429" s="1" t="str">
        <f t="shared" si="111"/>
        <v>Lolland KommuneHovvasen 6</v>
      </c>
      <c r="E2429" s="1" t="s">
        <v>7258</v>
      </c>
      <c r="F2429" s="1" t="s">
        <v>7259</v>
      </c>
      <c r="G2429" s="1">
        <v>1918</v>
      </c>
      <c r="H2429" s="1" t="s">
        <v>15</v>
      </c>
      <c r="I2429" s="6" cm="1">
        <f t="array" ref="I2429">GetLatitude(D2429)</f>
        <v>547671621</v>
      </c>
      <c r="J2429" s="1" cm="1">
        <f t="array" ref="J2429">GetLongitude(D2429)</f>
        <v>111267607</v>
      </c>
      <c r="K2429" s="1">
        <f t="shared" si="112"/>
        <v>54.7671621</v>
      </c>
      <c r="L2429" s="1">
        <f t="shared" si="113"/>
        <v>11.1267607</v>
      </c>
    </row>
    <row r="2430" spans="1:12" ht="16" x14ac:dyDescent="0.2">
      <c r="A2430" s="1">
        <v>2429</v>
      </c>
      <c r="B2430" s="1" t="s">
        <v>7233</v>
      </c>
      <c r="C2430" s="1" t="s">
        <v>7260</v>
      </c>
      <c r="D2430" s="1" t="str">
        <f t="shared" si="111"/>
        <v>Lolland KommuneHøjbygårdvej 20 A</v>
      </c>
      <c r="E2430" s="1" t="s">
        <v>7261</v>
      </c>
      <c r="F2430" s="1" t="s">
        <v>7262</v>
      </c>
      <c r="G2430" s="1">
        <v>1971</v>
      </c>
      <c r="H2430" s="1" t="s">
        <v>15</v>
      </c>
      <c r="I2430" s="6" cm="1">
        <f t="array" ref="I2430">GetLatitude(D2430)</f>
        <v>546964436</v>
      </c>
      <c r="J2430" s="1" cm="1">
        <f t="array" ref="J2430">GetLongitude(D2430)</f>
        <v>114514995</v>
      </c>
      <c r="K2430" s="1">
        <f t="shared" si="112"/>
        <v>54.696443600000002</v>
      </c>
      <c r="L2430" s="1">
        <f t="shared" si="113"/>
        <v>11.451499500000001</v>
      </c>
    </row>
    <row r="2431" spans="1:12" ht="16" x14ac:dyDescent="0.2">
      <c r="A2431" s="1">
        <v>2430</v>
      </c>
      <c r="B2431" s="1" t="s">
        <v>7233</v>
      </c>
      <c r="C2431" s="1" t="s">
        <v>7263</v>
      </c>
      <c r="D2431" s="1" t="str">
        <f t="shared" si="111"/>
        <v>Lolland KommuneHøjbygårdvej 22</v>
      </c>
      <c r="E2431" s="1" t="s">
        <v>7264</v>
      </c>
      <c r="F2431" s="1" t="s">
        <v>900</v>
      </c>
      <c r="G2431" s="1">
        <v>1971</v>
      </c>
      <c r="H2431" s="1" t="s">
        <v>15</v>
      </c>
      <c r="I2431" s="6" cm="1">
        <f t="array" ref="I2431">GetLatitude(D2431)</f>
        <v>546911245</v>
      </c>
      <c r="J2431" s="1" cm="1">
        <f t="array" ref="J2431">GetLongitude(D2431)</f>
        <v>114509985</v>
      </c>
      <c r="K2431" s="1">
        <f t="shared" si="112"/>
        <v>54.691124500000001</v>
      </c>
      <c r="L2431" s="1">
        <f t="shared" si="113"/>
        <v>11.450998500000001</v>
      </c>
    </row>
    <row r="2432" spans="1:12" ht="16" x14ac:dyDescent="0.2">
      <c r="A2432" s="1">
        <v>2431</v>
      </c>
      <c r="B2432" s="1" t="s">
        <v>7233</v>
      </c>
      <c r="C2432" s="1" t="s">
        <v>7265</v>
      </c>
      <c r="D2432" s="1" t="str">
        <f t="shared" si="111"/>
        <v>Lolland KommuneHøjbygårdvej 34</v>
      </c>
      <c r="E2432" s="1" t="s">
        <v>7266</v>
      </c>
      <c r="F2432" s="1" t="s">
        <v>7267</v>
      </c>
      <c r="G2432" s="1">
        <v>1983</v>
      </c>
      <c r="H2432" s="1" t="s">
        <v>11</v>
      </c>
      <c r="I2432" s="6" cm="1">
        <f t="array" ref="I2432">GetLatitude(D2432)</f>
        <v>546770360</v>
      </c>
      <c r="J2432" s="1" cm="1">
        <f t="array" ref="J2432">GetLongitude(D2432)</f>
        <v>114538314</v>
      </c>
      <c r="K2432" s="1">
        <f t="shared" si="112"/>
        <v>54.677036000000001</v>
      </c>
      <c r="L2432" s="1">
        <f t="shared" si="113"/>
        <v>11.4538314</v>
      </c>
    </row>
    <row r="2433" spans="1:12" ht="16" x14ac:dyDescent="0.2">
      <c r="A2433" s="1">
        <v>2432</v>
      </c>
      <c r="B2433" s="1" t="s">
        <v>7233</v>
      </c>
      <c r="C2433" s="1" t="s">
        <v>7268</v>
      </c>
      <c r="D2433" s="1" t="str">
        <f t="shared" si="111"/>
        <v>Lolland KommuneKapellanstræde 10</v>
      </c>
      <c r="E2433" s="1" t="s">
        <v>7269</v>
      </c>
      <c r="F2433" s="1" t="s">
        <v>7270</v>
      </c>
      <c r="G2433" s="1">
        <v>1950</v>
      </c>
      <c r="H2433" s="1" t="s">
        <v>15</v>
      </c>
      <c r="I2433" s="6" cm="1">
        <f t="array" ref="I2433">GetLatitude(D2433)</f>
        <v>547729153</v>
      </c>
      <c r="J2433" s="1" cm="1">
        <f t="array" ref="J2433">GetLongitude(D2433)</f>
        <v>115018297</v>
      </c>
      <c r="K2433" s="1">
        <f t="shared" si="112"/>
        <v>54.772915300000001</v>
      </c>
      <c r="L2433" s="1">
        <f t="shared" si="113"/>
        <v>11.5018297</v>
      </c>
    </row>
    <row r="2434" spans="1:12" ht="16" x14ac:dyDescent="0.2">
      <c r="A2434" s="1">
        <v>2433</v>
      </c>
      <c r="B2434" s="1" t="s">
        <v>7233</v>
      </c>
      <c r="C2434" s="1" t="s">
        <v>7271</v>
      </c>
      <c r="D2434" s="1" t="str">
        <f t="shared" si="111"/>
        <v>Lolland KommuneKapellanstræde 12</v>
      </c>
      <c r="E2434" s="1" t="s">
        <v>7272</v>
      </c>
      <c r="F2434" s="1" t="s">
        <v>7270</v>
      </c>
      <c r="G2434" s="1">
        <v>1950</v>
      </c>
      <c r="H2434" s="1" t="s">
        <v>11</v>
      </c>
      <c r="I2434" s="6" cm="1">
        <f t="array" ref="I2434">GetLatitude(D2434)</f>
        <v>547728378</v>
      </c>
      <c r="J2434" s="1" cm="1">
        <f t="array" ref="J2434">GetLongitude(D2434)</f>
        <v>115018433</v>
      </c>
      <c r="K2434" s="1">
        <f t="shared" si="112"/>
        <v>54.772837799999998</v>
      </c>
      <c r="L2434" s="1">
        <f t="shared" si="113"/>
        <v>11.501843300000001</v>
      </c>
    </row>
    <row r="2435" spans="1:12" ht="16" x14ac:dyDescent="0.2">
      <c r="A2435" s="1">
        <v>2434</v>
      </c>
      <c r="B2435" s="1" t="s">
        <v>7233</v>
      </c>
      <c r="C2435" s="1" t="s">
        <v>7273</v>
      </c>
      <c r="D2435" s="1" t="str">
        <f t="shared" ref="D2435:D2498" si="114">B2435&amp;C2435</f>
        <v>Lolland KommuneKapellanstræde 6</v>
      </c>
      <c r="E2435" s="1" t="s">
        <v>7274</v>
      </c>
      <c r="F2435" s="1" t="s">
        <v>7270</v>
      </c>
      <c r="G2435" s="1">
        <v>1950</v>
      </c>
      <c r="H2435" s="1" t="s">
        <v>15</v>
      </c>
      <c r="I2435" s="6" cm="1">
        <f t="array" ref="I2435">GetLatitude(D2435)</f>
        <v>547730611</v>
      </c>
      <c r="J2435" s="1" cm="1">
        <f t="array" ref="J2435">GetLongitude(D2435)</f>
        <v>115017828</v>
      </c>
      <c r="K2435" s="1">
        <f t="shared" si="112"/>
        <v>54.7730611</v>
      </c>
      <c r="L2435" s="1">
        <f t="shared" si="113"/>
        <v>11.501782800000001</v>
      </c>
    </row>
    <row r="2436" spans="1:12" ht="16" x14ac:dyDescent="0.2">
      <c r="A2436" s="1">
        <v>2435</v>
      </c>
      <c r="B2436" s="1" t="s">
        <v>7233</v>
      </c>
      <c r="C2436" s="1" t="s">
        <v>7275</v>
      </c>
      <c r="D2436" s="1" t="str">
        <f t="shared" si="114"/>
        <v>Lolland KommuneKapellanstræde 8</v>
      </c>
      <c r="E2436" s="1" t="s">
        <v>7276</v>
      </c>
      <c r="F2436" s="1" t="s">
        <v>7270</v>
      </c>
      <c r="G2436" s="1">
        <v>1950</v>
      </c>
      <c r="H2436" s="1" t="s">
        <v>11</v>
      </c>
      <c r="I2436" s="6" cm="1">
        <f t="array" ref="I2436">GetLatitude(D2436)</f>
        <v>547729927</v>
      </c>
      <c r="J2436" s="1" cm="1">
        <f t="array" ref="J2436">GetLongitude(D2436)</f>
        <v>115018161</v>
      </c>
      <c r="K2436" s="1">
        <f t="shared" ref="K2436:K2499" si="115">I2436/10000000</f>
        <v>54.772992700000003</v>
      </c>
      <c r="L2436" s="1">
        <f t="shared" ref="L2436:L2499" si="116">J2436/10000000</f>
        <v>11.501816099999999</v>
      </c>
    </row>
    <row r="2437" spans="1:12" ht="16" x14ac:dyDescent="0.2">
      <c r="A2437" s="1">
        <v>2436</v>
      </c>
      <c r="B2437" s="1" t="s">
        <v>7233</v>
      </c>
      <c r="C2437" s="1" t="s">
        <v>7277</v>
      </c>
      <c r="D2437" s="1" t="str">
        <f t="shared" si="114"/>
        <v>Lolland KommuneKappelvej 4 C</v>
      </c>
      <c r="E2437" s="1" t="s">
        <v>7278</v>
      </c>
      <c r="F2437" s="1" t="s">
        <v>7279</v>
      </c>
      <c r="G2437" s="1">
        <v>1959</v>
      </c>
      <c r="H2437" s="1" t="s">
        <v>11</v>
      </c>
      <c r="I2437" s="6" cm="1">
        <f t="array" ref="I2437">GetLatitude(D2437)</f>
        <v>547740289</v>
      </c>
      <c r="J2437" s="1" cm="1">
        <f t="array" ref="J2437">GetLongitude(D2437)</f>
        <v>110362249</v>
      </c>
      <c r="K2437" s="1">
        <f t="shared" si="115"/>
        <v>54.774028899999998</v>
      </c>
      <c r="L2437" s="1">
        <f t="shared" si="116"/>
        <v>11.036224900000001</v>
      </c>
    </row>
    <row r="2438" spans="1:12" ht="16" x14ac:dyDescent="0.2">
      <c r="A2438" s="1">
        <v>2437</v>
      </c>
      <c r="B2438" s="1" t="s">
        <v>7233</v>
      </c>
      <c r="C2438" s="1" t="s">
        <v>7280</v>
      </c>
      <c r="D2438" s="1" t="str">
        <f t="shared" si="114"/>
        <v>Lolland KommuneKirkevej 4</v>
      </c>
      <c r="E2438" s="1" t="s">
        <v>7281</v>
      </c>
      <c r="F2438" s="1" t="s">
        <v>7282</v>
      </c>
      <c r="G2438" s="1">
        <v>1986</v>
      </c>
      <c r="H2438" s="1" t="s">
        <v>15</v>
      </c>
      <c r="I2438" s="6" cm="1">
        <f t="array" ref="I2438">GetLatitude(D2438)</f>
        <v>548365154</v>
      </c>
      <c r="J2438" s="1" cm="1">
        <f t="array" ref="J2438">GetLongitude(D2438)</f>
        <v>112547448</v>
      </c>
      <c r="K2438" s="1">
        <f t="shared" si="115"/>
        <v>54.836515400000003</v>
      </c>
      <c r="L2438" s="1">
        <f t="shared" si="116"/>
        <v>11.254744799999999</v>
      </c>
    </row>
    <row r="2439" spans="1:12" ht="16" x14ac:dyDescent="0.2">
      <c r="A2439" s="1">
        <v>2438</v>
      </c>
      <c r="B2439" s="1" t="s">
        <v>7233</v>
      </c>
      <c r="C2439" s="1" t="s">
        <v>7283</v>
      </c>
      <c r="D2439" s="1" t="str">
        <f t="shared" si="114"/>
        <v>Lolland KommuneKristianssædevej 3C</v>
      </c>
      <c r="E2439" s="1" t="s">
        <v>7284</v>
      </c>
      <c r="F2439" s="1" t="s">
        <v>7285</v>
      </c>
      <c r="G2439" s="1">
        <v>1918</v>
      </c>
      <c r="H2439" s="1" t="s">
        <v>11</v>
      </c>
      <c r="I2439" s="6" cm="1">
        <f t="array" ref="I2439">GetLatitude(D2439)</f>
        <v>547579944</v>
      </c>
      <c r="J2439" s="1" cm="1">
        <f t="array" ref="J2439">GetLongitude(D2439)</f>
        <v>113539234</v>
      </c>
      <c r="K2439" s="1">
        <f t="shared" si="115"/>
        <v>54.757994400000001</v>
      </c>
      <c r="L2439" s="1">
        <f t="shared" si="116"/>
        <v>11.353923399999999</v>
      </c>
    </row>
    <row r="2440" spans="1:12" ht="16" x14ac:dyDescent="0.2">
      <c r="A2440" s="1">
        <v>2439</v>
      </c>
      <c r="B2440" s="1" t="s">
        <v>7233</v>
      </c>
      <c r="C2440" s="1" t="s">
        <v>7286</v>
      </c>
      <c r="D2440" s="1" t="str">
        <f t="shared" si="114"/>
        <v>Lolland KommuneKærstrupvej 17</v>
      </c>
      <c r="E2440" s="1" t="s">
        <v>7287</v>
      </c>
      <c r="F2440" s="1" t="s">
        <v>7288</v>
      </c>
      <c r="G2440" s="1">
        <v>1918</v>
      </c>
      <c r="H2440" s="1" t="s">
        <v>15</v>
      </c>
      <c r="I2440" s="6" cm="1">
        <f t="array" ref="I2440">GetLatitude(D2440)</f>
        <v>546925007</v>
      </c>
      <c r="J2440" s="1" cm="1">
        <f t="array" ref="J2440">GetLongitude(D2440)</f>
        <v>115266334</v>
      </c>
      <c r="K2440" s="1">
        <f t="shared" si="115"/>
        <v>54.692500699999997</v>
      </c>
      <c r="L2440" s="1">
        <f t="shared" si="116"/>
        <v>11.5266334</v>
      </c>
    </row>
    <row r="2441" spans="1:12" ht="16" x14ac:dyDescent="0.2">
      <c r="A2441" s="1">
        <v>2440</v>
      </c>
      <c r="B2441" s="1" t="s">
        <v>7233</v>
      </c>
      <c r="C2441" s="1" t="s">
        <v>7289</v>
      </c>
      <c r="D2441" s="1" t="str">
        <f t="shared" si="114"/>
        <v>Lolland KommuneMageltving Møllevej 23 (tidl Magletving Møllevej 23)</v>
      </c>
      <c r="E2441" s="1" t="s">
        <v>7290</v>
      </c>
      <c r="F2441" s="1" t="s">
        <v>7291</v>
      </c>
      <c r="G2441" s="1">
        <v>1985</v>
      </c>
      <c r="H2441" s="1" t="s">
        <v>15</v>
      </c>
      <c r="I2441" s="6" cm="1">
        <f t="array" ref="I2441">GetLatitude(D2441)</f>
        <v>548965972</v>
      </c>
      <c r="J2441" s="1" cm="1">
        <f t="array" ref="J2441">GetLongitude(D2441)</f>
        <v>112798174</v>
      </c>
      <c r="K2441" s="1">
        <f t="shared" si="115"/>
        <v>54.896597200000002</v>
      </c>
      <c r="L2441" s="1">
        <f t="shared" si="116"/>
        <v>11.279817400000001</v>
      </c>
    </row>
    <row r="2442" spans="1:12" ht="16" x14ac:dyDescent="0.2">
      <c r="A2442" s="1">
        <v>2441</v>
      </c>
      <c r="B2442" s="1" t="s">
        <v>7233</v>
      </c>
      <c r="C2442" s="1" t="s">
        <v>7292</v>
      </c>
      <c r="D2442" s="1" t="str">
        <f t="shared" si="114"/>
        <v>Lolland KommuneMaribovej 277</v>
      </c>
      <c r="E2442" s="1" t="s">
        <v>7293</v>
      </c>
      <c r="F2442" s="1" t="s">
        <v>7294</v>
      </c>
      <c r="G2442" s="1">
        <v>1989</v>
      </c>
      <c r="H2442" s="1" t="s">
        <v>15</v>
      </c>
      <c r="I2442" s="6" cm="1">
        <f t="array" ref="I2442">GetLatitude(D2442)</f>
        <v>548473467</v>
      </c>
      <c r="J2442" s="1" cm="1">
        <f t="array" ref="J2442">GetLongitude(D2442)</f>
        <v>112251090</v>
      </c>
      <c r="K2442" s="1">
        <f t="shared" si="115"/>
        <v>54.847346700000003</v>
      </c>
      <c r="L2442" s="1">
        <f t="shared" si="116"/>
        <v>11.225109</v>
      </c>
    </row>
    <row r="2443" spans="1:12" ht="16" x14ac:dyDescent="0.2">
      <c r="A2443" s="1">
        <v>2442</v>
      </c>
      <c r="B2443" s="1" t="s">
        <v>7233</v>
      </c>
      <c r="C2443" s="1" t="s">
        <v>7295</v>
      </c>
      <c r="D2443" s="1" t="str">
        <f t="shared" si="114"/>
        <v>Lolland KommuneMaribovej 279 og 279A</v>
      </c>
      <c r="E2443" s="1" t="s">
        <v>7296</v>
      </c>
      <c r="F2443" s="1" t="s">
        <v>7297</v>
      </c>
      <c r="G2443" s="1">
        <v>1989</v>
      </c>
      <c r="H2443" s="1" t="s">
        <v>15</v>
      </c>
      <c r="I2443" s="6" cm="1">
        <f t="array" ref="I2443">GetLatitude(D2443)</f>
        <v>548476604</v>
      </c>
      <c r="J2443" s="1" cm="1">
        <f t="array" ref="J2443">GetLongitude(D2443)</f>
        <v>112260848</v>
      </c>
      <c r="K2443" s="1">
        <f t="shared" si="115"/>
        <v>54.847660400000002</v>
      </c>
      <c r="L2443" s="1">
        <f t="shared" si="116"/>
        <v>11.226084800000001</v>
      </c>
    </row>
    <row r="2444" spans="1:12" ht="16" x14ac:dyDescent="0.2">
      <c r="A2444" s="1">
        <v>2443</v>
      </c>
      <c r="B2444" s="1" t="s">
        <v>7233</v>
      </c>
      <c r="C2444" s="1" t="s">
        <v>7298</v>
      </c>
      <c r="D2444" s="1" t="str">
        <f t="shared" si="114"/>
        <v>Lolland KommuneMaribovej 281, 283, 285, 287 og 289</v>
      </c>
      <c r="E2444" s="1" t="s">
        <v>7299</v>
      </c>
      <c r="F2444" s="1" t="s">
        <v>7300</v>
      </c>
      <c r="G2444" s="1">
        <v>1989</v>
      </c>
      <c r="H2444" s="1" t="s">
        <v>15</v>
      </c>
      <c r="I2444" s="6" cm="1">
        <f t="array" ref="I2444">GetLatitude(D2444)</f>
        <v>548479127</v>
      </c>
      <c r="J2444" s="1" cm="1">
        <f t="array" ref="J2444">GetLongitude(D2444)</f>
        <v>112274600</v>
      </c>
      <c r="K2444" s="1">
        <f t="shared" si="115"/>
        <v>54.847912700000002</v>
      </c>
      <c r="L2444" s="1">
        <f t="shared" si="116"/>
        <v>11.227460000000001</v>
      </c>
    </row>
    <row r="2445" spans="1:12" ht="16" x14ac:dyDescent="0.2">
      <c r="A2445" s="1">
        <v>2444</v>
      </c>
      <c r="B2445" s="1" t="s">
        <v>7233</v>
      </c>
      <c r="C2445" s="1" t="s">
        <v>7301</v>
      </c>
      <c r="D2445" s="1" t="str">
        <f t="shared" si="114"/>
        <v>Lolland KommuneMaribovej 291 og 293-297</v>
      </c>
      <c r="E2445" s="1" t="s">
        <v>7302</v>
      </c>
      <c r="F2445" s="1" t="s">
        <v>7303</v>
      </c>
      <c r="G2445" s="1">
        <v>1989</v>
      </c>
      <c r="H2445" s="1" t="s">
        <v>15</v>
      </c>
      <c r="I2445" s="6" cm="1">
        <f t="array" ref="I2445">GetLatitude(D2445)</f>
        <v>548484923</v>
      </c>
      <c r="J2445" s="1" cm="1">
        <f t="array" ref="J2445">GetLongitude(D2445)</f>
        <v>112330147</v>
      </c>
      <c r="K2445" s="1">
        <f t="shared" si="115"/>
        <v>54.848492299999997</v>
      </c>
      <c r="L2445" s="1">
        <f t="shared" si="116"/>
        <v>11.2330147</v>
      </c>
    </row>
    <row r="2446" spans="1:12" ht="16" x14ac:dyDescent="0.2">
      <c r="A2446" s="1">
        <v>2445</v>
      </c>
      <c r="B2446" s="1" t="s">
        <v>7233</v>
      </c>
      <c r="C2446" s="1" t="s">
        <v>7304</v>
      </c>
      <c r="D2446" s="1" t="str">
        <f t="shared" si="114"/>
        <v>Lolland KommuneMarrebæksvej 22</v>
      </c>
      <c r="E2446" s="1" t="s">
        <v>7305</v>
      </c>
      <c r="F2446" s="1" t="s">
        <v>7306</v>
      </c>
      <c r="G2446" s="1">
        <v>1959</v>
      </c>
      <c r="H2446" s="1" t="s">
        <v>11</v>
      </c>
      <c r="I2446" s="6" cm="1">
        <f t="array" ref="I2446">GetLatitude(D2446)</f>
        <v>547275433</v>
      </c>
      <c r="J2446" s="1" cm="1">
        <f t="array" ref="J2446">GetLongitude(D2446)</f>
        <v>114649304</v>
      </c>
      <c r="K2446" s="1">
        <f t="shared" si="115"/>
        <v>54.727543300000001</v>
      </c>
      <c r="L2446" s="1">
        <f t="shared" si="116"/>
        <v>11.4649304</v>
      </c>
    </row>
    <row r="2447" spans="1:12" ht="16" x14ac:dyDescent="0.2">
      <c r="A2447" s="1">
        <v>2446</v>
      </c>
      <c r="B2447" s="1" t="s">
        <v>7233</v>
      </c>
      <c r="C2447" s="1" t="s">
        <v>7307</v>
      </c>
      <c r="D2447" s="1" t="str">
        <f t="shared" si="114"/>
        <v>Lolland KommuneMeinckes Vej 1 (tidl Bangshavevej 23)</v>
      </c>
      <c r="E2447" s="1" t="s">
        <v>7308</v>
      </c>
      <c r="F2447" s="1" t="s">
        <v>7309</v>
      </c>
      <c r="G2447" s="1">
        <v>1964</v>
      </c>
      <c r="H2447" s="1" t="s">
        <v>15</v>
      </c>
      <c r="I2447" s="6" cm="1">
        <f t="array" ref="I2447">GetLatitude(D2447)</f>
        <v>547706848</v>
      </c>
      <c r="J2447" s="1" cm="1">
        <f t="array" ref="J2447">GetLongitude(D2447)</f>
        <v>114915128</v>
      </c>
      <c r="K2447" s="1">
        <f t="shared" si="115"/>
        <v>54.770684799999998</v>
      </c>
      <c r="L2447" s="1">
        <f t="shared" si="116"/>
        <v>11.491512800000001</v>
      </c>
    </row>
    <row r="2448" spans="1:12" ht="16" x14ac:dyDescent="0.2">
      <c r="A2448" s="1">
        <v>2447</v>
      </c>
      <c r="B2448" s="1" t="s">
        <v>7233</v>
      </c>
      <c r="C2448" s="1" t="s">
        <v>7310</v>
      </c>
      <c r="D2448" s="1" t="str">
        <f t="shared" si="114"/>
        <v>Lolland KommuneNordenkirke 17</v>
      </c>
      <c r="E2448" s="1" t="s">
        <v>7311</v>
      </c>
      <c r="F2448" s="1" t="s">
        <v>7312</v>
      </c>
      <c r="G2448" s="1">
        <v>1964</v>
      </c>
      <c r="H2448" s="1" t="s">
        <v>15</v>
      </c>
      <c r="I2448" s="6" cm="1">
        <f t="array" ref="I2448">GetLatitude(D2448)</f>
        <v>548313771</v>
      </c>
      <c r="J2448" s="1" cm="1">
        <f t="array" ref="J2448">GetLongitude(D2448)</f>
        <v>111350561</v>
      </c>
      <c r="K2448" s="1">
        <f t="shared" si="115"/>
        <v>54.831377099999997</v>
      </c>
      <c r="L2448" s="1">
        <f t="shared" si="116"/>
        <v>11.1350561</v>
      </c>
    </row>
    <row r="2449" spans="1:12" ht="16" x14ac:dyDescent="0.2">
      <c r="A2449" s="1">
        <v>2448</v>
      </c>
      <c r="B2449" s="1" t="s">
        <v>7233</v>
      </c>
      <c r="C2449" s="1" t="s">
        <v>7313</v>
      </c>
      <c r="D2449" s="1" t="str">
        <f t="shared" si="114"/>
        <v>Lolland KommuneNørregade 17</v>
      </c>
      <c r="E2449" s="1" t="s">
        <v>7314</v>
      </c>
      <c r="F2449" s="1" t="s">
        <v>7315</v>
      </c>
      <c r="G2449" s="1">
        <v>1919</v>
      </c>
      <c r="H2449" s="1" t="s">
        <v>11</v>
      </c>
      <c r="I2449" s="6" cm="1">
        <f t="array" ref="I2449">GetLatitude(D2449)</f>
        <v>547752561</v>
      </c>
      <c r="J2449" s="1" cm="1">
        <f t="array" ref="J2449">GetLongitude(D2449)</f>
        <v>115006095</v>
      </c>
      <c r="K2449" s="1">
        <f t="shared" si="115"/>
        <v>54.7752561</v>
      </c>
      <c r="L2449" s="1">
        <f t="shared" si="116"/>
        <v>11.500609499999999</v>
      </c>
    </row>
    <row r="2450" spans="1:12" ht="16" x14ac:dyDescent="0.2">
      <c r="A2450" s="1">
        <v>2449</v>
      </c>
      <c r="B2450" s="1" t="s">
        <v>7233</v>
      </c>
      <c r="C2450" s="1" t="s">
        <v>7316</v>
      </c>
      <c r="D2450" s="1" t="str">
        <f t="shared" si="114"/>
        <v>Lolland KommunePederstrupvej 124</v>
      </c>
      <c r="E2450" s="1" t="s">
        <v>7317</v>
      </c>
      <c r="F2450" s="1" t="s">
        <v>7318</v>
      </c>
      <c r="G2450" s="1">
        <v>1945</v>
      </c>
      <c r="H2450" s="1" t="s">
        <v>11</v>
      </c>
      <c r="I2450" s="6" cm="1">
        <f t="array" ref="I2450">GetLatitude(D2450)</f>
        <v>548958827</v>
      </c>
      <c r="J2450" s="1" cm="1">
        <f t="array" ref="J2450">GetLongitude(D2450)</f>
        <v>112654952</v>
      </c>
      <c r="K2450" s="1">
        <f t="shared" si="115"/>
        <v>54.895882700000001</v>
      </c>
      <c r="L2450" s="1">
        <f t="shared" si="116"/>
        <v>11.2654952</v>
      </c>
    </row>
    <row r="2451" spans="1:12" ht="16" x14ac:dyDescent="0.2">
      <c r="A2451" s="1">
        <v>2450</v>
      </c>
      <c r="B2451" s="1" t="s">
        <v>7233</v>
      </c>
      <c r="C2451" s="1" t="s">
        <v>7319</v>
      </c>
      <c r="D2451" s="1" t="str">
        <f t="shared" si="114"/>
        <v>Lolland KommunePederstrupvej 3</v>
      </c>
      <c r="E2451" s="1" t="s">
        <v>7320</v>
      </c>
      <c r="F2451" s="1" t="s">
        <v>7321</v>
      </c>
      <c r="G2451" s="1">
        <v>1964</v>
      </c>
      <c r="H2451" s="1" t="s">
        <v>11</v>
      </c>
      <c r="I2451" s="6" cm="1">
        <f t="array" ref="I2451">GetLatitude(D2451)</f>
        <v>549084810</v>
      </c>
      <c r="J2451" s="1" cm="1">
        <f t="array" ref="J2451">GetLongitude(D2451)</f>
        <v>112176141</v>
      </c>
      <c r="K2451" s="1">
        <f t="shared" si="115"/>
        <v>54.908481000000002</v>
      </c>
      <c r="L2451" s="1">
        <f t="shared" si="116"/>
        <v>11.2176141</v>
      </c>
    </row>
    <row r="2452" spans="1:12" ht="16" x14ac:dyDescent="0.2">
      <c r="A2452" s="1">
        <v>2451</v>
      </c>
      <c r="B2452" s="1" t="s">
        <v>7233</v>
      </c>
      <c r="C2452" s="1" t="s">
        <v>7322</v>
      </c>
      <c r="D2452" s="1" t="str">
        <f t="shared" si="114"/>
        <v>Lolland KommunePræstegårdsvej 42</v>
      </c>
      <c r="E2452" s="1" t="s">
        <v>7323</v>
      </c>
      <c r="F2452" s="1" t="s">
        <v>7324</v>
      </c>
      <c r="G2452" s="1">
        <v>1959</v>
      </c>
      <c r="H2452" s="1" t="s">
        <v>15</v>
      </c>
      <c r="I2452" s="6" cm="1">
        <f t="array" ref="I2452">GetLatitude(D2452)</f>
        <v>548989931</v>
      </c>
      <c r="J2452" s="1" cm="1">
        <f t="array" ref="J2452">GetLongitude(D2452)</f>
        <v>111228931</v>
      </c>
      <c r="K2452" s="1">
        <f t="shared" si="115"/>
        <v>54.898993099999998</v>
      </c>
      <c r="L2452" s="1">
        <f t="shared" si="116"/>
        <v>11.122893100000001</v>
      </c>
    </row>
    <row r="2453" spans="1:12" ht="16" x14ac:dyDescent="0.2">
      <c r="A2453" s="1">
        <v>2452</v>
      </c>
      <c r="B2453" s="1" t="s">
        <v>7233</v>
      </c>
      <c r="C2453" s="1" t="s">
        <v>7325</v>
      </c>
      <c r="D2453" s="1" t="str">
        <f t="shared" si="114"/>
        <v>Lolland KommunePræstestræde 2</v>
      </c>
      <c r="E2453" s="1" t="s">
        <v>7326</v>
      </c>
      <c r="F2453" s="1" t="s">
        <v>7327</v>
      </c>
      <c r="G2453" s="1">
        <v>1919</v>
      </c>
      <c r="H2453" s="1" t="s">
        <v>15</v>
      </c>
      <c r="I2453" s="6" cm="1">
        <f t="array" ref="I2453">GetLatitude(D2453)</f>
        <v>552292403</v>
      </c>
      <c r="J2453" s="1" cm="1">
        <f t="array" ref="J2453">GetLongitude(D2453)</f>
        <v>117521742</v>
      </c>
      <c r="K2453" s="1">
        <f t="shared" si="115"/>
        <v>55.229240300000001</v>
      </c>
      <c r="L2453" s="1">
        <f t="shared" si="116"/>
        <v>11.752174200000001</v>
      </c>
    </row>
    <row r="2454" spans="1:12" ht="16" x14ac:dyDescent="0.2">
      <c r="A2454" s="1">
        <v>2453</v>
      </c>
      <c r="B2454" s="1" t="s">
        <v>7233</v>
      </c>
      <c r="C2454" s="1" t="s">
        <v>7328</v>
      </c>
      <c r="D2454" s="1" t="str">
        <f t="shared" si="114"/>
        <v>Lolland KommuneRødbyvej 22-24</v>
      </c>
      <c r="E2454" s="1" t="s">
        <v>7329</v>
      </c>
      <c r="F2454" s="1" t="s">
        <v>7330</v>
      </c>
      <c r="G2454" s="1">
        <v>1988</v>
      </c>
      <c r="H2454" s="1" t="s">
        <v>15</v>
      </c>
      <c r="I2454" s="6" cm="1">
        <f t="array" ref="I2454">GetLatitude(D2454)</f>
        <v>548295249</v>
      </c>
      <c r="J2454" s="1" cm="1">
        <f t="array" ref="J2454">GetLongitude(D2454)</f>
        <v>111447044</v>
      </c>
      <c r="K2454" s="1">
        <f t="shared" si="115"/>
        <v>54.829524900000003</v>
      </c>
      <c r="L2454" s="1">
        <f t="shared" si="116"/>
        <v>11.1447044</v>
      </c>
    </row>
    <row r="2455" spans="1:12" ht="16" x14ac:dyDescent="0.2">
      <c r="A2455" s="1">
        <v>2454</v>
      </c>
      <c r="B2455" s="1" t="s">
        <v>7233</v>
      </c>
      <c r="C2455" s="1" t="s">
        <v>7331</v>
      </c>
      <c r="D2455" s="1" t="str">
        <f t="shared" si="114"/>
        <v>Lolland KommuneRødbyvej 45</v>
      </c>
      <c r="E2455" s="1" t="s">
        <v>7332</v>
      </c>
      <c r="F2455" s="1" t="s">
        <v>2166</v>
      </c>
      <c r="G2455" s="1">
        <v>1945</v>
      </c>
      <c r="H2455" s="1" t="s">
        <v>11</v>
      </c>
      <c r="I2455" s="6" cm="1">
        <f t="array" ref="I2455">GetLatitude(D2455)</f>
        <v>548283269</v>
      </c>
      <c r="J2455" s="1" cm="1">
        <f t="array" ref="J2455">GetLongitude(D2455)</f>
        <v>111454065</v>
      </c>
      <c r="K2455" s="1">
        <f t="shared" si="115"/>
        <v>54.8283269</v>
      </c>
      <c r="L2455" s="1">
        <f t="shared" si="116"/>
        <v>11.1454065</v>
      </c>
    </row>
    <row r="2456" spans="1:12" ht="16" x14ac:dyDescent="0.2">
      <c r="A2456" s="1">
        <v>2455</v>
      </c>
      <c r="B2456" s="1" t="s">
        <v>7233</v>
      </c>
      <c r="C2456" s="1" t="s">
        <v>7333</v>
      </c>
      <c r="D2456" s="1" t="str">
        <f t="shared" si="114"/>
        <v>Lolland KommuneStationsvej 10</v>
      </c>
      <c r="E2456" s="1" t="s">
        <v>7334</v>
      </c>
      <c r="F2456" s="1" t="s">
        <v>7335</v>
      </c>
      <c r="G2456" s="1">
        <v>1973</v>
      </c>
      <c r="H2456" s="1" t="s">
        <v>15</v>
      </c>
      <c r="I2456" s="6" cm="1">
        <f t="array" ref="I2456">GetLatitude(D2456)</f>
        <v>548365154</v>
      </c>
      <c r="J2456" s="1" cm="1">
        <f t="array" ref="J2456">GetLongitude(D2456)</f>
        <v>112547448</v>
      </c>
      <c r="K2456" s="1">
        <f t="shared" si="115"/>
        <v>54.836515400000003</v>
      </c>
      <c r="L2456" s="1">
        <f t="shared" si="116"/>
        <v>11.254744799999999</v>
      </c>
    </row>
    <row r="2457" spans="1:12" ht="16" x14ac:dyDescent="0.2">
      <c r="A2457" s="1">
        <v>2456</v>
      </c>
      <c r="B2457" s="1" t="s">
        <v>7233</v>
      </c>
      <c r="C2457" s="1" t="s">
        <v>7336</v>
      </c>
      <c r="D2457" s="1" t="str">
        <f t="shared" si="114"/>
        <v>Lolland KommuneStenvadsvej 2-4</v>
      </c>
      <c r="E2457" s="1" t="s">
        <v>7337</v>
      </c>
      <c r="F2457" s="1" t="s">
        <v>7338</v>
      </c>
      <c r="G2457" s="1">
        <v>1950</v>
      </c>
      <c r="H2457" s="1" t="s">
        <v>15</v>
      </c>
      <c r="I2457" s="6" cm="1">
        <f t="array" ref="I2457">GetLatitude(D2457)</f>
        <v>547560153</v>
      </c>
      <c r="J2457" s="1" cm="1">
        <f t="array" ref="J2457">GetLongitude(D2457)</f>
        <v>112233821</v>
      </c>
      <c r="K2457" s="1">
        <f t="shared" si="115"/>
        <v>54.756015300000001</v>
      </c>
      <c r="L2457" s="1">
        <f t="shared" si="116"/>
        <v>11.2233821</v>
      </c>
    </row>
    <row r="2458" spans="1:12" ht="16" x14ac:dyDescent="0.2">
      <c r="A2458" s="1">
        <v>2457</v>
      </c>
      <c r="B2458" s="1" t="s">
        <v>7233</v>
      </c>
      <c r="C2458" s="1" t="s">
        <v>7339</v>
      </c>
      <c r="D2458" s="1" t="str">
        <f t="shared" si="114"/>
        <v>Lolland KommuneSøholtvej 28</v>
      </c>
      <c r="E2458" s="1" t="s">
        <v>7340</v>
      </c>
      <c r="F2458" s="1" t="s">
        <v>7341</v>
      </c>
      <c r="G2458" s="1">
        <v>1996</v>
      </c>
      <c r="H2458" s="1" t="s">
        <v>11</v>
      </c>
      <c r="I2458" s="6" cm="1">
        <f t="array" ref="I2458">GetLatitude(D2458)</f>
        <v>547388301</v>
      </c>
      <c r="J2458" s="1" cm="1">
        <f t="array" ref="J2458">GetLongitude(D2458)</f>
        <v>115419506</v>
      </c>
      <c r="K2458" s="1">
        <f t="shared" si="115"/>
        <v>54.738830100000001</v>
      </c>
      <c r="L2458" s="1">
        <f t="shared" si="116"/>
        <v>11.5419506</v>
      </c>
    </row>
    <row r="2459" spans="1:12" ht="16" x14ac:dyDescent="0.2">
      <c r="A2459" s="1">
        <v>2458</v>
      </c>
      <c r="B2459" s="1" t="s">
        <v>7233</v>
      </c>
      <c r="C2459" s="1" t="s">
        <v>7342</v>
      </c>
      <c r="D2459" s="1" t="str">
        <f t="shared" si="114"/>
        <v>Lolland KommuneSøndergade 25</v>
      </c>
      <c r="E2459" s="1" t="s">
        <v>7343</v>
      </c>
      <c r="F2459" s="1" t="s">
        <v>7344</v>
      </c>
      <c r="G2459" s="1">
        <v>1919</v>
      </c>
      <c r="H2459" s="1" t="s">
        <v>15</v>
      </c>
      <c r="I2459" s="6" cm="1">
        <f t="array" ref="I2459">GetLatitude(D2459)</f>
        <v>548365154</v>
      </c>
      <c r="J2459" s="1" cm="1">
        <f t="array" ref="J2459">GetLongitude(D2459)</f>
        <v>112547448</v>
      </c>
      <c r="K2459" s="1">
        <f t="shared" si="115"/>
        <v>54.836515400000003</v>
      </c>
      <c r="L2459" s="1">
        <f t="shared" si="116"/>
        <v>11.254744799999999</v>
      </c>
    </row>
    <row r="2460" spans="1:12" ht="16" x14ac:dyDescent="0.2">
      <c r="A2460" s="1">
        <v>2459</v>
      </c>
      <c r="B2460" s="1" t="s">
        <v>7233</v>
      </c>
      <c r="C2460" s="1" t="s">
        <v>7345</v>
      </c>
      <c r="D2460" s="1" t="str">
        <f t="shared" si="114"/>
        <v>Lolland KommuneSøvej 4</v>
      </c>
      <c r="E2460" s="1" t="s">
        <v>7346</v>
      </c>
      <c r="F2460" s="1" t="s">
        <v>7347</v>
      </c>
      <c r="G2460" s="1">
        <v>2004</v>
      </c>
      <c r="H2460" s="1" t="s">
        <v>15</v>
      </c>
      <c r="I2460" s="6" cm="1">
        <f t="array" ref="I2460">GetLatitude(D2460)</f>
        <v>548365154</v>
      </c>
      <c r="J2460" s="1" cm="1">
        <f t="array" ref="J2460">GetLongitude(D2460)</f>
        <v>112547448</v>
      </c>
      <c r="K2460" s="1">
        <f t="shared" si="115"/>
        <v>54.836515400000003</v>
      </c>
      <c r="L2460" s="1">
        <f t="shared" si="116"/>
        <v>11.254744799999999</v>
      </c>
    </row>
    <row r="2461" spans="1:12" ht="16" x14ac:dyDescent="0.2">
      <c r="A2461" s="1">
        <v>2460</v>
      </c>
      <c r="B2461" s="1" t="s">
        <v>7233</v>
      </c>
      <c r="C2461" s="1" t="s">
        <v>7348</v>
      </c>
      <c r="D2461" s="1" t="str">
        <f t="shared" si="114"/>
        <v>Lolland KommuneTorvet 3</v>
      </c>
      <c r="E2461" s="1" t="s">
        <v>7349</v>
      </c>
      <c r="F2461" s="1" t="s">
        <v>7350</v>
      </c>
      <c r="G2461" s="1">
        <v>1945</v>
      </c>
      <c r="H2461" s="1" t="s">
        <v>15</v>
      </c>
      <c r="I2461" s="6" cm="1">
        <f t="array" ref="I2461">GetLatitude(D2461)</f>
        <v>548365154</v>
      </c>
      <c r="J2461" s="1" cm="1">
        <f t="array" ref="J2461">GetLongitude(D2461)</f>
        <v>112547448</v>
      </c>
      <c r="K2461" s="1">
        <f t="shared" si="115"/>
        <v>54.836515400000003</v>
      </c>
      <c r="L2461" s="1">
        <f t="shared" si="116"/>
        <v>11.254744799999999</v>
      </c>
    </row>
    <row r="2462" spans="1:12" ht="16" x14ac:dyDescent="0.2">
      <c r="A2462" s="1">
        <v>2461</v>
      </c>
      <c r="B2462" s="1" t="s">
        <v>7233</v>
      </c>
      <c r="C2462" s="1" t="s">
        <v>7351</v>
      </c>
      <c r="D2462" s="1" t="str">
        <f t="shared" si="114"/>
        <v>Lolland KommuneUllerslevvej 42 og Maribovej 248, 250 og 252</v>
      </c>
      <c r="E2462" s="1" t="s">
        <v>7352</v>
      </c>
      <c r="F2462" s="1" t="s">
        <v>7353</v>
      </c>
      <c r="G2462" s="1">
        <v>1918</v>
      </c>
      <c r="H2462" s="1" t="s">
        <v>2859</v>
      </c>
      <c r="I2462" s="6" cm="1">
        <f t="array" ref="I2462">GetLatitude(D2462)</f>
        <v>548465075</v>
      </c>
      <c r="J2462" s="1" cm="1">
        <f t="array" ref="J2462">GetLongitude(D2462)</f>
        <v>112258494</v>
      </c>
      <c r="K2462" s="1">
        <f t="shared" si="115"/>
        <v>54.846507500000001</v>
      </c>
      <c r="L2462" s="1">
        <f t="shared" si="116"/>
        <v>11.2258494</v>
      </c>
    </row>
    <row r="2463" spans="1:12" ht="16" x14ac:dyDescent="0.2">
      <c r="A2463" s="1">
        <v>2462</v>
      </c>
      <c r="B2463" s="1" t="s">
        <v>7233</v>
      </c>
      <c r="C2463" s="1" t="s">
        <v>7354</v>
      </c>
      <c r="D2463" s="1" t="str">
        <f t="shared" si="114"/>
        <v>Lolland KommuneVestenskov Kirkevej 4</v>
      </c>
      <c r="E2463" s="1" t="s">
        <v>7355</v>
      </c>
      <c r="F2463" s="1" t="s">
        <v>7356</v>
      </c>
      <c r="G2463" s="1">
        <v>1985</v>
      </c>
      <c r="H2463" s="1" t="s">
        <v>15</v>
      </c>
      <c r="I2463" s="6" cm="1">
        <f t="array" ref="I2463">GetLatitude(D2463)</f>
        <v>547890698</v>
      </c>
      <c r="J2463" s="1" cm="1">
        <f t="array" ref="J2463">GetLongitude(D2463)</f>
        <v>110950527</v>
      </c>
      <c r="K2463" s="1">
        <f t="shared" si="115"/>
        <v>54.7890698</v>
      </c>
      <c r="L2463" s="1">
        <f t="shared" si="116"/>
        <v>11.0950527</v>
      </c>
    </row>
    <row r="2464" spans="1:12" ht="16" x14ac:dyDescent="0.2">
      <c r="A2464" s="1">
        <v>2463</v>
      </c>
      <c r="B2464" s="1" t="s">
        <v>7233</v>
      </c>
      <c r="C2464" s="1" t="s">
        <v>362</v>
      </c>
      <c r="D2464" s="1" t="str">
        <f t="shared" si="114"/>
        <v>Lolland KommuneVestergade 1</v>
      </c>
      <c r="E2464" s="1" t="s">
        <v>7357</v>
      </c>
      <c r="F2464" s="1" t="s">
        <v>7358</v>
      </c>
      <c r="G2464" s="1">
        <v>1964</v>
      </c>
      <c r="H2464" s="1" t="s">
        <v>11</v>
      </c>
      <c r="I2464" s="6" cm="1">
        <f t="array" ref="I2464">GetLatitude(D2464)</f>
        <v>548365154</v>
      </c>
      <c r="J2464" s="1" cm="1">
        <f t="array" ref="J2464">GetLongitude(D2464)</f>
        <v>112547448</v>
      </c>
      <c r="K2464" s="1">
        <f t="shared" si="115"/>
        <v>54.836515400000003</v>
      </c>
      <c r="L2464" s="1">
        <f t="shared" si="116"/>
        <v>11.254744799999999</v>
      </c>
    </row>
    <row r="2465" spans="1:12" ht="16" x14ac:dyDescent="0.2">
      <c r="A2465" s="1">
        <v>2464</v>
      </c>
      <c r="B2465" s="1" t="s">
        <v>7233</v>
      </c>
      <c r="C2465" s="1" t="s">
        <v>7359</v>
      </c>
      <c r="D2465" s="1" t="str">
        <f t="shared" si="114"/>
        <v>Lolland KommuneØstergade 65</v>
      </c>
      <c r="E2465" s="1" t="s">
        <v>7360</v>
      </c>
      <c r="F2465" s="1" t="s">
        <v>7361</v>
      </c>
      <c r="G2465" s="1">
        <v>1984</v>
      </c>
      <c r="H2465" s="1" t="s">
        <v>11</v>
      </c>
      <c r="I2465" s="6" cm="1">
        <f t="array" ref="I2465">GetLatitude(D2465)</f>
        <v>547746528</v>
      </c>
      <c r="J2465" s="1" cm="1">
        <f t="array" ref="J2465">GetLongitude(D2465)</f>
        <v>115066539</v>
      </c>
      <c r="K2465" s="1">
        <f t="shared" si="115"/>
        <v>54.774652799999998</v>
      </c>
      <c r="L2465" s="1">
        <f t="shared" si="116"/>
        <v>11.5066539</v>
      </c>
    </row>
    <row r="2466" spans="1:12" ht="16" x14ac:dyDescent="0.2">
      <c r="A2466" s="1">
        <v>2465</v>
      </c>
      <c r="B2466" s="1" t="s">
        <v>7233</v>
      </c>
      <c r="C2466" s="1" t="s">
        <v>7362</v>
      </c>
      <c r="D2466" s="1" t="str">
        <f t="shared" si="114"/>
        <v>Lolland KommuneØstofte Gade 36</v>
      </c>
      <c r="E2466" s="1" t="s">
        <v>7363</v>
      </c>
      <c r="F2466" s="1" t="s">
        <v>7364</v>
      </c>
      <c r="G2466" s="1">
        <v>1964</v>
      </c>
      <c r="H2466" s="1" t="s">
        <v>11</v>
      </c>
      <c r="I2466" s="6" cm="1">
        <f t="array" ref="I2466">GetLatitude(D2466)</f>
        <v>548015447</v>
      </c>
      <c r="J2466" s="1" cm="1">
        <f t="array" ref="J2466">GetLongitude(D2466)</f>
        <v>114257648</v>
      </c>
      <c r="K2466" s="1">
        <f t="shared" si="115"/>
        <v>54.801544700000001</v>
      </c>
      <c r="L2466" s="1">
        <f t="shared" si="116"/>
        <v>11.4257648</v>
      </c>
    </row>
    <row r="2467" spans="1:12" ht="16" x14ac:dyDescent="0.2">
      <c r="A2467" s="1">
        <v>2466</v>
      </c>
      <c r="B2467" s="1" t="s">
        <v>7233</v>
      </c>
      <c r="C2467" s="1" t="s">
        <v>7365</v>
      </c>
      <c r="D2467" s="1" t="str">
        <f t="shared" si="114"/>
        <v>Lolland KommuneØstofte Møllevej 262</v>
      </c>
      <c r="E2467" s="1" t="s">
        <v>7366</v>
      </c>
      <c r="F2467" s="1" t="s">
        <v>7367</v>
      </c>
      <c r="G2467" s="1">
        <v>1964</v>
      </c>
      <c r="H2467" s="1" t="s">
        <v>11</v>
      </c>
      <c r="I2467" s="6" cm="1">
        <f t="array" ref="I2467">GetLatitude(D2467)</f>
        <v>548044007</v>
      </c>
      <c r="J2467" s="1" cm="1">
        <f t="array" ref="J2467">GetLongitude(D2467)</f>
        <v>114201014</v>
      </c>
      <c r="K2467" s="1">
        <f t="shared" si="115"/>
        <v>54.804400700000002</v>
      </c>
      <c r="L2467" s="1">
        <f t="shared" si="116"/>
        <v>11.4201014</v>
      </c>
    </row>
    <row r="2468" spans="1:12" ht="16" x14ac:dyDescent="0.2">
      <c r="A2468" s="1">
        <v>2467</v>
      </c>
      <c r="B2468" s="1" t="s">
        <v>7368</v>
      </c>
      <c r="C2468" s="1" t="s">
        <v>7369</v>
      </c>
      <c r="D2468" s="1" t="str">
        <f t="shared" si="114"/>
        <v>Lyngby-Taarbæk KommuneBrede 33-77</v>
      </c>
      <c r="E2468" s="1" t="s">
        <v>7370</v>
      </c>
      <c r="F2468" s="1" t="s">
        <v>7371</v>
      </c>
      <c r="G2468" s="1">
        <v>1991</v>
      </c>
      <c r="H2468" s="1" t="s">
        <v>15</v>
      </c>
      <c r="I2468" s="6" cm="1">
        <f t="array" ref="I2468">GetLatitude(D2468)</f>
        <v>557841732</v>
      </c>
      <c r="J2468" s="1" cm="1">
        <f t="array" ref="J2468">GetLongitude(D2468)</f>
        <v>125113741</v>
      </c>
      <c r="K2468" s="1">
        <f t="shared" si="115"/>
        <v>55.784173199999998</v>
      </c>
      <c r="L2468" s="1">
        <f t="shared" si="116"/>
        <v>12.511374099999999</v>
      </c>
    </row>
    <row r="2469" spans="1:12" ht="16" x14ac:dyDescent="0.2">
      <c r="A2469" s="1">
        <v>2468</v>
      </c>
      <c r="B2469" s="1" t="s">
        <v>7368</v>
      </c>
      <c r="C2469" s="1" t="s">
        <v>7372</v>
      </c>
      <c r="D2469" s="1" t="str">
        <f t="shared" si="114"/>
        <v>Lyngby-Taarbæk KommuneBrede 66-67 og 69 (tidl Brede Allé)</v>
      </c>
      <c r="E2469" s="1" t="s">
        <v>7373</v>
      </c>
      <c r="F2469" s="1" t="s">
        <v>7374</v>
      </c>
      <c r="G2469" s="1">
        <v>1991</v>
      </c>
      <c r="H2469" s="1" t="s">
        <v>15</v>
      </c>
      <c r="I2469" s="6" cm="1">
        <f t="array" ref="I2469">GetLatitude(D2469)</f>
        <v>557886202</v>
      </c>
      <c r="J2469" s="1" cm="1">
        <f t="array" ref="J2469">GetLongitude(D2469)</f>
        <v>124980265</v>
      </c>
      <c r="K2469" s="1">
        <f t="shared" si="115"/>
        <v>55.788620199999997</v>
      </c>
      <c r="L2469" s="1">
        <f t="shared" si="116"/>
        <v>12.4980265</v>
      </c>
    </row>
    <row r="2470" spans="1:12" ht="16" x14ac:dyDescent="0.2">
      <c r="A2470" s="1">
        <v>2469</v>
      </c>
      <c r="B2470" s="1" t="s">
        <v>7368</v>
      </c>
      <c r="C2470" s="1" t="s">
        <v>7375</v>
      </c>
      <c r="D2470" s="1" t="str">
        <f t="shared" si="114"/>
        <v>Lyngby-Taarbæk KommuneBrede 81</v>
      </c>
      <c r="E2470" s="1" t="s">
        <v>7376</v>
      </c>
      <c r="F2470" s="1" t="s">
        <v>7377</v>
      </c>
      <c r="G2470" s="1">
        <v>1991</v>
      </c>
      <c r="H2470" s="1" t="s">
        <v>15</v>
      </c>
      <c r="I2470" s="6" cm="1">
        <f t="array" ref="I2470">GetLatitude(D2470)</f>
        <v>557841732</v>
      </c>
      <c r="J2470" s="1" cm="1">
        <f t="array" ref="J2470">GetLongitude(D2470)</f>
        <v>125113741</v>
      </c>
      <c r="K2470" s="1">
        <f t="shared" si="115"/>
        <v>55.784173199999998</v>
      </c>
      <c r="L2470" s="1">
        <f t="shared" si="116"/>
        <v>12.511374099999999</v>
      </c>
    </row>
    <row r="2471" spans="1:12" ht="16" x14ac:dyDescent="0.2">
      <c r="A2471" s="1">
        <v>2470</v>
      </c>
      <c r="B2471" s="1" t="s">
        <v>7368</v>
      </c>
      <c r="C2471" s="1" t="s">
        <v>7378</v>
      </c>
      <c r="D2471" s="1" t="str">
        <f t="shared" si="114"/>
        <v>Lyngby-Taarbæk KommuneBrede Allé 68</v>
      </c>
      <c r="E2471" s="1" t="s">
        <v>7379</v>
      </c>
      <c r="F2471" s="1" t="s">
        <v>7380</v>
      </c>
      <c r="G2471" s="1">
        <v>1991</v>
      </c>
      <c r="H2471" s="1" t="s">
        <v>15</v>
      </c>
      <c r="I2471" s="6" cm="1">
        <f t="array" ref="I2471">GetLatitude(D2471)</f>
        <v>557886202</v>
      </c>
      <c r="J2471" s="1" cm="1">
        <f t="array" ref="J2471">GetLongitude(D2471)</f>
        <v>124980265</v>
      </c>
      <c r="K2471" s="1">
        <f t="shared" si="115"/>
        <v>55.788620199999997</v>
      </c>
      <c r="L2471" s="1">
        <f t="shared" si="116"/>
        <v>12.4980265</v>
      </c>
    </row>
    <row r="2472" spans="1:12" ht="16" x14ac:dyDescent="0.2">
      <c r="A2472" s="1">
        <v>2471</v>
      </c>
      <c r="B2472" s="1" t="s">
        <v>7368</v>
      </c>
      <c r="C2472" s="1" t="s">
        <v>7381</v>
      </c>
      <c r="D2472" s="1" t="str">
        <f t="shared" si="114"/>
        <v xml:space="preserve">Lyngby-Taarbæk KommuneBrede Hovedbygning 1 og I.C. Modewegvej 1 </v>
      </c>
      <c r="E2472" s="1" t="s">
        <v>7382</v>
      </c>
      <c r="F2472" s="1" t="s">
        <v>7383</v>
      </c>
      <c r="G2472" s="1">
        <v>1918</v>
      </c>
      <c r="H2472" s="1" t="s">
        <v>7384</v>
      </c>
      <c r="I2472" s="6" cm="1">
        <f t="array" ref="I2472">GetLatitude(D2472)</f>
        <v>557841732</v>
      </c>
      <c r="J2472" s="1" cm="1">
        <f t="array" ref="J2472">GetLongitude(D2472)</f>
        <v>125113741</v>
      </c>
      <c r="K2472" s="1">
        <f t="shared" si="115"/>
        <v>55.784173199999998</v>
      </c>
      <c r="L2472" s="1">
        <f t="shared" si="116"/>
        <v>12.511374099999999</v>
      </c>
    </row>
    <row r="2473" spans="1:12" ht="16" x14ac:dyDescent="0.2">
      <c r="A2473" s="1">
        <v>2472</v>
      </c>
      <c r="B2473" s="1" t="s">
        <v>7368</v>
      </c>
      <c r="C2473" s="1" t="s">
        <v>7385</v>
      </c>
      <c r="D2473" s="1" t="str">
        <f t="shared" si="114"/>
        <v>Lyngby-Taarbæk KommuneDyrehaven 4</v>
      </c>
      <c r="E2473" s="1" t="s">
        <v>7386</v>
      </c>
      <c r="F2473" s="1" t="s">
        <v>7387</v>
      </c>
      <c r="G2473" s="1">
        <v>1918</v>
      </c>
      <c r="H2473" s="1" t="s">
        <v>15</v>
      </c>
      <c r="I2473" s="6" cm="1">
        <f t="array" ref="I2473">GetLatitude(D2473)</f>
        <v>557841732</v>
      </c>
      <c r="J2473" s="1" cm="1">
        <f t="array" ref="J2473">GetLongitude(D2473)</f>
        <v>125113741</v>
      </c>
      <c r="K2473" s="1">
        <f t="shared" si="115"/>
        <v>55.784173199999998</v>
      </c>
      <c r="L2473" s="1">
        <f t="shared" si="116"/>
        <v>12.511374099999999</v>
      </c>
    </row>
    <row r="2474" spans="1:12" ht="16" x14ac:dyDescent="0.2">
      <c r="A2474" s="1">
        <v>2473</v>
      </c>
      <c r="B2474" s="1" t="s">
        <v>7368</v>
      </c>
      <c r="C2474" s="1" t="s">
        <v>7388</v>
      </c>
      <c r="D2474" s="1" t="str">
        <f t="shared" si="114"/>
        <v>Lyngby-Taarbæk KommuneDyrehaven 7</v>
      </c>
      <c r="E2474" s="1" t="s">
        <v>7389</v>
      </c>
      <c r="F2474" s="1" t="s">
        <v>7390</v>
      </c>
      <c r="G2474" s="1">
        <v>1991</v>
      </c>
      <c r="H2474" s="1" t="s">
        <v>15</v>
      </c>
      <c r="I2474" s="6" cm="1">
        <f t="array" ref="I2474">GetLatitude(D2474)</f>
        <v>558029279</v>
      </c>
      <c r="J2474" s="1" cm="1">
        <f t="array" ref="J2474">GetLongitude(D2474)</f>
        <v>125722369</v>
      </c>
      <c r="K2474" s="1">
        <f t="shared" si="115"/>
        <v>55.8029279</v>
      </c>
      <c r="L2474" s="1">
        <f t="shared" si="116"/>
        <v>12.5722369</v>
      </c>
    </row>
    <row r="2475" spans="1:12" ht="16" x14ac:dyDescent="0.2">
      <c r="A2475" s="1">
        <v>2474</v>
      </c>
      <c r="B2475" s="1" t="s">
        <v>7368</v>
      </c>
      <c r="C2475" s="1" t="s">
        <v>7391</v>
      </c>
      <c r="D2475" s="1" t="str">
        <f t="shared" si="114"/>
        <v>Lyngby-Taarbæk KommuneGammel Lundtoftevej 31</v>
      </c>
      <c r="E2475" s="1" t="s">
        <v>7392</v>
      </c>
      <c r="F2475" s="1" t="s">
        <v>7393</v>
      </c>
      <c r="G2475" s="1">
        <v>1979</v>
      </c>
      <c r="H2475" s="1" t="s">
        <v>11</v>
      </c>
      <c r="I2475" s="6" cm="1">
        <f t="array" ref="I2475">GetLatitude(D2475)</f>
        <v>557776526</v>
      </c>
      <c r="J2475" s="1" cm="1">
        <f t="array" ref="J2475">GetLongitude(D2475)</f>
        <v>125059243</v>
      </c>
      <c r="K2475" s="1">
        <f t="shared" si="115"/>
        <v>55.777652600000003</v>
      </c>
      <c r="L2475" s="1">
        <f t="shared" si="116"/>
        <v>12.5059243</v>
      </c>
    </row>
    <row r="2476" spans="1:12" ht="16" x14ac:dyDescent="0.2">
      <c r="A2476" s="1">
        <v>2475</v>
      </c>
      <c r="B2476" s="1" t="s">
        <v>7368</v>
      </c>
      <c r="C2476" s="1" t="s">
        <v>7394</v>
      </c>
      <c r="D2476" s="1" t="str">
        <f t="shared" si="114"/>
        <v>Lyngby-Taarbæk KommuneHummeltoftevej 183-187 og Frederiksdalsvej 351</v>
      </c>
      <c r="E2476" s="1" t="s">
        <v>7247</v>
      </c>
      <c r="F2476" s="1" t="s">
        <v>7395</v>
      </c>
      <c r="G2476" s="1">
        <v>1918</v>
      </c>
      <c r="H2476" s="1" t="s">
        <v>11</v>
      </c>
      <c r="I2476" s="6" cm="1">
        <f t="array" ref="I2476">GetLatitude(D2476)</f>
        <v>557921842</v>
      </c>
      <c r="J2476" s="1" cm="1">
        <f t="array" ref="J2476">GetLongitude(D2476)</f>
        <v>124586375</v>
      </c>
      <c r="K2476" s="1">
        <f t="shared" si="115"/>
        <v>55.792184200000001</v>
      </c>
      <c r="L2476" s="1">
        <f t="shared" si="116"/>
        <v>12.4586375</v>
      </c>
    </row>
    <row r="2477" spans="1:12" ht="16" x14ac:dyDescent="0.2">
      <c r="A2477" s="1">
        <v>2476</v>
      </c>
      <c r="B2477" s="1" t="s">
        <v>7368</v>
      </c>
      <c r="C2477" s="1" t="s">
        <v>7396</v>
      </c>
      <c r="D2477" s="1" t="str">
        <f t="shared" si="114"/>
        <v>Lyngby-Taarbæk KommuneI. H. Mundtsvej 16</v>
      </c>
      <c r="E2477" s="1" t="s">
        <v>7396</v>
      </c>
      <c r="F2477" s="1" t="s">
        <v>7397</v>
      </c>
      <c r="G2477" s="1">
        <v>1987</v>
      </c>
      <c r="H2477" s="1" t="s">
        <v>11</v>
      </c>
      <c r="I2477" s="6" cm="1">
        <f t="array" ref="I2477">GetLatitude(D2477)</f>
        <v>557798750</v>
      </c>
      <c r="J2477" s="1" cm="1">
        <f t="array" ref="J2477">GetLongitude(D2477)</f>
        <v>124847874</v>
      </c>
      <c r="K2477" s="1">
        <f t="shared" si="115"/>
        <v>55.779874999999997</v>
      </c>
      <c r="L2477" s="1">
        <f t="shared" si="116"/>
        <v>12.4847874</v>
      </c>
    </row>
    <row r="2478" spans="1:12" ht="16" x14ac:dyDescent="0.2">
      <c r="A2478" s="1">
        <v>2477</v>
      </c>
      <c r="B2478" s="1" t="s">
        <v>7368</v>
      </c>
      <c r="C2478" s="1" t="s">
        <v>7398</v>
      </c>
      <c r="D2478" s="1" t="str">
        <f t="shared" si="114"/>
        <v>Lyngby-Taarbæk KommuneI. H. Mundtsvej 4B</v>
      </c>
      <c r="E2478" s="1" t="s">
        <v>7398</v>
      </c>
      <c r="F2478" s="1" t="s">
        <v>7399</v>
      </c>
      <c r="G2478" s="1">
        <v>1999</v>
      </c>
      <c r="H2478" s="1" t="s">
        <v>11</v>
      </c>
      <c r="I2478" s="6" cm="1">
        <f t="array" ref="I2478">GetLatitude(D2478)</f>
        <v>557794217</v>
      </c>
      <c r="J2478" s="1" cm="1">
        <f t="array" ref="J2478">GetLongitude(D2478)</f>
        <v>124823326</v>
      </c>
      <c r="K2478" s="1">
        <f t="shared" si="115"/>
        <v>55.7794217</v>
      </c>
      <c r="L2478" s="1">
        <f t="shared" si="116"/>
        <v>12.482332599999999</v>
      </c>
    </row>
    <row r="2479" spans="1:12" ht="16" x14ac:dyDescent="0.2">
      <c r="A2479" s="1">
        <v>2478</v>
      </c>
      <c r="B2479" s="1" t="s">
        <v>7368</v>
      </c>
      <c r="C2479" s="1" t="s">
        <v>7400</v>
      </c>
      <c r="D2479" s="1" t="str">
        <f t="shared" si="114"/>
        <v>Lyngby-Taarbæk KommuneKongevejen 102</v>
      </c>
      <c r="E2479" s="1" t="s">
        <v>7401</v>
      </c>
      <c r="F2479" s="1" t="s">
        <v>7402</v>
      </c>
      <c r="G2479" s="1">
        <v>1964</v>
      </c>
      <c r="H2479" s="1" t="s">
        <v>15</v>
      </c>
      <c r="I2479" s="6" cm="1">
        <f t="array" ref="I2479">GetLatitude(D2479)</f>
        <v>557861260</v>
      </c>
      <c r="J2479" s="1" cm="1">
        <f t="array" ref="J2479">GetLongitude(D2479)</f>
        <v>124894950</v>
      </c>
      <c r="K2479" s="1">
        <f t="shared" si="115"/>
        <v>55.786126000000003</v>
      </c>
      <c r="L2479" s="1">
        <f t="shared" si="116"/>
        <v>12.489495</v>
      </c>
    </row>
    <row r="2480" spans="1:12" ht="16" x14ac:dyDescent="0.2">
      <c r="A2480" s="1">
        <v>2479</v>
      </c>
      <c r="B2480" s="1" t="s">
        <v>7368</v>
      </c>
      <c r="C2480" s="1" t="s">
        <v>7403</v>
      </c>
      <c r="D2480" s="1" t="str">
        <f t="shared" si="114"/>
        <v>Lyngby-Taarbæk KommuneKongevejen 2</v>
      </c>
      <c r="E2480" s="1" t="s">
        <v>7404</v>
      </c>
      <c r="F2480" s="1" t="s">
        <v>7405</v>
      </c>
      <c r="G2480" s="1">
        <v>1918</v>
      </c>
      <c r="H2480" s="1" t="s">
        <v>15</v>
      </c>
      <c r="I2480" s="6" cm="1">
        <f t="array" ref="I2480">GetLatitude(D2480)</f>
        <v>557841732</v>
      </c>
      <c r="J2480" s="1" cm="1">
        <f t="array" ref="J2480">GetLongitude(D2480)</f>
        <v>125113741</v>
      </c>
      <c r="K2480" s="1">
        <f t="shared" si="115"/>
        <v>55.784173199999998</v>
      </c>
      <c r="L2480" s="1">
        <f t="shared" si="116"/>
        <v>12.511374099999999</v>
      </c>
    </row>
    <row r="2481" spans="1:12" ht="16" x14ac:dyDescent="0.2">
      <c r="A2481" s="1">
        <v>2480</v>
      </c>
      <c r="B2481" s="1" t="s">
        <v>7368</v>
      </c>
      <c r="C2481" s="1" t="s">
        <v>7406</v>
      </c>
      <c r="D2481" s="1" t="str">
        <f t="shared" si="114"/>
        <v>Lyngby-Taarbæk KommuneLyngby Hovedgade 2</v>
      </c>
      <c r="E2481" s="1" t="s">
        <v>7407</v>
      </c>
      <c r="F2481" s="1" t="s">
        <v>7408</v>
      </c>
      <c r="G2481" s="1">
        <v>1918</v>
      </c>
      <c r="H2481" s="1" t="s">
        <v>11</v>
      </c>
      <c r="I2481" s="6" cm="1">
        <f t="array" ref="I2481">GetLatitude(D2481)</f>
        <v>557763430</v>
      </c>
      <c r="J2481" s="1" cm="1">
        <f t="array" ref="J2481">GetLongitude(D2481)</f>
        <v>124958190</v>
      </c>
      <c r="K2481" s="1">
        <f t="shared" si="115"/>
        <v>55.776342999999997</v>
      </c>
      <c r="L2481" s="1">
        <f t="shared" si="116"/>
        <v>12.495818999999999</v>
      </c>
    </row>
    <row r="2482" spans="1:12" ht="16" x14ac:dyDescent="0.2">
      <c r="A2482" s="1">
        <v>2481</v>
      </c>
      <c r="B2482" s="1" t="s">
        <v>7368</v>
      </c>
      <c r="C2482" s="1" t="s">
        <v>7409</v>
      </c>
      <c r="D2482" s="1" t="str">
        <f t="shared" si="114"/>
        <v>Lyngby-Taarbæk KommuneLyngby Hovedgade 24</v>
      </c>
      <c r="E2482" s="1" t="s">
        <v>7410</v>
      </c>
      <c r="F2482" s="1" t="s">
        <v>7411</v>
      </c>
      <c r="G2482" s="1">
        <v>2012</v>
      </c>
      <c r="H2482" s="1" t="s">
        <v>15</v>
      </c>
      <c r="I2482" s="6" cm="1">
        <f t="array" ref="I2482">GetLatitude(D2482)</f>
        <v>557737721</v>
      </c>
      <c r="J2482" s="1" cm="1">
        <f t="array" ref="J2482">GetLongitude(D2482)</f>
        <v>124988378</v>
      </c>
      <c r="K2482" s="1">
        <f t="shared" si="115"/>
        <v>55.773772100000002</v>
      </c>
      <c r="L2482" s="1">
        <f t="shared" si="116"/>
        <v>12.4988378</v>
      </c>
    </row>
    <row r="2483" spans="1:12" ht="16" x14ac:dyDescent="0.2">
      <c r="A2483" s="1">
        <v>2482</v>
      </c>
      <c r="B2483" s="1" t="s">
        <v>7368</v>
      </c>
      <c r="C2483" s="1" t="s">
        <v>7412</v>
      </c>
      <c r="D2483" s="1" t="str">
        <f t="shared" si="114"/>
        <v>Lyngby-Taarbæk KommuneLyngby Hovedgade 24 A</v>
      </c>
      <c r="E2483" s="1" t="s">
        <v>7413</v>
      </c>
      <c r="F2483" s="1" t="s">
        <v>7414</v>
      </c>
      <c r="G2483" s="1">
        <v>1972</v>
      </c>
      <c r="H2483" s="1" t="s">
        <v>15</v>
      </c>
      <c r="I2483" s="6" cm="1">
        <f t="array" ref="I2483">GetLatitude(D2483)</f>
        <v>557740229</v>
      </c>
      <c r="J2483" s="1" cm="1">
        <f t="array" ref="J2483">GetLongitude(D2483)</f>
        <v>124983317</v>
      </c>
      <c r="K2483" s="1">
        <f t="shared" si="115"/>
        <v>55.774022899999999</v>
      </c>
      <c r="L2483" s="1">
        <f t="shared" si="116"/>
        <v>12.4983317</v>
      </c>
    </row>
    <row r="2484" spans="1:12" ht="16" x14ac:dyDescent="0.2">
      <c r="A2484" s="1">
        <v>2483</v>
      </c>
      <c r="B2484" s="1" t="s">
        <v>7368</v>
      </c>
      <c r="C2484" s="1" t="s">
        <v>7415</v>
      </c>
      <c r="D2484" s="1" t="str">
        <f t="shared" si="114"/>
        <v>Lyngby-Taarbæk KommuneLyngby Hovedgade 28</v>
      </c>
      <c r="E2484" s="1" t="s">
        <v>7416</v>
      </c>
      <c r="F2484" s="1" t="s">
        <v>2166</v>
      </c>
      <c r="G2484" s="1">
        <v>1950</v>
      </c>
      <c r="H2484" s="1" t="s">
        <v>15</v>
      </c>
      <c r="I2484" s="6" cm="1">
        <f t="array" ref="I2484">GetLatitude(D2484)</f>
        <v>557734389</v>
      </c>
      <c r="J2484" s="1" cm="1">
        <f t="array" ref="J2484">GetLongitude(D2484)</f>
        <v>124982180</v>
      </c>
      <c r="K2484" s="1">
        <f t="shared" si="115"/>
        <v>55.773438900000002</v>
      </c>
      <c r="L2484" s="1">
        <f t="shared" si="116"/>
        <v>12.498218</v>
      </c>
    </row>
    <row r="2485" spans="1:12" ht="16" x14ac:dyDescent="0.2">
      <c r="A2485" s="1">
        <v>2484</v>
      </c>
      <c r="B2485" s="1" t="s">
        <v>7368</v>
      </c>
      <c r="C2485" s="1" t="s">
        <v>7417</v>
      </c>
      <c r="D2485" s="1" t="str">
        <f t="shared" si="114"/>
        <v>Lyngby-Taarbæk KommuneLyngby Hovedgade 37</v>
      </c>
      <c r="E2485" s="1" t="s">
        <v>7418</v>
      </c>
      <c r="F2485" s="1" t="s">
        <v>7419</v>
      </c>
      <c r="G2485" s="1">
        <v>1918</v>
      </c>
      <c r="H2485" s="1" t="s">
        <v>701</v>
      </c>
      <c r="I2485" s="6" cm="1">
        <f t="array" ref="I2485">GetLatitude(D2485)</f>
        <v>557707487</v>
      </c>
      <c r="J2485" s="1" cm="1">
        <f t="array" ref="J2485">GetLongitude(D2485)</f>
        <v>125035540</v>
      </c>
      <c r="K2485" s="1">
        <f t="shared" si="115"/>
        <v>55.770748699999999</v>
      </c>
      <c r="L2485" s="1">
        <f t="shared" si="116"/>
        <v>12.503553999999999</v>
      </c>
    </row>
    <row r="2486" spans="1:12" ht="16" x14ac:dyDescent="0.2">
      <c r="A2486" s="1">
        <v>2485</v>
      </c>
      <c r="B2486" s="1" t="s">
        <v>7368</v>
      </c>
      <c r="C2486" s="1" t="s">
        <v>7420</v>
      </c>
      <c r="D2486" s="1" t="str">
        <f t="shared" si="114"/>
        <v>Lyngby-Taarbæk KommuneLyngby Hovedgade 6</v>
      </c>
      <c r="E2486" s="1" t="s">
        <v>7421</v>
      </c>
      <c r="F2486" s="1" t="s">
        <v>7422</v>
      </c>
      <c r="G2486" s="1">
        <v>1987</v>
      </c>
      <c r="H2486" s="1" t="s">
        <v>11</v>
      </c>
      <c r="I2486" s="6" cm="1">
        <f t="array" ref="I2486">GetLatitude(D2486)</f>
        <v>557755176</v>
      </c>
      <c r="J2486" s="1" cm="1">
        <f t="array" ref="J2486">GetLongitude(D2486)</f>
        <v>124966733</v>
      </c>
      <c r="K2486" s="1">
        <f t="shared" si="115"/>
        <v>55.775517600000001</v>
      </c>
      <c r="L2486" s="1">
        <f t="shared" si="116"/>
        <v>12.496673299999999</v>
      </c>
    </row>
    <row r="2487" spans="1:12" ht="16" x14ac:dyDescent="0.2">
      <c r="A2487" s="1">
        <v>2486</v>
      </c>
      <c r="B2487" s="1" t="s">
        <v>7368</v>
      </c>
      <c r="C2487" s="1" t="s">
        <v>7423</v>
      </c>
      <c r="D2487" s="1" t="str">
        <f t="shared" si="114"/>
        <v>Lyngby-Taarbæk KommuneLyngby Kirkestræde 12-14</v>
      </c>
      <c r="E2487" s="1" t="s">
        <v>7424</v>
      </c>
      <c r="F2487" s="1" t="s">
        <v>7425</v>
      </c>
      <c r="G2487" s="1">
        <v>1979</v>
      </c>
      <c r="H2487" s="1" t="s">
        <v>11</v>
      </c>
      <c r="I2487" s="6" cm="1">
        <f t="array" ref="I2487">GetLatitude(D2487)</f>
        <v>557742590</v>
      </c>
      <c r="J2487" s="1" cm="1">
        <f t="array" ref="J2487">GetLongitude(D2487)</f>
        <v>125016055</v>
      </c>
      <c r="K2487" s="1">
        <f t="shared" si="115"/>
        <v>55.774259000000001</v>
      </c>
      <c r="L2487" s="1">
        <f t="shared" si="116"/>
        <v>12.5016055</v>
      </c>
    </row>
    <row r="2488" spans="1:12" ht="16" x14ac:dyDescent="0.2">
      <c r="A2488" s="1">
        <v>2487</v>
      </c>
      <c r="B2488" s="1" t="s">
        <v>7368</v>
      </c>
      <c r="C2488" s="1" t="s">
        <v>7426</v>
      </c>
      <c r="D2488" s="1" t="str">
        <f t="shared" si="114"/>
        <v>Lyngby-Taarbæk KommuneLyngby Torv 17</v>
      </c>
      <c r="E2488" s="1" t="s">
        <v>7427</v>
      </c>
      <c r="F2488" s="1" t="s">
        <v>7428</v>
      </c>
      <c r="G2488" s="1">
        <v>2014</v>
      </c>
      <c r="H2488" s="1" t="s">
        <v>15</v>
      </c>
      <c r="I2488" s="6" cm="1">
        <f t="array" ref="I2488">GetLatitude(D2488)</f>
        <v>557695679</v>
      </c>
      <c r="J2488" s="1" cm="1">
        <f t="array" ref="J2488">GetLongitude(D2488)</f>
        <v>125017398</v>
      </c>
      <c r="K2488" s="1">
        <f t="shared" si="115"/>
        <v>55.769567899999998</v>
      </c>
      <c r="L2488" s="1">
        <f t="shared" si="116"/>
        <v>12.501739799999999</v>
      </c>
    </row>
    <row r="2489" spans="1:12" ht="16" x14ac:dyDescent="0.2">
      <c r="A2489" s="1">
        <v>2488</v>
      </c>
      <c r="B2489" s="1" t="s">
        <v>7368</v>
      </c>
      <c r="C2489" s="1" t="s">
        <v>7429</v>
      </c>
      <c r="D2489" s="1" t="str">
        <f t="shared" si="114"/>
        <v>Lyngby-Taarbæk KommuneLystoftevej 17</v>
      </c>
      <c r="E2489" s="1" t="s">
        <v>7430</v>
      </c>
      <c r="F2489" s="1" t="s">
        <v>7431</v>
      </c>
      <c r="G2489" s="1">
        <v>1994</v>
      </c>
      <c r="H2489" s="1" t="s">
        <v>15</v>
      </c>
      <c r="I2489" s="6" cm="1">
        <f t="array" ref="I2489">GetLatitude(D2489)</f>
        <v>557938897</v>
      </c>
      <c r="J2489" s="1" cm="1">
        <f t="array" ref="J2489">GetLongitude(D2489)</f>
        <v>125105578</v>
      </c>
      <c r="K2489" s="1">
        <f t="shared" si="115"/>
        <v>55.793889700000001</v>
      </c>
      <c r="L2489" s="1">
        <f t="shared" si="116"/>
        <v>12.510557800000001</v>
      </c>
    </row>
    <row r="2490" spans="1:12" ht="16" x14ac:dyDescent="0.2">
      <c r="A2490" s="1">
        <v>2489</v>
      </c>
      <c r="B2490" s="1" t="s">
        <v>7368</v>
      </c>
      <c r="C2490" s="1" t="s">
        <v>7432</v>
      </c>
      <c r="D2490" s="1" t="str">
        <f t="shared" si="114"/>
        <v>Lyngby-Taarbæk KommuneLystoftevej 80</v>
      </c>
      <c r="E2490" s="1" t="s">
        <v>7433</v>
      </c>
      <c r="F2490" s="1" t="s">
        <v>7434</v>
      </c>
      <c r="G2490" s="1">
        <v>1990</v>
      </c>
      <c r="H2490" s="1" t="s">
        <v>11</v>
      </c>
      <c r="I2490" s="6" cm="1">
        <f t="array" ref="I2490">GetLatitude(D2490)</f>
        <v>557944852</v>
      </c>
      <c r="J2490" s="1" cm="1">
        <f t="array" ref="J2490">GetLongitude(D2490)</f>
        <v>125010382</v>
      </c>
      <c r="K2490" s="1">
        <f t="shared" si="115"/>
        <v>55.794485199999997</v>
      </c>
      <c r="L2490" s="1">
        <f t="shared" si="116"/>
        <v>12.5010382</v>
      </c>
    </row>
    <row r="2491" spans="1:12" ht="16" x14ac:dyDescent="0.2">
      <c r="A2491" s="1">
        <v>2490</v>
      </c>
      <c r="B2491" s="1" t="s">
        <v>7368</v>
      </c>
      <c r="C2491" s="1" t="s">
        <v>7435</v>
      </c>
      <c r="D2491" s="1" t="str">
        <f t="shared" si="114"/>
        <v>Lyngby-Taarbæk KommuneMøllevej 10 A-B</v>
      </c>
      <c r="E2491" s="1" t="s">
        <v>7436</v>
      </c>
      <c r="F2491" s="1" t="s">
        <v>7437</v>
      </c>
      <c r="G2491" s="1">
        <v>1991</v>
      </c>
      <c r="H2491" s="1" t="s">
        <v>15</v>
      </c>
      <c r="I2491" s="6" cm="1">
        <f t="array" ref="I2491">GetLatitude(D2491)</f>
        <v>557841732</v>
      </c>
      <c r="J2491" s="1" cm="1">
        <f t="array" ref="J2491">GetLongitude(D2491)</f>
        <v>125113741</v>
      </c>
      <c r="K2491" s="1">
        <f t="shared" si="115"/>
        <v>55.784173199999998</v>
      </c>
      <c r="L2491" s="1">
        <f t="shared" si="116"/>
        <v>12.511374099999999</v>
      </c>
    </row>
    <row r="2492" spans="1:12" ht="16" x14ac:dyDescent="0.2">
      <c r="A2492" s="1">
        <v>2491</v>
      </c>
      <c r="B2492" s="1" t="s">
        <v>7368</v>
      </c>
      <c r="C2492" s="1" t="s">
        <v>7438</v>
      </c>
      <c r="D2492" s="1" t="str">
        <f t="shared" si="114"/>
        <v>Lyngby-Taarbæk Kommune Møllevej 4</v>
      </c>
      <c r="E2492" s="1" t="s">
        <v>7439</v>
      </c>
      <c r="F2492" s="1" t="s">
        <v>7440</v>
      </c>
      <c r="G2492" s="1">
        <v>1964</v>
      </c>
      <c r="H2492" s="1" t="s">
        <v>15</v>
      </c>
      <c r="I2492" s="6" cm="1">
        <f t="array" ref="I2492">GetLatitude(D2492)</f>
        <v>557847065</v>
      </c>
      <c r="J2492" s="1" cm="1">
        <f t="array" ref="J2492">GetLongitude(D2492)</f>
        <v>124965738</v>
      </c>
      <c r="K2492" s="1">
        <f t="shared" si="115"/>
        <v>55.784706499999999</v>
      </c>
      <c r="L2492" s="1">
        <f t="shared" si="116"/>
        <v>12.4965738</v>
      </c>
    </row>
    <row r="2493" spans="1:12" ht="16" x14ac:dyDescent="0.2">
      <c r="A2493" s="1">
        <v>2492</v>
      </c>
      <c r="B2493" s="1" t="s">
        <v>7368</v>
      </c>
      <c r="C2493" s="1" t="s">
        <v>7441</v>
      </c>
      <c r="D2493" s="1" t="str">
        <f t="shared" si="114"/>
        <v>Lyngby-Taarbæk KommuneMøllevej 5</v>
      </c>
      <c r="E2493" s="1" t="s">
        <v>7442</v>
      </c>
      <c r="F2493" s="1" t="s">
        <v>7443</v>
      </c>
      <c r="G2493" s="1">
        <v>1991</v>
      </c>
      <c r="H2493" s="1" t="s">
        <v>11</v>
      </c>
      <c r="I2493" s="6" cm="1">
        <f t="array" ref="I2493">GetLatitude(D2493)</f>
        <v>557848150</v>
      </c>
      <c r="J2493" s="1" cm="1">
        <f t="array" ref="J2493">GetLongitude(D2493)</f>
        <v>124960200</v>
      </c>
      <c r="K2493" s="1">
        <f t="shared" si="115"/>
        <v>55.784815000000002</v>
      </c>
      <c r="L2493" s="1">
        <f t="shared" si="116"/>
        <v>12.49602</v>
      </c>
    </row>
    <row r="2494" spans="1:12" ht="16" x14ac:dyDescent="0.2">
      <c r="A2494" s="1">
        <v>2493</v>
      </c>
      <c r="B2494" s="1" t="s">
        <v>7368</v>
      </c>
      <c r="C2494" s="1" t="s">
        <v>7444</v>
      </c>
      <c r="D2494" s="1" t="str">
        <f t="shared" si="114"/>
        <v>Lyngby-Taarbæk KommuneMølleåparken 40</v>
      </c>
      <c r="E2494" s="1" t="s">
        <v>7445</v>
      </c>
      <c r="F2494" s="1" t="s">
        <v>7446</v>
      </c>
      <c r="G2494" s="1">
        <v>1991</v>
      </c>
      <c r="H2494" s="1" t="s">
        <v>15</v>
      </c>
      <c r="I2494" s="6" cm="1">
        <f t="array" ref="I2494">GetLatitude(D2494)</f>
        <v>557941219</v>
      </c>
      <c r="J2494" s="1" cm="1">
        <f t="array" ref="J2494">GetLongitude(D2494)</f>
        <v>125016723</v>
      </c>
      <c r="K2494" s="1">
        <f t="shared" si="115"/>
        <v>55.7941219</v>
      </c>
      <c r="L2494" s="1">
        <f t="shared" si="116"/>
        <v>12.501672299999999</v>
      </c>
    </row>
    <row r="2495" spans="1:12" ht="16" x14ac:dyDescent="0.2">
      <c r="A2495" s="1">
        <v>2494</v>
      </c>
      <c r="B2495" s="1" t="s">
        <v>7368</v>
      </c>
      <c r="C2495" s="1" t="s">
        <v>7447</v>
      </c>
      <c r="D2495" s="1" t="str">
        <f t="shared" si="114"/>
        <v>Lyngby-Taarbæk KommuneNybrovej 116</v>
      </c>
      <c r="E2495" s="1" t="s">
        <v>7448</v>
      </c>
      <c r="F2495" s="1" t="s">
        <v>7449</v>
      </c>
      <c r="G2495" s="1">
        <v>2015</v>
      </c>
      <c r="H2495" s="1" t="s">
        <v>11</v>
      </c>
      <c r="I2495" s="6" cm="1">
        <f t="array" ref="I2495">GetLatitude(D2495)</f>
        <v>557608837</v>
      </c>
      <c r="J2495" s="1" cm="1">
        <f t="array" ref="J2495">GetLongitude(D2495)</f>
        <v>125005959</v>
      </c>
      <c r="K2495" s="1">
        <f t="shared" si="115"/>
        <v>55.760883700000001</v>
      </c>
      <c r="L2495" s="1">
        <f t="shared" si="116"/>
        <v>12.5005959</v>
      </c>
    </row>
    <row r="2496" spans="1:12" ht="16" x14ac:dyDescent="0.2">
      <c r="A2496" s="1">
        <v>2495</v>
      </c>
      <c r="B2496" s="1" t="s">
        <v>7368</v>
      </c>
      <c r="C2496" s="1" t="s">
        <v>7450</v>
      </c>
      <c r="D2496" s="1" t="str">
        <f t="shared" si="114"/>
        <v>Lyngby-Taarbæk KommuneNybrovej 393-395</v>
      </c>
      <c r="E2496" s="1" t="s">
        <v>7451</v>
      </c>
      <c r="F2496" s="1" t="s">
        <v>7452</v>
      </c>
      <c r="G2496" s="1">
        <v>1960</v>
      </c>
      <c r="H2496" s="1" t="s">
        <v>11</v>
      </c>
      <c r="I2496" s="6" cm="1">
        <f t="array" ref="I2496">GetLatitude(D2496)</f>
        <v>557755536</v>
      </c>
      <c r="J2496" s="1" cm="1">
        <f t="array" ref="J2496">GetLongitude(D2496)</f>
        <v>124615977</v>
      </c>
      <c r="K2496" s="1">
        <f t="shared" si="115"/>
        <v>55.775553600000002</v>
      </c>
      <c r="L2496" s="1">
        <f t="shared" si="116"/>
        <v>12.4615977</v>
      </c>
    </row>
    <row r="2497" spans="1:12" ht="16" x14ac:dyDescent="0.2">
      <c r="A2497" s="1">
        <v>2496</v>
      </c>
      <c r="B2497" s="1" t="s">
        <v>7368</v>
      </c>
      <c r="C2497" s="1" t="s">
        <v>7453</v>
      </c>
      <c r="D2497" s="1" t="str">
        <f t="shared" si="114"/>
        <v>Lyngby-Taarbæk KommuneNybrovej 401</v>
      </c>
      <c r="E2497" s="1" t="s">
        <v>7454</v>
      </c>
      <c r="F2497" s="1" t="s">
        <v>7455</v>
      </c>
      <c r="G2497" s="1">
        <v>1918</v>
      </c>
      <c r="H2497" s="1" t="s">
        <v>15</v>
      </c>
      <c r="I2497" s="6" cm="1">
        <f t="array" ref="I2497">GetLatitude(D2497)</f>
        <v>557754000</v>
      </c>
      <c r="J2497" s="1" cm="1">
        <f t="array" ref="J2497">GetLongitude(D2497)</f>
        <v>124576000</v>
      </c>
      <c r="K2497" s="1">
        <f t="shared" si="115"/>
        <v>55.775399999999998</v>
      </c>
      <c r="L2497" s="1">
        <f t="shared" si="116"/>
        <v>12.457599999999999</v>
      </c>
    </row>
    <row r="2498" spans="1:12" ht="16" x14ac:dyDescent="0.2">
      <c r="A2498" s="1">
        <v>2497</v>
      </c>
      <c r="B2498" s="1" t="s">
        <v>7368</v>
      </c>
      <c r="C2498" s="1" t="s">
        <v>7456</v>
      </c>
      <c r="D2498" s="1" t="str">
        <f t="shared" si="114"/>
        <v>Lyngby-Taarbæk KommuneNybrovej 410</v>
      </c>
      <c r="E2498" s="1" t="s">
        <v>7457</v>
      </c>
      <c r="F2498" s="1" t="s">
        <v>7458</v>
      </c>
      <c r="G2498" s="1">
        <v>1964</v>
      </c>
      <c r="H2498" s="1" t="s">
        <v>15</v>
      </c>
      <c r="I2498" s="6" cm="1">
        <f t="array" ref="I2498">GetLatitude(D2498)</f>
        <v>557753928</v>
      </c>
      <c r="J2498" s="1" cm="1">
        <f t="array" ref="J2498">GetLongitude(D2498)</f>
        <v>124648783</v>
      </c>
      <c r="K2498" s="1">
        <f t="shared" si="115"/>
        <v>55.775392799999999</v>
      </c>
      <c r="L2498" s="1">
        <f t="shared" si="116"/>
        <v>12.464878300000001</v>
      </c>
    </row>
    <row r="2499" spans="1:12" ht="16" x14ac:dyDescent="0.2">
      <c r="A2499" s="1">
        <v>2498</v>
      </c>
      <c r="B2499" s="1" t="s">
        <v>7368</v>
      </c>
      <c r="C2499" s="1" t="s">
        <v>7459</v>
      </c>
      <c r="D2499" s="1" t="str">
        <f t="shared" ref="D2499:D2562" si="117">B2499&amp;C2499</f>
        <v>Lyngby-Taarbæk KommuneRaadvad 1</v>
      </c>
      <c r="E2499" s="1" t="s">
        <v>7460</v>
      </c>
      <c r="F2499" s="1" t="s">
        <v>7461</v>
      </c>
      <c r="G2499" s="1">
        <v>1983</v>
      </c>
      <c r="H2499" s="1" t="s">
        <v>7462</v>
      </c>
      <c r="I2499" s="6" cm="1">
        <f t="array" ref="I2499">GetLatitude(D2499)</f>
        <v>557841732</v>
      </c>
      <c r="J2499" s="1" cm="1">
        <f t="array" ref="J2499">GetLongitude(D2499)</f>
        <v>125113741</v>
      </c>
      <c r="K2499" s="1">
        <f t="shared" si="115"/>
        <v>55.784173199999998</v>
      </c>
      <c r="L2499" s="1">
        <f t="shared" si="116"/>
        <v>12.511374099999999</v>
      </c>
    </row>
    <row r="2500" spans="1:12" ht="16" x14ac:dyDescent="0.2">
      <c r="A2500" s="1">
        <v>2499</v>
      </c>
      <c r="B2500" s="1" t="s">
        <v>7368</v>
      </c>
      <c r="C2500" s="1" t="s">
        <v>7463</v>
      </c>
      <c r="D2500" s="1" t="str">
        <f t="shared" si="117"/>
        <v>Lyngby-Taarbæk KommuneRaadvad 2-2A (tidl Chausséen 2)</v>
      </c>
      <c r="E2500" s="1" t="s">
        <v>7464</v>
      </c>
      <c r="F2500" s="1" t="s">
        <v>7465</v>
      </c>
      <c r="G2500" s="1">
        <v>1983</v>
      </c>
      <c r="H2500" s="1" t="s">
        <v>7466</v>
      </c>
      <c r="I2500" s="6" cm="1">
        <f t="array" ref="I2500">GetLatitude(D2500)</f>
        <v>557841732</v>
      </c>
      <c r="J2500" s="1" cm="1">
        <f t="array" ref="J2500">GetLongitude(D2500)</f>
        <v>125113741</v>
      </c>
      <c r="K2500" s="1">
        <f t="shared" ref="K2500:K2563" si="118">I2500/10000000</f>
        <v>55.784173199999998</v>
      </c>
      <c r="L2500" s="1">
        <f t="shared" ref="L2500:L2563" si="119">J2500/10000000</f>
        <v>12.511374099999999</v>
      </c>
    </row>
    <row r="2501" spans="1:12" ht="16" x14ac:dyDescent="0.2">
      <c r="A2501" s="1">
        <v>2500</v>
      </c>
      <c r="B2501" s="1" t="s">
        <v>7368</v>
      </c>
      <c r="C2501" s="1" t="s">
        <v>7467</v>
      </c>
      <c r="D2501" s="1" t="str">
        <f t="shared" si="117"/>
        <v>Lyngby-Taarbæk KommuneRaadvad 3-30</v>
      </c>
      <c r="E2501" s="1" t="s">
        <v>7468</v>
      </c>
      <c r="F2501" s="1" t="s">
        <v>7469</v>
      </c>
      <c r="G2501" s="1">
        <v>1983</v>
      </c>
      <c r="H2501" s="1" t="s">
        <v>701</v>
      </c>
      <c r="I2501" s="6" cm="1">
        <f t="array" ref="I2501">GetLatitude(D2501)</f>
        <v>557841732</v>
      </c>
      <c r="J2501" s="1" cm="1">
        <f t="array" ref="J2501">GetLongitude(D2501)</f>
        <v>125113741</v>
      </c>
      <c r="K2501" s="1">
        <f t="shared" si="118"/>
        <v>55.784173199999998</v>
      </c>
      <c r="L2501" s="1">
        <f t="shared" si="119"/>
        <v>12.511374099999999</v>
      </c>
    </row>
    <row r="2502" spans="1:12" ht="16" x14ac:dyDescent="0.2">
      <c r="A2502" s="1">
        <v>2501</v>
      </c>
      <c r="B2502" s="1" t="s">
        <v>7368</v>
      </c>
      <c r="C2502" s="1" t="s">
        <v>7470</v>
      </c>
      <c r="D2502" s="1" t="str">
        <f t="shared" si="117"/>
        <v>Lyngby-Taarbæk KommuneRaadvad 40-44</v>
      </c>
      <c r="E2502" s="1" t="s">
        <v>7471</v>
      </c>
      <c r="F2502" s="1" t="s">
        <v>7472</v>
      </c>
      <c r="G2502" s="1">
        <v>1983</v>
      </c>
      <c r="H2502" s="1" t="s">
        <v>15</v>
      </c>
      <c r="I2502" s="6" cm="1">
        <f t="array" ref="I2502">GetLatitude(D2502)</f>
        <v>557841732</v>
      </c>
      <c r="J2502" s="1" cm="1">
        <f t="array" ref="J2502">GetLongitude(D2502)</f>
        <v>125113741</v>
      </c>
      <c r="K2502" s="1">
        <f t="shared" si="118"/>
        <v>55.784173199999998</v>
      </c>
      <c r="L2502" s="1">
        <f t="shared" si="119"/>
        <v>12.511374099999999</v>
      </c>
    </row>
    <row r="2503" spans="1:12" ht="16" x14ac:dyDescent="0.2">
      <c r="A2503" s="1">
        <v>2502</v>
      </c>
      <c r="B2503" s="1" t="s">
        <v>7368</v>
      </c>
      <c r="C2503" s="1" t="s">
        <v>7473</v>
      </c>
      <c r="D2503" s="1" t="str">
        <f t="shared" si="117"/>
        <v>Lyngby-Taarbæk KommuneSpurveskjul 4 og 6</v>
      </c>
      <c r="E2503" s="1" t="s">
        <v>7474</v>
      </c>
      <c r="F2503" s="1" t="s">
        <v>7475</v>
      </c>
      <c r="G2503" s="1">
        <v>1924</v>
      </c>
      <c r="H2503" s="1" t="s">
        <v>11</v>
      </c>
      <c r="I2503" s="6" cm="1">
        <f t="array" ref="I2503">GetLatitude(D2503)</f>
        <v>557832062</v>
      </c>
      <c r="J2503" s="1" cm="1">
        <f t="array" ref="J2503">GetLongitude(D2503)</f>
        <v>124579098</v>
      </c>
      <c r="K2503" s="1">
        <f t="shared" si="118"/>
        <v>55.783206200000002</v>
      </c>
      <c r="L2503" s="1">
        <f t="shared" si="119"/>
        <v>12.457909799999999</v>
      </c>
    </row>
    <row r="2504" spans="1:12" ht="16" x14ac:dyDescent="0.2">
      <c r="A2504" s="1">
        <v>2503</v>
      </c>
      <c r="B2504" s="1" t="s">
        <v>7368</v>
      </c>
      <c r="C2504" s="1" t="s">
        <v>7476</v>
      </c>
      <c r="D2504" s="1" t="str">
        <f t="shared" si="117"/>
        <v>Lyngby-Taarbæk KommuneSpurveskjul Skov</v>
      </c>
      <c r="E2504" s="1" t="s">
        <v>7477</v>
      </c>
      <c r="F2504" s="1" t="s">
        <v>7478</v>
      </c>
      <c r="G2504" s="1">
        <v>1918</v>
      </c>
      <c r="H2504" s="1" t="s">
        <v>15</v>
      </c>
      <c r="I2504" s="6" cm="1">
        <f t="array" ref="I2504">GetLatitude(D2504)</f>
        <v>557830061</v>
      </c>
      <c r="J2504" s="1" cm="1">
        <f t="array" ref="J2504">GetLongitude(D2504)</f>
        <v>124580183</v>
      </c>
      <c r="K2504" s="1">
        <f t="shared" si="118"/>
        <v>55.783006100000001</v>
      </c>
      <c r="L2504" s="1">
        <f t="shared" si="119"/>
        <v>12.458018300000001</v>
      </c>
    </row>
    <row r="2505" spans="1:12" ht="16" x14ac:dyDescent="0.2">
      <c r="A2505" s="1">
        <v>2504</v>
      </c>
      <c r="B2505" s="1" t="s">
        <v>7368</v>
      </c>
      <c r="C2505" s="1" t="s">
        <v>7479</v>
      </c>
      <c r="D2505" s="1" t="str">
        <f t="shared" si="117"/>
        <v>Lyngby-Taarbæk KommuneStrandvejen 550 og Taarbæk Strandvej 2</v>
      </c>
      <c r="E2505" s="1" t="s">
        <v>7480</v>
      </c>
      <c r="F2505" s="1" t="s">
        <v>7481</v>
      </c>
      <c r="G2505" s="1">
        <v>1978</v>
      </c>
      <c r="H2505" s="1" t="s">
        <v>15</v>
      </c>
      <c r="I2505" s="6" cm="1">
        <f t="array" ref="I2505">GetLatitude(D2505)</f>
        <v>557829866</v>
      </c>
      <c r="J2505" s="1" cm="1">
        <f t="array" ref="J2505">GetLongitude(D2505)</f>
        <v>125907322</v>
      </c>
      <c r="K2505" s="1">
        <f t="shared" si="118"/>
        <v>55.782986600000001</v>
      </c>
      <c r="L2505" s="1">
        <f t="shared" si="119"/>
        <v>12.5907322</v>
      </c>
    </row>
    <row r="2506" spans="1:12" ht="16" x14ac:dyDescent="0.2">
      <c r="A2506" s="1">
        <v>2505</v>
      </c>
      <c r="B2506" s="1" t="s">
        <v>7368</v>
      </c>
      <c r="C2506" s="1" t="s">
        <v>7482</v>
      </c>
      <c r="D2506" s="1" t="str">
        <f t="shared" si="117"/>
        <v>Lyngby-Taarbæk KommuneStrandvejen 859</v>
      </c>
      <c r="E2506" s="1" t="s">
        <v>7483</v>
      </c>
      <c r="F2506" s="1" t="s">
        <v>7484</v>
      </c>
      <c r="G2506" s="1">
        <v>2001</v>
      </c>
      <c r="H2506" s="1" t="s">
        <v>15</v>
      </c>
      <c r="I2506" s="6" cm="1">
        <f t="array" ref="I2506">GetLatitude(D2506)</f>
        <v>558045427</v>
      </c>
      <c r="J2506" s="1" cm="1">
        <f t="array" ref="J2506">GetLongitude(D2506)</f>
        <v>125834817</v>
      </c>
      <c r="K2506" s="1">
        <f t="shared" si="118"/>
        <v>55.804542699999999</v>
      </c>
      <c r="L2506" s="1">
        <f t="shared" si="119"/>
        <v>12.5834817</v>
      </c>
    </row>
    <row r="2507" spans="1:12" ht="16" x14ac:dyDescent="0.2">
      <c r="A2507" s="1">
        <v>2506</v>
      </c>
      <c r="B2507" s="1" t="s">
        <v>7368</v>
      </c>
      <c r="C2507" s="1" t="s">
        <v>7485</v>
      </c>
      <c r="D2507" s="1" t="str">
        <f t="shared" si="117"/>
        <v>Lyngby-Taarbæk KommuneTaarbæk Strandvej 14A (tidl Strandvejen 340)</v>
      </c>
      <c r="E2507" s="1" t="s">
        <v>2207</v>
      </c>
      <c r="F2507" s="1" t="s">
        <v>7486</v>
      </c>
      <c r="G2507" s="1">
        <v>2001</v>
      </c>
      <c r="H2507" s="1" t="s">
        <v>15</v>
      </c>
      <c r="I2507" s="6" cm="1">
        <f t="array" ref="I2507">GetLatitude(D2507)</f>
        <v>557783450</v>
      </c>
      <c r="J2507" s="1" cm="1">
        <f t="array" ref="J2507">GetLongitude(D2507)</f>
        <v>125912860</v>
      </c>
      <c r="K2507" s="1">
        <f t="shared" si="118"/>
        <v>55.778345000000002</v>
      </c>
      <c r="L2507" s="1">
        <f t="shared" si="119"/>
        <v>12.591286</v>
      </c>
    </row>
    <row r="2508" spans="1:12" ht="16" x14ac:dyDescent="0.2">
      <c r="A2508" s="1">
        <v>2507</v>
      </c>
      <c r="B2508" s="1" t="s">
        <v>7368</v>
      </c>
      <c r="C2508" s="1" t="s">
        <v>7487</v>
      </c>
      <c r="D2508" s="1" t="str">
        <f t="shared" si="117"/>
        <v>Lyngby-Taarbæk KommuneTårbæk Strandvej 82</v>
      </c>
      <c r="E2508" s="1" t="s">
        <v>7488</v>
      </c>
      <c r="F2508" s="1" t="s">
        <v>11390</v>
      </c>
      <c r="G2508" s="1">
        <v>1979</v>
      </c>
      <c r="H2508" s="1" t="s">
        <v>11</v>
      </c>
      <c r="I2508" s="6" cm="1">
        <f t="array" ref="I2508">GetLatitude(D2508)</f>
        <v>557304975</v>
      </c>
      <c r="J2508" s="1" cm="1">
        <f t="array" ref="J2508">GetLongitude(D2508)</f>
        <v>125766491</v>
      </c>
      <c r="K2508" s="1">
        <f t="shared" si="118"/>
        <v>55.730497499999998</v>
      </c>
      <c r="L2508" s="1">
        <f t="shared" si="119"/>
        <v>12.576649099999999</v>
      </c>
    </row>
    <row r="2509" spans="1:12" ht="16" x14ac:dyDescent="0.2">
      <c r="A2509" s="1">
        <v>2508</v>
      </c>
      <c r="B2509" s="1" t="s">
        <v>7368</v>
      </c>
      <c r="C2509" s="1" t="s">
        <v>7489</v>
      </c>
      <c r="D2509" s="1" t="str">
        <f t="shared" si="117"/>
        <v>Lyngby-Taarbæk KommuneØrholmvej 61</v>
      </c>
      <c r="E2509" s="1" t="s">
        <v>7490</v>
      </c>
      <c r="F2509" s="1" t="s">
        <v>3186</v>
      </c>
      <c r="G2509" s="1">
        <v>1918</v>
      </c>
      <c r="H2509" s="1" t="s">
        <v>15</v>
      </c>
      <c r="I2509" s="6" cm="1">
        <f t="array" ref="I2509">GetLatitude(D2509)</f>
        <v>557997825</v>
      </c>
      <c r="J2509" s="1" cm="1">
        <f t="array" ref="J2509">GetLongitude(D2509)</f>
        <v>125048831</v>
      </c>
      <c r="K2509" s="1">
        <f t="shared" si="118"/>
        <v>55.799782499999999</v>
      </c>
      <c r="L2509" s="1">
        <f t="shared" si="119"/>
        <v>12.504883100000001</v>
      </c>
    </row>
    <row r="2510" spans="1:12" ht="16" x14ac:dyDescent="0.2">
      <c r="A2510" s="1">
        <v>2509</v>
      </c>
      <c r="B2510" s="1" t="s">
        <v>7491</v>
      </c>
      <c r="C2510" s="1" t="s">
        <v>7492</v>
      </c>
      <c r="D2510" s="1" t="str">
        <f t="shared" si="117"/>
        <v>Læsø KommuneAlleen 1</v>
      </c>
      <c r="E2510" s="1" t="s">
        <v>7493</v>
      </c>
      <c r="F2510" s="1" t="s">
        <v>7494</v>
      </c>
      <c r="G2510" s="1">
        <v>1989</v>
      </c>
      <c r="H2510" s="1" t="s">
        <v>15</v>
      </c>
      <c r="I2510" s="6" cm="1">
        <f t="array" ref="I2510">GetLatitude(D2510)</f>
        <v>572766331</v>
      </c>
      <c r="J2510" s="1" cm="1">
        <f t="array" ref="J2510">GetLongitude(D2510)</f>
        <v>109925388</v>
      </c>
      <c r="K2510" s="1">
        <f t="shared" si="118"/>
        <v>57.276633099999998</v>
      </c>
      <c r="L2510" s="1">
        <f t="shared" si="119"/>
        <v>10.9925388</v>
      </c>
    </row>
    <row r="2511" spans="1:12" ht="16" x14ac:dyDescent="0.2">
      <c r="A2511" s="1">
        <v>2510</v>
      </c>
      <c r="B2511" s="1" t="s">
        <v>7491</v>
      </c>
      <c r="C2511" s="1" t="s">
        <v>2273</v>
      </c>
      <c r="D2511" s="1" t="str">
        <f t="shared" si="117"/>
        <v>Læsø KommuneAlléen 3</v>
      </c>
      <c r="E2511" s="1" t="s">
        <v>7495</v>
      </c>
      <c r="F2511" s="1" t="s">
        <v>7496</v>
      </c>
      <c r="G2511" s="1">
        <v>1989</v>
      </c>
      <c r="H2511" s="1" t="s">
        <v>15</v>
      </c>
      <c r="I2511" s="6" cm="1">
        <f t="array" ref="I2511">GetLatitude(D2511)</f>
        <v>572766331</v>
      </c>
      <c r="J2511" s="1" cm="1">
        <f t="array" ref="J2511">GetLongitude(D2511)</f>
        <v>109925388</v>
      </c>
      <c r="K2511" s="1">
        <f t="shared" si="118"/>
        <v>57.276633099999998</v>
      </c>
      <c r="L2511" s="1">
        <f t="shared" si="119"/>
        <v>10.9925388</v>
      </c>
    </row>
    <row r="2512" spans="1:12" ht="16" x14ac:dyDescent="0.2">
      <c r="A2512" s="1">
        <v>2511</v>
      </c>
      <c r="B2512" s="1" t="s">
        <v>7491</v>
      </c>
      <c r="C2512" s="1" t="s">
        <v>8</v>
      </c>
      <c r="D2512" s="1" t="str">
        <f t="shared" si="117"/>
        <v>Læsø KommuneAlléen 5</v>
      </c>
      <c r="E2512" s="1" t="s">
        <v>7497</v>
      </c>
      <c r="F2512" s="1" t="s">
        <v>7498</v>
      </c>
      <c r="G2512" s="1">
        <v>1989</v>
      </c>
      <c r="H2512" s="1" t="s">
        <v>15</v>
      </c>
      <c r="I2512" s="6" cm="1">
        <f t="array" ref="I2512">GetLatitude(D2512)</f>
        <v>572766331</v>
      </c>
      <c r="J2512" s="1" cm="1">
        <f t="array" ref="J2512">GetLongitude(D2512)</f>
        <v>109925388</v>
      </c>
      <c r="K2512" s="1">
        <f t="shared" si="118"/>
        <v>57.276633099999998</v>
      </c>
      <c r="L2512" s="1">
        <f t="shared" si="119"/>
        <v>10.9925388</v>
      </c>
    </row>
    <row r="2513" spans="1:12" ht="16" x14ac:dyDescent="0.2">
      <c r="A2513" s="1">
        <v>2512</v>
      </c>
      <c r="B2513" s="1" t="s">
        <v>7491</v>
      </c>
      <c r="C2513" s="1" t="s">
        <v>7499</v>
      </c>
      <c r="D2513" s="1" t="str">
        <f t="shared" si="117"/>
        <v>Læsø KommuneDanzigmannvej 2</v>
      </c>
      <c r="E2513" s="1" t="s">
        <v>7500</v>
      </c>
      <c r="F2513" s="1" t="s">
        <v>7501</v>
      </c>
      <c r="G2513" s="1">
        <v>1989</v>
      </c>
      <c r="H2513" s="1" t="s">
        <v>15</v>
      </c>
      <c r="I2513" s="6" cm="1">
        <f t="array" ref="I2513">GetLatitude(D2513)</f>
        <v>573086015</v>
      </c>
      <c r="J2513" s="1" cm="1">
        <f t="array" ref="J2513">GetLongitude(D2513)</f>
        <v>111496373</v>
      </c>
      <c r="K2513" s="1">
        <f t="shared" si="118"/>
        <v>57.308601500000002</v>
      </c>
      <c r="L2513" s="1">
        <f t="shared" si="119"/>
        <v>11.1496373</v>
      </c>
    </row>
    <row r="2514" spans="1:12" ht="16" x14ac:dyDescent="0.2">
      <c r="A2514" s="1">
        <v>2513</v>
      </c>
      <c r="B2514" s="1" t="s">
        <v>7491</v>
      </c>
      <c r="C2514" s="1" t="s">
        <v>7502</v>
      </c>
      <c r="D2514" s="1" t="str">
        <f t="shared" si="117"/>
        <v>Læsø KommuneDanzigmannvej 6</v>
      </c>
      <c r="E2514" s="1" t="s">
        <v>7503</v>
      </c>
      <c r="F2514" s="1" t="s">
        <v>7504</v>
      </c>
      <c r="G2514" s="1">
        <v>2020</v>
      </c>
      <c r="H2514" s="1" t="s">
        <v>701</v>
      </c>
      <c r="I2514" s="6" cm="1">
        <f t="array" ref="I2514">GetLatitude(D2514)</f>
        <v>573093960</v>
      </c>
      <c r="J2514" s="1" cm="1">
        <f t="array" ref="J2514">GetLongitude(D2514)</f>
        <v>111531164</v>
      </c>
      <c r="K2514" s="1">
        <f t="shared" si="118"/>
        <v>57.309396</v>
      </c>
      <c r="L2514" s="1">
        <f t="shared" si="119"/>
        <v>11.1531164</v>
      </c>
    </row>
    <row r="2515" spans="1:12" ht="16" x14ac:dyDescent="0.2">
      <c r="A2515" s="1">
        <v>2514</v>
      </c>
      <c r="B2515" s="1" t="s">
        <v>7491</v>
      </c>
      <c r="C2515" s="1" t="s">
        <v>7505</v>
      </c>
      <c r="D2515" s="1" t="str">
        <f t="shared" si="117"/>
        <v>Læsø KommuneLille Strandgårdsvej 1</v>
      </c>
      <c r="E2515" s="1" t="s">
        <v>7506</v>
      </c>
      <c r="F2515" s="1" t="s">
        <v>7507</v>
      </c>
      <c r="G2515" s="1">
        <v>1989</v>
      </c>
      <c r="H2515" s="1" t="s">
        <v>15</v>
      </c>
      <c r="I2515" s="6" cm="1">
        <f t="array" ref="I2515">GetLatitude(D2515)</f>
        <v>572746316</v>
      </c>
      <c r="J2515" s="1" cm="1">
        <f t="array" ref="J2515">GetLongitude(D2515)</f>
        <v>110682748</v>
      </c>
      <c r="K2515" s="1">
        <f t="shared" si="118"/>
        <v>57.274631599999999</v>
      </c>
      <c r="L2515" s="1">
        <f t="shared" si="119"/>
        <v>11.068274799999999</v>
      </c>
    </row>
    <row r="2516" spans="1:12" ht="16" x14ac:dyDescent="0.2">
      <c r="A2516" s="1">
        <v>2515</v>
      </c>
      <c r="B2516" s="1" t="s">
        <v>7491</v>
      </c>
      <c r="C2516" s="1" t="s">
        <v>7508</v>
      </c>
      <c r="D2516" s="1" t="str">
        <f t="shared" si="117"/>
        <v>Læsø KommuneLinievejen 36</v>
      </c>
      <c r="E2516" s="1" t="s">
        <v>7509</v>
      </c>
      <c r="F2516" s="1" t="s">
        <v>7510</v>
      </c>
      <c r="G2516" s="1">
        <v>2015</v>
      </c>
      <c r="H2516" s="1" t="s">
        <v>15</v>
      </c>
      <c r="I2516" s="6" cm="1">
        <f t="array" ref="I2516">GetLatitude(D2516)</f>
        <v>573076820</v>
      </c>
      <c r="J2516" s="1" cm="1">
        <f t="array" ref="J2516">GetLongitude(D2516)</f>
        <v>111255745</v>
      </c>
      <c r="K2516" s="1">
        <f t="shared" si="118"/>
        <v>57.307682</v>
      </c>
      <c r="L2516" s="1">
        <f t="shared" si="119"/>
        <v>11.125574500000001</v>
      </c>
    </row>
    <row r="2517" spans="1:12" ht="16" x14ac:dyDescent="0.2">
      <c r="A2517" s="1">
        <v>2516</v>
      </c>
      <c r="B2517" s="1" t="s">
        <v>7491</v>
      </c>
      <c r="C2517" s="1" t="s">
        <v>7511</v>
      </c>
      <c r="D2517" s="1" t="str">
        <f t="shared" si="117"/>
        <v>Læsø KommuneMosevej 16</v>
      </c>
      <c r="E2517" s="1" t="s">
        <v>7512</v>
      </c>
      <c r="F2517" s="1" t="s">
        <v>7513</v>
      </c>
      <c r="G2517" s="1">
        <v>1994</v>
      </c>
      <c r="H2517" s="1" t="s">
        <v>15</v>
      </c>
      <c r="I2517" s="6" cm="1">
        <f t="array" ref="I2517">GetLatitude(D2517)</f>
        <v>572766331</v>
      </c>
      <c r="J2517" s="1" cm="1">
        <f t="array" ref="J2517">GetLongitude(D2517)</f>
        <v>109925388</v>
      </c>
      <c r="K2517" s="1">
        <f t="shared" si="118"/>
        <v>57.276633099999998</v>
      </c>
      <c r="L2517" s="1">
        <f t="shared" si="119"/>
        <v>10.9925388</v>
      </c>
    </row>
    <row r="2518" spans="1:12" ht="16" x14ac:dyDescent="0.2">
      <c r="A2518" s="1">
        <v>2517</v>
      </c>
      <c r="B2518" s="1" t="s">
        <v>7491</v>
      </c>
      <c r="C2518" s="1" t="s">
        <v>7514</v>
      </c>
      <c r="D2518" s="1" t="str">
        <f t="shared" si="117"/>
        <v>Læsø KommuneMuseumsvej 3</v>
      </c>
      <c r="E2518" s="1" t="s">
        <v>463</v>
      </c>
      <c r="F2518" s="1" t="s">
        <v>7515</v>
      </c>
      <c r="G2518" s="1">
        <v>1950</v>
      </c>
      <c r="H2518" s="1" t="s">
        <v>15</v>
      </c>
      <c r="I2518" s="6" cm="1">
        <f t="array" ref="I2518">GetLatitude(D2518)</f>
        <v>572766331</v>
      </c>
      <c r="J2518" s="1" cm="1">
        <f t="array" ref="J2518">GetLongitude(D2518)</f>
        <v>109925388</v>
      </c>
      <c r="K2518" s="1">
        <f t="shared" si="118"/>
        <v>57.276633099999998</v>
      </c>
      <c r="L2518" s="1">
        <f t="shared" si="119"/>
        <v>10.9925388</v>
      </c>
    </row>
    <row r="2519" spans="1:12" ht="16" x14ac:dyDescent="0.2">
      <c r="A2519" s="1">
        <v>2518</v>
      </c>
      <c r="B2519" s="1" t="s">
        <v>7491</v>
      </c>
      <c r="C2519" s="1" t="s">
        <v>7516</v>
      </c>
      <c r="D2519" s="1" t="str">
        <f t="shared" si="117"/>
        <v>Læsø KommuneNattergalevej 15</v>
      </c>
      <c r="E2519" s="1" t="s">
        <v>7517</v>
      </c>
      <c r="F2519" s="1" t="s">
        <v>7518</v>
      </c>
      <c r="G2519" s="1">
        <v>1993</v>
      </c>
      <c r="H2519" s="1" t="s">
        <v>11</v>
      </c>
      <c r="I2519" s="6" cm="1">
        <f t="array" ref="I2519">GetLatitude(D2519)</f>
        <v>572766331</v>
      </c>
      <c r="J2519" s="1" cm="1">
        <f t="array" ref="J2519">GetLongitude(D2519)</f>
        <v>109925388</v>
      </c>
      <c r="K2519" s="1">
        <f t="shared" si="118"/>
        <v>57.276633099999998</v>
      </c>
      <c r="L2519" s="1">
        <f t="shared" si="119"/>
        <v>10.9925388</v>
      </c>
    </row>
    <row r="2520" spans="1:12" ht="16" x14ac:dyDescent="0.2">
      <c r="A2520" s="1">
        <v>2519</v>
      </c>
      <c r="B2520" s="1" t="s">
        <v>7491</v>
      </c>
      <c r="C2520" s="1" t="s">
        <v>7519</v>
      </c>
      <c r="D2520" s="1" t="str">
        <f t="shared" si="117"/>
        <v>Læsø KommuneStoklundvejen 25 (tidl Lille Stoklundvej 25)</v>
      </c>
      <c r="E2520" s="1" t="s">
        <v>7520</v>
      </c>
      <c r="F2520" s="1" t="s">
        <v>7521</v>
      </c>
      <c r="G2520" s="1">
        <v>1989</v>
      </c>
      <c r="H2520" s="1" t="s">
        <v>15</v>
      </c>
      <c r="I2520" s="6" cm="1">
        <f t="array" ref="I2520">GetLatitude(D2520)</f>
        <v>572556540</v>
      </c>
      <c r="J2520" s="1" cm="1">
        <f t="array" ref="J2520">GetLongitude(D2520)</f>
        <v>110562650</v>
      </c>
      <c r="K2520" s="1">
        <f t="shared" si="118"/>
        <v>57.255654</v>
      </c>
      <c r="L2520" s="1">
        <f t="shared" si="119"/>
        <v>11.056265</v>
      </c>
    </row>
    <row r="2521" spans="1:12" ht="16" x14ac:dyDescent="0.2">
      <c r="A2521" s="1">
        <v>2520</v>
      </c>
      <c r="B2521" s="1" t="s">
        <v>7491</v>
      </c>
      <c r="C2521" s="1" t="s">
        <v>7522</v>
      </c>
      <c r="D2521" s="1" t="str">
        <f t="shared" si="117"/>
        <v>Læsø KommuneTangborgvej 4</v>
      </c>
      <c r="E2521" s="1" t="s">
        <v>7523</v>
      </c>
      <c r="F2521" s="1" t="s">
        <v>7524</v>
      </c>
      <c r="G2521" s="1">
        <v>1989</v>
      </c>
      <c r="H2521" s="1" t="s">
        <v>15</v>
      </c>
      <c r="I2521" s="6" cm="1">
        <f t="array" ref="I2521">GetLatitude(D2521)</f>
        <v>573016853</v>
      </c>
      <c r="J2521" s="1" cm="1">
        <f t="array" ref="J2521">GetLongitude(D2521)</f>
        <v>111341568</v>
      </c>
      <c r="K2521" s="1">
        <f t="shared" si="118"/>
        <v>57.301685300000003</v>
      </c>
      <c r="L2521" s="1">
        <f t="shared" si="119"/>
        <v>11.1341568</v>
      </c>
    </row>
    <row r="2522" spans="1:12" ht="16" x14ac:dyDescent="0.2">
      <c r="A2522" s="1">
        <v>2521</v>
      </c>
      <c r="B2522" s="1" t="s">
        <v>7525</v>
      </c>
      <c r="C2522" s="1" t="s">
        <v>7526</v>
      </c>
      <c r="D2522" s="1" t="str">
        <f t="shared" si="117"/>
        <v>Mariagerfjord KommuneAdelgade 26</v>
      </c>
      <c r="E2522" s="1" t="s">
        <v>7527</v>
      </c>
      <c r="F2522" s="1" t="s">
        <v>7528</v>
      </c>
      <c r="G2522" s="1">
        <v>1986</v>
      </c>
      <c r="H2522" s="1" t="s">
        <v>15</v>
      </c>
      <c r="I2522" s="6" cm="1">
        <f t="array" ref="I2522">GetLatitude(D2522)</f>
        <v>566389024</v>
      </c>
      <c r="J2522" s="1" cm="1">
        <f t="array" ref="J2522">GetLongitude(D2522)</f>
        <v>97933946</v>
      </c>
      <c r="K2522" s="1">
        <f t="shared" si="118"/>
        <v>56.638902399999999</v>
      </c>
      <c r="L2522" s="1">
        <f t="shared" si="119"/>
        <v>9.7933945999999992</v>
      </c>
    </row>
    <row r="2523" spans="1:12" ht="16" x14ac:dyDescent="0.2">
      <c r="A2523" s="1">
        <v>2522</v>
      </c>
      <c r="B2523" s="1" t="s">
        <v>7525</v>
      </c>
      <c r="C2523" s="1" t="s">
        <v>7529</v>
      </c>
      <c r="D2523" s="1" t="str">
        <f t="shared" si="117"/>
        <v>Mariagerfjord KommuneAdelgade 75</v>
      </c>
      <c r="E2523" s="1" t="s">
        <v>7530</v>
      </c>
      <c r="F2523" s="1" t="s">
        <v>7531</v>
      </c>
      <c r="G2523" s="1">
        <v>1995</v>
      </c>
      <c r="H2523" s="1" t="s">
        <v>15</v>
      </c>
      <c r="I2523" s="6" cm="1">
        <f t="array" ref="I2523">GetLatitude(D2523)</f>
        <v>566358337</v>
      </c>
      <c r="J2523" s="1" cm="1">
        <f t="array" ref="J2523">GetLongitude(D2523)</f>
        <v>97986007</v>
      </c>
      <c r="K2523" s="1">
        <f t="shared" si="118"/>
        <v>56.635833699999999</v>
      </c>
      <c r="L2523" s="1">
        <f t="shared" si="119"/>
        <v>9.7986006999999997</v>
      </c>
    </row>
    <row r="2524" spans="1:12" ht="16" x14ac:dyDescent="0.2">
      <c r="A2524" s="1">
        <v>2523</v>
      </c>
      <c r="B2524" s="1" t="s">
        <v>7525</v>
      </c>
      <c r="C2524" s="1" t="s">
        <v>7532</v>
      </c>
      <c r="D2524" s="1" t="str">
        <f t="shared" si="117"/>
        <v>Mariagerfjord KommuneFuglsang 4</v>
      </c>
      <c r="E2524" s="1" t="s">
        <v>7533</v>
      </c>
      <c r="F2524" s="1" t="s">
        <v>7534</v>
      </c>
      <c r="G2524" s="1">
        <v>1965</v>
      </c>
      <c r="H2524" s="1" t="s">
        <v>11</v>
      </c>
      <c r="I2524" s="6" cm="1">
        <f t="array" ref="I2524">GetLatitude(D2524)</f>
        <v>567264413</v>
      </c>
      <c r="J2524" s="1" cm="1">
        <f t="array" ref="J2524">GetLongitude(D2524)</f>
        <v>99542285</v>
      </c>
      <c r="K2524" s="1">
        <f t="shared" si="118"/>
        <v>56.726441299999998</v>
      </c>
      <c r="L2524" s="1">
        <f t="shared" si="119"/>
        <v>9.9542284999999993</v>
      </c>
    </row>
    <row r="2525" spans="1:12" ht="16" x14ac:dyDescent="0.2">
      <c r="A2525" s="1">
        <v>2524</v>
      </c>
      <c r="B2525" s="1" t="s">
        <v>7525</v>
      </c>
      <c r="C2525" s="1" t="s">
        <v>7535</v>
      </c>
      <c r="D2525" s="1" t="str">
        <f t="shared" si="117"/>
        <v>Mariagerfjord KommuneFuglsangsgade 12-14 og Kirkegade 5</v>
      </c>
      <c r="E2525" s="1" t="s">
        <v>7536</v>
      </c>
      <c r="F2525" s="1" t="s">
        <v>7537</v>
      </c>
      <c r="G2525" s="1">
        <v>1964</v>
      </c>
      <c r="H2525" s="1" t="s">
        <v>11</v>
      </c>
      <c r="I2525" s="6" cm="1">
        <f t="array" ref="I2525">GetLatitude(D2525)</f>
        <v>567264413</v>
      </c>
      <c r="J2525" s="1" cm="1">
        <f t="array" ref="J2525">GetLongitude(D2525)</f>
        <v>99542285</v>
      </c>
      <c r="K2525" s="1">
        <f t="shared" si="118"/>
        <v>56.726441299999998</v>
      </c>
      <c r="L2525" s="1">
        <f t="shared" si="119"/>
        <v>9.9542284999999993</v>
      </c>
    </row>
    <row r="2526" spans="1:12" ht="16" x14ac:dyDescent="0.2">
      <c r="A2526" s="1">
        <v>2525</v>
      </c>
      <c r="B2526" s="1" t="s">
        <v>7525</v>
      </c>
      <c r="C2526" s="1" t="s">
        <v>7538</v>
      </c>
      <c r="D2526" s="1" t="str">
        <f t="shared" si="117"/>
        <v>Mariagerfjord KommuneFuglsangsgade 9</v>
      </c>
      <c r="E2526" s="1" t="s">
        <v>7067</v>
      </c>
      <c r="F2526" s="1" t="s">
        <v>7539</v>
      </c>
      <c r="G2526" s="1">
        <v>1964</v>
      </c>
      <c r="H2526" s="1" t="s">
        <v>99</v>
      </c>
      <c r="I2526" s="6" cm="1">
        <f t="array" ref="I2526">GetLatitude(D2526)</f>
        <v>566493681</v>
      </c>
      <c r="J2526" s="1" cm="1">
        <f t="array" ref="J2526">GetLongitude(D2526)</f>
        <v>99828862</v>
      </c>
      <c r="K2526" s="1">
        <f t="shared" si="118"/>
        <v>56.649368099999997</v>
      </c>
      <c r="L2526" s="1">
        <f t="shared" si="119"/>
        <v>9.9828861999999994</v>
      </c>
    </row>
    <row r="2527" spans="1:12" ht="16" x14ac:dyDescent="0.2">
      <c r="A2527" s="1">
        <v>2526</v>
      </c>
      <c r="B2527" s="1" t="s">
        <v>7525</v>
      </c>
      <c r="C2527" s="1" t="s">
        <v>7540</v>
      </c>
      <c r="D2527" s="1" t="str">
        <f t="shared" si="117"/>
        <v>Mariagerfjord KommuneFyrkatvej 45</v>
      </c>
      <c r="E2527" s="1" t="s">
        <v>7541</v>
      </c>
      <c r="F2527" s="1" t="s">
        <v>7542</v>
      </c>
      <c r="G2527" s="1">
        <v>1954</v>
      </c>
      <c r="H2527" s="1" t="s">
        <v>99</v>
      </c>
      <c r="I2527" s="6" cm="1">
        <f t="array" ref="I2527">GetLatitude(D2527)</f>
        <v>566249590</v>
      </c>
      <c r="J2527" s="1" cm="1">
        <f t="array" ref="J2527">GetLongitude(D2527)</f>
        <v>97724250</v>
      </c>
      <c r="K2527" s="1">
        <f t="shared" si="118"/>
        <v>56.624958999999997</v>
      </c>
      <c r="L2527" s="1">
        <f t="shared" si="119"/>
        <v>9.7724250000000001</v>
      </c>
    </row>
    <row r="2528" spans="1:12" ht="16" x14ac:dyDescent="0.2">
      <c r="A2528" s="1">
        <v>2527</v>
      </c>
      <c r="B2528" s="1" t="s">
        <v>7525</v>
      </c>
      <c r="C2528" s="1" t="s">
        <v>7543</v>
      </c>
      <c r="D2528" s="1" t="str">
        <f t="shared" si="117"/>
        <v>Mariagerfjord KommuneHavnøvej 40</v>
      </c>
      <c r="E2528" s="1" t="s">
        <v>7544</v>
      </c>
      <c r="F2528" s="1" t="s">
        <v>7545</v>
      </c>
      <c r="G2528" s="1">
        <v>1964</v>
      </c>
      <c r="H2528" s="1" t="s">
        <v>11</v>
      </c>
      <c r="I2528" s="6" cm="1">
        <f t="array" ref="I2528">GetLatitude(D2528)</f>
        <v>567137621</v>
      </c>
      <c r="J2528" s="1" cm="1">
        <f t="array" ref="J2528">GetLongitude(D2528)</f>
        <v>101649084</v>
      </c>
      <c r="K2528" s="1">
        <f t="shared" si="118"/>
        <v>56.713762099999997</v>
      </c>
      <c r="L2528" s="1">
        <f t="shared" si="119"/>
        <v>10.1649084</v>
      </c>
    </row>
    <row r="2529" spans="1:12" ht="16" x14ac:dyDescent="0.2">
      <c r="A2529" s="1">
        <v>2528</v>
      </c>
      <c r="B2529" s="1" t="s">
        <v>7525</v>
      </c>
      <c r="C2529" s="1" t="s">
        <v>7546</v>
      </c>
      <c r="D2529" s="1" t="str">
        <f t="shared" si="117"/>
        <v>Mariagerfjord KommuneHelberskovvej 14</v>
      </c>
      <c r="E2529" s="1" t="s">
        <v>7547</v>
      </c>
      <c r="F2529" s="1" t="s">
        <v>7548</v>
      </c>
      <c r="G2529" s="1">
        <v>1954</v>
      </c>
      <c r="H2529" s="1" t="s">
        <v>15</v>
      </c>
      <c r="I2529" s="6" cm="1">
        <f t="array" ref="I2529">GetLatitude(D2529)</f>
        <v>567527395</v>
      </c>
      <c r="J2529" s="1" cm="1">
        <f t="array" ref="J2529">GetLongitude(D2529)</f>
        <v>102907658</v>
      </c>
      <c r="K2529" s="1">
        <f t="shared" si="118"/>
        <v>56.752739499999997</v>
      </c>
      <c r="L2529" s="1">
        <f t="shared" si="119"/>
        <v>10.290765800000001</v>
      </c>
    </row>
    <row r="2530" spans="1:12" ht="16" x14ac:dyDescent="0.2">
      <c r="A2530" s="1">
        <v>2529</v>
      </c>
      <c r="B2530" s="1" t="s">
        <v>7525</v>
      </c>
      <c r="C2530" s="1" t="s">
        <v>7549</v>
      </c>
      <c r="D2530" s="1" t="str">
        <f t="shared" si="117"/>
        <v>Mariagerfjord KommuneHjerritsdalvej 3</v>
      </c>
      <c r="E2530" s="1" t="s">
        <v>7550</v>
      </c>
      <c r="F2530" s="1" t="s">
        <v>7551</v>
      </c>
      <c r="G2530" s="1">
        <v>1959</v>
      </c>
      <c r="H2530" s="1" t="s">
        <v>11</v>
      </c>
      <c r="I2530" s="6" cm="1">
        <f t="array" ref="I2530">GetLatitude(D2530)</f>
        <v>566593884</v>
      </c>
      <c r="J2530" s="1" cm="1">
        <f t="array" ref="J2530">GetLongitude(D2530)</f>
        <v>98416796</v>
      </c>
      <c r="K2530" s="1">
        <f t="shared" si="118"/>
        <v>56.659388399999997</v>
      </c>
      <c r="L2530" s="1">
        <f t="shared" si="119"/>
        <v>9.8416796000000009</v>
      </c>
    </row>
    <row r="2531" spans="1:12" ht="16" x14ac:dyDescent="0.2">
      <c r="A2531" s="1">
        <v>2530</v>
      </c>
      <c r="B2531" s="1" t="s">
        <v>7525</v>
      </c>
      <c r="C2531" s="1" t="s">
        <v>7552</v>
      </c>
      <c r="D2531" s="1" t="str">
        <f t="shared" si="117"/>
        <v>Mariagerfjord KommuneKirkegade 1</v>
      </c>
      <c r="E2531" s="1" t="s">
        <v>7553</v>
      </c>
      <c r="F2531" s="1" t="s">
        <v>7554</v>
      </c>
      <c r="G2531" s="1">
        <v>1964</v>
      </c>
      <c r="H2531" s="1" t="s">
        <v>15</v>
      </c>
      <c r="I2531" s="6" cm="1">
        <f t="array" ref="I2531">GetLatitude(D2531)</f>
        <v>567264413</v>
      </c>
      <c r="J2531" s="1" cm="1">
        <f t="array" ref="J2531">GetLongitude(D2531)</f>
        <v>99542285</v>
      </c>
      <c r="K2531" s="1">
        <f t="shared" si="118"/>
        <v>56.726441299999998</v>
      </c>
      <c r="L2531" s="1">
        <f t="shared" si="119"/>
        <v>9.9542284999999993</v>
      </c>
    </row>
    <row r="2532" spans="1:12" ht="16" x14ac:dyDescent="0.2">
      <c r="A2532" s="1">
        <v>2531</v>
      </c>
      <c r="B2532" s="1" t="s">
        <v>7525</v>
      </c>
      <c r="C2532" s="1" t="s">
        <v>7555</v>
      </c>
      <c r="D2532" s="1" t="str">
        <f t="shared" si="117"/>
        <v>Mariagerfjord KommuneKirkegade 4 A-C (tidl Kirkegade 2-6)</v>
      </c>
      <c r="E2532" s="1" t="s">
        <v>7001</v>
      </c>
      <c r="F2532" s="1" t="s">
        <v>7556</v>
      </c>
      <c r="G2532" s="1">
        <v>1919</v>
      </c>
      <c r="H2532" s="1" t="s">
        <v>11</v>
      </c>
      <c r="I2532" s="6" cm="1">
        <f t="array" ref="I2532">GetLatitude(D2532)</f>
        <v>567182945</v>
      </c>
      <c r="J2532" s="1" cm="1">
        <f t="array" ref="J2532">GetLongitude(D2532)</f>
        <v>101181802</v>
      </c>
      <c r="K2532" s="1">
        <f t="shared" si="118"/>
        <v>56.718294499999999</v>
      </c>
      <c r="L2532" s="1">
        <f t="shared" si="119"/>
        <v>10.118180199999999</v>
      </c>
    </row>
    <row r="2533" spans="1:12" ht="16" x14ac:dyDescent="0.2">
      <c r="A2533" s="1">
        <v>2532</v>
      </c>
      <c r="B2533" s="1" t="s">
        <v>7525</v>
      </c>
      <c r="C2533" s="1" t="s">
        <v>7557</v>
      </c>
      <c r="D2533" s="1" t="str">
        <f t="shared" si="117"/>
        <v>Mariagerfjord KommuneKlosterstien 12</v>
      </c>
      <c r="E2533" s="1" t="s">
        <v>7558</v>
      </c>
      <c r="F2533" s="1" t="s">
        <v>7559</v>
      </c>
      <c r="G2533" s="1">
        <v>1984</v>
      </c>
      <c r="H2533" s="1" t="s">
        <v>15</v>
      </c>
      <c r="I2533" s="6" cm="1">
        <f t="array" ref="I2533">GetLatitude(D2533)</f>
        <v>566478046</v>
      </c>
      <c r="J2533" s="1" cm="1">
        <f t="array" ref="J2533">GetLongitude(D2533)</f>
        <v>99781202</v>
      </c>
      <c r="K2533" s="1">
        <f t="shared" si="118"/>
        <v>56.647804600000001</v>
      </c>
      <c r="L2533" s="1">
        <f t="shared" si="119"/>
        <v>9.9781201999999993</v>
      </c>
    </row>
    <row r="2534" spans="1:12" ht="16" x14ac:dyDescent="0.2">
      <c r="A2534" s="1">
        <v>2533</v>
      </c>
      <c r="B2534" s="1" t="s">
        <v>7525</v>
      </c>
      <c r="C2534" s="1" t="s">
        <v>7560</v>
      </c>
      <c r="D2534" s="1" t="str">
        <f t="shared" si="117"/>
        <v>Mariagerfjord KommuneMariager havn</v>
      </c>
      <c r="E2534" s="1" t="s">
        <v>7561</v>
      </c>
      <c r="F2534" s="1" t="s">
        <v>7562</v>
      </c>
      <c r="G2534" s="1">
        <v>1992</v>
      </c>
      <c r="H2534" s="1" t="s">
        <v>15</v>
      </c>
      <c r="I2534" s="6" cm="1">
        <f t="array" ref="I2534">GetLatitude(D2534)</f>
        <v>567264413</v>
      </c>
      <c r="J2534" s="1" cm="1">
        <f t="array" ref="J2534">GetLongitude(D2534)</f>
        <v>99542285</v>
      </c>
      <c r="K2534" s="1">
        <f t="shared" si="118"/>
        <v>56.726441299999998</v>
      </c>
      <c r="L2534" s="1">
        <f t="shared" si="119"/>
        <v>9.9542284999999993</v>
      </c>
    </row>
    <row r="2535" spans="1:12" ht="16" x14ac:dyDescent="0.2">
      <c r="A2535" s="1">
        <v>2534</v>
      </c>
      <c r="B2535" s="1" t="s">
        <v>7525</v>
      </c>
      <c r="C2535" s="1" t="s">
        <v>7563</v>
      </c>
      <c r="D2535" s="1" t="str">
        <f t="shared" si="117"/>
        <v>Mariagerfjord KommuneRandersvej 125B</v>
      </c>
      <c r="E2535" s="1" t="s">
        <v>7564</v>
      </c>
      <c r="F2535" s="1" t="s">
        <v>7565</v>
      </c>
      <c r="G2535" s="1">
        <v>2016</v>
      </c>
      <c r="H2535" s="1" t="s">
        <v>15</v>
      </c>
      <c r="I2535" s="6" cm="1">
        <f t="array" ref="I2535">GetLatitude(D2535)</f>
        <v>565691087</v>
      </c>
      <c r="J2535" s="1" cm="1">
        <f t="array" ref="J2535">GetLongitude(D2535)</f>
        <v>98263947</v>
      </c>
      <c r="K2535" s="1">
        <f t="shared" si="118"/>
        <v>56.569108700000001</v>
      </c>
      <c r="L2535" s="1">
        <f t="shared" si="119"/>
        <v>9.8263946999999998</v>
      </c>
    </row>
    <row r="2536" spans="1:12" ht="16" x14ac:dyDescent="0.2">
      <c r="A2536" s="1">
        <v>2535</v>
      </c>
      <c r="B2536" s="1" t="s">
        <v>7525</v>
      </c>
      <c r="C2536" s="1" t="s">
        <v>7566</v>
      </c>
      <c r="D2536" s="1" t="str">
        <f t="shared" si="117"/>
        <v>Mariagerfjord KommuneSognegade 2</v>
      </c>
      <c r="E2536" s="1" t="s">
        <v>7567</v>
      </c>
      <c r="F2536" s="1" t="s">
        <v>7568</v>
      </c>
      <c r="G2536" s="1">
        <v>1964</v>
      </c>
      <c r="H2536" s="1" t="s">
        <v>15</v>
      </c>
      <c r="I2536" s="6" cm="1">
        <f t="array" ref="I2536">GetLatitude(D2536)</f>
        <v>566488760</v>
      </c>
      <c r="J2536" s="1" cm="1">
        <f t="array" ref="J2536">GetLongitude(D2536)</f>
        <v>99818512</v>
      </c>
      <c r="K2536" s="1">
        <f t="shared" si="118"/>
        <v>56.648876000000001</v>
      </c>
      <c r="L2536" s="1">
        <f t="shared" si="119"/>
        <v>9.9818511999999995</v>
      </c>
    </row>
    <row r="2537" spans="1:12" ht="16" x14ac:dyDescent="0.2">
      <c r="A2537" s="1">
        <v>2536</v>
      </c>
      <c r="B2537" s="1" t="s">
        <v>7525</v>
      </c>
      <c r="C2537" s="1" t="s">
        <v>7569</v>
      </c>
      <c r="D2537" s="1" t="str">
        <f t="shared" si="117"/>
        <v>Mariagerfjord KommuneSognegade 4</v>
      </c>
      <c r="E2537" s="1" t="s">
        <v>7570</v>
      </c>
      <c r="F2537" s="1" t="s">
        <v>416</v>
      </c>
      <c r="G2537" s="1">
        <v>1964</v>
      </c>
      <c r="H2537" s="1" t="s">
        <v>15</v>
      </c>
      <c r="I2537" s="6" cm="1">
        <f t="array" ref="I2537">GetLatitude(D2537)</f>
        <v>566489036</v>
      </c>
      <c r="J2537" s="1" cm="1">
        <f t="array" ref="J2537">GetLongitude(D2537)</f>
        <v>99820571</v>
      </c>
      <c r="K2537" s="1">
        <f t="shared" si="118"/>
        <v>56.648903599999997</v>
      </c>
      <c r="L2537" s="1">
        <f t="shared" si="119"/>
        <v>9.9820571000000005</v>
      </c>
    </row>
    <row r="2538" spans="1:12" ht="16" x14ac:dyDescent="0.2">
      <c r="A2538" s="1">
        <v>2537</v>
      </c>
      <c r="B2538" s="1" t="s">
        <v>7525</v>
      </c>
      <c r="C2538" s="1" t="s">
        <v>7571</v>
      </c>
      <c r="D2538" s="1" t="str">
        <f t="shared" si="117"/>
        <v>Mariagerfjord KommuneStationsvej 12</v>
      </c>
      <c r="E2538" s="1" t="s">
        <v>7572</v>
      </c>
      <c r="F2538" s="1" t="s">
        <v>7573</v>
      </c>
      <c r="G2538" s="1">
        <v>1992</v>
      </c>
      <c r="H2538" s="1" t="s">
        <v>701</v>
      </c>
      <c r="I2538" s="6" cm="1">
        <f t="array" ref="I2538">GetLatitude(D2538)</f>
        <v>567264413</v>
      </c>
      <c r="J2538" s="1" cm="1">
        <f t="array" ref="J2538">GetLongitude(D2538)</f>
        <v>99542285</v>
      </c>
      <c r="K2538" s="1">
        <f t="shared" si="118"/>
        <v>56.726441299999998</v>
      </c>
      <c r="L2538" s="1">
        <f t="shared" si="119"/>
        <v>9.9542284999999993</v>
      </c>
    </row>
    <row r="2539" spans="1:12" ht="16" x14ac:dyDescent="0.2">
      <c r="A2539" s="1">
        <v>2538</v>
      </c>
      <c r="B2539" s="1" t="s">
        <v>7525</v>
      </c>
      <c r="C2539" s="1" t="s">
        <v>7574</v>
      </c>
      <c r="D2539" s="1" t="str">
        <f t="shared" si="117"/>
        <v>Mariagerfjord KommuneTeglgade 18</v>
      </c>
      <c r="E2539" s="1" t="s">
        <v>7575</v>
      </c>
      <c r="F2539" s="1" t="s">
        <v>7576</v>
      </c>
      <c r="G2539" s="1">
        <v>1964</v>
      </c>
      <c r="H2539" s="1" t="s">
        <v>15</v>
      </c>
      <c r="I2539" s="6" cm="1">
        <f t="array" ref="I2539">GetLatitude(D2539)</f>
        <v>566504862</v>
      </c>
      <c r="J2539" s="1" cm="1">
        <f t="array" ref="J2539">GetLongitude(D2539)</f>
        <v>99783663</v>
      </c>
      <c r="K2539" s="1">
        <f t="shared" si="118"/>
        <v>56.650486200000003</v>
      </c>
      <c r="L2539" s="1">
        <f t="shared" si="119"/>
        <v>9.9783662999999994</v>
      </c>
    </row>
    <row r="2540" spans="1:12" ht="16" x14ac:dyDescent="0.2">
      <c r="A2540" s="1">
        <v>2539</v>
      </c>
      <c r="B2540" s="1" t="s">
        <v>7525</v>
      </c>
      <c r="C2540" s="1" t="s">
        <v>7577</v>
      </c>
      <c r="D2540" s="1" t="str">
        <f t="shared" si="117"/>
        <v>Mariagerfjord KommuneTeglgade 20</v>
      </c>
      <c r="E2540" s="1" t="s">
        <v>7578</v>
      </c>
      <c r="F2540" s="1" t="s">
        <v>7579</v>
      </c>
      <c r="G2540" s="1">
        <v>1964</v>
      </c>
      <c r="H2540" s="1" t="s">
        <v>11</v>
      </c>
      <c r="I2540" s="6" cm="1">
        <f t="array" ref="I2540">GetLatitude(D2540)</f>
        <v>566505022</v>
      </c>
      <c r="J2540" s="1" cm="1">
        <f t="array" ref="J2540">GetLongitude(D2540)</f>
        <v>99780306</v>
      </c>
      <c r="K2540" s="1">
        <f t="shared" si="118"/>
        <v>56.650502199999998</v>
      </c>
      <c r="L2540" s="1">
        <f t="shared" si="119"/>
        <v>9.9780306000000003</v>
      </c>
    </row>
    <row r="2541" spans="1:12" ht="16" x14ac:dyDescent="0.2">
      <c r="A2541" s="1">
        <v>2540</v>
      </c>
      <c r="B2541" s="1" t="s">
        <v>7525</v>
      </c>
      <c r="C2541" s="1" t="s">
        <v>7580</v>
      </c>
      <c r="D2541" s="1" t="str">
        <f t="shared" si="117"/>
        <v>Mariagerfjord KommuneTorvet 1 A-B</v>
      </c>
      <c r="E2541" s="1" t="s">
        <v>7581</v>
      </c>
      <c r="F2541" s="1" t="s">
        <v>7582</v>
      </c>
      <c r="G2541" s="1">
        <v>1983</v>
      </c>
      <c r="H2541" s="1" t="s">
        <v>11</v>
      </c>
      <c r="I2541" s="6" cm="1">
        <f t="array" ref="I2541">GetLatitude(D2541)</f>
        <v>567264413</v>
      </c>
      <c r="J2541" s="1" cm="1">
        <f t="array" ref="J2541">GetLongitude(D2541)</f>
        <v>99542285</v>
      </c>
      <c r="K2541" s="1">
        <f t="shared" si="118"/>
        <v>56.726441299999998</v>
      </c>
      <c r="L2541" s="1">
        <f t="shared" si="119"/>
        <v>9.9542284999999993</v>
      </c>
    </row>
    <row r="2542" spans="1:12" ht="16" x14ac:dyDescent="0.2">
      <c r="A2542" s="1">
        <v>2541</v>
      </c>
      <c r="B2542" s="1" t="s">
        <v>7525</v>
      </c>
      <c r="C2542" s="1" t="s">
        <v>2766</v>
      </c>
      <c r="D2542" s="1" t="str">
        <f t="shared" si="117"/>
        <v>Mariagerfjord KommuneTorvet 6</v>
      </c>
      <c r="E2542" s="1" t="s">
        <v>153</v>
      </c>
      <c r="F2542" s="1" t="s">
        <v>416</v>
      </c>
      <c r="G2542" s="1">
        <v>1919</v>
      </c>
      <c r="H2542" s="1" t="s">
        <v>11</v>
      </c>
      <c r="I2542" s="6" cm="1">
        <f t="array" ref="I2542">GetLatitude(D2542)</f>
        <v>567264413</v>
      </c>
      <c r="J2542" s="1" cm="1">
        <f t="array" ref="J2542">GetLongitude(D2542)</f>
        <v>99542285</v>
      </c>
      <c r="K2542" s="1">
        <f t="shared" si="118"/>
        <v>56.726441299999998</v>
      </c>
      <c r="L2542" s="1">
        <f t="shared" si="119"/>
        <v>9.9542284999999993</v>
      </c>
    </row>
    <row r="2543" spans="1:12" ht="16" x14ac:dyDescent="0.2">
      <c r="A2543" s="1">
        <v>2542</v>
      </c>
      <c r="B2543" s="1" t="s">
        <v>7525</v>
      </c>
      <c r="C2543" s="1" t="s">
        <v>7583</v>
      </c>
      <c r="D2543" s="1" t="str">
        <f t="shared" si="117"/>
        <v>Mariagerfjord KommuneTygeslundvej 60</v>
      </c>
      <c r="E2543" s="1" t="s">
        <v>7584</v>
      </c>
      <c r="F2543" s="1" t="s">
        <v>7585</v>
      </c>
      <c r="G2543" s="1">
        <v>1982</v>
      </c>
      <c r="H2543" s="1" t="s">
        <v>15</v>
      </c>
      <c r="I2543" s="6" cm="1">
        <f t="array" ref="I2543">GetLatitude(D2543)</f>
        <v>567019196</v>
      </c>
      <c r="J2543" s="1" cm="1">
        <f t="array" ref="J2543">GetLongitude(D2543)</f>
        <v>100972769</v>
      </c>
      <c r="K2543" s="1">
        <f t="shared" si="118"/>
        <v>56.701919599999997</v>
      </c>
      <c r="L2543" s="1">
        <f t="shared" si="119"/>
        <v>10.097276900000001</v>
      </c>
    </row>
    <row r="2544" spans="1:12" ht="16" x14ac:dyDescent="0.2">
      <c r="A2544" s="1">
        <v>2543</v>
      </c>
      <c r="B2544" s="1" t="s">
        <v>7525</v>
      </c>
      <c r="C2544" s="1" t="s">
        <v>7586</v>
      </c>
      <c r="D2544" s="1" t="str">
        <f t="shared" si="117"/>
        <v>Mariagerfjord KommuneVestergade 8-12</v>
      </c>
      <c r="E2544" s="1" t="s">
        <v>7587</v>
      </c>
      <c r="F2544" s="1" t="s">
        <v>7588</v>
      </c>
      <c r="G2544" s="1">
        <v>1964</v>
      </c>
      <c r="H2544" s="1" t="s">
        <v>11</v>
      </c>
      <c r="I2544" s="6" cm="1">
        <f t="array" ref="I2544">GetLatitude(D2544)</f>
        <v>567264413</v>
      </c>
      <c r="J2544" s="1" cm="1">
        <f t="array" ref="J2544">GetLongitude(D2544)</f>
        <v>99542285</v>
      </c>
      <c r="K2544" s="1">
        <f t="shared" si="118"/>
        <v>56.726441299999998</v>
      </c>
      <c r="L2544" s="1">
        <f t="shared" si="119"/>
        <v>9.9542284999999993</v>
      </c>
    </row>
    <row r="2545" spans="1:12" ht="16" x14ac:dyDescent="0.2">
      <c r="A2545" s="1">
        <v>2544</v>
      </c>
      <c r="B2545" s="1" t="s">
        <v>7525</v>
      </c>
      <c r="C2545" s="1" t="s">
        <v>7589</v>
      </c>
      <c r="D2545" s="1" t="str">
        <f t="shared" si="117"/>
        <v>Mariagerfjord KommuneVisborggård Allé 39</v>
      </c>
      <c r="E2545" s="1" t="s">
        <v>7590</v>
      </c>
      <c r="F2545" s="1" t="s">
        <v>7591</v>
      </c>
      <c r="G2545" s="1">
        <v>1918</v>
      </c>
      <c r="H2545" s="1" t="s">
        <v>7592</v>
      </c>
      <c r="I2545" s="6" cm="1">
        <f t="array" ref="I2545">GetLatitude(D2545)</f>
        <v>567441394</v>
      </c>
      <c r="J2545" s="1" cm="1">
        <f t="array" ref="J2545">GetLongitude(D2545)</f>
        <v>101523082</v>
      </c>
      <c r="K2545" s="1">
        <f t="shared" si="118"/>
        <v>56.744139400000002</v>
      </c>
      <c r="L2545" s="1">
        <f t="shared" si="119"/>
        <v>10.1523082</v>
      </c>
    </row>
    <row r="2546" spans="1:12" ht="16" x14ac:dyDescent="0.2">
      <c r="A2546" s="1">
        <v>2545</v>
      </c>
      <c r="B2546" s="1" t="s">
        <v>7525</v>
      </c>
      <c r="C2546" s="1" t="s">
        <v>7593</v>
      </c>
      <c r="D2546" s="1" t="str">
        <f t="shared" si="117"/>
        <v>Mariagerfjord KommuneWillestrupvej 1</v>
      </c>
      <c r="E2546" s="1" t="s">
        <v>7594</v>
      </c>
      <c r="F2546" s="1" t="s">
        <v>7595</v>
      </c>
      <c r="G2546" s="1">
        <v>1918</v>
      </c>
      <c r="H2546" s="1" t="s">
        <v>15</v>
      </c>
      <c r="I2546" s="6" cm="1">
        <f t="array" ref="I2546">GetLatitude(D2546)</f>
        <v>567641836</v>
      </c>
      <c r="J2546" s="1" cm="1">
        <f t="array" ref="J2546">GetLongitude(D2546)</f>
        <v>99531664</v>
      </c>
      <c r="K2546" s="1">
        <f t="shared" si="118"/>
        <v>56.764183600000003</v>
      </c>
      <c r="L2546" s="1">
        <f t="shared" si="119"/>
        <v>9.9531664000000006</v>
      </c>
    </row>
    <row r="2547" spans="1:12" ht="16" x14ac:dyDescent="0.2">
      <c r="A2547" s="1">
        <v>2546</v>
      </c>
      <c r="B2547" s="1" t="s">
        <v>7525</v>
      </c>
      <c r="C2547" s="1" t="s">
        <v>7596</v>
      </c>
      <c r="D2547" s="1" t="str">
        <f t="shared" si="117"/>
        <v>Mariagerfjord KommuneØstergade 28</v>
      </c>
      <c r="E2547" s="1" t="s">
        <v>7597</v>
      </c>
      <c r="F2547" s="1" t="s">
        <v>7598</v>
      </c>
      <c r="G2547" s="1">
        <v>1964</v>
      </c>
      <c r="H2547" s="1" t="s">
        <v>11</v>
      </c>
      <c r="I2547" s="6" cm="1">
        <f t="array" ref="I2547">GetLatitude(D2547)</f>
        <v>567264413</v>
      </c>
      <c r="J2547" s="1" cm="1">
        <f t="array" ref="J2547">GetLongitude(D2547)</f>
        <v>99542285</v>
      </c>
      <c r="K2547" s="1">
        <f t="shared" si="118"/>
        <v>56.726441299999998</v>
      </c>
      <c r="L2547" s="1">
        <f t="shared" si="119"/>
        <v>9.9542284999999993</v>
      </c>
    </row>
    <row r="2548" spans="1:12" ht="16" x14ac:dyDescent="0.2">
      <c r="A2548" s="1">
        <v>2547</v>
      </c>
      <c r="B2548" s="1" t="s">
        <v>7525</v>
      </c>
      <c r="C2548" s="1" t="s">
        <v>7599</v>
      </c>
      <c r="D2548" s="1" t="str">
        <f t="shared" si="117"/>
        <v>Mariagerfjord KommuneØstergade 5 A-B</v>
      </c>
      <c r="E2548" s="1" t="s">
        <v>7600</v>
      </c>
      <c r="F2548" s="1" t="s">
        <v>7601</v>
      </c>
      <c r="G2548" s="1">
        <v>1989</v>
      </c>
      <c r="H2548" s="1" t="s">
        <v>15</v>
      </c>
      <c r="I2548" s="6" cm="1">
        <f t="array" ref="I2548">GetLatitude(D2548)</f>
        <v>567264413</v>
      </c>
      <c r="J2548" s="1" cm="1">
        <f t="array" ref="J2548">GetLongitude(D2548)</f>
        <v>99542285</v>
      </c>
      <c r="K2548" s="1">
        <f t="shared" si="118"/>
        <v>56.726441299999998</v>
      </c>
      <c r="L2548" s="1">
        <f t="shared" si="119"/>
        <v>9.9542284999999993</v>
      </c>
    </row>
    <row r="2549" spans="1:12" ht="16" x14ac:dyDescent="0.2">
      <c r="A2549" s="1">
        <v>2548</v>
      </c>
      <c r="B2549" s="1" t="s">
        <v>7525</v>
      </c>
      <c r="C2549" s="1" t="s">
        <v>7602</v>
      </c>
      <c r="D2549" s="1" t="str">
        <f t="shared" si="117"/>
        <v>Mariagerfjord KommuneØstergade 7 A</v>
      </c>
      <c r="E2549" s="1" t="s">
        <v>7603</v>
      </c>
      <c r="F2549" s="1" t="s">
        <v>7604</v>
      </c>
      <c r="G2549" s="1">
        <v>1919</v>
      </c>
      <c r="H2549" s="1" t="s">
        <v>11</v>
      </c>
      <c r="I2549" s="6" cm="1">
        <f t="array" ref="I2549">GetLatitude(D2549)</f>
        <v>567264413</v>
      </c>
      <c r="J2549" s="1" cm="1">
        <f t="array" ref="J2549">GetLongitude(D2549)</f>
        <v>99542285</v>
      </c>
      <c r="K2549" s="1">
        <f t="shared" si="118"/>
        <v>56.726441299999998</v>
      </c>
      <c r="L2549" s="1">
        <f t="shared" si="119"/>
        <v>9.9542284999999993</v>
      </c>
    </row>
    <row r="2550" spans="1:12" ht="16" x14ac:dyDescent="0.2">
      <c r="A2550" s="1">
        <v>2549</v>
      </c>
      <c r="B2550" s="1" t="s">
        <v>7525</v>
      </c>
      <c r="C2550" s="1" t="s">
        <v>7605</v>
      </c>
      <c r="D2550" s="1" t="str">
        <f t="shared" si="117"/>
        <v>Mariagerfjord KommuneØstergade 7 B</v>
      </c>
      <c r="E2550" s="1" t="s">
        <v>7606</v>
      </c>
      <c r="F2550" s="1" t="s">
        <v>7607</v>
      </c>
      <c r="G2550" s="1">
        <v>1918</v>
      </c>
      <c r="H2550" s="1" t="s">
        <v>11</v>
      </c>
      <c r="I2550" s="6" cm="1">
        <f t="array" ref="I2550">GetLatitude(D2550)</f>
        <v>567264413</v>
      </c>
      <c r="J2550" s="1" cm="1">
        <f t="array" ref="J2550">GetLongitude(D2550)</f>
        <v>99542285</v>
      </c>
      <c r="K2550" s="1">
        <f t="shared" si="118"/>
        <v>56.726441299999998</v>
      </c>
      <c r="L2550" s="1">
        <f t="shared" si="119"/>
        <v>9.9542284999999993</v>
      </c>
    </row>
    <row r="2551" spans="1:12" ht="16" x14ac:dyDescent="0.2">
      <c r="A2551" s="1">
        <v>2550</v>
      </c>
      <c r="B2551" s="1" t="s">
        <v>7608</v>
      </c>
      <c r="C2551" s="1" t="s">
        <v>7609</v>
      </c>
      <c r="D2551" s="1" t="str">
        <f t="shared" si="117"/>
        <v>Middelfart KommuneAlgade 18</v>
      </c>
      <c r="E2551" s="1" t="s">
        <v>7610</v>
      </c>
      <c r="F2551" s="1" t="s">
        <v>7611</v>
      </c>
      <c r="G2551" s="1">
        <v>1978</v>
      </c>
      <c r="H2551" s="1" t="s">
        <v>11</v>
      </c>
      <c r="I2551" s="6" cm="1">
        <f t="array" ref="I2551">GetLatitude(D2551)</f>
        <v>555056206</v>
      </c>
      <c r="J2551" s="1" cm="1">
        <f t="array" ref="J2551">GetLongitude(D2551)</f>
        <v>97311473</v>
      </c>
      <c r="K2551" s="1">
        <f t="shared" si="118"/>
        <v>55.5056206</v>
      </c>
      <c r="L2551" s="1">
        <f t="shared" si="119"/>
        <v>9.7311472999999999</v>
      </c>
    </row>
    <row r="2552" spans="1:12" ht="16" x14ac:dyDescent="0.2">
      <c r="A2552" s="1">
        <v>2551</v>
      </c>
      <c r="B2552" s="1" t="s">
        <v>7608</v>
      </c>
      <c r="C2552" s="1" t="s">
        <v>7612</v>
      </c>
      <c r="D2552" s="1" t="str">
        <f t="shared" si="117"/>
        <v>Middelfart KommuneAlgade 23</v>
      </c>
      <c r="E2552" s="1" t="s">
        <v>7613</v>
      </c>
      <c r="F2552" s="1" t="s">
        <v>7614</v>
      </c>
      <c r="G2552" s="1">
        <v>1980</v>
      </c>
      <c r="H2552" s="1" t="s">
        <v>11</v>
      </c>
      <c r="I2552" s="6" cm="1">
        <f t="array" ref="I2552">GetLatitude(D2552)</f>
        <v>555062018</v>
      </c>
      <c r="J2552" s="1" cm="1">
        <f t="array" ref="J2552">GetLongitude(D2552)</f>
        <v>97290351</v>
      </c>
      <c r="K2552" s="1">
        <f t="shared" si="118"/>
        <v>55.506201799999999</v>
      </c>
      <c r="L2552" s="1">
        <f t="shared" si="119"/>
        <v>9.7290351000000008</v>
      </c>
    </row>
    <row r="2553" spans="1:12" ht="16" x14ac:dyDescent="0.2">
      <c r="A2553" s="1">
        <v>2552</v>
      </c>
      <c r="B2553" s="1" t="s">
        <v>7608</v>
      </c>
      <c r="C2553" s="1" t="s">
        <v>7615</v>
      </c>
      <c r="D2553" s="1" t="str">
        <f t="shared" si="117"/>
        <v>Middelfart KommuneAlgade 24</v>
      </c>
      <c r="E2553" s="1" t="s">
        <v>7616</v>
      </c>
      <c r="F2553" s="1" t="s">
        <v>416</v>
      </c>
      <c r="G2553" s="1">
        <v>1919</v>
      </c>
      <c r="H2553" s="1" t="s">
        <v>701</v>
      </c>
      <c r="I2553" s="6" cm="1">
        <f t="array" ref="I2553">GetLatitude(D2553)</f>
        <v>555057153</v>
      </c>
      <c r="J2553" s="1" cm="1">
        <f t="array" ref="J2553">GetLongitude(D2553)</f>
        <v>97302982</v>
      </c>
      <c r="K2553" s="1">
        <f t="shared" si="118"/>
        <v>55.505715299999999</v>
      </c>
      <c r="L2553" s="1">
        <f t="shared" si="119"/>
        <v>9.7302982</v>
      </c>
    </row>
    <row r="2554" spans="1:12" ht="16" x14ac:dyDescent="0.2">
      <c r="A2554" s="1">
        <v>2553</v>
      </c>
      <c r="B2554" s="1" t="s">
        <v>7608</v>
      </c>
      <c r="C2554" s="1" t="s">
        <v>7617</v>
      </c>
      <c r="D2554" s="1" t="str">
        <f t="shared" si="117"/>
        <v>Middelfart KommuneAlgade 6</v>
      </c>
      <c r="E2554" s="1" t="s">
        <v>7618</v>
      </c>
      <c r="F2554" s="1" t="s">
        <v>7619</v>
      </c>
      <c r="G2554" s="1">
        <v>1919</v>
      </c>
      <c r="H2554" s="1" t="s">
        <v>5158</v>
      </c>
      <c r="I2554" s="6" cm="1">
        <f t="array" ref="I2554">GetLatitude(D2554)</f>
        <v>555056206</v>
      </c>
      <c r="J2554" s="1" cm="1">
        <f t="array" ref="J2554">GetLongitude(D2554)</f>
        <v>97311473</v>
      </c>
      <c r="K2554" s="1">
        <f t="shared" si="118"/>
        <v>55.5056206</v>
      </c>
      <c r="L2554" s="1">
        <f t="shared" si="119"/>
        <v>9.7311472999999999</v>
      </c>
    </row>
    <row r="2555" spans="1:12" ht="16" x14ac:dyDescent="0.2">
      <c r="A2555" s="1">
        <v>2554</v>
      </c>
      <c r="B2555" s="1" t="s">
        <v>7608</v>
      </c>
      <c r="C2555" s="1" t="s">
        <v>7620</v>
      </c>
      <c r="D2555" s="1" t="str">
        <f t="shared" si="117"/>
        <v>Middelfart KommuneAlgade 60, hj af Nygade</v>
      </c>
      <c r="E2555" s="1" t="s">
        <v>7621</v>
      </c>
      <c r="F2555" s="1" t="s">
        <v>6980</v>
      </c>
      <c r="G2555" s="1">
        <v>1918</v>
      </c>
      <c r="H2555" s="1" t="s">
        <v>11</v>
      </c>
      <c r="I2555" s="6" cm="1">
        <f t="array" ref="I2555">GetLatitude(D2555)</f>
        <v>555049289</v>
      </c>
      <c r="J2555" s="1" cm="1">
        <f t="array" ref="J2555">GetLongitude(D2555)</f>
        <v>97335694</v>
      </c>
      <c r="K2555" s="1">
        <f t="shared" si="118"/>
        <v>55.504928900000003</v>
      </c>
      <c r="L2555" s="1">
        <f t="shared" si="119"/>
        <v>9.7335694000000004</v>
      </c>
    </row>
    <row r="2556" spans="1:12" ht="16" x14ac:dyDescent="0.2">
      <c r="A2556" s="1">
        <v>2555</v>
      </c>
      <c r="B2556" s="1" t="s">
        <v>7608</v>
      </c>
      <c r="C2556" s="1" t="s">
        <v>7622</v>
      </c>
      <c r="D2556" s="1" t="str">
        <f t="shared" si="117"/>
        <v>Middelfart KommuneBrogade 10</v>
      </c>
      <c r="E2556" s="1" t="s">
        <v>7623</v>
      </c>
      <c r="F2556" s="1" t="s">
        <v>7624</v>
      </c>
      <c r="G2556" s="1">
        <v>1919</v>
      </c>
      <c r="H2556" s="1" t="s">
        <v>11</v>
      </c>
      <c r="I2556" s="6" cm="1">
        <f t="array" ref="I2556">GetLatitude(D2556)</f>
        <v>555066522</v>
      </c>
      <c r="J2556" s="1" cm="1">
        <f t="array" ref="J2556">GetLongitude(D2556)</f>
        <v>97269954</v>
      </c>
      <c r="K2556" s="1">
        <f t="shared" si="118"/>
        <v>55.506652199999998</v>
      </c>
      <c r="L2556" s="1">
        <f t="shared" si="119"/>
        <v>9.7269953999999998</v>
      </c>
    </row>
    <row r="2557" spans="1:12" ht="16" x14ac:dyDescent="0.2">
      <c r="A2557" s="1">
        <v>2556</v>
      </c>
      <c r="B2557" s="1" t="s">
        <v>7608</v>
      </c>
      <c r="C2557" s="1" t="s">
        <v>7625</v>
      </c>
      <c r="D2557" s="1" t="str">
        <f t="shared" si="117"/>
        <v>Middelfart KommuneBrogade 8</v>
      </c>
      <c r="E2557" s="1" t="s">
        <v>7626</v>
      </c>
      <c r="F2557" s="1" t="s">
        <v>7627</v>
      </c>
      <c r="G2557" s="1">
        <v>1918</v>
      </c>
      <c r="H2557" s="1" t="s">
        <v>11</v>
      </c>
      <c r="I2557" s="6" cm="1">
        <f t="array" ref="I2557">GetLatitude(D2557)</f>
        <v>555067406</v>
      </c>
      <c r="J2557" s="1" cm="1">
        <f t="array" ref="J2557">GetLongitude(D2557)</f>
        <v>97270598</v>
      </c>
      <c r="K2557" s="1">
        <f t="shared" si="118"/>
        <v>55.506740600000001</v>
      </c>
      <c r="L2557" s="1">
        <f t="shared" si="119"/>
        <v>9.7270597999999993</v>
      </c>
    </row>
    <row r="2558" spans="1:12" ht="16" x14ac:dyDescent="0.2">
      <c r="A2558" s="1">
        <v>2557</v>
      </c>
      <c r="B2558" s="1" t="s">
        <v>7608</v>
      </c>
      <c r="C2558" s="1" t="s">
        <v>7628</v>
      </c>
      <c r="D2558" s="1" t="str">
        <f t="shared" si="117"/>
        <v>Middelfart KommuneBryggervej 15</v>
      </c>
      <c r="E2558" s="1" t="s">
        <v>24</v>
      </c>
      <c r="F2558" s="1" t="s">
        <v>7629</v>
      </c>
      <c r="G2558" s="1">
        <v>1989</v>
      </c>
      <c r="H2558" s="1" t="s">
        <v>7630</v>
      </c>
      <c r="I2558" s="6" cm="1">
        <f t="array" ref="I2558">GetLatitude(D2558)</f>
        <v>554837932</v>
      </c>
      <c r="J2558" s="1" cm="1">
        <f t="array" ref="J2558">GetLongitude(D2558)</f>
        <v>99777345</v>
      </c>
      <c r="K2558" s="1">
        <f t="shared" si="118"/>
        <v>55.483793200000001</v>
      </c>
      <c r="L2558" s="1">
        <f t="shared" si="119"/>
        <v>9.9777345000000004</v>
      </c>
    </row>
    <row r="2559" spans="1:12" ht="16" x14ac:dyDescent="0.2">
      <c r="A2559" s="1">
        <v>2558</v>
      </c>
      <c r="B2559" s="1" t="s">
        <v>7608</v>
      </c>
      <c r="C2559" s="1" t="s">
        <v>7631</v>
      </c>
      <c r="D2559" s="1" t="str">
        <f t="shared" si="117"/>
        <v>Middelfart KommuneCathrinebjergvej 7</v>
      </c>
      <c r="E2559" s="1" t="s">
        <v>7632</v>
      </c>
      <c r="F2559" s="1" t="s">
        <v>7633</v>
      </c>
      <c r="G2559" s="1">
        <v>1950</v>
      </c>
      <c r="H2559" s="1" t="s">
        <v>15</v>
      </c>
      <c r="I2559" s="6" cm="1">
        <f t="array" ref="I2559">GetLatitude(D2559)</f>
        <v>554709584</v>
      </c>
      <c r="J2559" s="1" cm="1">
        <f t="array" ref="J2559">GetLongitude(D2559)</f>
        <v>98726433</v>
      </c>
      <c r="K2559" s="1">
        <f t="shared" si="118"/>
        <v>55.470958400000001</v>
      </c>
      <c r="L2559" s="1">
        <f t="shared" si="119"/>
        <v>9.8726433</v>
      </c>
    </row>
    <row r="2560" spans="1:12" ht="16" x14ac:dyDescent="0.2">
      <c r="A2560" s="1">
        <v>2559</v>
      </c>
      <c r="B2560" s="1" t="s">
        <v>7608</v>
      </c>
      <c r="C2560" s="1" t="s">
        <v>7634</v>
      </c>
      <c r="D2560" s="1" t="str">
        <f t="shared" si="117"/>
        <v>Middelfart KommuneFjellerupvej 10</v>
      </c>
      <c r="E2560" s="1" t="s">
        <v>7635</v>
      </c>
      <c r="F2560" s="1" t="s">
        <v>7636</v>
      </c>
      <c r="G2560" s="1">
        <v>1985</v>
      </c>
      <c r="H2560" s="1" t="s">
        <v>11</v>
      </c>
      <c r="I2560" s="6" cm="1">
        <f t="array" ref="I2560">GetLatitude(D2560)</f>
        <v>554591706</v>
      </c>
      <c r="J2560" s="1" cm="1">
        <f t="array" ref="J2560">GetLongitude(D2560)</f>
        <v>100221691</v>
      </c>
      <c r="K2560" s="1">
        <f t="shared" si="118"/>
        <v>55.4591706</v>
      </c>
      <c r="L2560" s="1">
        <f t="shared" si="119"/>
        <v>10.022169099999999</v>
      </c>
    </row>
    <row r="2561" spans="1:12" ht="16" x14ac:dyDescent="0.2">
      <c r="A2561" s="1">
        <v>2560</v>
      </c>
      <c r="B2561" s="1" t="s">
        <v>7608</v>
      </c>
      <c r="C2561" s="1" t="s">
        <v>7637</v>
      </c>
      <c r="D2561" s="1" t="str">
        <f t="shared" si="117"/>
        <v>Middelfart KommuneFuglemosegyden 15-17</v>
      </c>
      <c r="E2561" s="1" t="s">
        <v>7638</v>
      </c>
      <c r="F2561" s="1" t="s">
        <v>7639</v>
      </c>
      <c r="G2561" s="1">
        <v>1990</v>
      </c>
      <c r="H2561" s="1" t="s">
        <v>15</v>
      </c>
      <c r="I2561" s="6" cm="1">
        <f t="array" ref="I2561">GetLatitude(D2561)</f>
        <v>553943959</v>
      </c>
      <c r="J2561" s="1" cm="1">
        <f t="array" ref="J2561">GetLongitude(D2561)</f>
        <v>98826617</v>
      </c>
      <c r="K2561" s="1">
        <f t="shared" si="118"/>
        <v>55.394395899999999</v>
      </c>
      <c r="L2561" s="1">
        <f t="shared" si="119"/>
        <v>9.8826616999999999</v>
      </c>
    </row>
    <row r="2562" spans="1:12" ht="16" x14ac:dyDescent="0.2">
      <c r="A2562" s="1">
        <v>2561</v>
      </c>
      <c r="B2562" s="1" t="s">
        <v>7608</v>
      </c>
      <c r="C2562" s="1" t="s">
        <v>7640</v>
      </c>
      <c r="D2562" s="1" t="str">
        <f t="shared" si="117"/>
        <v>Middelfart KommuneFønsskovvej 43</v>
      </c>
      <c r="E2562" s="1" t="s">
        <v>7641</v>
      </c>
      <c r="F2562" s="1" t="s">
        <v>7642</v>
      </c>
      <c r="G2562" s="1">
        <v>1950</v>
      </c>
      <c r="H2562" s="1" t="s">
        <v>15</v>
      </c>
      <c r="I2562" s="6" cm="1">
        <f t="array" ref="I2562">GetLatitude(D2562)</f>
        <v>554533951</v>
      </c>
      <c r="J2562" s="1" cm="1">
        <f t="array" ref="J2562">GetLongitude(D2562)</f>
        <v>97451459</v>
      </c>
      <c r="K2562" s="1">
        <f t="shared" si="118"/>
        <v>55.453395100000002</v>
      </c>
      <c r="L2562" s="1">
        <f t="shared" si="119"/>
        <v>9.7451459000000007</v>
      </c>
    </row>
    <row r="2563" spans="1:12" ht="16" x14ac:dyDescent="0.2">
      <c r="A2563" s="1">
        <v>2562</v>
      </c>
      <c r="B2563" s="1" t="s">
        <v>7608</v>
      </c>
      <c r="C2563" s="1" t="s">
        <v>7643</v>
      </c>
      <c r="D2563" s="1" t="str">
        <f t="shared" ref="D2563:D2626" si="120">B2563&amp;C2563</f>
        <v>Middelfart KommuneHindsgavl Allé 7-8 og Granhækken 2</v>
      </c>
      <c r="E2563" s="1" t="s">
        <v>7644</v>
      </c>
      <c r="F2563" s="1" t="s">
        <v>7645</v>
      </c>
      <c r="G2563" s="1">
        <v>1918</v>
      </c>
      <c r="H2563" s="1" t="s">
        <v>11391</v>
      </c>
      <c r="I2563" s="6" cm="1">
        <f t="array" ref="I2563">GetLatitude(D2563)</f>
        <v>555068633</v>
      </c>
      <c r="J2563" s="1" cm="1">
        <f t="array" ref="J2563">GetLongitude(D2563)</f>
        <v>96904501</v>
      </c>
      <c r="K2563" s="1">
        <f t="shared" si="118"/>
        <v>55.506863299999999</v>
      </c>
      <c r="L2563" s="1">
        <f t="shared" si="119"/>
        <v>9.6904500999999996</v>
      </c>
    </row>
    <row r="2564" spans="1:12" ht="16" x14ac:dyDescent="0.2">
      <c r="A2564" s="1">
        <v>2563</v>
      </c>
      <c r="B2564" s="1" t="s">
        <v>7608</v>
      </c>
      <c r="C2564" s="1" t="s">
        <v>7646</v>
      </c>
      <c r="D2564" s="1" t="str">
        <f t="shared" si="120"/>
        <v>Middelfart KommuneJernbanevej 4</v>
      </c>
      <c r="E2564" s="1" t="s">
        <v>7647</v>
      </c>
      <c r="F2564" s="1" t="s">
        <v>7648</v>
      </c>
      <c r="G2564" s="1">
        <v>1992</v>
      </c>
      <c r="H2564" s="1" t="s">
        <v>11</v>
      </c>
      <c r="I2564" s="6" cm="1">
        <f t="array" ref="I2564">GetLatitude(D2564)</f>
        <v>554709584</v>
      </c>
      <c r="J2564" s="1" cm="1">
        <f t="array" ref="J2564">GetLongitude(D2564)</f>
        <v>98726433</v>
      </c>
      <c r="K2564" s="1">
        <f t="shared" ref="K2564:K2627" si="121">I2564/10000000</f>
        <v>55.470958400000001</v>
      </c>
      <c r="L2564" s="1">
        <f t="shared" ref="L2564:L2627" si="122">J2564/10000000</f>
        <v>9.8726433</v>
      </c>
    </row>
    <row r="2565" spans="1:12" ht="16" x14ac:dyDescent="0.2">
      <c r="A2565" s="1">
        <v>2564</v>
      </c>
      <c r="B2565" s="1" t="s">
        <v>7608</v>
      </c>
      <c r="C2565" s="1" t="s">
        <v>7649</v>
      </c>
      <c r="D2565" s="1" t="str">
        <f t="shared" si="120"/>
        <v>Middelfart KommuneKalvehave 4</v>
      </c>
      <c r="E2565" s="1" t="s">
        <v>7650</v>
      </c>
      <c r="F2565" s="1" t="s">
        <v>7651</v>
      </c>
      <c r="G2565" s="1">
        <v>1990</v>
      </c>
      <c r="H2565" s="1" t="s">
        <v>11</v>
      </c>
      <c r="I2565" s="6" cm="1">
        <f t="array" ref="I2565">GetLatitude(D2565)</f>
        <v>554709584</v>
      </c>
      <c r="J2565" s="1" cm="1">
        <f t="array" ref="J2565">GetLongitude(D2565)</f>
        <v>98726433</v>
      </c>
      <c r="K2565" s="1">
        <f t="shared" si="121"/>
        <v>55.470958400000001</v>
      </c>
      <c r="L2565" s="1">
        <f t="shared" si="122"/>
        <v>9.8726433</v>
      </c>
    </row>
    <row r="2566" spans="1:12" ht="16" x14ac:dyDescent="0.2">
      <c r="A2566" s="1">
        <v>2565</v>
      </c>
      <c r="B2566" s="1" t="s">
        <v>7608</v>
      </c>
      <c r="C2566" s="1" t="s">
        <v>7652</v>
      </c>
      <c r="D2566" s="1" t="str">
        <f t="shared" si="120"/>
        <v>Middelfart KommuneKongebrovej 42</v>
      </c>
      <c r="E2566" s="1" t="s">
        <v>7653</v>
      </c>
      <c r="F2566" s="1" t="s">
        <v>7654</v>
      </c>
      <c r="G2566" s="1">
        <v>1993</v>
      </c>
      <c r="H2566" s="1" t="s">
        <v>15</v>
      </c>
      <c r="I2566" s="6" cm="1">
        <f t="array" ref="I2566">GetLatitude(D2566)</f>
        <v>555078526</v>
      </c>
      <c r="J2566" s="1" cm="1">
        <f t="array" ref="J2566">GetLongitude(D2566)</f>
        <v>97202469</v>
      </c>
      <c r="K2566" s="1">
        <f t="shared" si="121"/>
        <v>55.5078526</v>
      </c>
      <c r="L2566" s="1">
        <f t="shared" si="122"/>
        <v>9.7202468999999994</v>
      </c>
    </row>
    <row r="2567" spans="1:12" ht="16" x14ac:dyDescent="0.2">
      <c r="A2567" s="1">
        <v>2566</v>
      </c>
      <c r="B2567" s="1" t="s">
        <v>7608</v>
      </c>
      <c r="C2567" s="1" t="s">
        <v>7655</v>
      </c>
      <c r="D2567" s="1" t="str">
        <f t="shared" si="120"/>
        <v>Middelfart KommuneKongebrovej 68</v>
      </c>
      <c r="E2567" s="1" t="s">
        <v>7656</v>
      </c>
      <c r="F2567" s="1" t="s">
        <v>7657</v>
      </c>
      <c r="G2567" s="1">
        <v>1986</v>
      </c>
      <c r="H2567" s="1" t="s">
        <v>11</v>
      </c>
      <c r="I2567" s="6" cm="1">
        <f t="array" ref="I2567">GetLatitude(D2567)</f>
        <v>555115024</v>
      </c>
      <c r="J2567" s="1" cm="1">
        <f t="array" ref="J2567">GetLongitude(D2567)</f>
        <v>97114998</v>
      </c>
      <c r="K2567" s="1">
        <f t="shared" si="121"/>
        <v>55.511502399999998</v>
      </c>
      <c r="L2567" s="1">
        <f t="shared" si="122"/>
        <v>9.7114998000000003</v>
      </c>
    </row>
    <row r="2568" spans="1:12" ht="16" x14ac:dyDescent="0.2">
      <c r="A2568" s="1">
        <v>2567</v>
      </c>
      <c r="B2568" s="1" t="s">
        <v>7608</v>
      </c>
      <c r="C2568" s="1" t="s">
        <v>7658</v>
      </c>
      <c r="D2568" s="1" t="str">
        <f t="shared" si="120"/>
        <v>Middelfart KommuneKællingbjerg 5</v>
      </c>
      <c r="E2568" s="1" t="s">
        <v>7659</v>
      </c>
      <c r="F2568" s="1" t="s">
        <v>7660</v>
      </c>
      <c r="G2568" s="1">
        <v>1983</v>
      </c>
      <c r="H2568" s="1" t="s">
        <v>15</v>
      </c>
      <c r="I2568" s="6" cm="1">
        <f t="array" ref="I2568">GetLatitude(D2568)</f>
        <v>553908817</v>
      </c>
      <c r="J2568" s="1" cm="1">
        <f t="array" ref="J2568">GetLongitude(D2568)</f>
        <v>98985864</v>
      </c>
      <c r="K2568" s="1">
        <f t="shared" si="121"/>
        <v>55.390881700000001</v>
      </c>
      <c r="L2568" s="1">
        <f t="shared" si="122"/>
        <v>9.8985863999999992</v>
      </c>
    </row>
    <row r="2569" spans="1:12" ht="16" x14ac:dyDescent="0.2">
      <c r="A2569" s="1">
        <v>2568</v>
      </c>
      <c r="B2569" s="1" t="s">
        <v>7608</v>
      </c>
      <c r="C2569" s="1" t="s">
        <v>7661</v>
      </c>
      <c r="D2569" s="1" t="str">
        <f t="shared" si="120"/>
        <v>Middelfart KommuneRugårdsvej 160</v>
      </c>
      <c r="E2569" s="1" t="s">
        <v>7662</v>
      </c>
      <c r="F2569" s="1" t="s">
        <v>7663</v>
      </c>
      <c r="G2569" s="1">
        <v>1918</v>
      </c>
      <c r="H2569" s="1" t="s">
        <v>15</v>
      </c>
      <c r="I2569" s="6" cm="1">
        <f t="array" ref="I2569">GetLatitude(D2569)</f>
        <v>554783407</v>
      </c>
      <c r="J2569" s="1" cm="1">
        <f t="array" ref="J2569">GetLongitude(D2569)</f>
        <v>99799720</v>
      </c>
      <c r="K2569" s="1">
        <f t="shared" si="121"/>
        <v>55.478340699999997</v>
      </c>
      <c r="L2569" s="1">
        <f t="shared" si="122"/>
        <v>9.9799720000000001</v>
      </c>
    </row>
    <row r="2570" spans="1:12" ht="16" x14ac:dyDescent="0.2">
      <c r="A2570" s="1">
        <v>2569</v>
      </c>
      <c r="B2570" s="1" t="s">
        <v>7608</v>
      </c>
      <c r="C2570" s="1" t="s">
        <v>7664</v>
      </c>
      <c r="D2570" s="1" t="str">
        <f t="shared" si="120"/>
        <v>Middelfart KommuneTybrindvej 2</v>
      </c>
      <c r="E2570" s="1" t="s">
        <v>7665</v>
      </c>
      <c r="F2570" s="1" t="s">
        <v>7666</v>
      </c>
      <c r="G2570" s="1">
        <v>1918</v>
      </c>
      <c r="H2570" s="1" t="s">
        <v>15</v>
      </c>
      <c r="I2570" s="6" cm="1">
        <f t="array" ref="I2570">GetLatitude(D2570)</f>
        <v>553675820</v>
      </c>
      <c r="J2570" s="1" cm="1">
        <f t="array" ref="J2570">GetLongitude(D2570)</f>
        <v>98199790</v>
      </c>
      <c r="K2570" s="1">
        <f t="shared" si="121"/>
        <v>55.367581999999999</v>
      </c>
      <c r="L2570" s="1">
        <f t="shared" si="122"/>
        <v>9.819979</v>
      </c>
    </row>
    <row r="2571" spans="1:12" ht="16" x14ac:dyDescent="0.2">
      <c r="A2571" s="1">
        <v>2570</v>
      </c>
      <c r="B2571" s="1" t="s">
        <v>7667</v>
      </c>
      <c r="C2571" s="1" t="s">
        <v>7668</v>
      </c>
      <c r="D2571" s="1" t="str">
        <f t="shared" si="120"/>
        <v>Morsø Kommune Feggesundvej 53</v>
      </c>
      <c r="E2571" s="1" t="s">
        <v>7669</v>
      </c>
      <c r="F2571" s="1" t="s">
        <v>7670</v>
      </c>
      <c r="G2571" s="1">
        <v>2005</v>
      </c>
      <c r="H2571" s="1" t="s">
        <v>15</v>
      </c>
      <c r="I2571" s="6" cm="1">
        <f t="array" ref="I2571">GetLatitude(D2571)</f>
        <v>569411750</v>
      </c>
      <c r="J2571" s="1" cm="1">
        <f t="array" ref="J2571">GetLongitude(D2571)</f>
        <v>88660758</v>
      </c>
      <c r="K2571" s="1">
        <f t="shared" si="121"/>
        <v>56.941175000000001</v>
      </c>
      <c r="L2571" s="1">
        <f t="shared" si="122"/>
        <v>8.8660758000000008</v>
      </c>
    </row>
    <row r="2572" spans="1:12" ht="16" x14ac:dyDescent="0.2">
      <c r="A2572" s="1">
        <v>2571</v>
      </c>
      <c r="B2572" s="1" t="s">
        <v>7667</v>
      </c>
      <c r="C2572" s="1" t="s">
        <v>7671</v>
      </c>
      <c r="D2572" s="1" t="str">
        <f t="shared" si="120"/>
        <v>Morsø Kommune Grønnegade 51-53 (Dueholmgade)</v>
      </c>
      <c r="E2572" s="1" t="s">
        <v>7672</v>
      </c>
      <c r="F2572" s="1" t="s">
        <v>7673</v>
      </c>
      <c r="G2572" s="1">
        <v>1918</v>
      </c>
      <c r="H2572" s="1" t="s">
        <v>11</v>
      </c>
      <c r="I2572" s="6" cm="1">
        <f t="array" ref="I2572">GetLatitude(D2572)</f>
        <v>567940027</v>
      </c>
      <c r="J2572" s="1" cm="1">
        <f t="array" ref="J2572">GetLongitude(D2572)</f>
        <v>88544540</v>
      </c>
      <c r="K2572" s="1">
        <f t="shared" si="121"/>
        <v>56.7940027</v>
      </c>
      <c r="L2572" s="1">
        <f t="shared" si="122"/>
        <v>8.8544540000000005</v>
      </c>
    </row>
    <row r="2573" spans="1:12" ht="16" x14ac:dyDescent="0.2">
      <c r="A2573" s="1">
        <v>2572</v>
      </c>
      <c r="B2573" s="1" t="s">
        <v>7667</v>
      </c>
      <c r="C2573" s="1" t="s">
        <v>7674</v>
      </c>
      <c r="D2573" s="1" t="str">
        <f t="shared" si="120"/>
        <v>Morsø Kommune Munkegade 22</v>
      </c>
      <c r="E2573" s="1" t="s">
        <v>7675</v>
      </c>
      <c r="F2573" s="1" t="s">
        <v>7676</v>
      </c>
      <c r="G2573" s="1">
        <v>1981</v>
      </c>
      <c r="H2573" s="1" t="s">
        <v>11</v>
      </c>
      <c r="I2573" s="6" cm="1">
        <f t="array" ref="I2573">GetLatitude(D2573)</f>
        <v>567942808</v>
      </c>
      <c r="J2573" s="1" cm="1">
        <f t="array" ref="J2573">GetLongitude(D2573)</f>
        <v>88522048</v>
      </c>
      <c r="K2573" s="1">
        <f t="shared" si="121"/>
        <v>56.794280800000003</v>
      </c>
      <c r="L2573" s="1">
        <f t="shared" si="122"/>
        <v>8.8522048000000009</v>
      </c>
    </row>
    <row r="2574" spans="1:12" ht="16" x14ac:dyDescent="0.2">
      <c r="A2574" s="1">
        <v>2573</v>
      </c>
      <c r="B2574" s="1" t="s">
        <v>7667</v>
      </c>
      <c r="C2574" s="1" t="s">
        <v>7677</v>
      </c>
      <c r="D2574" s="1" t="str">
        <f t="shared" si="120"/>
        <v>Morsø Kommune Poulsen Dalsvej 7</v>
      </c>
      <c r="E2574" s="1" t="s">
        <v>7678</v>
      </c>
      <c r="F2574" s="1" t="s">
        <v>7679</v>
      </c>
      <c r="G2574" s="1">
        <v>1979</v>
      </c>
      <c r="H2574" s="1" t="s">
        <v>11</v>
      </c>
      <c r="I2574" s="6" cm="1">
        <f t="array" ref="I2574">GetLatitude(D2574)</f>
        <v>568374247</v>
      </c>
      <c r="J2574" s="1" cm="1">
        <f t="array" ref="J2574">GetLongitude(D2574)</f>
        <v>87182371</v>
      </c>
      <c r="K2574" s="1">
        <f t="shared" si="121"/>
        <v>56.8374247</v>
      </c>
      <c r="L2574" s="1">
        <f t="shared" si="122"/>
        <v>8.7182370999999996</v>
      </c>
    </row>
    <row r="2575" spans="1:12" ht="16" x14ac:dyDescent="0.2">
      <c r="A2575" s="1">
        <v>2574</v>
      </c>
      <c r="B2575" s="1" t="s">
        <v>7667</v>
      </c>
      <c r="C2575" s="1" t="s">
        <v>7680</v>
      </c>
      <c r="D2575" s="1" t="str">
        <f t="shared" si="120"/>
        <v>Morsø Kommune Rådhustorvet 1 K</v>
      </c>
      <c r="E2575" s="1" t="s">
        <v>7681</v>
      </c>
      <c r="F2575" s="1" t="s">
        <v>7682</v>
      </c>
      <c r="G2575" s="1">
        <v>1977</v>
      </c>
      <c r="H2575" s="1" t="s">
        <v>11</v>
      </c>
      <c r="I2575" s="6" cm="1">
        <f t="array" ref="I2575">GetLatitude(D2575)</f>
        <v>568188911</v>
      </c>
      <c r="J2575" s="1" cm="1">
        <f t="array" ref="J2575">GetLongitude(D2575)</f>
        <v>87281466</v>
      </c>
      <c r="K2575" s="1">
        <f t="shared" si="121"/>
        <v>56.818891100000002</v>
      </c>
      <c r="L2575" s="1">
        <f t="shared" si="122"/>
        <v>8.7281466000000005</v>
      </c>
    </row>
    <row r="2576" spans="1:12" ht="16" x14ac:dyDescent="0.2">
      <c r="A2576" s="1">
        <v>2575</v>
      </c>
      <c r="B2576" s="1" t="s">
        <v>7667</v>
      </c>
      <c r="C2576" s="1" t="s">
        <v>7683</v>
      </c>
      <c r="D2576" s="1" t="str">
        <f t="shared" si="120"/>
        <v>Morsø Kommune Rådhustorvet 2 og 4</v>
      </c>
      <c r="E2576" s="1" t="s">
        <v>7684</v>
      </c>
      <c r="F2576" s="1" t="s">
        <v>7685</v>
      </c>
      <c r="G2576" s="1">
        <v>1988</v>
      </c>
      <c r="H2576" s="1" t="s">
        <v>15</v>
      </c>
      <c r="I2576" s="6" cm="1">
        <f t="array" ref="I2576">GetLatitude(D2576)</f>
        <v>568188911</v>
      </c>
      <c r="J2576" s="1" cm="1">
        <f t="array" ref="J2576">GetLongitude(D2576)</f>
        <v>87281466</v>
      </c>
      <c r="K2576" s="1">
        <f t="shared" si="121"/>
        <v>56.818891100000002</v>
      </c>
      <c r="L2576" s="1">
        <f t="shared" si="122"/>
        <v>8.7281466000000005</v>
      </c>
    </row>
    <row r="2577" spans="1:12" ht="16" x14ac:dyDescent="0.2">
      <c r="A2577" s="1">
        <v>2576</v>
      </c>
      <c r="B2577" s="1" t="s">
        <v>7667</v>
      </c>
      <c r="C2577" s="1" t="s">
        <v>7686</v>
      </c>
      <c r="D2577" s="1" t="str">
        <f t="shared" si="120"/>
        <v>Morsø Kommune Strandgade 61</v>
      </c>
      <c r="E2577" s="1" t="s">
        <v>7687</v>
      </c>
      <c r="F2577" s="1" t="s">
        <v>7688</v>
      </c>
      <c r="G2577" s="1">
        <v>1992</v>
      </c>
      <c r="H2577" s="1" t="s">
        <v>15</v>
      </c>
      <c r="I2577" s="6" cm="1">
        <f t="array" ref="I2577">GetLatitude(D2577)</f>
        <v>568615808</v>
      </c>
      <c r="J2577" s="1" cm="1">
        <f t="array" ref="J2577">GetLongitude(D2577)</f>
        <v>88273693</v>
      </c>
      <c r="K2577" s="1">
        <f t="shared" si="121"/>
        <v>56.861580799999999</v>
      </c>
      <c r="L2577" s="1">
        <f t="shared" si="122"/>
        <v>8.8273693000000009</v>
      </c>
    </row>
    <row r="2578" spans="1:12" ht="16" x14ac:dyDescent="0.2">
      <c r="A2578" s="1">
        <v>2577</v>
      </c>
      <c r="B2578" s="1" t="s">
        <v>7667</v>
      </c>
      <c r="C2578" s="1" t="s">
        <v>6579</v>
      </c>
      <c r="D2578" s="1" t="str">
        <f t="shared" si="120"/>
        <v>Morsø Kommune Toldbodgade 12</v>
      </c>
      <c r="E2578" s="1" t="s">
        <v>7689</v>
      </c>
      <c r="F2578" s="1" t="s">
        <v>7690</v>
      </c>
      <c r="G2578" s="1">
        <v>1984</v>
      </c>
      <c r="H2578" s="1" t="s">
        <v>15</v>
      </c>
      <c r="I2578" s="6" cm="1">
        <f t="array" ref="I2578">GetLatitude(D2578)</f>
        <v>567950710</v>
      </c>
      <c r="J2578" s="1" cm="1">
        <f t="array" ref="J2578">GetLongitude(D2578)</f>
        <v>88623780</v>
      </c>
      <c r="K2578" s="1">
        <f t="shared" si="121"/>
        <v>56.795071</v>
      </c>
      <c r="L2578" s="1">
        <f t="shared" si="122"/>
        <v>8.8623779999999996</v>
      </c>
    </row>
    <row r="2579" spans="1:12" ht="16" x14ac:dyDescent="0.2">
      <c r="A2579" s="1">
        <v>2578</v>
      </c>
      <c r="B2579" s="1" t="s">
        <v>7691</v>
      </c>
      <c r="C2579" s="1" t="s">
        <v>7692</v>
      </c>
      <c r="D2579" s="1" t="str">
        <f t="shared" si="120"/>
        <v>Nordjurs KommuneBallevej 30</v>
      </c>
      <c r="E2579" s="1" t="s">
        <v>7693</v>
      </c>
      <c r="F2579" s="1" t="s">
        <v>7694</v>
      </c>
      <c r="G2579" s="1">
        <v>1918</v>
      </c>
      <c r="H2579" s="1" t="s">
        <v>15</v>
      </c>
      <c r="I2579" s="6" cm="1">
        <f t="array" ref="I2579">GetLatitude(D2579)</f>
        <v>563304160</v>
      </c>
      <c r="J2579" s="1" cm="1">
        <f t="array" ref="J2579">GetLongitude(D2579)</f>
        <v>108013260</v>
      </c>
      <c r="K2579" s="1">
        <f t="shared" si="121"/>
        <v>56.330416</v>
      </c>
      <c r="L2579" s="1">
        <f t="shared" si="122"/>
        <v>10.801326</v>
      </c>
    </row>
    <row r="2580" spans="1:12" ht="16" x14ac:dyDescent="0.2">
      <c r="A2580" s="1">
        <v>2579</v>
      </c>
      <c r="B2580" s="1" t="s">
        <v>7691</v>
      </c>
      <c r="C2580" s="1" t="s">
        <v>7695</v>
      </c>
      <c r="D2580" s="1" t="str">
        <f t="shared" si="120"/>
        <v>Nordjurs KommuneHammelevvej 62-64</v>
      </c>
      <c r="E2580" s="1" t="s">
        <v>7696</v>
      </c>
      <c r="F2580" s="1" t="s">
        <v>7697</v>
      </c>
      <c r="G2580" s="1">
        <v>1973</v>
      </c>
      <c r="H2580" s="1" t="s">
        <v>11</v>
      </c>
      <c r="I2580" s="6" cm="1">
        <f t="array" ref="I2580">GetLatitude(D2580)</f>
        <v>564446957</v>
      </c>
      <c r="J2580" s="1" cm="1">
        <f t="array" ref="J2580">GetLongitude(D2580)</f>
        <v>108972940</v>
      </c>
      <c r="K2580" s="1">
        <f t="shared" si="121"/>
        <v>56.444695699999997</v>
      </c>
      <c r="L2580" s="1">
        <f t="shared" si="122"/>
        <v>10.897294</v>
      </c>
    </row>
    <row r="2581" spans="1:12" ht="16" x14ac:dyDescent="0.2">
      <c r="A2581" s="1">
        <v>2580</v>
      </c>
      <c r="B2581" s="1" t="s">
        <v>7691</v>
      </c>
      <c r="C2581" s="1" t="s">
        <v>7698</v>
      </c>
      <c r="D2581" s="1" t="str">
        <f t="shared" si="120"/>
        <v>Nordjurs KommuneHolbækgårdsvej 20</v>
      </c>
      <c r="E2581" s="1" t="s">
        <v>7699</v>
      </c>
      <c r="F2581" s="1" t="s">
        <v>7700</v>
      </c>
      <c r="G2581" s="1">
        <v>1918</v>
      </c>
      <c r="H2581" s="1" t="s">
        <v>11</v>
      </c>
      <c r="I2581" s="8">
        <v>56.564686999999999</v>
      </c>
      <c r="J2581" s="1">
        <v>10.272911300000001</v>
      </c>
      <c r="K2581" s="8">
        <f>I2581</f>
        <v>56.564686999999999</v>
      </c>
      <c r="L2581" s="1">
        <f>J2581</f>
        <v>10.272911300000001</v>
      </c>
    </row>
    <row r="2582" spans="1:12" ht="16" x14ac:dyDescent="0.2">
      <c r="A2582" s="1">
        <v>2581</v>
      </c>
      <c r="B2582" s="1" t="s">
        <v>7691</v>
      </c>
      <c r="C2582" s="1" t="s">
        <v>7701</v>
      </c>
      <c r="D2582" s="1" t="str">
        <f t="shared" si="120"/>
        <v>Nordjurs KommuneKatholm 1</v>
      </c>
      <c r="E2582" s="1" t="s">
        <v>7702</v>
      </c>
      <c r="F2582" s="1" t="s">
        <v>7703</v>
      </c>
      <c r="G2582" s="1">
        <v>1918</v>
      </c>
      <c r="H2582" s="1" t="s">
        <v>15</v>
      </c>
      <c r="I2582" s="6" cm="1">
        <f t="array" ref="I2582">GetLatitude(D2582)</f>
        <v>563598642</v>
      </c>
      <c r="J2582" s="1" cm="1">
        <f t="array" ref="J2582">GetLongitude(D2582)</f>
        <v>108929047</v>
      </c>
      <c r="K2582" s="1">
        <f t="shared" si="121"/>
        <v>56.359864199999997</v>
      </c>
      <c r="L2582" s="1">
        <f t="shared" si="122"/>
        <v>10.892904700000001</v>
      </c>
    </row>
    <row r="2583" spans="1:12" ht="16" x14ac:dyDescent="0.2">
      <c r="A2583" s="1">
        <v>2582</v>
      </c>
      <c r="B2583" s="1" t="s">
        <v>7691</v>
      </c>
      <c r="C2583" s="1" t="s">
        <v>7704</v>
      </c>
      <c r="D2583" s="1" t="str">
        <f t="shared" si="120"/>
        <v>Nordjurs KommuneKirkegade 19</v>
      </c>
      <c r="E2583" s="1" t="s">
        <v>7705</v>
      </c>
      <c r="F2583" s="1" t="s">
        <v>7706</v>
      </c>
      <c r="G2583" s="1">
        <v>1978</v>
      </c>
      <c r="H2583" s="1" t="s">
        <v>11</v>
      </c>
      <c r="I2583" s="6" cm="1">
        <f t="array" ref="I2583">GetLatitude(D2583)</f>
        <v>564338806</v>
      </c>
      <c r="J2583" s="1" cm="1">
        <f t="array" ref="J2583">GetLongitude(D2583)</f>
        <v>103772697</v>
      </c>
      <c r="K2583" s="1">
        <f t="shared" si="121"/>
        <v>56.433880600000002</v>
      </c>
      <c r="L2583" s="1">
        <f t="shared" si="122"/>
        <v>10.377269699999999</v>
      </c>
    </row>
    <row r="2584" spans="1:12" ht="16" x14ac:dyDescent="0.2">
      <c r="A2584" s="1">
        <v>2583</v>
      </c>
      <c r="B2584" s="1" t="s">
        <v>7691</v>
      </c>
      <c r="C2584" s="1" t="s">
        <v>7707</v>
      </c>
      <c r="D2584" s="1" t="str">
        <f t="shared" si="120"/>
        <v>Nordjurs KommuneLillegade 26 D</v>
      </c>
      <c r="E2584" s="1" t="s">
        <v>7708</v>
      </c>
      <c r="F2584" s="1" t="s">
        <v>2764</v>
      </c>
      <c r="G2584" s="1">
        <v>1924</v>
      </c>
      <c r="H2584" s="1" t="s">
        <v>15</v>
      </c>
      <c r="I2584" s="6" cm="1">
        <f t="array" ref="I2584">GetLatitude(D2584)</f>
        <v>564148151</v>
      </c>
      <c r="J2584" s="1" cm="1">
        <f t="array" ref="J2584">GetLongitude(D2584)</f>
        <v>108727723</v>
      </c>
      <c r="K2584" s="1">
        <f t="shared" si="121"/>
        <v>56.414815099999998</v>
      </c>
      <c r="L2584" s="1">
        <f t="shared" si="122"/>
        <v>10.872772299999999</v>
      </c>
    </row>
    <row r="2585" spans="1:12" ht="16" x14ac:dyDescent="0.2">
      <c r="A2585" s="1">
        <v>2584</v>
      </c>
      <c r="B2585" s="1" t="s">
        <v>7691</v>
      </c>
      <c r="C2585" s="1" t="s">
        <v>7709</v>
      </c>
      <c r="D2585" s="1" t="str">
        <f t="shared" si="120"/>
        <v>Nordjurs KommuneLillegade 39</v>
      </c>
      <c r="E2585" s="1" t="s">
        <v>7710</v>
      </c>
      <c r="F2585" s="1" t="s">
        <v>7711</v>
      </c>
      <c r="G2585" s="1">
        <v>1924</v>
      </c>
      <c r="H2585" s="1" t="s">
        <v>11</v>
      </c>
      <c r="I2585" s="6" cm="1">
        <f t="array" ref="I2585">GetLatitude(D2585)</f>
        <v>564154015</v>
      </c>
      <c r="J2585" s="1" cm="1">
        <f t="array" ref="J2585">GetLongitude(D2585)</f>
        <v>108711228</v>
      </c>
      <c r="K2585" s="1">
        <f t="shared" si="121"/>
        <v>56.415401500000002</v>
      </c>
      <c r="L2585" s="1">
        <f t="shared" si="122"/>
        <v>10.8711228</v>
      </c>
    </row>
    <row r="2586" spans="1:12" ht="16" x14ac:dyDescent="0.2">
      <c r="A2586" s="1">
        <v>2585</v>
      </c>
      <c r="B2586" s="1" t="s">
        <v>7691</v>
      </c>
      <c r="C2586" s="1" t="s">
        <v>7712</v>
      </c>
      <c r="D2586" s="1" t="str">
        <f t="shared" si="120"/>
        <v>Nordjurs KommuneLillegade 50</v>
      </c>
      <c r="E2586" s="1" t="s">
        <v>7713</v>
      </c>
      <c r="F2586" s="1" t="s">
        <v>7714</v>
      </c>
      <c r="G2586" s="1">
        <v>1919</v>
      </c>
      <c r="H2586" s="1" t="s">
        <v>15</v>
      </c>
      <c r="I2586" s="6" cm="1">
        <f t="array" ref="I2586">GetLatitude(D2586)</f>
        <v>564163032</v>
      </c>
      <c r="J2586" s="1" cm="1">
        <f t="array" ref="J2586">GetLongitude(D2586)</f>
        <v>108694611</v>
      </c>
      <c r="K2586" s="1">
        <f t="shared" si="121"/>
        <v>56.416303200000002</v>
      </c>
      <c r="L2586" s="1">
        <f t="shared" si="122"/>
        <v>10.869461100000001</v>
      </c>
    </row>
    <row r="2587" spans="1:12" ht="16" x14ac:dyDescent="0.2">
      <c r="A2587" s="1">
        <v>2586</v>
      </c>
      <c r="B2587" s="1" t="s">
        <v>7691</v>
      </c>
      <c r="C2587" s="1" t="s">
        <v>7715</v>
      </c>
      <c r="D2587" s="1" t="str">
        <f t="shared" si="120"/>
        <v>Nordjurs KommuneLøvenholmvej 66</v>
      </c>
      <c r="E2587" s="1" t="s">
        <v>7716</v>
      </c>
      <c r="F2587" s="1" t="s">
        <v>7717</v>
      </c>
      <c r="G2587" s="1">
        <v>1918</v>
      </c>
      <c r="H2587" s="1" t="s">
        <v>11</v>
      </c>
      <c r="I2587" s="6" cm="1">
        <f t="array" ref="I2587">GetLatitude(D2587)</f>
        <v>564529675</v>
      </c>
      <c r="J2587" s="1" cm="1">
        <f t="array" ref="J2587">GetLongitude(D2587)</f>
        <v>104450131</v>
      </c>
      <c r="K2587" s="1">
        <f t="shared" si="121"/>
        <v>56.4529675</v>
      </c>
      <c r="L2587" s="1">
        <f t="shared" si="122"/>
        <v>10.445013100000001</v>
      </c>
    </row>
    <row r="2588" spans="1:12" ht="16" x14ac:dyDescent="0.2">
      <c r="A2588" s="1">
        <v>2587</v>
      </c>
      <c r="B2588" s="1" t="s">
        <v>7691</v>
      </c>
      <c r="C2588" s="1" t="s">
        <v>7718</v>
      </c>
      <c r="D2588" s="1" t="str">
        <f t="shared" si="120"/>
        <v>Nordjurs KommuneMaria Hjerte Engen 2, 3 og 47</v>
      </c>
      <c r="E2588" s="1" t="s">
        <v>7719</v>
      </c>
      <c r="F2588" s="1" t="s">
        <v>7720</v>
      </c>
      <c r="G2588" s="1">
        <v>1918</v>
      </c>
      <c r="H2588" s="1" t="s">
        <v>1283</v>
      </c>
      <c r="I2588" s="6" cm="1">
        <f t="array" ref="I2588">GetLatitude(D2588)</f>
        <v>564978696</v>
      </c>
      <c r="J2588" s="1" cm="1">
        <f t="array" ref="J2588">GetLongitude(D2588)</f>
        <v>108240049</v>
      </c>
      <c r="K2588" s="1">
        <f t="shared" si="121"/>
        <v>56.497869600000001</v>
      </c>
      <c r="L2588" s="1">
        <f t="shared" si="122"/>
        <v>10.8240049</v>
      </c>
    </row>
    <row r="2589" spans="1:12" ht="16" x14ac:dyDescent="0.2">
      <c r="A2589" s="1">
        <v>2588</v>
      </c>
      <c r="B2589" s="1" t="s">
        <v>7691</v>
      </c>
      <c r="C2589" s="1" t="s">
        <v>7721</v>
      </c>
      <c r="D2589" s="1" t="str">
        <f t="shared" si="120"/>
        <v>Nordjurs KommuneMeilgaardvej 15</v>
      </c>
      <c r="E2589" s="1" t="s">
        <v>7722</v>
      </c>
      <c r="F2589" s="1" t="s">
        <v>7723</v>
      </c>
      <c r="G2589" s="1">
        <v>1918</v>
      </c>
      <c r="H2589" s="1" t="s">
        <v>15</v>
      </c>
      <c r="I2589" s="6" cm="1">
        <f t="array" ref="I2589">GetLatitude(D2589)</f>
        <v>565030162</v>
      </c>
      <c r="J2589" s="1" cm="1">
        <f t="array" ref="J2589">GetLongitude(D2589)</f>
        <v>106585298</v>
      </c>
      <c r="K2589" s="1">
        <f t="shared" si="121"/>
        <v>56.503016199999998</v>
      </c>
      <c r="L2589" s="1">
        <f t="shared" si="122"/>
        <v>10.6585298</v>
      </c>
    </row>
    <row r="2590" spans="1:12" ht="16" x14ac:dyDescent="0.2">
      <c r="A2590" s="1">
        <v>2589</v>
      </c>
      <c r="B2590" s="1" t="s">
        <v>7691</v>
      </c>
      <c r="C2590" s="1" t="s">
        <v>7724</v>
      </c>
      <c r="D2590" s="1" t="str">
        <f t="shared" si="120"/>
        <v>Nordjurs KommuneRandersvej 2</v>
      </c>
      <c r="E2590" s="1" t="s">
        <v>7725</v>
      </c>
      <c r="F2590" s="1" t="s">
        <v>7726</v>
      </c>
      <c r="G2590" s="1">
        <v>1918</v>
      </c>
      <c r="H2590" s="1" t="s">
        <v>11</v>
      </c>
      <c r="I2590" s="6" cm="1">
        <f t="array" ref="I2590">GetLatitude(D2590)</f>
        <v>564378734</v>
      </c>
      <c r="J2590" s="1" cm="1">
        <f t="array" ref="J2590">GetLongitude(D2590)</f>
        <v>103443863</v>
      </c>
      <c r="K2590" s="1">
        <f t="shared" si="121"/>
        <v>56.437873400000001</v>
      </c>
      <c r="L2590" s="1">
        <f t="shared" si="122"/>
        <v>10.3443863</v>
      </c>
    </row>
    <row r="2591" spans="1:12" ht="16" x14ac:dyDescent="0.2">
      <c r="A2591" s="1">
        <v>2590</v>
      </c>
      <c r="B2591" s="1" t="s">
        <v>7691</v>
      </c>
      <c r="C2591" s="1" t="s">
        <v>7727</v>
      </c>
      <c r="D2591" s="1" t="str">
        <f t="shared" si="120"/>
        <v>Nordjurs KommuneRandersvej 2 (tidl Bavnehøjvej 1 A), Grenaa</v>
      </c>
      <c r="E2591" s="1" t="s">
        <v>7728</v>
      </c>
      <c r="F2591" s="1" t="s">
        <v>7729</v>
      </c>
      <c r="G2591" s="1">
        <v>2007</v>
      </c>
      <c r="H2591" s="1" t="s">
        <v>15</v>
      </c>
      <c r="I2591" s="6" cm="1">
        <f t="array" ref="I2591">GetLatitude(D2591)</f>
        <v>564172850</v>
      </c>
      <c r="J2591" s="1" cm="1">
        <f t="array" ref="J2591">GetLongitude(D2591)</f>
        <v>108675219</v>
      </c>
      <c r="K2591" s="1">
        <f t="shared" si="121"/>
        <v>56.417285</v>
      </c>
      <c r="L2591" s="1">
        <f t="shared" si="122"/>
        <v>10.8675219</v>
      </c>
    </row>
    <row r="2592" spans="1:12" ht="16" x14ac:dyDescent="0.2">
      <c r="A2592" s="1">
        <v>2591</v>
      </c>
      <c r="B2592" s="1" t="s">
        <v>7691</v>
      </c>
      <c r="C2592" s="1" t="s">
        <v>7730</v>
      </c>
      <c r="D2592" s="1" t="str">
        <f t="shared" si="120"/>
        <v>Nordjurs KommuneRandersvej 4-6</v>
      </c>
      <c r="E2592" s="1" t="s">
        <v>7731</v>
      </c>
      <c r="F2592" s="1" t="s">
        <v>7732</v>
      </c>
      <c r="G2592" s="1">
        <v>1932</v>
      </c>
      <c r="H2592" s="1" t="s">
        <v>11</v>
      </c>
      <c r="I2592" s="6" cm="1">
        <f t="array" ref="I2592">GetLatitude(D2592)</f>
        <v>564375186</v>
      </c>
      <c r="J2592" s="1" cm="1">
        <f t="array" ref="J2592">GetLongitude(D2592)</f>
        <v>103422950</v>
      </c>
      <c r="K2592" s="1">
        <f t="shared" si="121"/>
        <v>56.437518599999997</v>
      </c>
      <c r="L2592" s="1">
        <f t="shared" si="122"/>
        <v>10.342295</v>
      </c>
    </row>
    <row r="2593" spans="1:12" ht="16" x14ac:dyDescent="0.2">
      <c r="A2593" s="1">
        <v>2592</v>
      </c>
      <c r="B2593" s="1" t="s">
        <v>7691</v>
      </c>
      <c r="C2593" s="1" t="s">
        <v>7733</v>
      </c>
      <c r="D2593" s="1" t="str">
        <f t="shared" si="120"/>
        <v>Nordjurs KommuneSmedestræde 2</v>
      </c>
      <c r="E2593" s="1" t="s">
        <v>7734</v>
      </c>
      <c r="F2593" s="1" t="s">
        <v>7735</v>
      </c>
      <c r="G2593" s="1">
        <v>1980</v>
      </c>
      <c r="H2593" s="1" t="s">
        <v>11</v>
      </c>
      <c r="I2593" s="6" cm="1">
        <f t="array" ref="I2593">GetLatitude(D2593)</f>
        <v>564147418</v>
      </c>
      <c r="J2593" s="1" cm="1">
        <f t="array" ref="J2593">GetLongitude(D2593)</f>
        <v>108734379</v>
      </c>
      <c r="K2593" s="1">
        <f t="shared" si="121"/>
        <v>56.414741800000002</v>
      </c>
      <c r="L2593" s="1">
        <f t="shared" si="122"/>
        <v>10.873437900000001</v>
      </c>
    </row>
    <row r="2594" spans="1:12" ht="16" x14ac:dyDescent="0.2">
      <c r="A2594" s="1">
        <v>2593</v>
      </c>
      <c r="B2594" s="1" t="s">
        <v>7691</v>
      </c>
      <c r="C2594" s="1" t="s">
        <v>7736</v>
      </c>
      <c r="D2594" s="1" t="str">
        <f t="shared" si="120"/>
        <v>Nordjurs KommuneStenaltvej 8</v>
      </c>
      <c r="E2594" s="1" t="s">
        <v>7737</v>
      </c>
      <c r="F2594" s="1" t="s">
        <v>7738</v>
      </c>
      <c r="G2594" s="1">
        <v>1924</v>
      </c>
      <c r="H2594" s="1" t="s">
        <v>11</v>
      </c>
      <c r="I2594" s="6" cm="1">
        <f t="array" ref="I2594">GetLatitude(D2594)</f>
        <v>565076244</v>
      </c>
      <c r="J2594" s="1" cm="1">
        <f t="array" ref="J2594">GetLongitude(D2594)</f>
        <v>102903933</v>
      </c>
      <c r="K2594" s="1">
        <f t="shared" si="121"/>
        <v>56.507624399999997</v>
      </c>
      <c r="L2594" s="1">
        <f t="shared" si="122"/>
        <v>10.2903933</v>
      </c>
    </row>
    <row r="2595" spans="1:12" ht="16" x14ac:dyDescent="0.2">
      <c r="A2595" s="1">
        <v>2594</v>
      </c>
      <c r="B2595" s="1" t="s">
        <v>7691</v>
      </c>
      <c r="C2595" s="1" t="s">
        <v>7739</v>
      </c>
      <c r="D2595" s="1" t="str">
        <f t="shared" si="120"/>
        <v>Nordjurs KommuneStokkebro 60</v>
      </c>
      <c r="E2595" s="1" t="s">
        <v>7740</v>
      </c>
      <c r="F2595" s="1" t="s">
        <v>7741</v>
      </c>
      <c r="G2595" s="1">
        <v>1991</v>
      </c>
      <c r="H2595" s="1" t="s">
        <v>15</v>
      </c>
      <c r="I2595" s="6" cm="1">
        <f t="array" ref="I2595">GetLatitude(D2595)</f>
        <v>565039027</v>
      </c>
      <c r="J2595" s="1" cm="1">
        <f t="array" ref="J2595">GetLongitude(D2595)</f>
        <v>108251653</v>
      </c>
      <c r="K2595" s="1">
        <f t="shared" si="121"/>
        <v>56.503902699999998</v>
      </c>
      <c r="L2595" s="1">
        <f t="shared" si="122"/>
        <v>10.8251653</v>
      </c>
    </row>
    <row r="2596" spans="1:12" ht="16" x14ac:dyDescent="0.2">
      <c r="A2596" s="1">
        <v>2595</v>
      </c>
      <c r="B2596" s="1" t="s">
        <v>7691</v>
      </c>
      <c r="C2596" s="1" t="s">
        <v>7742</v>
      </c>
      <c r="D2596" s="1" t="str">
        <f t="shared" si="120"/>
        <v>Nordjurs KommuneSøndergade 1</v>
      </c>
      <c r="E2596" s="1" t="s">
        <v>7743</v>
      </c>
      <c r="F2596" s="1" t="s">
        <v>7744</v>
      </c>
      <c r="G2596" s="1">
        <v>1919</v>
      </c>
      <c r="H2596" s="1" t="s">
        <v>7745</v>
      </c>
      <c r="I2596" s="6" cm="1">
        <f t="array" ref="I2596">GetLatitude(D2596)</f>
        <v>564801053</v>
      </c>
      <c r="J2596" s="1" cm="1">
        <f t="array" ref="J2596">GetLongitude(D2596)</f>
        <v>104477079</v>
      </c>
      <c r="K2596" s="1">
        <f t="shared" si="121"/>
        <v>56.480105299999998</v>
      </c>
      <c r="L2596" s="1">
        <f t="shared" si="122"/>
        <v>10.447707899999999</v>
      </c>
    </row>
    <row r="2597" spans="1:12" ht="16" x14ac:dyDescent="0.2">
      <c r="A2597" s="1">
        <v>2596</v>
      </c>
      <c r="B2597" s="1" t="s">
        <v>7691</v>
      </c>
      <c r="C2597" s="1" t="s">
        <v>7746</v>
      </c>
      <c r="D2597" s="1" t="str">
        <f t="shared" si="120"/>
        <v>Nordjurs KommuneToresvej 2</v>
      </c>
      <c r="E2597" s="1" t="s">
        <v>7747</v>
      </c>
      <c r="F2597" s="1" t="s">
        <v>7748</v>
      </c>
      <c r="G2597" s="1">
        <v>1959</v>
      </c>
      <c r="H2597" s="1" t="s">
        <v>11</v>
      </c>
      <c r="I2597" s="6" cm="1">
        <f t="array" ref="I2597">GetLatitude(D2597)</f>
        <v>564858413</v>
      </c>
      <c r="J2597" s="1" cm="1">
        <f t="array" ref="J2597">GetLongitude(D2597)</f>
        <v>106620474</v>
      </c>
      <c r="K2597" s="1">
        <f t="shared" si="121"/>
        <v>56.485841299999997</v>
      </c>
      <c r="L2597" s="1">
        <f t="shared" si="122"/>
        <v>10.662047400000001</v>
      </c>
    </row>
    <row r="2598" spans="1:12" ht="16" x14ac:dyDescent="0.2">
      <c r="A2598" s="1">
        <v>2597</v>
      </c>
      <c r="B2598" s="1" t="s">
        <v>7691</v>
      </c>
      <c r="C2598" s="1" t="s">
        <v>7749</v>
      </c>
      <c r="D2598" s="1" t="str">
        <f t="shared" si="120"/>
        <v>Nordjurs KommuneTorvet 1 og Mogensgade 1</v>
      </c>
      <c r="E2598" s="1" t="s">
        <v>7750</v>
      </c>
      <c r="F2598" s="1" t="s">
        <v>7751</v>
      </c>
      <c r="G2598" s="1">
        <v>1919</v>
      </c>
      <c r="H2598" s="1" t="s">
        <v>7752</v>
      </c>
      <c r="I2598" s="6" cm="1">
        <f t="array" ref="I2598">GetLatitude(D2598)</f>
        <v>564140585</v>
      </c>
      <c r="J2598" s="1" cm="1">
        <f t="array" ref="J2598">GetLongitude(D2598)</f>
        <v>108754763</v>
      </c>
      <c r="K2598" s="1">
        <f t="shared" si="121"/>
        <v>56.414058500000003</v>
      </c>
      <c r="L2598" s="1">
        <f t="shared" si="122"/>
        <v>10.875476300000001</v>
      </c>
    </row>
    <row r="2599" spans="1:12" ht="16" x14ac:dyDescent="0.2">
      <c r="A2599" s="1">
        <v>2598</v>
      </c>
      <c r="B2599" s="1" t="s">
        <v>7691</v>
      </c>
      <c r="C2599" s="1" t="s">
        <v>7753</v>
      </c>
      <c r="D2599" s="1" t="str">
        <f t="shared" si="120"/>
        <v>Nordjurs KommuneØrkenvej 100-102</v>
      </c>
      <c r="E2599" s="1" t="s">
        <v>7754</v>
      </c>
      <c r="F2599" s="1" t="s">
        <v>7755</v>
      </c>
      <c r="G2599" s="1">
        <v>1939</v>
      </c>
      <c r="H2599" s="1" t="s">
        <v>11</v>
      </c>
      <c r="I2599" s="6" cm="1">
        <f t="array" ref="I2599">GetLatitude(D2599)</f>
        <v>567360733</v>
      </c>
      <c r="J2599" s="1" cm="1">
        <f t="array" ref="J2599">GetLongitude(D2599)</f>
        <v>116506734</v>
      </c>
      <c r="K2599" s="1">
        <f t="shared" si="121"/>
        <v>56.736073300000001</v>
      </c>
      <c r="L2599" s="1">
        <f t="shared" si="122"/>
        <v>11.650673400000001</v>
      </c>
    </row>
    <row r="2600" spans="1:12" ht="16" x14ac:dyDescent="0.2">
      <c r="A2600" s="1">
        <v>2599</v>
      </c>
      <c r="B2600" s="1" t="s">
        <v>7691</v>
      </c>
      <c r="C2600" s="1" t="s">
        <v>7756</v>
      </c>
      <c r="D2600" s="1" t="str">
        <f t="shared" si="120"/>
        <v>Nordjurs KommuneØstergade 22</v>
      </c>
      <c r="E2600" s="1" t="s">
        <v>7757</v>
      </c>
      <c r="F2600" s="1" t="s">
        <v>7758</v>
      </c>
      <c r="G2600" s="1">
        <v>1988</v>
      </c>
      <c r="H2600" s="1" t="s">
        <v>15</v>
      </c>
      <c r="I2600" s="6" cm="1">
        <f t="array" ref="I2600">GetLatitude(D2600)</f>
        <v>564135252</v>
      </c>
      <c r="J2600" s="1" cm="1">
        <f t="array" ref="J2600">GetLongitude(D2600)</f>
        <v>108806270</v>
      </c>
      <c r="K2600" s="1">
        <f t="shared" si="121"/>
        <v>56.413525200000002</v>
      </c>
      <c r="L2600" s="1">
        <f t="shared" si="122"/>
        <v>10.880627</v>
      </c>
    </row>
    <row r="2601" spans="1:12" ht="16" x14ac:dyDescent="0.2">
      <c r="A2601" s="1">
        <v>2600</v>
      </c>
      <c r="B2601" s="1" t="s">
        <v>7759</v>
      </c>
      <c r="C2601" s="1" t="s">
        <v>7760</v>
      </c>
      <c r="D2601" s="1" t="str">
        <f t="shared" si="120"/>
        <v>Nordfyns Kommune Adelgade 44 og 44 A</v>
      </c>
      <c r="E2601" s="1" t="s">
        <v>7761</v>
      </c>
      <c r="F2601" s="1" t="s">
        <v>11392</v>
      </c>
      <c r="G2601" s="1">
        <v>1919</v>
      </c>
      <c r="H2601" s="1" t="s">
        <v>1493</v>
      </c>
      <c r="I2601" s="6" cm="1">
        <f t="array" ref="I2601">GetLatitude(D2601)</f>
        <v>555320482</v>
      </c>
      <c r="J2601" s="1" cm="1">
        <f t="array" ref="J2601">GetLongitude(D2601)</f>
        <v>102171956</v>
      </c>
      <c r="K2601" s="1">
        <f t="shared" si="121"/>
        <v>55.532048199999998</v>
      </c>
      <c r="L2601" s="1">
        <f t="shared" si="122"/>
        <v>10.2171956</v>
      </c>
    </row>
    <row r="2602" spans="1:12" ht="16" x14ac:dyDescent="0.2">
      <c r="A2602" s="1">
        <v>2601</v>
      </c>
      <c r="B2602" s="1" t="s">
        <v>7759</v>
      </c>
      <c r="C2602" s="1" t="s">
        <v>7762</v>
      </c>
      <c r="D2602" s="1" t="str">
        <f t="shared" si="120"/>
        <v>Nordfyns Kommune Adelgade 54</v>
      </c>
      <c r="E2602" s="1" t="s">
        <v>7763</v>
      </c>
      <c r="F2602" s="1" t="s">
        <v>416</v>
      </c>
      <c r="G2602" s="1">
        <v>1919</v>
      </c>
      <c r="H2602" s="1" t="s">
        <v>11</v>
      </c>
      <c r="I2602" s="6" cm="1">
        <f t="array" ref="I2602">GetLatitude(D2602)</f>
        <v>555654906</v>
      </c>
      <c r="J2602" s="1" cm="1">
        <f t="array" ref="J2602">GetLongitude(D2602)</f>
        <v>100894713</v>
      </c>
      <c r="K2602" s="1">
        <f t="shared" si="121"/>
        <v>55.565490599999997</v>
      </c>
      <c r="L2602" s="1">
        <f t="shared" si="122"/>
        <v>10.0894713</v>
      </c>
    </row>
    <row r="2603" spans="1:12" ht="16" x14ac:dyDescent="0.2">
      <c r="A2603" s="1">
        <v>2602</v>
      </c>
      <c r="B2603" s="1" t="s">
        <v>7759</v>
      </c>
      <c r="C2603" s="1" t="s">
        <v>7764</v>
      </c>
      <c r="D2603" s="1" t="str">
        <f t="shared" si="120"/>
        <v>Nordfyns Kommune Alléen 11</v>
      </c>
      <c r="E2603" s="1" t="s">
        <v>7765</v>
      </c>
      <c r="F2603" s="1" t="s">
        <v>7766</v>
      </c>
      <c r="G2603" s="1">
        <v>1939</v>
      </c>
      <c r="H2603" s="1" t="s">
        <v>15</v>
      </c>
      <c r="I2603" s="6" cm="1">
        <f t="array" ref="I2603">GetLatitude(D2603)</f>
        <v>556022128</v>
      </c>
      <c r="J2603" s="1" cm="1">
        <f t="array" ref="J2603">GetLongitude(D2603)</f>
        <v>103501318</v>
      </c>
      <c r="K2603" s="1">
        <f t="shared" si="121"/>
        <v>55.602212799999997</v>
      </c>
      <c r="L2603" s="1">
        <f t="shared" si="122"/>
        <v>10.3501318</v>
      </c>
    </row>
    <row r="2604" spans="1:12" ht="16" x14ac:dyDescent="0.2">
      <c r="A2604" s="1">
        <v>2603</v>
      </c>
      <c r="B2604" s="1" t="s">
        <v>7759</v>
      </c>
      <c r="C2604" s="1" t="s">
        <v>7767</v>
      </c>
      <c r="D2604" s="1" t="str">
        <f t="shared" si="120"/>
        <v>Nordfyns Kommune Assensvej 3 og 1 A</v>
      </c>
      <c r="E2604" s="1" t="s">
        <v>7768</v>
      </c>
      <c r="F2604" s="1" t="s">
        <v>7769</v>
      </c>
      <c r="G2604" s="1">
        <v>1918</v>
      </c>
      <c r="H2604" s="1" t="s">
        <v>7770</v>
      </c>
      <c r="I2604" s="6" cm="1">
        <f t="array" ref="I2604">GetLatitude(D2604)</f>
        <v>555420332</v>
      </c>
      <c r="J2604" s="1" cm="1">
        <f t="array" ref="J2604">GetLongitude(D2604)</f>
        <v>101024834</v>
      </c>
      <c r="K2604" s="1">
        <f t="shared" si="121"/>
        <v>55.542033199999999</v>
      </c>
      <c r="L2604" s="1">
        <f t="shared" si="122"/>
        <v>10.102483400000001</v>
      </c>
    </row>
    <row r="2605" spans="1:12" ht="16" x14ac:dyDescent="0.2">
      <c r="A2605" s="1">
        <v>2604</v>
      </c>
      <c r="B2605" s="1" t="s">
        <v>7759</v>
      </c>
      <c r="C2605" s="1" t="s">
        <v>7771</v>
      </c>
      <c r="D2605" s="1" t="str">
        <f t="shared" si="120"/>
        <v>Nordfyns Kommune Bakkevej 2 B</v>
      </c>
      <c r="E2605" s="1" t="s">
        <v>7772</v>
      </c>
      <c r="F2605" s="1" t="s">
        <v>7773</v>
      </c>
      <c r="G2605" s="1">
        <v>1924</v>
      </c>
      <c r="H2605" s="1" t="s">
        <v>15</v>
      </c>
      <c r="I2605" s="6" cm="1">
        <f t="array" ref="I2605">GetLatitude(D2605)</f>
        <v>555320482</v>
      </c>
      <c r="J2605" s="1" cm="1">
        <f t="array" ref="J2605">GetLongitude(D2605)</f>
        <v>102171956</v>
      </c>
      <c r="K2605" s="1">
        <f t="shared" si="121"/>
        <v>55.532048199999998</v>
      </c>
      <c r="L2605" s="1">
        <f t="shared" si="122"/>
        <v>10.2171956</v>
      </c>
    </row>
    <row r="2606" spans="1:12" ht="16" x14ac:dyDescent="0.2">
      <c r="A2606" s="1">
        <v>2605</v>
      </c>
      <c r="B2606" s="1" t="s">
        <v>7759</v>
      </c>
      <c r="C2606" s="1" t="s">
        <v>7774</v>
      </c>
      <c r="D2606" s="1" t="str">
        <f t="shared" si="120"/>
        <v>Nordfyns Kommune Blæsbjergvej 19</v>
      </c>
      <c r="E2606" s="1" t="s">
        <v>7775</v>
      </c>
      <c r="F2606" s="1" t="s">
        <v>7776</v>
      </c>
      <c r="G2606" s="1">
        <v>1954</v>
      </c>
      <c r="H2606" s="1" t="s">
        <v>15</v>
      </c>
      <c r="I2606" s="6" cm="1">
        <f t="array" ref="I2606">GetLatitude(D2606)</f>
        <v>554326543</v>
      </c>
      <c r="J2606" s="1" cm="1">
        <f t="array" ref="J2606">GetLongitude(D2606)</f>
        <v>102206202</v>
      </c>
      <c r="K2606" s="1">
        <f t="shared" si="121"/>
        <v>55.432654300000003</v>
      </c>
      <c r="L2606" s="1">
        <f t="shared" si="122"/>
        <v>10.220620200000001</v>
      </c>
    </row>
    <row r="2607" spans="1:12" ht="16" x14ac:dyDescent="0.2">
      <c r="A2607" s="1">
        <v>2606</v>
      </c>
      <c r="B2607" s="1" t="s">
        <v>7759</v>
      </c>
      <c r="C2607" s="1" t="s">
        <v>7777</v>
      </c>
      <c r="D2607" s="1" t="str">
        <f t="shared" si="120"/>
        <v>Nordfyns Kommune Burskovvej 2</v>
      </c>
      <c r="E2607" s="1" t="s">
        <v>7778</v>
      </c>
      <c r="F2607" s="1" t="s">
        <v>7779</v>
      </c>
      <c r="G2607" s="1">
        <v>1918</v>
      </c>
      <c r="H2607" s="1" t="s">
        <v>11</v>
      </c>
      <c r="I2607" s="6" cm="1">
        <f t="array" ref="I2607">GetLatitude(D2607)</f>
        <v>555638386</v>
      </c>
      <c r="J2607" s="1" cm="1">
        <f t="array" ref="J2607">GetLongitude(D2607)</f>
        <v>101452340</v>
      </c>
      <c r="K2607" s="1">
        <f t="shared" si="121"/>
        <v>55.563838599999997</v>
      </c>
      <c r="L2607" s="1">
        <f t="shared" si="122"/>
        <v>10.145234</v>
      </c>
    </row>
    <row r="2608" spans="1:12" ht="16" x14ac:dyDescent="0.2">
      <c r="A2608" s="1">
        <v>2607</v>
      </c>
      <c r="B2608" s="1" t="s">
        <v>7759</v>
      </c>
      <c r="C2608" s="1" t="s">
        <v>7780</v>
      </c>
      <c r="D2608" s="1" t="str">
        <f t="shared" si="120"/>
        <v>Nordfyns Kommune Dallundvej 63</v>
      </c>
      <c r="E2608" s="1" t="s">
        <v>7781</v>
      </c>
      <c r="F2608" s="1" t="s">
        <v>7782</v>
      </c>
      <c r="G2608" s="1">
        <v>1918</v>
      </c>
      <c r="H2608" s="1" t="s">
        <v>11</v>
      </c>
      <c r="I2608" s="6" cm="1">
        <f t="array" ref="I2608">GetLatitude(D2608)</f>
        <v>554851140</v>
      </c>
      <c r="J2608" s="1" cm="1">
        <f t="array" ref="J2608">GetLongitude(D2608)</f>
        <v>102787970</v>
      </c>
      <c r="K2608" s="1">
        <f t="shared" si="121"/>
        <v>55.485114000000003</v>
      </c>
      <c r="L2608" s="1">
        <f t="shared" si="122"/>
        <v>10.278797000000001</v>
      </c>
    </row>
    <row r="2609" spans="1:12" ht="16" x14ac:dyDescent="0.2">
      <c r="A2609" s="1">
        <v>2608</v>
      </c>
      <c r="B2609" s="1" t="s">
        <v>7759</v>
      </c>
      <c r="C2609" s="1" t="s">
        <v>7783</v>
      </c>
      <c r="D2609" s="1" t="str">
        <f t="shared" si="120"/>
        <v>Nordfyns Kommune Hofmansgavevej 23-27</v>
      </c>
      <c r="E2609" s="1" t="s">
        <v>7784</v>
      </c>
      <c r="F2609" s="1" t="s">
        <v>7785</v>
      </c>
      <c r="G2609" s="1">
        <v>1918</v>
      </c>
      <c r="H2609" s="1" t="s">
        <v>11403</v>
      </c>
      <c r="I2609" s="6" cm="1">
        <f t="array" ref="I2609">GetLatitude(D2609)</f>
        <v>555374000</v>
      </c>
      <c r="J2609" s="1" cm="1">
        <f t="array" ref="J2609">GetLongitude(D2609)</f>
        <v>104827140</v>
      </c>
      <c r="K2609" s="1">
        <f t="shared" si="121"/>
        <v>55.537399999999998</v>
      </c>
      <c r="L2609" s="1">
        <f t="shared" si="122"/>
        <v>10.482714</v>
      </c>
    </row>
    <row r="2610" spans="1:12" ht="16" x14ac:dyDescent="0.2">
      <c r="A2610" s="1">
        <v>2609</v>
      </c>
      <c r="B2610" s="1" t="s">
        <v>7759</v>
      </c>
      <c r="C2610" s="1" t="s">
        <v>7786</v>
      </c>
      <c r="D2610" s="1" t="str">
        <f t="shared" si="120"/>
        <v>Nordfyns Kommune Højagervej 32</v>
      </c>
      <c r="E2610" s="1" t="s">
        <v>7787</v>
      </c>
      <c r="F2610" s="1" t="s">
        <v>7788</v>
      </c>
      <c r="G2610" s="1">
        <v>1990</v>
      </c>
      <c r="H2610" s="1" t="s">
        <v>15</v>
      </c>
      <c r="I2610" s="6" cm="1">
        <f t="array" ref="I2610">GetLatitude(D2610)</f>
        <v>554902755</v>
      </c>
      <c r="J2610" s="1" cm="1">
        <f t="array" ref="J2610">GetLongitude(D2610)</f>
        <v>102336062</v>
      </c>
      <c r="K2610" s="1">
        <f t="shared" si="121"/>
        <v>55.490275500000003</v>
      </c>
      <c r="L2610" s="1">
        <f t="shared" si="122"/>
        <v>10.233606200000001</v>
      </c>
    </row>
    <row r="2611" spans="1:12" ht="16" x14ac:dyDescent="0.2">
      <c r="A2611" s="1">
        <v>2610</v>
      </c>
      <c r="B2611" s="1" t="s">
        <v>7759</v>
      </c>
      <c r="C2611" s="1" t="s">
        <v>7789</v>
      </c>
      <c r="D2611" s="1" t="str">
        <f t="shared" si="120"/>
        <v>Nordfyns Kommune Jersorevej 31</v>
      </c>
      <c r="E2611" s="1" t="s">
        <v>7790</v>
      </c>
      <c r="F2611" s="1" t="s">
        <v>7791</v>
      </c>
      <c r="G2611" s="1">
        <v>1996</v>
      </c>
      <c r="H2611" s="1" t="s">
        <v>15</v>
      </c>
      <c r="I2611" s="6" cm="1">
        <f t="array" ref="I2611">GetLatitude(D2611)</f>
        <v>555882759</v>
      </c>
      <c r="J2611" s="1" cm="1">
        <f t="array" ref="J2611">GetLongitude(D2611)</f>
        <v>102183983</v>
      </c>
      <c r="K2611" s="1">
        <f t="shared" si="121"/>
        <v>55.588275899999999</v>
      </c>
      <c r="L2611" s="1">
        <f t="shared" si="122"/>
        <v>10.2183983</v>
      </c>
    </row>
    <row r="2612" spans="1:12" ht="16" x14ac:dyDescent="0.2">
      <c r="A2612" s="1">
        <v>2611</v>
      </c>
      <c r="B2612" s="1" t="s">
        <v>7759</v>
      </c>
      <c r="C2612" s="1" t="s">
        <v>7792</v>
      </c>
      <c r="D2612" s="1" t="str">
        <f t="shared" si="120"/>
        <v>Nordfyns Kommune Jerstrupvej 44</v>
      </c>
      <c r="E2612" s="1" t="s">
        <v>7793</v>
      </c>
      <c r="F2612" s="1" t="s">
        <v>7794</v>
      </c>
      <c r="G2612" s="1">
        <v>1932</v>
      </c>
      <c r="H2612" s="1" t="s">
        <v>15</v>
      </c>
      <c r="I2612" s="6" cm="1">
        <f t="array" ref="I2612">GetLatitude(D2612)</f>
        <v>555601482</v>
      </c>
      <c r="J2612" s="1" cm="1">
        <f t="array" ref="J2612">GetLongitude(D2612)</f>
        <v>102050093</v>
      </c>
      <c r="K2612" s="1">
        <f t="shared" si="121"/>
        <v>55.5601482</v>
      </c>
      <c r="L2612" s="1">
        <f t="shared" si="122"/>
        <v>10.2050093</v>
      </c>
    </row>
    <row r="2613" spans="1:12" ht="16" x14ac:dyDescent="0.2">
      <c r="A2613" s="1">
        <v>2612</v>
      </c>
      <c r="B2613" s="1" t="s">
        <v>7759</v>
      </c>
      <c r="C2613" s="1" t="s">
        <v>7795</v>
      </c>
      <c r="D2613" s="1" t="str">
        <f t="shared" si="120"/>
        <v>Nordfyns Kommune Kirkemosevej 2</v>
      </c>
      <c r="E2613" s="1" t="s">
        <v>7796</v>
      </c>
      <c r="F2613" s="1" t="s">
        <v>7797</v>
      </c>
      <c r="G2613" s="1">
        <v>1918</v>
      </c>
      <c r="H2613" s="1" t="s">
        <v>7798</v>
      </c>
      <c r="I2613" s="6" cm="1">
        <f t="array" ref="I2613">GetLatitude(D2613)</f>
        <v>555551573</v>
      </c>
      <c r="J2613" s="1" cm="1">
        <f t="array" ref="J2613">GetLongitude(D2613)</f>
        <v>101687058</v>
      </c>
      <c r="K2613" s="1">
        <f t="shared" si="121"/>
        <v>55.555157299999998</v>
      </c>
      <c r="L2613" s="1">
        <f t="shared" si="122"/>
        <v>10.1687058</v>
      </c>
    </row>
    <row r="2614" spans="1:12" ht="16" x14ac:dyDescent="0.2">
      <c r="A2614" s="1">
        <v>2613</v>
      </c>
      <c r="B2614" s="1" t="s">
        <v>7759</v>
      </c>
      <c r="C2614" s="1" t="s">
        <v>7280</v>
      </c>
      <c r="D2614" s="1" t="str">
        <f t="shared" si="120"/>
        <v>Nordfyns Kommune Kirkevej 4</v>
      </c>
      <c r="E2614" s="1" t="s">
        <v>7799</v>
      </c>
      <c r="F2614" s="1" t="s">
        <v>7800</v>
      </c>
      <c r="G2614" s="1">
        <v>1924</v>
      </c>
      <c r="H2614" s="1" t="s">
        <v>15</v>
      </c>
      <c r="I2614" s="6" cm="1">
        <f t="array" ref="I2614">GetLatitude(D2614)</f>
        <v>555320482</v>
      </c>
      <c r="J2614" s="1" cm="1">
        <f t="array" ref="J2614">GetLongitude(D2614)</f>
        <v>102171956</v>
      </c>
      <c r="K2614" s="1">
        <f t="shared" si="121"/>
        <v>55.532048199999998</v>
      </c>
      <c r="L2614" s="1">
        <f t="shared" si="122"/>
        <v>10.2171956</v>
      </c>
    </row>
    <row r="2615" spans="1:12" ht="16" x14ac:dyDescent="0.2">
      <c r="A2615" s="1">
        <v>2614</v>
      </c>
      <c r="B2615" s="1" t="s">
        <v>7759</v>
      </c>
      <c r="C2615" s="1" t="s">
        <v>7801</v>
      </c>
      <c r="D2615" s="1" t="str">
        <f t="shared" si="120"/>
        <v>Nordfyns Kommune Kørupvej 10</v>
      </c>
      <c r="E2615" s="1" t="s">
        <v>7802</v>
      </c>
      <c r="F2615" s="1" t="s">
        <v>7803</v>
      </c>
      <c r="G2615" s="1">
        <v>1918</v>
      </c>
      <c r="H2615" s="1" t="s">
        <v>7770</v>
      </c>
      <c r="I2615" s="6" cm="1">
        <f t="array" ref="I2615">GetLatitude(D2615)</f>
        <v>555793850</v>
      </c>
      <c r="J2615" s="1" cm="1">
        <f t="array" ref="J2615">GetLongitude(D2615)</f>
        <v>103215643</v>
      </c>
      <c r="K2615" s="1">
        <f t="shared" si="121"/>
        <v>55.579385000000002</v>
      </c>
      <c r="L2615" s="1">
        <f t="shared" si="122"/>
        <v>10.3215643</v>
      </c>
    </row>
    <row r="2616" spans="1:12" ht="16" x14ac:dyDescent="0.2">
      <c r="A2616" s="1">
        <v>2615</v>
      </c>
      <c r="B2616" s="1" t="s">
        <v>7759</v>
      </c>
      <c r="C2616" s="1" t="s">
        <v>7804</v>
      </c>
      <c r="D2616" s="1" t="str">
        <f t="shared" si="120"/>
        <v>Nordfyns Kommune Kørupvej 16-18</v>
      </c>
      <c r="E2616" s="1" t="s">
        <v>7805</v>
      </c>
      <c r="F2616" s="1" t="s">
        <v>7806</v>
      </c>
      <c r="G2616" s="1">
        <v>1996</v>
      </c>
      <c r="H2616" s="1" t="s">
        <v>15</v>
      </c>
      <c r="I2616" s="6" cm="1">
        <f t="array" ref="I2616">GetLatitude(D2616)</f>
        <v>555806844</v>
      </c>
      <c r="J2616" s="1" cm="1">
        <f t="array" ref="J2616">GetLongitude(D2616)</f>
        <v>103218664</v>
      </c>
      <c r="K2616" s="1">
        <f t="shared" si="121"/>
        <v>55.580684400000003</v>
      </c>
      <c r="L2616" s="1">
        <f t="shared" si="122"/>
        <v>10.321866399999999</v>
      </c>
    </row>
    <row r="2617" spans="1:12" ht="16" x14ac:dyDescent="0.2">
      <c r="A2617" s="1">
        <v>2616</v>
      </c>
      <c r="B2617" s="1" t="s">
        <v>7759</v>
      </c>
      <c r="C2617" s="1" t="s">
        <v>7807</v>
      </c>
      <c r="D2617" s="1" t="str">
        <f t="shared" si="120"/>
        <v>Nordfyns Kommune Langesøvej 146</v>
      </c>
      <c r="E2617" s="1" t="s">
        <v>7808</v>
      </c>
      <c r="F2617" s="1" t="s">
        <v>7809</v>
      </c>
      <c r="G2617" s="1">
        <v>1918</v>
      </c>
      <c r="H2617" s="1" t="s">
        <v>7810</v>
      </c>
      <c r="I2617" s="6" cm="1">
        <f t="array" ref="I2617">GetLatitude(D2617)</f>
        <v>554317973</v>
      </c>
      <c r="J2617" s="1" cm="1">
        <f t="array" ref="J2617">GetLongitude(D2617)</f>
        <v>102030653</v>
      </c>
      <c r="K2617" s="1">
        <f t="shared" si="121"/>
        <v>55.431797299999999</v>
      </c>
      <c r="L2617" s="1">
        <f t="shared" si="122"/>
        <v>10.2030653</v>
      </c>
    </row>
    <row r="2618" spans="1:12" ht="16" x14ac:dyDescent="0.2">
      <c r="A2618" s="1">
        <v>2617</v>
      </c>
      <c r="B2618" s="1" t="s">
        <v>7759</v>
      </c>
      <c r="C2618" s="1" t="s">
        <v>7811</v>
      </c>
      <c r="D2618" s="1" t="str">
        <f t="shared" si="120"/>
        <v>Nordfyns Kommune Margårdsvej 10</v>
      </c>
      <c r="E2618" s="1" t="s">
        <v>7812</v>
      </c>
      <c r="F2618" s="1" t="s">
        <v>7813</v>
      </c>
      <c r="G2618" s="1">
        <v>1918</v>
      </c>
      <c r="H2618" s="1" t="s">
        <v>15</v>
      </c>
      <c r="I2618" s="6" cm="1">
        <f t="array" ref="I2618">GetLatitude(D2618)</f>
        <v>554676424</v>
      </c>
      <c r="J2618" s="1" cm="1">
        <f t="array" ref="J2618">GetLongitude(D2618)</f>
        <v>102291351</v>
      </c>
      <c r="K2618" s="1">
        <f t="shared" si="121"/>
        <v>55.467642400000003</v>
      </c>
      <c r="L2618" s="1">
        <f t="shared" si="122"/>
        <v>10.229135100000001</v>
      </c>
    </row>
    <row r="2619" spans="1:12" ht="16" x14ac:dyDescent="0.2">
      <c r="A2619" s="1">
        <v>2618</v>
      </c>
      <c r="B2619" s="1" t="s">
        <v>7759</v>
      </c>
      <c r="C2619" s="1" t="s">
        <v>7814</v>
      </c>
      <c r="D2619" s="1" t="str">
        <f t="shared" si="120"/>
        <v>Nordfyns Kommune Oregårdvej 23</v>
      </c>
      <c r="E2619" s="1" t="s">
        <v>7815</v>
      </c>
      <c r="F2619" s="1" t="s">
        <v>7816</v>
      </c>
      <c r="G2619" s="1">
        <v>1918</v>
      </c>
      <c r="H2619" s="1" t="s">
        <v>11</v>
      </c>
      <c r="I2619" s="6" cm="1">
        <f t="array" ref="I2619">GetLatitude(D2619)</f>
        <v>555075402</v>
      </c>
      <c r="J2619" s="1" cm="1">
        <f t="array" ref="J2619">GetLongitude(D2619)</f>
        <v>100258070</v>
      </c>
      <c r="K2619" s="1">
        <f t="shared" si="121"/>
        <v>55.507540200000001</v>
      </c>
      <c r="L2619" s="1">
        <f t="shared" si="122"/>
        <v>10.025807</v>
      </c>
    </row>
    <row r="2620" spans="1:12" ht="16" x14ac:dyDescent="0.2">
      <c r="A2620" s="1">
        <v>2619</v>
      </c>
      <c r="B2620" s="1" t="s">
        <v>7759</v>
      </c>
      <c r="C2620" s="1" t="s">
        <v>7817</v>
      </c>
      <c r="D2620" s="1" t="str">
        <f t="shared" si="120"/>
        <v>Nordfyns Kommune Sankt Annagade 4</v>
      </c>
      <c r="E2620" s="1" t="s">
        <v>7818</v>
      </c>
      <c r="F2620" s="1" t="s">
        <v>7819</v>
      </c>
      <c r="G2620" s="1">
        <v>1945</v>
      </c>
      <c r="H2620" s="1" t="s">
        <v>11</v>
      </c>
      <c r="I2620" s="6" cm="1">
        <f t="array" ref="I2620">GetLatitude(D2620)</f>
        <v>555662173</v>
      </c>
      <c r="J2620" s="1" cm="1">
        <f t="array" ref="J2620">GetLongitude(D2620)</f>
        <v>100903516</v>
      </c>
      <c r="K2620" s="1">
        <f t="shared" si="121"/>
        <v>55.566217299999998</v>
      </c>
      <c r="L2620" s="1">
        <f t="shared" si="122"/>
        <v>10.0903516</v>
      </c>
    </row>
    <row r="2621" spans="1:12" ht="16" x14ac:dyDescent="0.2">
      <c r="A2621" s="1">
        <v>2620</v>
      </c>
      <c r="B2621" s="1" t="s">
        <v>7759</v>
      </c>
      <c r="C2621" s="1" t="s">
        <v>7820</v>
      </c>
      <c r="D2621" s="1" t="str">
        <f t="shared" si="120"/>
        <v>Nordfyns Kommune Stegøvej 98 A</v>
      </c>
      <c r="E2621" s="1" t="s">
        <v>7821</v>
      </c>
      <c r="F2621" s="1" t="s">
        <v>7822</v>
      </c>
      <c r="G2621" s="1">
        <v>1972</v>
      </c>
      <c r="H2621" s="1" t="s">
        <v>15</v>
      </c>
      <c r="I2621" s="6" cm="1">
        <f t="array" ref="I2621">GetLatitude(D2621)</f>
        <v>555733225</v>
      </c>
      <c r="J2621" s="1" cm="1">
        <f t="array" ref="J2621">GetLongitude(D2621)</f>
        <v>101139163</v>
      </c>
      <c r="K2621" s="1">
        <f t="shared" si="121"/>
        <v>55.573322500000003</v>
      </c>
      <c r="L2621" s="1">
        <f t="shared" si="122"/>
        <v>10.1139163</v>
      </c>
    </row>
    <row r="2622" spans="1:12" ht="16" x14ac:dyDescent="0.2">
      <c r="A2622" s="1">
        <v>2621</v>
      </c>
      <c r="B2622" s="1" t="s">
        <v>7759</v>
      </c>
      <c r="C2622" s="1" t="s">
        <v>7823</v>
      </c>
      <c r="D2622" s="1" t="str">
        <f t="shared" si="120"/>
        <v>Nordfyns Kommune Strandvejen 151 (tidl Franktoftegyden 38)</v>
      </c>
      <c r="E2622" s="1" t="s">
        <v>7824</v>
      </c>
      <c r="F2622" s="1" t="s">
        <v>7825</v>
      </c>
      <c r="G2622" s="1">
        <v>1932</v>
      </c>
      <c r="H2622" s="1" t="s">
        <v>15</v>
      </c>
      <c r="I2622" s="6" cm="1">
        <f t="array" ref="I2622">GetLatitude(D2622)</f>
        <v>555240263</v>
      </c>
      <c r="J2622" s="1" cm="1">
        <f t="array" ref="J2622">GetLongitude(D2622)</f>
        <v>104193267</v>
      </c>
      <c r="K2622" s="1">
        <f t="shared" si="121"/>
        <v>55.524026300000003</v>
      </c>
      <c r="L2622" s="1">
        <f t="shared" si="122"/>
        <v>10.419326699999999</v>
      </c>
    </row>
    <row r="2623" spans="1:12" ht="16" x14ac:dyDescent="0.2">
      <c r="A2623" s="1">
        <v>2622</v>
      </c>
      <c r="B2623" s="1" t="s">
        <v>7759</v>
      </c>
      <c r="C2623" s="1" t="s">
        <v>7826</v>
      </c>
      <c r="D2623" s="1" t="str">
        <f t="shared" si="120"/>
        <v>Nordfyns Kommune Tværskovvej 51</v>
      </c>
      <c r="E2623" s="1" t="s">
        <v>7827</v>
      </c>
      <c r="F2623" s="1" t="s">
        <v>7828</v>
      </c>
      <c r="G2623" s="1">
        <v>1959</v>
      </c>
      <c r="H2623" s="1" t="s">
        <v>15</v>
      </c>
      <c r="I2623" s="6" cm="1">
        <f t="array" ref="I2623">GetLatitude(D2623)</f>
        <v>554533215</v>
      </c>
      <c r="J2623" s="1" cm="1">
        <f t="array" ref="J2623">GetLongitude(D2623)</f>
        <v>102249546</v>
      </c>
      <c r="K2623" s="1">
        <f t="shared" si="121"/>
        <v>55.453321500000001</v>
      </c>
      <c r="L2623" s="1">
        <f t="shared" si="122"/>
        <v>10.2249546</v>
      </c>
    </row>
    <row r="2624" spans="1:12" ht="16" x14ac:dyDescent="0.2">
      <c r="A2624" s="1">
        <v>2623</v>
      </c>
      <c r="B2624" s="1" t="s">
        <v>7759</v>
      </c>
      <c r="C2624" s="1" t="s">
        <v>7829</v>
      </c>
      <c r="D2624" s="1" t="str">
        <f t="shared" si="120"/>
        <v>Nordfyns Kommune Tørresøvej 167 A-B</v>
      </c>
      <c r="E2624" s="1" t="s">
        <v>7830</v>
      </c>
      <c r="F2624" s="1" t="s">
        <v>7831</v>
      </c>
      <c r="G2624" s="1">
        <v>1990</v>
      </c>
      <c r="H2624" s="1" t="s">
        <v>15</v>
      </c>
      <c r="I2624" s="6" cm="1">
        <f t="array" ref="I2624">GetLatitude(D2624)</f>
        <v>555949962</v>
      </c>
      <c r="J2624" s="1" cm="1">
        <f t="array" ref="J2624">GetLongitude(D2624)</f>
        <v>103464887</v>
      </c>
      <c r="K2624" s="1">
        <f t="shared" si="121"/>
        <v>55.594996199999997</v>
      </c>
      <c r="L2624" s="1">
        <f t="shared" si="122"/>
        <v>10.3464887</v>
      </c>
    </row>
    <row r="2625" spans="1:12" ht="16" x14ac:dyDescent="0.2">
      <c r="A2625" s="1">
        <v>2624</v>
      </c>
      <c r="B2625" s="1" t="s">
        <v>7759</v>
      </c>
      <c r="C2625" s="1" t="s">
        <v>7832</v>
      </c>
      <c r="D2625" s="1" t="str">
        <f t="shared" si="120"/>
        <v>Nordfyns Kommune Østergade 19 og 19 C</v>
      </c>
      <c r="E2625" s="1" t="s">
        <v>7833</v>
      </c>
      <c r="F2625" s="1" t="s">
        <v>7834</v>
      </c>
      <c r="G2625" s="1">
        <v>1919</v>
      </c>
      <c r="H2625" s="1" t="s">
        <v>11</v>
      </c>
      <c r="I2625" s="6" cm="1">
        <f t="array" ref="I2625">GetLatitude(D2625)</f>
        <v>555320482</v>
      </c>
      <c r="J2625" s="1" cm="1">
        <f t="array" ref="J2625">GetLongitude(D2625)</f>
        <v>102171956</v>
      </c>
      <c r="K2625" s="1">
        <f t="shared" si="121"/>
        <v>55.532048199999998</v>
      </c>
      <c r="L2625" s="1">
        <f t="shared" si="122"/>
        <v>10.2171956</v>
      </c>
    </row>
    <row r="2626" spans="1:12" ht="16" x14ac:dyDescent="0.2">
      <c r="A2626" s="1">
        <v>2625</v>
      </c>
      <c r="B2626" s="1" t="s">
        <v>7759</v>
      </c>
      <c r="C2626" s="1" t="s">
        <v>371</v>
      </c>
      <c r="D2626" s="1" t="str">
        <f t="shared" si="120"/>
        <v>Nordfyns Kommune Østergade 2</v>
      </c>
      <c r="E2626" s="1" t="s">
        <v>7835</v>
      </c>
      <c r="F2626" s="1" t="s">
        <v>7327</v>
      </c>
      <c r="G2626" s="1">
        <v>1918</v>
      </c>
      <c r="H2626" s="1" t="s">
        <v>11</v>
      </c>
      <c r="I2626" s="6" cm="1">
        <f t="array" ref="I2626">GetLatitude(D2626)</f>
        <v>555320482</v>
      </c>
      <c r="J2626" s="1" cm="1">
        <f t="array" ref="J2626">GetLongitude(D2626)</f>
        <v>102171956</v>
      </c>
      <c r="K2626" s="1">
        <f t="shared" si="121"/>
        <v>55.532048199999998</v>
      </c>
      <c r="L2626" s="1">
        <f t="shared" si="122"/>
        <v>10.2171956</v>
      </c>
    </row>
    <row r="2627" spans="1:12" ht="16" x14ac:dyDescent="0.2">
      <c r="A2627" s="1">
        <v>2626</v>
      </c>
      <c r="B2627" s="1" t="s">
        <v>7836</v>
      </c>
      <c r="C2627" s="1" t="s">
        <v>7837</v>
      </c>
      <c r="D2627" s="1" t="str">
        <f t="shared" ref="D2627:D2690" si="123">B2627&amp;C2627</f>
        <v>Nyborg Kommune Adelgade 1 og Korsbrødregade 2</v>
      </c>
      <c r="E2627" s="1" t="s">
        <v>7838</v>
      </c>
      <c r="F2627" s="1" t="s">
        <v>7839</v>
      </c>
      <c r="G2627" s="1">
        <v>1918</v>
      </c>
      <c r="H2627" s="1" t="s">
        <v>15</v>
      </c>
      <c r="I2627" s="6" cm="1">
        <f t="array" ref="I2627">GetLatitude(D2627)</f>
        <v>553113923</v>
      </c>
      <c r="J2627" s="1" cm="1">
        <f t="array" ref="J2627">GetLongitude(D2627)</f>
        <v>107930276</v>
      </c>
      <c r="K2627" s="1">
        <f t="shared" si="121"/>
        <v>55.311392300000001</v>
      </c>
      <c r="L2627" s="1">
        <f t="shared" si="122"/>
        <v>10.7930276</v>
      </c>
    </row>
    <row r="2628" spans="1:12" ht="16" x14ac:dyDescent="0.2">
      <c r="A2628" s="1">
        <v>2627</v>
      </c>
      <c r="B2628" s="1" t="s">
        <v>7836</v>
      </c>
      <c r="C2628" s="1" t="s">
        <v>7840</v>
      </c>
      <c r="D2628" s="1" t="str">
        <f t="shared" si="123"/>
        <v>Nyborg Kommune Adelgade 2 og Kongegade 24</v>
      </c>
      <c r="E2628" s="1" t="s">
        <v>7841</v>
      </c>
      <c r="F2628" s="1" t="s">
        <v>7842</v>
      </c>
      <c r="G2628" s="1">
        <v>1919</v>
      </c>
      <c r="H2628" s="1" t="s">
        <v>11</v>
      </c>
      <c r="I2628" s="6" cm="1">
        <f t="array" ref="I2628">GetLatitude(D2628)</f>
        <v>553115807</v>
      </c>
      <c r="J2628" s="1" cm="1">
        <f t="array" ref="J2628">GetLongitude(D2628)</f>
        <v>107890532</v>
      </c>
      <c r="K2628" s="1">
        <f t="shared" ref="K2628:K2691" si="124">I2628/10000000</f>
        <v>55.3115807</v>
      </c>
      <c r="L2628" s="1">
        <f t="shared" ref="L2628:L2691" si="125">J2628/10000000</f>
        <v>10.7890532</v>
      </c>
    </row>
    <row r="2629" spans="1:12" ht="16" x14ac:dyDescent="0.2">
      <c r="A2629" s="1">
        <v>2628</v>
      </c>
      <c r="B2629" s="1" t="s">
        <v>7836</v>
      </c>
      <c r="C2629" s="1" t="s">
        <v>7843</v>
      </c>
      <c r="D2629" s="1" t="str">
        <f t="shared" si="123"/>
        <v>Nyborg Kommune Aunslev Kirkevej 3</v>
      </c>
      <c r="E2629" s="1" t="s">
        <v>7844</v>
      </c>
      <c r="F2629" s="1" t="s">
        <v>7845</v>
      </c>
      <c r="G2629" s="1">
        <v>1932</v>
      </c>
      <c r="H2629" s="1" t="s">
        <v>15</v>
      </c>
      <c r="I2629" s="6" cm="1">
        <f t="array" ref="I2629">GetLatitude(D2629)</f>
        <v>553549321</v>
      </c>
      <c r="J2629" s="1" cm="1">
        <f t="array" ref="J2629">GetLongitude(D2629)</f>
        <v>107125456</v>
      </c>
      <c r="K2629" s="1">
        <f t="shared" si="124"/>
        <v>55.354932099999999</v>
      </c>
      <c r="L2629" s="1">
        <f t="shared" si="125"/>
        <v>10.7125456</v>
      </c>
    </row>
    <row r="2630" spans="1:12" ht="16" x14ac:dyDescent="0.2">
      <c r="A2630" s="1">
        <v>2629</v>
      </c>
      <c r="B2630" s="1" t="s">
        <v>7836</v>
      </c>
      <c r="C2630" s="1" t="s">
        <v>7846</v>
      </c>
      <c r="D2630" s="1" t="str">
        <f t="shared" si="123"/>
        <v>Nyborg Kommune Blegdamsgade 14</v>
      </c>
      <c r="E2630" s="1" t="s">
        <v>7847</v>
      </c>
      <c r="F2630" s="1" t="s">
        <v>7848</v>
      </c>
      <c r="G2630" s="1">
        <v>1964</v>
      </c>
      <c r="H2630" s="1" t="s">
        <v>11</v>
      </c>
      <c r="I2630" s="6" cm="1">
        <f t="array" ref="I2630">GetLatitude(D2630)</f>
        <v>553139437</v>
      </c>
      <c r="J2630" s="1" cm="1">
        <f t="array" ref="J2630">GetLongitude(D2630)</f>
        <v>107861445</v>
      </c>
      <c r="K2630" s="1">
        <f t="shared" si="124"/>
        <v>55.313943700000003</v>
      </c>
      <c r="L2630" s="1">
        <f t="shared" si="125"/>
        <v>10.786144500000001</v>
      </c>
    </row>
    <row r="2631" spans="1:12" ht="16" x14ac:dyDescent="0.2">
      <c r="A2631" s="1">
        <v>2630</v>
      </c>
      <c r="B2631" s="1" t="s">
        <v>7836</v>
      </c>
      <c r="C2631" s="1" t="s">
        <v>7849</v>
      </c>
      <c r="D2631" s="1" t="str">
        <f t="shared" si="123"/>
        <v>Nyborg Kommune Blegdamsgade 7</v>
      </c>
      <c r="E2631" s="1" t="s">
        <v>7850</v>
      </c>
      <c r="F2631" s="1" t="s">
        <v>7851</v>
      </c>
      <c r="G2631" s="1">
        <v>1959</v>
      </c>
      <c r="H2631" s="1" t="s">
        <v>15</v>
      </c>
      <c r="I2631" s="6" cm="1">
        <f t="array" ref="I2631">GetLatitude(D2631)</f>
        <v>553140527</v>
      </c>
      <c r="J2631" s="1" cm="1">
        <f t="array" ref="J2631">GetLongitude(D2631)</f>
        <v>107868834</v>
      </c>
      <c r="K2631" s="1">
        <f t="shared" si="124"/>
        <v>55.314052699999998</v>
      </c>
      <c r="L2631" s="1">
        <f t="shared" si="125"/>
        <v>10.786883400000001</v>
      </c>
    </row>
    <row r="2632" spans="1:12" ht="16" x14ac:dyDescent="0.2">
      <c r="A2632" s="1">
        <v>2631</v>
      </c>
      <c r="B2632" s="1" t="s">
        <v>7836</v>
      </c>
      <c r="C2632" s="1" t="s">
        <v>7852</v>
      </c>
      <c r="D2632" s="1" t="str">
        <f t="shared" si="123"/>
        <v>Nyborg Kommune  Bøjdenvej 116 A</v>
      </c>
      <c r="E2632" s="1" t="s">
        <v>7853</v>
      </c>
      <c r="F2632" s="1" t="s">
        <v>7854</v>
      </c>
      <c r="G2632" s="1">
        <v>1945</v>
      </c>
      <c r="H2632" s="1" t="s">
        <v>15</v>
      </c>
      <c r="I2632" s="6" cm="1">
        <f t="array" ref="I2632">GetLatitude(D2632)</f>
        <v>553095962</v>
      </c>
      <c r="J2632" s="1" cm="1">
        <f t="array" ref="J2632">GetLongitude(D2632)</f>
        <v>107330406</v>
      </c>
      <c r="K2632" s="1">
        <f t="shared" si="124"/>
        <v>55.309596200000001</v>
      </c>
      <c r="L2632" s="1">
        <f t="shared" si="125"/>
        <v>10.733040600000001</v>
      </c>
    </row>
    <row r="2633" spans="1:12" ht="16" x14ac:dyDescent="0.2">
      <c r="A2633" s="1">
        <v>2632</v>
      </c>
      <c r="B2633" s="1" t="s">
        <v>7836</v>
      </c>
      <c r="C2633" s="1" t="s">
        <v>7855</v>
      </c>
      <c r="D2633" s="1" t="str">
        <f t="shared" si="123"/>
        <v>Nyborg Kommune Dyrehavevej 84</v>
      </c>
      <c r="E2633" s="1" t="s">
        <v>7856</v>
      </c>
      <c r="F2633" s="1" t="s">
        <v>7857</v>
      </c>
      <c r="G2633" s="1">
        <v>1959</v>
      </c>
      <c r="H2633" s="1" t="s">
        <v>99</v>
      </c>
      <c r="I2633" s="6" cm="1">
        <f t="array" ref="I2633">GetLatitude(D2633)</f>
        <v>553012120</v>
      </c>
      <c r="J2633" s="1" cm="1">
        <f t="array" ref="J2633">GetLongitude(D2633)</f>
        <v>107803949</v>
      </c>
      <c r="K2633" s="1">
        <f t="shared" si="124"/>
        <v>55.301212</v>
      </c>
      <c r="L2633" s="1">
        <f t="shared" si="125"/>
        <v>10.780394899999999</v>
      </c>
    </row>
    <row r="2634" spans="1:12" ht="16" x14ac:dyDescent="0.2">
      <c r="A2634" s="1">
        <v>2633</v>
      </c>
      <c r="B2634" s="1" t="s">
        <v>7836</v>
      </c>
      <c r="C2634" s="1" t="s">
        <v>7858</v>
      </c>
      <c r="D2634" s="1" t="str">
        <f t="shared" si="123"/>
        <v>Nyborg Kommune Ferritslevvej 28 A</v>
      </c>
      <c r="E2634" s="1" t="s">
        <v>7859</v>
      </c>
      <c r="F2634" s="1" t="s">
        <v>7860</v>
      </c>
      <c r="G2634" s="1">
        <v>1954</v>
      </c>
      <c r="H2634" s="1" t="s">
        <v>11</v>
      </c>
      <c r="I2634" s="6" cm="1">
        <f t="array" ref="I2634">GetLatitude(D2634)</f>
        <v>553180939</v>
      </c>
      <c r="J2634" s="1" cm="1">
        <f t="array" ref="J2634">GetLongitude(D2634)</f>
        <v>107039651</v>
      </c>
      <c r="K2634" s="1">
        <f t="shared" si="124"/>
        <v>55.318093900000001</v>
      </c>
      <c r="L2634" s="1">
        <f t="shared" si="125"/>
        <v>10.7039651</v>
      </c>
    </row>
    <row r="2635" spans="1:12" ht="16" x14ac:dyDescent="0.2">
      <c r="A2635" s="1">
        <v>2634</v>
      </c>
      <c r="B2635" s="1" t="s">
        <v>7836</v>
      </c>
      <c r="C2635" s="1" t="s">
        <v>7861</v>
      </c>
      <c r="D2635" s="1" t="str">
        <f t="shared" si="123"/>
        <v>Nyborg Kommune Fyrvej 1A, Knudshoved (jernbaneterræn)</v>
      </c>
      <c r="E2635" s="1" t="s">
        <v>7862</v>
      </c>
      <c r="F2635" s="1" t="s">
        <v>7863</v>
      </c>
      <c r="G2635" s="1">
        <v>1950</v>
      </c>
      <c r="H2635" s="1" t="s">
        <v>15</v>
      </c>
      <c r="I2635" s="6" cm="1">
        <f t="array" ref="I2635">GetLatitude(D2635)</f>
        <v>552927825</v>
      </c>
      <c r="J2635" s="1" cm="1">
        <f t="array" ref="J2635">GetLongitude(D2635)</f>
        <v>108477909</v>
      </c>
      <c r="K2635" s="1">
        <f t="shared" si="124"/>
        <v>55.292782500000001</v>
      </c>
      <c r="L2635" s="1">
        <f t="shared" si="125"/>
        <v>10.8477909</v>
      </c>
    </row>
    <row r="2636" spans="1:12" ht="16" x14ac:dyDescent="0.2">
      <c r="A2636" s="1">
        <v>2635</v>
      </c>
      <c r="B2636" s="1" t="s">
        <v>7836</v>
      </c>
      <c r="C2636" s="1" t="s">
        <v>7864</v>
      </c>
      <c r="D2636" s="1" t="str">
        <f t="shared" si="123"/>
        <v>Nyborg Kommune Glorupvej 34</v>
      </c>
      <c r="E2636" s="1" t="s">
        <v>7865</v>
      </c>
      <c r="F2636" s="1" t="s">
        <v>7866</v>
      </c>
      <c r="G2636" s="1">
        <v>1918</v>
      </c>
      <c r="H2636" s="1" t="s">
        <v>11</v>
      </c>
      <c r="I2636" s="6" cm="1">
        <f t="array" ref="I2636">GetLatitude(D2636)</f>
        <v>552062408</v>
      </c>
      <c r="J2636" s="1" cm="1">
        <f t="array" ref="J2636">GetLongitude(D2636)</f>
        <v>107082853</v>
      </c>
      <c r="K2636" s="1">
        <f t="shared" si="124"/>
        <v>55.206240800000003</v>
      </c>
      <c r="L2636" s="1">
        <f t="shared" si="125"/>
        <v>10.7082853</v>
      </c>
    </row>
    <row r="2637" spans="1:12" ht="16" x14ac:dyDescent="0.2">
      <c r="A2637" s="1">
        <v>2636</v>
      </c>
      <c r="B2637" s="1" t="s">
        <v>7836</v>
      </c>
      <c r="C2637" s="1" t="s">
        <v>7867</v>
      </c>
      <c r="D2637" s="1" t="str">
        <f t="shared" si="123"/>
        <v>Nyborg Kommune Grønne Møllevejen 2</v>
      </c>
      <c r="E2637" s="1" t="s">
        <v>7868</v>
      </c>
      <c r="F2637" s="1" t="s">
        <v>7869</v>
      </c>
      <c r="G2637" s="1">
        <v>1989</v>
      </c>
      <c r="H2637" s="1" t="s">
        <v>11</v>
      </c>
      <c r="I2637" s="6" cm="1">
        <f t="array" ref="I2637">GetLatitude(D2637)</f>
        <v>553357217</v>
      </c>
      <c r="J2637" s="1" cm="1">
        <f t="array" ref="J2637">GetLongitude(D2637)</f>
        <v>106780931</v>
      </c>
      <c r="K2637" s="1">
        <f t="shared" si="124"/>
        <v>55.335721700000001</v>
      </c>
      <c r="L2637" s="1">
        <f t="shared" si="125"/>
        <v>10.6780931</v>
      </c>
    </row>
    <row r="2638" spans="1:12" ht="16" x14ac:dyDescent="0.2">
      <c r="A2638" s="1">
        <v>2637</v>
      </c>
      <c r="B2638" s="1" t="s">
        <v>7836</v>
      </c>
      <c r="C2638" s="1" t="s">
        <v>1881</v>
      </c>
      <c r="D2638" s="1" t="str">
        <f t="shared" si="123"/>
        <v>Nyborg Kommune Havnegade 2</v>
      </c>
      <c r="E2638" s="1" t="s">
        <v>7870</v>
      </c>
      <c r="F2638" s="1" t="s">
        <v>7871</v>
      </c>
      <c r="G2638" s="1">
        <v>1950</v>
      </c>
      <c r="H2638" s="1" t="s">
        <v>11</v>
      </c>
      <c r="I2638" s="6" cm="1">
        <f t="array" ref="I2638">GetLatitude(D2638)</f>
        <v>553098157</v>
      </c>
      <c r="J2638" s="1" cm="1">
        <f t="array" ref="J2638">GetLongitude(D2638)</f>
        <v>107948161</v>
      </c>
      <c r="K2638" s="1">
        <f t="shared" si="124"/>
        <v>55.309815700000001</v>
      </c>
      <c r="L2638" s="1">
        <f t="shared" si="125"/>
        <v>10.7948161</v>
      </c>
    </row>
    <row r="2639" spans="1:12" ht="16" x14ac:dyDescent="0.2">
      <c r="A2639" s="1">
        <v>2638</v>
      </c>
      <c r="B2639" s="1" t="s">
        <v>7836</v>
      </c>
      <c r="C2639" s="1" t="s">
        <v>7872</v>
      </c>
      <c r="D2639" s="1" t="str">
        <f t="shared" si="123"/>
        <v>Nyborg Kommune Holckenhavn 1</v>
      </c>
      <c r="E2639" s="1" t="s">
        <v>7873</v>
      </c>
      <c r="F2639" s="1" t="s">
        <v>7874</v>
      </c>
      <c r="G2639" s="1">
        <v>1918</v>
      </c>
      <c r="H2639" s="1" t="s">
        <v>7875</v>
      </c>
      <c r="I2639" s="6" cm="1">
        <f t="array" ref="I2639">GetLatitude(D2639)</f>
        <v>552929320</v>
      </c>
      <c r="J2639" s="1" cm="1">
        <f t="array" ref="J2639">GetLongitude(D2639)</f>
        <v>107749767</v>
      </c>
      <c r="K2639" s="1">
        <f t="shared" si="124"/>
        <v>55.292932</v>
      </c>
      <c r="L2639" s="1">
        <f t="shared" si="125"/>
        <v>10.7749767</v>
      </c>
    </row>
    <row r="2640" spans="1:12" ht="16" x14ac:dyDescent="0.2">
      <c r="A2640" s="1">
        <v>2639</v>
      </c>
      <c r="B2640" s="1" t="s">
        <v>7836</v>
      </c>
      <c r="C2640" s="1" t="s">
        <v>7876</v>
      </c>
      <c r="D2640" s="1" t="str">
        <f t="shared" si="123"/>
        <v>Nyborg Kommune Juelsbergvej 11 og 11 A-C</v>
      </c>
      <c r="E2640" s="1" t="s">
        <v>7877</v>
      </c>
      <c r="F2640" s="1" t="s">
        <v>7878</v>
      </c>
      <c r="G2640" s="1">
        <v>1918</v>
      </c>
      <c r="H2640" s="1" t="s">
        <v>11</v>
      </c>
      <c r="I2640" s="6" cm="1">
        <f t="array" ref="I2640">GetLatitude(D2640)</f>
        <v>553414815</v>
      </c>
      <c r="J2640" s="1" cm="1">
        <f t="array" ref="J2640">GetLongitude(D2640)</f>
        <v>107636204</v>
      </c>
      <c r="K2640" s="1">
        <f t="shared" si="124"/>
        <v>55.3414815</v>
      </c>
      <c r="L2640" s="1">
        <f t="shared" si="125"/>
        <v>10.763620400000001</v>
      </c>
    </row>
    <row r="2641" spans="1:12" ht="16" x14ac:dyDescent="0.2">
      <c r="A2641" s="1">
        <v>2640</v>
      </c>
      <c r="B2641" s="1" t="s">
        <v>7836</v>
      </c>
      <c r="C2641" s="1" t="s">
        <v>7879</v>
      </c>
      <c r="D2641" s="1" t="str">
        <f t="shared" si="123"/>
        <v>Nyborg Kommune Juulskovvej 12</v>
      </c>
      <c r="E2641" s="1" t="s">
        <v>7880</v>
      </c>
      <c r="F2641" s="1" t="s">
        <v>7881</v>
      </c>
      <c r="G2641" s="1">
        <v>1918</v>
      </c>
      <c r="H2641" s="1" t="s">
        <v>701</v>
      </c>
      <c r="I2641" s="6" cm="1">
        <f t="array" ref="I2641">GetLatitude(D2641)</f>
        <v>553004207</v>
      </c>
      <c r="J2641" s="1" cm="1">
        <f t="array" ref="J2641">GetLongitude(D2641)</f>
        <v>106875970</v>
      </c>
      <c r="K2641" s="1">
        <f t="shared" si="124"/>
        <v>55.300420699999997</v>
      </c>
      <c r="L2641" s="1">
        <f t="shared" si="125"/>
        <v>10.687597</v>
      </c>
    </row>
    <row r="2642" spans="1:12" ht="16" x14ac:dyDescent="0.2">
      <c r="A2642" s="1">
        <v>2641</v>
      </c>
      <c r="B2642" s="1" t="s">
        <v>7836</v>
      </c>
      <c r="C2642" s="1" t="s">
        <v>7882</v>
      </c>
      <c r="D2642" s="1" t="str">
        <f t="shared" si="123"/>
        <v>Nyborg Kommune Kongegade 1</v>
      </c>
      <c r="E2642" s="1" t="s">
        <v>7883</v>
      </c>
      <c r="F2642" s="1" t="s">
        <v>7884</v>
      </c>
      <c r="G2642" s="1">
        <v>1919</v>
      </c>
      <c r="H2642" s="1" t="s">
        <v>15</v>
      </c>
      <c r="I2642" s="6" cm="1">
        <f t="array" ref="I2642">GetLatitude(D2642)</f>
        <v>553117781</v>
      </c>
      <c r="J2642" s="1" cm="1">
        <f t="array" ref="J2642">GetLongitude(D2642)</f>
        <v>107888617</v>
      </c>
      <c r="K2642" s="1">
        <f t="shared" si="124"/>
        <v>55.311778099999998</v>
      </c>
      <c r="L2642" s="1">
        <f t="shared" si="125"/>
        <v>10.7888617</v>
      </c>
    </row>
    <row r="2643" spans="1:12" ht="16" x14ac:dyDescent="0.2">
      <c r="A2643" s="1">
        <v>2642</v>
      </c>
      <c r="B2643" s="1" t="s">
        <v>7836</v>
      </c>
      <c r="C2643" s="1" t="s">
        <v>7885</v>
      </c>
      <c r="D2643" s="1" t="str">
        <f t="shared" si="123"/>
        <v>Nyborg Kommune Kongegade 12</v>
      </c>
      <c r="E2643" s="1" t="s">
        <v>7886</v>
      </c>
      <c r="F2643" s="1" t="s">
        <v>7887</v>
      </c>
      <c r="G2643" s="1">
        <v>1918</v>
      </c>
      <c r="H2643" s="1" t="s">
        <v>2859</v>
      </c>
      <c r="I2643" s="6" cm="1">
        <f t="array" ref="I2643">GetLatitude(D2643)</f>
        <v>553112409</v>
      </c>
      <c r="J2643" s="1" cm="1">
        <f t="array" ref="J2643">GetLongitude(D2643)</f>
        <v>107904739</v>
      </c>
      <c r="K2643" s="1">
        <f t="shared" si="124"/>
        <v>55.311240900000001</v>
      </c>
      <c r="L2643" s="1">
        <f t="shared" si="125"/>
        <v>10.7904739</v>
      </c>
    </row>
    <row r="2644" spans="1:12" ht="16" x14ac:dyDescent="0.2">
      <c r="A2644" s="1">
        <v>2643</v>
      </c>
      <c r="B2644" s="1" t="s">
        <v>7836</v>
      </c>
      <c r="C2644" s="1" t="s">
        <v>7888</v>
      </c>
      <c r="D2644" s="1" t="str">
        <f t="shared" si="123"/>
        <v>Nyborg Kommune Korsbrødregade 4</v>
      </c>
      <c r="E2644" s="1" t="s">
        <v>7889</v>
      </c>
      <c r="F2644" s="1" t="s">
        <v>7890</v>
      </c>
      <c r="G2644" s="1">
        <v>1918</v>
      </c>
      <c r="H2644" s="1" t="s">
        <v>11</v>
      </c>
      <c r="I2644" s="6" cm="1">
        <f t="array" ref="I2644">GetLatitude(D2644)</f>
        <v>553112289</v>
      </c>
      <c r="J2644" s="1" cm="1">
        <f t="array" ref="J2644">GetLongitude(D2644)</f>
        <v>107930578</v>
      </c>
      <c r="K2644" s="1">
        <f t="shared" si="124"/>
        <v>55.311228900000003</v>
      </c>
      <c r="L2644" s="1">
        <f t="shared" si="125"/>
        <v>10.7930578</v>
      </c>
    </row>
    <row r="2645" spans="1:12" ht="16" x14ac:dyDescent="0.2">
      <c r="A2645" s="1">
        <v>2644</v>
      </c>
      <c r="B2645" s="1" t="s">
        <v>7836</v>
      </c>
      <c r="C2645" s="1" t="s">
        <v>7891</v>
      </c>
      <c r="D2645" s="1" t="str">
        <f t="shared" si="123"/>
        <v>Nyborg Kommune Korsgade 2</v>
      </c>
      <c r="E2645" s="1" t="s">
        <v>7892</v>
      </c>
      <c r="F2645" s="1" t="s">
        <v>7893</v>
      </c>
      <c r="G2645" s="1">
        <v>1919</v>
      </c>
      <c r="H2645" s="1" t="s">
        <v>11</v>
      </c>
      <c r="I2645" s="6" cm="1">
        <f t="array" ref="I2645">GetLatitude(D2645)</f>
        <v>553109158</v>
      </c>
      <c r="J2645" s="1" cm="1">
        <f t="array" ref="J2645">GetLongitude(D2645)</f>
        <v>107899649</v>
      </c>
      <c r="K2645" s="1">
        <f t="shared" si="124"/>
        <v>55.310915799999997</v>
      </c>
      <c r="L2645" s="1">
        <f t="shared" si="125"/>
        <v>10.789964899999999</v>
      </c>
    </row>
    <row r="2646" spans="1:12" ht="16" x14ac:dyDescent="0.2">
      <c r="A2646" s="1">
        <v>2645</v>
      </c>
      <c r="B2646" s="1" t="s">
        <v>7836</v>
      </c>
      <c r="C2646" s="1" t="s">
        <v>7894</v>
      </c>
      <c r="D2646" s="1" t="str">
        <f t="shared" si="123"/>
        <v>Nyborg Kommune Korsgade 4</v>
      </c>
      <c r="E2646" s="1" t="s">
        <v>7894</v>
      </c>
      <c r="F2646" s="1" t="s">
        <v>1871</v>
      </c>
      <c r="G2646" s="1">
        <v>1919</v>
      </c>
      <c r="H2646" s="1" t="s">
        <v>11</v>
      </c>
      <c r="I2646" s="6" cm="1">
        <f t="array" ref="I2646">GetLatitude(D2646)</f>
        <v>553118020</v>
      </c>
      <c r="J2646" s="1" cm="1">
        <f t="array" ref="J2646">GetLongitude(D2646)</f>
        <v>107900336</v>
      </c>
      <c r="K2646" s="1">
        <f t="shared" si="124"/>
        <v>55.311802</v>
      </c>
      <c r="L2646" s="1">
        <f t="shared" si="125"/>
        <v>10.790033599999999</v>
      </c>
    </row>
    <row r="2647" spans="1:12" ht="16" x14ac:dyDescent="0.2">
      <c r="A2647" s="1">
        <v>2646</v>
      </c>
      <c r="B2647" s="1" t="s">
        <v>7836</v>
      </c>
      <c r="C2647" s="1" t="s">
        <v>7895</v>
      </c>
      <c r="D2647" s="1" t="str">
        <f t="shared" si="123"/>
        <v>Nyborg Kommune Lillemøllevej 14</v>
      </c>
      <c r="E2647" s="1" t="s">
        <v>7896</v>
      </c>
      <c r="F2647" s="1" t="s">
        <v>7897</v>
      </c>
      <c r="G2647" s="1">
        <v>1954</v>
      </c>
      <c r="H2647" s="1" t="s">
        <v>7898</v>
      </c>
      <c r="I2647" s="6" cm="1">
        <f t="array" ref="I2647">GetLatitude(D2647)</f>
        <v>552840465</v>
      </c>
      <c r="J2647" s="1" cm="1">
        <f t="array" ref="J2647">GetLongitude(D2647)</f>
        <v>107045216</v>
      </c>
      <c r="K2647" s="1">
        <f t="shared" si="124"/>
        <v>55.284046500000002</v>
      </c>
      <c r="L2647" s="1">
        <f t="shared" si="125"/>
        <v>10.7045216</v>
      </c>
    </row>
    <row r="2648" spans="1:12" ht="16" x14ac:dyDescent="0.2">
      <c r="A2648" s="1">
        <v>2647</v>
      </c>
      <c r="B2648" s="1" t="s">
        <v>7836</v>
      </c>
      <c r="C2648" s="1" t="s">
        <v>7899</v>
      </c>
      <c r="D2648" s="1" t="str">
        <f t="shared" si="123"/>
        <v>Nyborg Kommune Lykkesholmvej 20</v>
      </c>
      <c r="E2648" s="1" t="s">
        <v>7693</v>
      </c>
      <c r="F2648" s="1" t="s">
        <v>7900</v>
      </c>
      <c r="G2648" s="1">
        <v>1918</v>
      </c>
      <c r="H2648" s="1" t="s">
        <v>3043</v>
      </c>
      <c r="I2648" s="6" cm="1">
        <f t="array" ref="I2648">GetLatitude(D2648)</f>
        <v>552393306</v>
      </c>
      <c r="J2648" s="1" cm="1">
        <f t="array" ref="J2648">GetLongitude(D2648)</f>
        <v>106182279</v>
      </c>
      <c r="K2648" s="1">
        <f t="shared" si="124"/>
        <v>55.239330600000002</v>
      </c>
      <c r="L2648" s="1">
        <f t="shared" si="125"/>
        <v>10.618227900000001</v>
      </c>
    </row>
    <row r="2649" spans="1:12" ht="16" x14ac:dyDescent="0.2">
      <c r="A2649" s="1">
        <v>2648</v>
      </c>
      <c r="B2649" s="1" t="s">
        <v>7836</v>
      </c>
      <c r="C2649" s="1" t="s">
        <v>7901</v>
      </c>
      <c r="D2649" s="1" t="str">
        <f t="shared" si="123"/>
        <v>Nyborg Kommune Nyborg Volde og Lindealléen 1</v>
      </c>
      <c r="E2649" s="1" t="s">
        <v>7902</v>
      </c>
      <c r="F2649" s="1" t="s">
        <v>7903</v>
      </c>
      <c r="G2649" s="1">
        <v>1918</v>
      </c>
      <c r="H2649" s="1" t="s">
        <v>11</v>
      </c>
      <c r="I2649" s="6" cm="1">
        <f t="array" ref="I2649">GetLatitude(D2649)</f>
        <v>553142748</v>
      </c>
      <c r="J2649" s="1" cm="1">
        <f t="array" ref="J2649">GetLongitude(D2649)</f>
        <v>107882349</v>
      </c>
      <c r="K2649" s="1">
        <f t="shared" si="124"/>
        <v>55.3142748</v>
      </c>
      <c r="L2649" s="1">
        <f t="shared" si="125"/>
        <v>10.788234900000001</v>
      </c>
    </row>
    <row r="2650" spans="1:12" ht="16" x14ac:dyDescent="0.2">
      <c r="A2650" s="1">
        <v>2649</v>
      </c>
      <c r="B2650" s="1" t="s">
        <v>7836</v>
      </c>
      <c r="C2650" s="1" t="s">
        <v>3950</v>
      </c>
      <c r="D2650" s="1" t="str">
        <f t="shared" si="123"/>
        <v>Nyborg Kommune Nørregade 1</v>
      </c>
      <c r="E2650" s="1" t="s">
        <v>7904</v>
      </c>
      <c r="F2650" s="1" t="s">
        <v>1871</v>
      </c>
      <c r="G2650" s="1">
        <v>1920</v>
      </c>
      <c r="H2650" s="1" t="s">
        <v>11</v>
      </c>
      <c r="I2650" s="6" cm="1">
        <f t="array" ref="I2650">GetLatitude(D2650)</f>
        <v>553124913</v>
      </c>
      <c r="J2650" s="1" cm="1">
        <f t="array" ref="J2650">GetLongitude(D2650)</f>
        <v>107906675</v>
      </c>
      <c r="K2650" s="1">
        <f t="shared" si="124"/>
        <v>55.312491299999998</v>
      </c>
      <c r="L2650" s="1">
        <f t="shared" si="125"/>
        <v>10.7906675</v>
      </c>
    </row>
    <row r="2651" spans="1:12" ht="16" x14ac:dyDescent="0.2">
      <c r="A2651" s="1">
        <v>2650</v>
      </c>
      <c r="B2651" s="1" t="s">
        <v>7836</v>
      </c>
      <c r="C2651" s="1" t="s">
        <v>7905</v>
      </c>
      <c r="D2651" s="1" t="str">
        <f t="shared" si="123"/>
        <v>Nyborg Kommune Ravnholtsvej 57</v>
      </c>
      <c r="E2651" s="1" t="s">
        <v>7906</v>
      </c>
      <c r="F2651" s="1" t="s">
        <v>7907</v>
      </c>
      <c r="G2651" s="1">
        <v>1932</v>
      </c>
      <c r="H2651" s="1" t="s">
        <v>15</v>
      </c>
      <c r="I2651" s="6" cm="1">
        <f t="array" ref="I2651">GetLatitude(D2651)</f>
        <v>552608655</v>
      </c>
      <c r="J2651" s="1" cm="1">
        <f t="array" ref="J2651">GetLongitude(D2651)</f>
        <v>105820102</v>
      </c>
      <c r="K2651" s="1">
        <f t="shared" si="124"/>
        <v>55.260865500000001</v>
      </c>
      <c r="L2651" s="1">
        <f t="shared" si="125"/>
        <v>10.582010199999999</v>
      </c>
    </row>
    <row r="2652" spans="1:12" ht="16" x14ac:dyDescent="0.2">
      <c r="A2652" s="1">
        <v>2651</v>
      </c>
      <c r="B2652" s="1" t="s">
        <v>7836</v>
      </c>
      <c r="C2652" s="1" t="s">
        <v>7908</v>
      </c>
      <c r="D2652" s="1" t="str">
        <f t="shared" si="123"/>
        <v>Nyborg Kommune Risingevej 7</v>
      </c>
      <c r="E2652" s="1" t="s">
        <v>7909</v>
      </c>
      <c r="F2652" s="1" t="s">
        <v>7910</v>
      </c>
      <c r="G2652" s="1">
        <v>1989</v>
      </c>
      <c r="H2652" s="1" t="s">
        <v>11</v>
      </c>
      <c r="I2652" s="6" cm="1">
        <f t="array" ref="I2652">GetLatitude(D2652)</f>
        <v>554109290</v>
      </c>
      <c r="J2652" s="1" cm="1">
        <f t="array" ref="J2652">GetLongitude(D2652)</f>
        <v>107131690</v>
      </c>
      <c r="K2652" s="1">
        <f t="shared" si="124"/>
        <v>55.410929000000003</v>
      </c>
      <c r="L2652" s="1">
        <f t="shared" si="125"/>
        <v>10.713169000000001</v>
      </c>
    </row>
    <row r="2653" spans="1:12" ht="16" x14ac:dyDescent="0.2">
      <c r="A2653" s="1">
        <v>2652</v>
      </c>
      <c r="B2653" s="1" t="s">
        <v>7836</v>
      </c>
      <c r="C2653" s="1" t="s">
        <v>7911</v>
      </c>
      <c r="D2653" s="1" t="str">
        <f t="shared" si="123"/>
        <v>Nyborg Kommune Rosildevænget 8 M</v>
      </c>
      <c r="E2653" s="1" t="s">
        <v>7912</v>
      </c>
      <c r="F2653" s="1" t="s">
        <v>7913</v>
      </c>
      <c r="G2653" s="1">
        <v>1989</v>
      </c>
      <c r="H2653" s="1" t="s">
        <v>15</v>
      </c>
      <c r="I2653" s="6" cm="1">
        <f t="array" ref="I2653">GetLatitude(D2653)</f>
        <v>553078507</v>
      </c>
      <c r="J2653" s="1" cm="1">
        <f t="array" ref="J2653">GetLongitude(D2653)</f>
        <v>107289435</v>
      </c>
      <c r="K2653" s="1">
        <f t="shared" si="124"/>
        <v>55.307850700000003</v>
      </c>
      <c r="L2653" s="1">
        <f t="shared" si="125"/>
        <v>10.7289435</v>
      </c>
    </row>
    <row r="2654" spans="1:12" ht="16" x14ac:dyDescent="0.2">
      <c r="A2654" s="1">
        <v>2653</v>
      </c>
      <c r="B2654" s="1" t="s">
        <v>7836</v>
      </c>
      <c r="C2654" s="1" t="s">
        <v>7914</v>
      </c>
      <c r="D2654" s="1" t="str">
        <f t="shared" si="123"/>
        <v>Nyborg Kommune Rygårdsvej 28</v>
      </c>
      <c r="E2654" s="1" t="s">
        <v>7915</v>
      </c>
      <c r="F2654" s="1" t="s">
        <v>7916</v>
      </c>
      <c r="G2654" s="1">
        <v>1918</v>
      </c>
      <c r="H2654" s="1" t="s">
        <v>11</v>
      </c>
      <c r="I2654" s="6" cm="1">
        <f t="array" ref="I2654">GetLatitude(D2654)</f>
        <v>551927220</v>
      </c>
      <c r="J2654" s="1" cm="1">
        <f t="array" ref="J2654">GetLongitude(D2654)</f>
        <v>106998930</v>
      </c>
      <c r="K2654" s="1">
        <f t="shared" si="124"/>
        <v>55.192722000000003</v>
      </c>
      <c r="L2654" s="1">
        <f t="shared" si="125"/>
        <v>10.699892999999999</v>
      </c>
    </row>
    <row r="2655" spans="1:12" ht="16" x14ac:dyDescent="0.2">
      <c r="A2655" s="1">
        <v>2654</v>
      </c>
      <c r="B2655" s="1" t="s">
        <v>7836</v>
      </c>
      <c r="C2655" s="1" t="s">
        <v>7917</v>
      </c>
      <c r="D2655" s="1" t="str">
        <f t="shared" si="123"/>
        <v>Nyborg Kommune Sentvedvej 1</v>
      </c>
      <c r="E2655" s="1" t="s">
        <v>7918</v>
      </c>
      <c r="F2655" s="1" t="s">
        <v>7919</v>
      </c>
      <c r="G2655" s="1">
        <v>1982</v>
      </c>
      <c r="H2655" s="1" t="s">
        <v>11</v>
      </c>
      <c r="I2655" s="6" cm="1">
        <f t="array" ref="I2655">GetLatitude(D2655)</f>
        <v>552543803</v>
      </c>
      <c r="J2655" s="1" cm="1">
        <f t="array" ref="J2655">GetLongitude(D2655)</f>
        <v>106714754</v>
      </c>
      <c r="K2655" s="1">
        <f t="shared" si="124"/>
        <v>55.254380300000001</v>
      </c>
      <c r="L2655" s="1">
        <f t="shared" si="125"/>
        <v>10.6714754</v>
      </c>
    </row>
    <row r="2656" spans="1:12" ht="16" x14ac:dyDescent="0.2">
      <c r="A2656" s="1">
        <v>2655</v>
      </c>
      <c r="B2656" s="1" t="s">
        <v>7836</v>
      </c>
      <c r="C2656" s="1" t="s">
        <v>7920</v>
      </c>
      <c r="D2656" s="1" t="str">
        <f t="shared" si="123"/>
        <v>Nyborg Kommune Skippergade 26</v>
      </c>
      <c r="E2656" s="1" t="s">
        <v>7921</v>
      </c>
      <c r="F2656" s="1" t="s">
        <v>416</v>
      </c>
      <c r="G2656" s="1">
        <v>1989</v>
      </c>
      <c r="H2656" s="1" t="s">
        <v>11</v>
      </c>
      <c r="I2656" s="6" cm="1">
        <f t="array" ref="I2656">GetLatitude(D2656)</f>
        <v>553109668</v>
      </c>
      <c r="J2656" s="1" cm="1">
        <f t="array" ref="J2656">GetLongitude(D2656)</f>
        <v>107939139</v>
      </c>
      <c r="K2656" s="1">
        <f t="shared" si="124"/>
        <v>55.310966800000003</v>
      </c>
      <c r="L2656" s="1">
        <f t="shared" si="125"/>
        <v>10.7939139</v>
      </c>
    </row>
    <row r="2657" spans="1:12" ht="16" x14ac:dyDescent="0.2">
      <c r="A2657" s="1">
        <v>2656</v>
      </c>
      <c r="B2657" s="1" t="s">
        <v>7836</v>
      </c>
      <c r="C2657" s="1" t="s">
        <v>7922</v>
      </c>
      <c r="D2657" s="1" t="str">
        <f t="shared" si="123"/>
        <v>Nyborg Kommune Skippergade 26 A-D</v>
      </c>
      <c r="E2657" s="1" t="s">
        <v>7923</v>
      </c>
      <c r="F2657" s="1" t="s">
        <v>7924</v>
      </c>
      <c r="G2657" s="1">
        <v>1919</v>
      </c>
      <c r="H2657" s="1" t="s">
        <v>11</v>
      </c>
      <c r="I2657" s="6" cm="1">
        <f t="array" ref="I2657">GetLatitude(D2657)</f>
        <v>553110130</v>
      </c>
      <c r="J2657" s="1" cm="1">
        <f t="array" ref="J2657">GetLongitude(D2657)</f>
        <v>107939977</v>
      </c>
      <c r="K2657" s="1">
        <f t="shared" si="124"/>
        <v>55.311013000000003</v>
      </c>
      <c r="L2657" s="1">
        <f t="shared" si="125"/>
        <v>10.7939977</v>
      </c>
    </row>
    <row r="2658" spans="1:12" ht="16" x14ac:dyDescent="0.2">
      <c r="A2658" s="1">
        <v>2657</v>
      </c>
      <c r="B2658" s="1" t="s">
        <v>7836</v>
      </c>
      <c r="C2658" s="1" t="s">
        <v>7925</v>
      </c>
      <c r="D2658" s="1" t="str">
        <f t="shared" si="123"/>
        <v>Nyborg Kommune Slipshavnsvej 51</v>
      </c>
      <c r="E2658" s="1" t="s">
        <v>7926</v>
      </c>
      <c r="F2658" s="1" t="s">
        <v>7927</v>
      </c>
      <c r="G2658" s="1">
        <v>1978</v>
      </c>
      <c r="H2658" s="1" t="s">
        <v>11</v>
      </c>
      <c r="I2658" s="6" cm="1">
        <f t="array" ref="I2658">GetLatitude(D2658)</f>
        <v>552860992</v>
      </c>
      <c r="J2658" s="1" cm="1">
        <f t="array" ref="J2658">GetLongitude(D2658)</f>
        <v>108257996</v>
      </c>
      <c r="K2658" s="1">
        <f t="shared" si="124"/>
        <v>55.286099200000002</v>
      </c>
      <c r="L2658" s="1">
        <f t="shared" si="125"/>
        <v>10.8257996</v>
      </c>
    </row>
    <row r="2659" spans="1:12" ht="16" x14ac:dyDescent="0.2">
      <c r="A2659" s="1">
        <v>2658</v>
      </c>
      <c r="B2659" s="1" t="s">
        <v>7836</v>
      </c>
      <c r="C2659" s="1" t="s">
        <v>1376</v>
      </c>
      <c r="D2659" s="1" t="str">
        <f t="shared" si="123"/>
        <v>Nyborg Kommune Slotsgade 11</v>
      </c>
      <c r="E2659" s="1" t="s">
        <v>7928</v>
      </c>
      <c r="F2659" s="1" t="s">
        <v>7929</v>
      </c>
      <c r="G2659" s="1">
        <v>1918</v>
      </c>
      <c r="H2659" s="1" t="s">
        <v>15</v>
      </c>
      <c r="I2659" s="6" cm="1">
        <f t="array" ref="I2659">GetLatitude(D2659)</f>
        <v>553120670</v>
      </c>
      <c r="J2659" s="1" cm="1">
        <f t="array" ref="J2659">GetLongitude(D2659)</f>
        <v>107872745</v>
      </c>
      <c r="K2659" s="1">
        <f t="shared" si="124"/>
        <v>55.312066999999999</v>
      </c>
      <c r="L2659" s="1">
        <f t="shared" si="125"/>
        <v>10.787274500000001</v>
      </c>
    </row>
    <row r="2660" spans="1:12" ht="16" x14ac:dyDescent="0.2">
      <c r="A2660" s="1">
        <v>2659</v>
      </c>
      <c r="B2660" s="1" t="s">
        <v>7836</v>
      </c>
      <c r="C2660" s="1" t="s">
        <v>7930</v>
      </c>
      <c r="D2660" s="1" t="str">
        <f t="shared" si="123"/>
        <v>Nyborg Kommune Slotsgade 13</v>
      </c>
      <c r="E2660" s="1" t="s">
        <v>7931</v>
      </c>
      <c r="F2660" s="1" t="s">
        <v>7932</v>
      </c>
      <c r="G2660" s="1">
        <v>1987</v>
      </c>
      <c r="H2660" s="1" t="s">
        <v>11</v>
      </c>
      <c r="I2660" s="6" cm="1">
        <f t="array" ref="I2660">GetLatitude(D2660)</f>
        <v>553120670</v>
      </c>
      <c r="J2660" s="1" cm="1">
        <f t="array" ref="J2660">GetLongitude(D2660)</f>
        <v>107872745</v>
      </c>
      <c r="K2660" s="1">
        <f t="shared" si="124"/>
        <v>55.312066999999999</v>
      </c>
      <c r="L2660" s="1">
        <f t="shared" si="125"/>
        <v>10.787274500000001</v>
      </c>
    </row>
    <row r="2661" spans="1:12" ht="16" x14ac:dyDescent="0.2">
      <c r="A2661" s="1">
        <v>2660</v>
      </c>
      <c r="B2661" s="1" t="s">
        <v>7836</v>
      </c>
      <c r="C2661" s="1" t="s">
        <v>2617</v>
      </c>
      <c r="D2661" s="1" t="str">
        <f t="shared" si="123"/>
        <v>Nyborg Kommune Slotsgade 15</v>
      </c>
      <c r="E2661" s="1" t="s">
        <v>2618</v>
      </c>
      <c r="F2661" s="1" t="s">
        <v>7933</v>
      </c>
      <c r="G2661" s="1">
        <v>1924</v>
      </c>
      <c r="H2661" s="1" t="s">
        <v>11</v>
      </c>
      <c r="I2661" s="6" cm="1">
        <f t="array" ref="I2661">GetLatitude(D2661)</f>
        <v>553120670</v>
      </c>
      <c r="J2661" s="1" cm="1">
        <f t="array" ref="J2661">GetLongitude(D2661)</f>
        <v>107872745</v>
      </c>
      <c r="K2661" s="1">
        <f t="shared" si="124"/>
        <v>55.312066999999999</v>
      </c>
      <c r="L2661" s="1">
        <f t="shared" si="125"/>
        <v>10.787274500000001</v>
      </c>
    </row>
    <row r="2662" spans="1:12" ht="16" x14ac:dyDescent="0.2">
      <c r="A2662" s="1">
        <v>2661</v>
      </c>
      <c r="B2662" s="1" t="s">
        <v>7836</v>
      </c>
      <c r="C2662" s="1" t="s">
        <v>7934</v>
      </c>
      <c r="D2662" s="1" t="str">
        <f t="shared" si="123"/>
        <v>Nyborg Kommune Slotsgade 36-37 (tidl Slotsgade 34)</v>
      </c>
      <c r="E2662" s="1" t="s">
        <v>7935</v>
      </c>
      <c r="F2662" s="1" t="s">
        <v>7936</v>
      </c>
      <c r="G2662" s="1">
        <v>1918</v>
      </c>
      <c r="H2662" s="1" t="s">
        <v>11</v>
      </c>
      <c r="I2662" s="6" cm="1">
        <f t="array" ref="I2662">GetLatitude(D2662)</f>
        <v>559309805</v>
      </c>
      <c r="J2662" s="1" cm="1">
        <f t="array" ref="J2662">GetLongitude(D2662)</f>
        <v>122995161</v>
      </c>
      <c r="K2662" s="1">
        <f t="shared" si="124"/>
        <v>55.930980499999997</v>
      </c>
      <c r="L2662" s="1">
        <f t="shared" si="125"/>
        <v>12.2995161</v>
      </c>
    </row>
    <row r="2663" spans="1:12" ht="16" x14ac:dyDescent="0.2">
      <c r="A2663" s="1">
        <v>2662</v>
      </c>
      <c r="B2663" s="1" t="s">
        <v>7836</v>
      </c>
      <c r="C2663" s="1" t="s">
        <v>7937</v>
      </c>
      <c r="D2663" s="1" t="str">
        <f t="shared" si="123"/>
        <v>Nyborg Kommune Slotsgade 503</v>
      </c>
      <c r="E2663" s="1" t="s">
        <v>7938</v>
      </c>
      <c r="F2663" s="1" t="s">
        <v>7939</v>
      </c>
      <c r="G2663" s="1">
        <v>1997</v>
      </c>
      <c r="H2663" s="1" t="s">
        <v>15</v>
      </c>
      <c r="I2663" s="6" cm="1">
        <f t="array" ref="I2663">GetLatitude(D2663)</f>
        <v>553103308</v>
      </c>
      <c r="J2663" s="1" cm="1">
        <f t="array" ref="J2663">GetLongitude(D2663)</f>
        <v>107104449</v>
      </c>
      <c r="K2663" s="1">
        <f t="shared" si="124"/>
        <v>55.310330800000003</v>
      </c>
      <c r="L2663" s="1">
        <f t="shared" si="125"/>
        <v>10.710444900000001</v>
      </c>
    </row>
    <row r="2664" spans="1:12" ht="16" x14ac:dyDescent="0.2">
      <c r="A2664" s="1">
        <v>2663</v>
      </c>
      <c r="B2664" s="1" t="s">
        <v>7836</v>
      </c>
      <c r="C2664" s="1" t="s">
        <v>7940</v>
      </c>
      <c r="D2664" s="1" t="str">
        <f t="shared" si="123"/>
        <v>Nyborg Kommune Svendborgvej 71-75</v>
      </c>
      <c r="E2664" s="1" t="s">
        <v>7941</v>
      </c>
      <c r="F2664" s="1" t="s">
        <v>7942</v>
      </c>
      <c r="G2664" s="1">
        <v>1964</v>
      </c>
      <c r="H2664" s="1" t="s">
        <v>11</v>
      </c>
      <c r="I2664" s="6" cm="1">
        <f t="array" ref="I2664">GetLatitude(D2664)</f>
        <v>552164920</v>
      </c>
      <c r="J2664" s="1" cm="1">
        <f t="array" ref="J2664">GetLongitude(D2664)</f>
        <v>106877169</v>
      </c>
      <c r="K2664" s="1">
        <f t="shared" si="124"/>
        <v>55.216492000000002</v>
      </c>
      <c r="L2664" s="1">
        <f t="shared" si="125"/>
        <v>10.6877169</v>
      </c>
    </row>
    <row r="2665" spans="1:12" ht="16" x14ac:dyDescent="0.2">
      <c r="A2665" s="1">
        <v>2664</v>
      </c>
      <c r="B2665" s="1" t="s">
        <v>7836</v>
      </c>
      <c r="C2665" s="1" t="s">
        <v>7943</v>
      </c>
      <c r="D2665" s="1" t="str">
        <f t="shared" si="123"/>
        <v>Nyborg Kommune Svendborgvej 99</v>
      </c>
      <c r="E2665" s="1" t="s">
        <v>7944</v>
      </c>
      <c r="F2665" s="1" t="s">
        <v>7945</v>
      </c>
      <c r="G2665" s="1">
        <v>1939</v>
      </c>
      <c r="H2665" s="1" t="s">
        <v>11</v>
      </c>
      <c r="I2665" s="6" cm="1">
        <f t="array" ref="I2665">GetLatitude(D2665)</f>
        <v>551845526</v>
      </c>
      <c r="J2665" s="1" cm="1">
        <f t="array" ref="J2665">GetLongitude(D2665)</f>
        <v>106741269</v>
      </c>
      <c r="K2665" s="1">
        <f t="shared" si="124"/>
        <v>55.184552600000004</v>
      </c>
      <c r="L2665" s="1">
        <f t="shared" si="125"/>
        <v>10.674126899999999</v>
      </c>
    </row>
    <row r="2666" spans="1:12" ht="16" x14ac:dyDescent="0.2">
      <c r="A2666" s="1">
        <v>2665</v>
      </c>
      <c r="B2666" s="1" t="s">
        <v>7836</v>
      </c>
      <c r="C2666" s="1" t="s">
        <v>7946</v>
      </c>
      <c r="D2666" s="1" t="str">
        <f t="shared" si="123"/>
        <v>Nyborg Kommune Telegrafvej 2</v>
      </c>
      <c r="E2666" s="1" t="s">
        <v>7947</v>
      </c>
      <c r="F2666" s="1" t="s">
        <v>7948</v>
      </c>
      <c r="G2666" s="1">
        <v>1950</v>
      </c>
      <c r="H2666" s="1" t="s">
        <v>15</v>
      </c>
      <c r="I2666" s="6" cm="1">
        <f t="array" ref="I2666">GetLatitude(D2666)</f>
        <v>553156217</v>
      </c>
      <c r="J2666" s="1" cm="1">
        <f t="array" ref="J2666">GetLongitude(D2666)</f>
        <v>107756523</v>
      </c>
      <c r="K2666" s="1">
        <f t="shared" si="124"/>
        <v>55.315621700000001</v>
      </c>
      <c r="L2666" s="1">
        <f t="shared" si="125"/>
        <v>10.775652300000001</v>
      </c>
    </row>
    <row r="2667" spans="1:12" ht="16" x14ac:dyDescent="0.2">
      <c r="A2667" s="1">
        <v>2666</v>
      </c>
      <c r="B2667" s="1" t="s">
        <v>7836</v>
      </c>
      <c r="C2667" s="1" t="s">
        <v>965</v>
      </c>
      <c r="D2667" s="1" t="str">
        <f t="shared" si="123"/>
        <v>Nyborg Kommune Torvet 1</v>
      </c>
      <c r="E2667" s="1" t="s">
        <v>7949</v>
      </c>
      <c r="F2667" s="1" t="s">
        <v>7950</v>
      </c>
      <c r="G2667" s="1">
        <v>1919</v>
      </c>
      <c r="H2667" s="1" t="s">
        <v>15</v>
      </c>
      <c r="I2667" s="6" cm="1">
        <f t="array" ref="I2667">GetLatitude(D2667)</f>
        <v>553129348</v>
      </c>
      <c r="J2667" s="1" cm="1">
        <f t="array" ref="J2667">GetLongitude(D2667)</f>
        <v>107907276</v>
      </c>
      <c r="K2667" s="1">
        <f t="shared" si="124"/>
        <v>55.312934800000001</v>
      </c>
      <c r="L2667" s="1">
        <f t="shared" si="125"/>
        <v>10.7907276</v>
      </c>
    </row>
    <row r="2668" spans="1:12" ht="16" x14ac:dyDescent="0.2">
      <c r="A2668" s="1">
        <v>2667</v>
      </c>
      <c r="B2668" s="1" t="s">
        <v>7836</v>
      </c>
      <c r="C2668" s="1" t="s">
        <v>7951</v>
      </c>
      <c r="D2668" s="1" t="str">
        <f t="shared" si="123"/>
        <v>Nyborg Kommune Torvet 10</v>
      </c>
      <c r="E2668" s="1" t="s">
        <v>7952</v>
      </c>
      <c r="F2668" s="1" t="s">
        <v>7953</v>
      </c>
      <c r="G2668" s="1">
        <v>1987</v>
      </c>
      <c r="H2668" s="1" t="s">
        <v>15</v>
      </c>
      <c r="I2668" s="6" cm="1">
        <f t="array" ref="I2668">GetLatitude(D2668)</f>
        <v>553125289</v>
      </c>
      <c r="J2668" s="1" cm="1">
        <f t="array" ref="J2668">GetLongitude(D2668)</f>
        <v>107897076</v>
      </c>
      <c r="K2668" s="1">
        <f t="shared" si="124"/>
        <v>55.312528899999997</v>
      </c>
      <c r="L2668" s="1">
        <f t="shared" si="125"/>
        <v>10.7897076</v>
      </c>
    </row>
    <row r="2669" spans="1:12" ht="16" x14ac:dyDescent="0.2">
      <c r="A2669" s="1">
        <v>2668</v>
      </c>
      <c r="B2669" s="1" t="s">
        <v>7836</v>
      </c>
      <c r="C2669" s="1" t="s">
        <v>968</v>
      </c>
      <c r="D2669" s="1" t="str">
        <f t="shared" si="123"/>
        <v>Nyborg Kommune Torvet 11</v>
      </c>
      <c r="E2669" s="1" t="s">
        <v>7954</v>
      </c>
      <c r="F2669" s="1" t="s">
        <v>7955</v>
      </c>
      <c r="G2669" s="1">
        <v>1986</v>
      </c>
      <c r="H2669" s="1" t="s">
        <v>11</v>
      </c>
      <c r="I2669" s="6" cm="1">
        <f t="array" ref="I2669">GetLatitude(D2669)</f>
        <v>553125289</v>
      </c>
      <c r="J2669" s="1" cm="1">
        <f t="array" ref="J2669">GetLongitude(D2669)</f>
        <v>107897076</v>
      </c>
      <c r="K2669" s="1">
        <f t="shared" si="124"/>
        <v>55.312528899999997</v>
      </c>
      <c r="L2669" s="1">
        <f t="shared" si="125"/>
        <v>10.7897076</v>
      </c>
    </row>
    <row r="2670" spans="1:12" ht="16" x14ac:dyDescent="0.2">
      <c r="A2670" s="1">
        <v>2669</v>
      </c>
      <c r="B2670" s="1" t="s">
        <v>7836</v>
      </c>
      <c r="C2670" s="1" t="s">
        <v>7956</v>
      </c>
      <c r="D2670" s="1" t="str">
        <f t="shared" si="123"/>
        <v>Nyborg Kommune Ørbæklundevej 1</v>
      </c>
      <c r="E2670" s="1" t="s">
        <v>7957</v>
      </c>
      <c r="F2670" s="1" t="s">
        <v>7958</v>
      </c>
      <c r="G2670" s="1">
        <v>1918</v>
      </c>
      <c r="H2670" s="1" t="s">
        <v>7959</v>
      </c>
      <c r="I2670" s="6" cm="1">
        <f t="array" ref="I2670">GetLatitude(D2670)</f>
        <v>552456798</v>
      </c>
      <c r="J2670" s="1" cm="1">
        <f t="array" ref="J2670">GetLongitude(D2670)</f>
        <v>106696103</v>
      </c>
      <c r="K2670" s="1">
        <f t="shared" si="124"/>
        <v>55.245679799999998</v>
      </c>
      <c r="L2670" s="1">
        <f t="shared" si="125"/>
        <v>10.6696103</v>
      </c>
    </row>
    <row r="2671" spans="1:12" ht="16" x14ac:dyDescent="0.2">
      <c r="A2671" s="1">
        <v>2670</v>
      </c>
      <c r="B2671" s="1" t="s">
        <v>7960</v>
      </c>
      <c r="C2671" s="1" t="s">
        <v>7961</v>
      </c>
      <c r="D2671" s="1" t="str">
        <f t="shared" si="123"/>
        <v>Næstved KommuneBakkegårdsvej 2</v>
      </c>
      <c r="E2671" s="1" t="s">
        <v>7962</v>
      </c>
      <c r="F2671" s="1" t="s">
        <v>7963</v>
      </c>
      <c r="G2671" s="1">
        <v>1969</v>
      </c>
      <c r="H2671" s="1" t="s">
        <v>11</v>
      </c>
      <c r="I2671" s="6" cm="1">
        <f t="array" ref="I2671">GetLatitude(D2671)</f>
        <v>553279857</v>
      </c>
      <c r="J2671" s="1" cm="1">
        <f t="array" ref="J2671">GetLongitude(D2671)</f>
        <v>117272534</v>
      </c>
      <c r="K2671" s="1">
        <f t="shared" si="124"/>
        <v>55.327985699999999</v>
      </c>
      <c r="L2671" s="1">
        <f t="shared" si="125"/>
        <v>11.7272534</v>
      </c>
    </row>
    <row r="2672" spans="1:12" ht="16" x14ac:dyDescent="0.2">
      <c r="A2672" s="1">
        <v>2671</v>
      </c>
      <c r="B2672" s="1" t="s">
        <v>7960</v>
      </c>
      <c r="C2672" s="1" t="s">
        <v>7964</v>
      </c>
      <c r="D2672" s="1" t="str">
        <f t="shared" si="123"/>
        <v>Næstved KommuneBrogade 2, hj af Møllegade</v>
      </c>
      <c r="E2672" s="1" t="s">
        <v>7965</v>
      </c>
      <c r="F2672" s="1" t="s">
        <v>7966</v>
      </c>
      <c r="G2672" s="1">
        <v>1945</v>
      </c>
      <c r="H2672" s="1" t="s">
        <v>701</v>
      </c>
      <c r="I2672" s="6" cm="1">
        <f t="array" ref="I2672">GetLatitude(D2672)</f>
        <v>553279857</v>
      </c>
      <c r="J2672" s="1" cm="1">
        <f t="array" ref="J2672">GetLongitude(D2672)</f>
        <v>117272534</v>
      </c>
      <c r="K2672" s="1">
        <f t="shared" si="124"/>
        <v>55.327985699999999</v>
      </c>
      <c r="L2672" s="1">
        <f t="shared" si="125"/>
        <v>11.7272534</v>
      </c>
    </row>
    <row r="2673" spans="1:12" ht="16" x14ac:dyDescent="0.2">
      <c r="A2673" s="1">
        <v>2672</v>
      </c>
      <c r="B2673" s="1" t="s">
        <v>7960</v>
      </c>
      <c r="C2673" s="1" t="s">
        <v>7967</v>
      </c>
      <c r="D2673" s="1" t="str">
        <f t="shared" si="123"/>
        <v>Næstved KommuneByvej 11</v>
      </c>
      <c r="E2673" s="1" t="s">
        <v>7968</v>
      </c>
      <c r="F2673" s="1" t="s">
        <v>7969</v>
      </c>
      <c r="G2673" s="1">
        <v>1968</v>
      </c>
      <c r="H2673" s="1" t="s">
        <v>15</v>
      </c>
      <c r="I2673" s="6" cm="1">
        <f t="array" ref="I2673">GetLatitude(D2673)</f>
        <v>551460190</v>
      </c>
      <c r="J2673" s="1" cm="1">
        <f t="array" ref="J2673">GetLongitude(D2673)</f>
        <v>118727319</v>
      </c>
      <c r="K2673" s="1">
        <f t="shared" si="124"/>
        <v>55.146019000000003</v>
      </c>
      <c r="L2673" s="1">
        <f t="shared" si="125"/>
        <v>11.8727319</v>
      </c>
    </row>
    <row r="2674" spans="1:12" ht="16" x14ac:dyDescent="0.2">
      <c r="A2674" s="1">
        <v>2673</v>
      </c>
      <c r="B2674" s="1" t="s">
        <v>7960</v>
      </c>
      <c r="C2674" s="1" t="s">
        <v>7970</v>
      </c>
      <c r="D2674" s="1" t="str">
        <f t="shared" si="123"/>
        <v>Næstved KommuneBækkeskov Allé 1</v>
      </c>
      <c r="E2674" s="1" t="s">
        <v>7971</v>
      </c>
      <c r="F2674" s="1" t="s">
        <v>7972</v>
      </c>
      <c r="G2674" s="1">
        <v>1918</v>
      </c>
      <c r="H2674" s="1" t="s">
        <v>11</v>
      </c>
      <c r="I2674" s="6" cm="1">
        <f t="array" ref="I2674">GetLatitude(D2674)</f>
        <v>552246130</v>
      </c>
      <c r="J2674" s="1" cm="1">
        <f t="array" ref="J2674">GetLongitude(D2674)</f>
        <v>117592070</v>
      </c>
      <c r="K2674" s="1">
        <f t="shared" si="124"/>
        <v>55.224612999999998</v>
      </c>
      <c r="L2674" s="1">
        <f t="shared" si="125"/>
        <v>11.759207</v>
      </c>
    </row>
    <row r="2675" spans="1:12" ht="16" x14ac:dyDescent="0.2">
      <c r="A2675" s="1">
        <v>2674</v>
      </c>
      <c r="B2675" s="1" t="s">
        <v>7960</v>
      </c>
      <c r="C2675" s="1" t="s">
        <v>7973</v>
      </c>
      <c r="D2675" s="1" t="str">
        <f t="shared" si="123"/>
        <v>Næstved KommuneBårsevej 3 D</v>
      </c>
      <c r="E2675" s="1" t="s">
        <v>7974</v>
      </c>
      <c r="F2675" s="1" t="s">
        <v>7975</v>
      </c>
      <c r="G2675" s="1">
        <v>1997</v>
      </c>
      <c r="H2675" s="1" t="s">
        <v>15</v>
      </c>
      <c r="I2675" s="6" cm="1">
        <f t="array" ref="I2675">GetLatitude(D2675)</f>
        <v>551637838</v>
      </c>
      <c r="J2675" s="1" cm="1">
        <f t="array" ref="J2675">GetLongitude(D2675)</f>
        <v>119315435</v>
      </c>
      <c r="K2675" s="1">
        <f t="shared" si="124"/>
        <v>55.163783799999997</v>
      </c>
      <c r="L2675" s="1">
        <f t="shared" si="125"/>
        <v>11.9315435</v>
      </c>
    </row>
    <row r="2676" spans="1:12" ht="16" x14ac:dyDescent="0.2">
      <c r="A2676" s="1">
        <v>2675</v>
      </c>
      <c r="B2676" s="1" t="s">
        <v>7960</v>
      </c>
      <c r="C2676" s="1" t="s">
        <v>7976</v>
      </c>
      <c r="D2676" s="1" t="str">
        <f t="shared" si="123"/>
        <v>Næstved KommuneBårsevej 4</v>
      </c>
      <c r="E2676" s="1" t="s">
        <v>7977</v>
      </c>
      <c r="F2676" s="1" t="s">
        <v>7978</v>
      </c>
      <c r="G2676" s="1">
        <v>1996</v>
      </c>
      <c r="H2676" s="1" t="s">
        <v>15</v>
      </c>
      <c r="I2676" s="6" cm="1">
        <f t="array" ref="I2676">GetLatitude(D2676)</f>
        <v>551641729</v>
      </c>
      <c r="J2676" s="1" cm="1">
        <f t="array" ref="J2676">GetLongitude(D2676)</f>
        <v>119315909</v>
      </c>
      <c r="K2676" s="1">
        <f t="shared" si="124"/>
        <v>55.164172899999997</v>
      </c>
      <c r="L2676" s="1">
        <f t="shared" si="125"/>
        <v>11.9315909</v>
      </c>
    </row>
    <row r="2677" spans="1:12" ht="16" x14ac:dyDescent="0.2">
      <c r="A2677" s="1">
        <v>2676</v>
      </c>
      <c r="B2677" s="1" t="s">
        <v>7960</v>
      </c>
      <c r="C2677" s="1" t="s">
        <v>7979</v>
      </c>
      <c r="D2677" s="1" t="str">
        <f t="shared" si="123"/>
        <v>Næstved KommuneChristian Winthersvej 2</v>
      </c>
      <c r="E2677" s="1" t="s">
        <v>7980</v>
      </c>
      <c r="F2677" s="1" t="s">
        <v>7981</v>
      </c>
      <c r="G2677" s="1">
        <v>1964</v>
      </c>
      <c r="H2677" s="1" t="s">
        <v>11</v>
      </c>
      <c r="I2677" s="6" cm="1">
        <f t="array" ref="I2677">GetLatitude(D2677)</f>
        <v>552327183</v>
      </c>
      <c r="J2677" s="1" cm="1">
        <f t="array" ref="J2677">GetLongitude(D2677)</f>
        <v>117411826</v>
      </c>
      <c r="K2677" s="1">
        <f t="shared" si="124"/>
        <v>55.232718300000002</v>
      </c>
      <c r="L2677" s="1">
        <f t="shared" si="125"/>
        <v>11.7411826</v>
      </c>
    </row>
    <row r="2678" spans="1:12" ht="16" x14ac:dyDescent="0.2">
      <c r="A2678" s="1">
        <v>2677</v>
      </c>
      <c r="B2678" s="1" t="s">
        <v>7960</v>
      </c>
      <c r="C2678" s="1" t="s">
        <v>7982</v>
      </c>
      <c r="D2678" s="1" t="str">
        <f t="shared" si="123"/>
        <v>Næstved KommuneEngelholmvej 1</v>
      </c>
      <c r="E2678" s="1" t="s">
        <v>7983</v>
      </c>
      <c r="F2678" s="1" t="s">
        <v>7984</v>
      </c>
      <c r="G2678" s="1">
        <v>1918</v>
      </c>
      <c r="H2678" s="1" t="s">
        <v>15</v>
      </c>
      <c r="I2678" s="6" cm="1">
        <f t="array" ref="I2678">GetLatitude(D2678)</f>
        <v>551414999</v>
      </c>
      <c r="J2678" s="1" cm="1">
        <f t="array" ref="J2678">GetLongitude(D2678)</f>
        <v>119823579</v>
      </c>
      <c r="K2678" s="1">
        <f t="shared" si="124"/>
        <v>55.141499899999999</v>
      </c>
      <c r="L2678" s="1">
        <f t="shared" si="125"/>
        <v>11.9823579</v>
      </c>
    </row>
    <row r="2679" spans="1:12" ht="16" x14ac:dyDescent="0.2">
      <c r="A2679" s="1">
        <v>2678</v>
      </c>
      <c r="B2679" s="1" t="s">
        <v>7960</v>
      </c>
      <c r="C2679" s="1" t="s">
        <v>7985</v>
      </c>
      <c r="D2679" s="1" t="str">
        <f t="shared" si="123"/>
        <v>Næstved KommuneFensmarkvej 9</v>
      </c>
      <c r="E2679" s="1" t="s">
        <v>7986</v>
      </c>
      <c r="F2679" s="1" t="s">
        <v>3186</v>
      </c>
      <c r="G2679" s="1">
        <v>1945</v>
      </c>
      <c r="H2679" s="1" t="s">
        <v>15</v>
      </c>
      <c r="I2679" s="6" cm="1">
        <f t="array" ref="I2679">GetLatitude(D2679)</f>
        <v>552493920</v>
      </c>
      <c r="J2679" s="1" cm="1">
        <f t="array" ref="J2679">GetLongitude(D2679)</f>
        <v>117641365</v>
      </c>
      <c r="K2679" s="1">
        <f t="shared" si="124"/>
        <v>55.249392</v>
      </c>
      <c r="L2679" s="1">
        <f t="shared" si="125"/>
        <v>11.764136499999999</v>
      </c>
    </row>
    <row r="2680" spans="1:12" ht="16" x14ac:dyDescent="0.2">
      <c r="A2680" s="1">
        <v>2679</v>
      </c>
      <c r="B2680" s="1" t="s">
        <v>7960</v>
      </c>
      <c r="C2680" s="1" t="s">
        <v>7987</v>
      </c>
      <c r="D2680" s="1" t="str">
        <f t="shared" si="123"/>
        <v>Næstved KommuneFyrendalvej 14</v>
      </c>
      <c r="E2680" s="1" t="s">
        <v>7988</v>
      </c>
      <c r="F2680" s="1" t="s">
        <v>7989</v>
      </c>
      <c r="G2680" s="1">
        <v>1918</v>
      </c>
      <c r="H2680" s="1" t="s">
        <v>11</v>
      </c>
      <c r="I2680" s="6" cm="1">
        <f t="array" ref="I2680">GetLatitude(D2680)</f>
        <v>552493624</v>
      </c>
      <c r="J2680" s="1" cm="1">
        <f t="array" ref="J2680">GetLongitude(D2680)</f>
        <v>115121743</v>
      </c>
      <c r="K2680" s="1">
        <f t="shared" si="124"/>
        <v>55.249362400000003</v>
      </c>
      <c r="L2680" s="1">
        <f t="shared" si="125"/>
        <v>11.5121743</v>
      </c>
    </row>
    <row r="2681" spans="1:12" ht="16" x14ac:dyDescent="0.2">
      <c r="A2681" s="1">
        <v>2680</v>
      </c>
      <c r="B2681" s="1" t="s">
        <v>7960</v>
      </c>
      <c r="C2681" s="1" t="s">
        <v>7990</v>
      </c>
      <c r="D2681" s="1" t="str">
        <f t="shared" si="123"/>
        <v>Næstved KommuneFyrendalvej 27</v>
      </c>
      <c r="E2681" s="1" t="s">
        <v>7991</v>
      </c>
      <c r="F2681" s="1" t="s">
        <v>7992</v>
      </c>
      <c r="G2681" s="1">
        <v>1992</v>
      </c>
      <c r="H2681" s="1" t="s">
        <v>15</v>
      </c>
      <c r="I2681" s="6" cm="1">
        <f t="array" ref="I2681">GetLatitude(D2681)</f>
        <v>552480343</v>
      </c>
      <c r="J2681" s="1" cm="1">
        <f t="array" ref="J2681">GetLongitude(D2681)</f>
        <v>115132542</v>
      </c>
      <c r="K2681" s="1">
        <f t="shared" si="124"/>
        <v>55.2480343</v>
      </c>
      <c r="L2681" s="1">
        <f t="shared" si="125"/>
        <v>11.5132542</v>
      </c>
    </row>
    <row r="2682" spans="1:12" ht="16" x14ac:dyDescent="0.2">
      <c r="A2682" s="1">
        <v>2681</v>
      </c>
      <c r="B2682" s="1" t="s">
        <v>7960</v>
      </c>
      <c r="C2682" s="1" t="s">
        <v>7993</v>
      </c>
      <c r="D2682" s="1" t="str">
        <f t="shared" si="123"/>
        <v>Næstved Kommune Førslevvej 54</v>
      </c>
      <c r="E2682" s="1" t="s">
        <v>7994</v>
      </c>
      <c r="F2682" s="1" t="s">
        <v>7995</v>
      </c>
      <c r="G2682" s="1">
        <v>1918</v>
      </c>
      <c r="H2682" s="1" t="s">
        <v>11</v>
      </c>
      <c r="I2682" s="6" cm="1">
        <f t="array" ref="I2682">GetLatitude(D2682)</f>
        <v>552778939</v>
      </c>
      <c r="J2682" s="1" cm="1">
        <f t="array" ref="J2682">GetLongitude(D2682)</f>
        <v>115785450</v>
      </c>
      <c r="K2682" s="1">
        <f t="shared" si="124"/>
        <v>55.277893900000002</v>
      </c>
      <c r="L2682" s="1">
        <f t="shared" si="125"/>
        <v>11.578545</v>
      </c>
    </row>
    <row r="2683" spans="1:12" ht="16" x14ac:dyDescent="0.2">
      <c r="A2683" s="1">
        <v>2682</v>
      </c>
      <c r="B2683" s="1" t="s">
        <v>7960</v>
      </c>
      <c r="C2683" s="1" t="s">
        <v>7996</v>
      </c>
      <c r="D2683" s="1" t="str">
        <f t="shared" si="123"/>
        <v>Næstved KommuneGavnø 11-13</v>
      </c>
      <c r="E2683" s="1" t="s">
        <v>7997</v>
      </c>
      <c r="F2683" s="1" t="s">
        <v>7998</v>
      </c>
      <c r="G2683" s="1">
        <v>1918</v>
      </c>
      <c r="H2683" s="1" t="s">
        <v>15</v>
      </c>
      <c r="I2683" s="6" cm="1">
        <f t="array" ref="I2683">GetLatitude(D2683)</f>
        <v>551882480</v>
      </c>
      <c r="J2683" s="1" cm="1">
        <f t="array" ref="J2683">GetLongitude(D2683)</f>
        <v>117215385</v>
      </c>
      <c r="K2683" s="1">
        <f t="shared" si="124"/>
        <v>55.188248000000002</v>
      </c>
      <c r="L2683" s="1">
        <f t="shared" si="125"/>
        <v>11.721538499999999</v>
      </c>
    </row>
    <row r="2684" spans="1:12" ht="16" x14ac:dyDescent="0.2">
      <c r="A2684" s="1">
        <v>2683</v>
      </c>
      <c r="B2684" s="1" t="s">
        <v>7960</v>
      </c>
      <c r="C2684" s="1" t="s">
        <v>7999</v>
      </c>
      <c r="D2684" s="1" t="str">
        <f t="shared" si="123"/>
        <v>Næstved KommuneGavnø 2</v>
      </c>
      <c r="E2684" s="1" t="s">
        <v>8000</v>
      </c>
      <c r="F2684" s="1" t="s">
        <v>8001</v>
      </c>
      <c r="G2684" s="1">
        <v>1918</v>
      </c>
      <c r="H2684" s="1" t="s">
        <v>15</v>
      </c>
      <c r="I2684" s="6" cm="1">
        <f t="array" ref="I2684">GetLatitude(D2684)</f>
        <v>551888390</v>
      </c>
      <c r="J2684" s="1" cm="1">
        <f t="array" ref="J2684">GetLongitude(D2684)</f>
        <v>117251120</v>
      </c>
      <c r="K2684" s="1">
        <f t="shared" si="124"/>
        <v>55.188839000000002</v>
      </c>
      <c r="L2684" s="1">
        <f t="shared" si="125"/>
        <v>11.725111999999999</v>
      </c>
    </row>
    <row r="2685" spans="1:12" ht="16" x14ac:dyDescent="0.2">
      <c r="A2685" s="1">
        <v>2684</v>
      </c>
      <c r="B2685" s="1" t="s">
        <v>7960</v>
      </c>
      <c r="C2685" s="1" t="s">
        <v>8002</v>
      </c>
      <c r="D2685" s="1" t="str">
        <f t="shared" si="123"/>
        <v>Næstved KommuneGrønnegade 10 og 10 D, F, K og T</v>
      </c>
      <c r="E2685" s="1" t="s">
        <v>8003</v>
      </c>
      <c r="F2685" s="1" t="s">
        <v>8004</v>
      </c>
      <c r="G2685" s="1">
        <v>1945</v>
      </c>
      <c r="H2685" s="1" t="s">
        <v>11</v>
      </c>
      <c r="I2685" s="6" cm="1">
        <f t="array" ref="I2685">GetLatitude(D2685)</f>
        <v>552319290</v>
      </c>
      <c r="J2685" s="1" cm="1">
        <f t="array" ref="J2685">GetLongitude(D2685)</f>
        <v>117611000</v>
      </c>
      <c r="K2685" s="1">
        <f t="shared" si="124"/>
        <v>55.231929000000001</v>
      </c>
      <c r="L2685" s="1">
        <f t="shared" si="125"/>
        <v>11.761100000000001</v>
      </c>
    </row>
    <row r="2686" spans="1:12" ht="16" x14ac:dyDescent="0.2">
      <c r="A2686" s="1">
        <v>2685</v>
      </c>
      <c r="B2686" s="1" t="s">
        <v>7960</v>
      </c>
      <c r="C2686" s="1" t="s">
        <v>8005</v>
      </c>
      <c r="D2686" s="1" t="str">
        <f t="shared" si="123"/>
        <v>Næstved KommuneGunderslevvej 17</v>
      </c>
      <c r="E2686" s="1" t="s">
        <v>8006</v>
      </c>
      <c r="F2686" s="1" t="s">
        <v>8007</v>
      </c>
      <c r="G2686" s="1">
        <v>1918</v>
      </c>
      <c r="H2686" s="1" t="s">
        <v>15</v>
      </c>
      <c r="I2686" s="6" cm="1">
        <f t="array" ref="I2686">GetLatitude(D2686)</f>
        <v>553152511</v>
      </c>
      <c r="J2686" s="1" cm="1">
        <f t="array" ref="J2686">GetLongitude(D2686)</f>
        <v>116719461</v>
      </c>
      <c r="K2686" s="1">
        <f t="shared" si="124"/>
        <v>55.315251099999998</v>
      </c>
      <c r="L2686" s="1">
        <f t="shared" si="125"/>
        <v>11.6719461</v>
      </c>
    </row>
    <row r="2687" spans="1:12" ht="16" x14ac:dyDescent="0.2">
      <c r="A2687" s="1">
        <v>2686</v>
      </c>
      <c r="B2687" s="1" t="s">
        <v>7960</v>
      </c>
      <c r="C2687" s="1" t="s">
        <v>8008</v>
      </c>
      <c r="D2687" s="1" t="str">
        <f t="shared" si="123"/>
        <v>Næstved KommuneHerlufsholm Allé 170-186</v>
      </c>
      <c r="E2687" s="1" t="s">
        <v>8009</v>
      </c>
      <c r="F2687" s="1" t="s">
        <v>8010</v>
      </c>
      <c r="G2687" s="1">
        <v>1918</v>
      </c>
      <c r="H2687" s="1" t="s">
        <v>8011</v>
      </c>
      <c r="I2687" s="6" cm="1">
        <f t="array" ref="I2687">GetLatitude(D2687)</f>
        <v>552457853</v>
      </c>
      <c r="J2687" s="1" cm="1">
        <f t="array" ref="J2687">GetLongitude(D2687)</f>
        <v>117463423</v>
      </c>
      <c r="K2687" s="1">
        <f t="shared" si="124"/>
        <v>55.245785300000001</v>
      </c>
      <c r="L2687" s="1">
        <f t="shared" si="125"/>
        <v>11.7463423</v>
      </c>
    </row>
    <row r="2688" spans="1:12" ht="16" x14ac:dyDescent="0.2">
      <c r="A2688" s="1">
        <v>2687</v>
      </c>
      <c r="B2688" s="1" t="s">
        <v>7960</v>
      </c>
      <c r="C2688" s="1" t="s">
        <v>8012</v>
      </c>
      <c r="D2688" s="1" t="str">
        <f t="shared" si="123"/>
        <v>Næstved KommuneHjultorv 2 og Ramsherred 2</v>
      </c>
      <c r="E2688" s="1" t="s">
        <v>8013</v>
      </c>
      <c r="F2688" s="1" t="s">
        <v>8014</v>
      </c>
      <c r="G2688" s="1">
        <v>1959</v>
      </c>
      <c r="H2688" s="1" t="s">
        <v>8015</v>
      </c>
      <c r="I2688" s="6" cm="1">
        <f t="array" ref="I2688">GetLatitude(D2688)</f>
        <v>552312615</v>
      </c>
      <c r="J2688" s="1" cm="1">
        <f t="array" ref="J2688">GetLongitude(D2688)</f>
        <v>117588288</v>
      </c>
      <c r="K2688" s="1">
        <f t="shared" si="124"/>
        <v>55.231261500000002</v>
      </c>
      <c r="L2688" s="1">
        <f t="shared" si="125"/>
        <v>11.7588288</v>
      </c>
    </row>
    <row r="2689" spans="1:12" ht="16" x14ac:dyDescent="0.2">
      <c r="A2689" s="1">
        <v>2688</v>
      </c>
      <c r="B2689" s="1" t="s">
        <v>7960</v>
      </c>
      <c r="C2689" s="1" t="s">
        <v>8016</v>
      </c>
      <c r="D2689" s="1" t="str">
        <f t="shared" si="123"/>
        <v>Næstved KommuneHolmegårdsvej 71</v>
      </c>
      <c r="E2689" s="1" t="s">
        <v>8017</v>
      </c>
      <c r="F2689" s="1" t="s">
        <v>8018</v>
      </c>
      <c r="G2689" s="1">
        <v>1918</v>
      </c>
      <c r="H2689" s="1" t="s">
        <v>11</v>
      </c>
      <c r="I2689" s="6" cm="1">
        <f t="array" ref="I2689">GetLatitude(D2689)</f>
        <v>552748520</v>
      </c>
      <c r="J2689" s="1" cm="1">
        <f t="array" ref="J2689">GetLongitude(D2689)</f>
        <v>118363340</v>
      </c>
      <c r="K2689" s="1">
        <f t="shared" si="124"/>
        <v>55.274852000000003</v>
      </c>
      <c r="L2689" s="1">
        <f t="shared" si="125"/>
        <v>11.836334000000001</v>
      </c>
    </row>
    <row r="2690" spans="1:12" ht="16" x14ac:dyDescent="0.2">
      <c r="A2690" s="1">
        <v>2689</v>
      </c>
      <c r="B2690" s="1" t="s">
        <v>7960</v>
      </c>
      <c r="C2690" s="1" t="s">
        <v>8019</v>
      </c>
      <c r="D2690" s="1" t="str">
        <f t="shared" si="123"/>
        <v>Næstved KommuneKarrebækvej 852, tidl Kirkebakken 6</v>
      </c>
      <c r="E2690" s="1" t="s">
        <v>8020</v>
      </c>
      <c r="F2690" s="1" t="s">
        <v>8021</v>
      </c>
      <c r="G2690" s="1">
        <v>1959</v>
      </c>
      <c r="H2690" s="1" t="s">
        <v>701</v>
      </c>
      <c r="I2690" s="6" cm="1">
        <f t="array" ref="I2690">GetLatitude(D2690)</f>
        <v>552246130</v>
      </c>
      <c r="J2690" s="1" cm="1">
        <f t="array" ref="J2690">GetLongitude(D2690)</f>
        <v>117592070</v>
      </c>
      <c r="K2690" s="1">
        <f t="shared" si="124"/>
        <v>55.224612999999998</v>
      </c>
      <c r="L2690" s="1">
        <f t="shared" si="125"/>
        <v>11.759207</v>
      </c>
    </row>
    <row r="2691" spans="1:12" ht="16" x14ac:dyDescent="0.2">
      <c r="A2691" s="1">
        <v>2690</v>
      </c>
      <c r="B2691" s="1" t="s">
        <v>7960</v>
      </c>
      <c r="C2691" s="1" t="s">
        <v>5112</v>
      </c>
      <c r="D2691" s="1" t="str">
        <f t="shared" ref="D2691:D2754" si="126">B2691&amp;C2691</f>
        <v>Næstved KommuneKompagnistræde 3</v>
      </c>
      <c r="E2691" s="1" t="s">
        <v>5113</v>
      </c>
      <c r="F2691" s="1" t="s">
        <v>8022</v>
      </c>
      <c r="G2691" s="1">
        <v>1918</v>
      </c>
      <c r="H2691" s="1" t="s">
        <v>11</v>
      </c>
      <c r="I2691" s="6" cm="1">
        <f t="array" ref="I2691">GetLatitude(D2691)</f>
        <v>552291440</v>
      </c>
      <c r="J2691" s="1" cm="1">
        <f t="array" ref="J2691">GetLongitude(D2691)</f>
        <v>117578858</v>
      </c>
      <c r="K2691" s="1">
        <f t="shared" si="124"/>
        <v>55.229143999999998</v>
      </c>
      <c r="L2691" s="1">
        <f t="shared" si="125"/>
        <v>11.7578858</v>
      </c>
    </row>
    <row r="2692" spans="1:12" ht="16" x14ac:dyDescent="0.2">
      <c r="A2692" s="1">
        <v>2691</v>
      </c>
      <c r="B2692" s="1" t="s">
        <v>7960</v>
      </c>
      <c r="C2692" s="1" t="s">
        <v>8023</v>
      </c>
      <c r="D2692" s="1" t="str">
        <f t="shared" si="126"/>
        <v>Næstved KommuneOstenfeldtsvej 7</v>
      </c>
      <c r="E2692" s="1" t="s">
        <v>8024</v>
      </c>
      <c r="F2692" s="1" t="s">
        <v>8025</v>
      </c>
      <c r="G2692" s="1">
        <v>1945</v>
      </c>
      <c r="H2692" s="1" t="s">
        <v>11</v>
      </c>
      <c r="I2692" s="6" cm="1">
        <f t="array" ref="I2692">GetLatitude(D2692)</f>
        <v>552275840</v>
      </c>
      <c r="J2692" s="1" cm="1">
        <f t="array" ref="J2692">GetLongitude(D2692)</f>
        <v>117595010</v>
      </c>
      <c r="K2692" s="1">
        <f t="shared" ref="K2692:K2755" si="127">I2692/10000000</f>
        <v>55.227584</v>
      </c>
      <c r="L2692" s="1">
        <f t="shared" ref="L2692:L2755" si="128">J2692/10000000</f>
        <v>11.759501</v>
      </c>
    </row>
    <row r="2693" spans="1:12" ht="16" x14ac:dyDescent="0.2">
      <c r="A2693" s="1">
        <v>2692</v>
      </c>
      <c r="B2693" s="1" t="s">
        <v>7960</v>
      </c>
      <c r="C2693" s="1" t="s">
        <v>8026</v>
      </c>
      <c r="D2693" s="1" t="str">
        <f t="shared" si="126"/>
        <v>Næstved KommuneRiddergade 1 A</v>
      </c>
      <c r="E2693" s="1" t="s">
        <v>8027</v>
      </c>
      <c r="F2693" s="1" t="s">
        <v>8028</v>
      </c>
      <c r="G2693" s="1">
        <v>1918</v>
      </c>
      <c r="H2693" s="1" t="s">
        <v>11</v>
      </c>
      <c r="I2693" s="6" cm="1">
        <f t="array" ref="I2693">GetLatitude(D2693)</f>
        <v>552294148</v>
      </c>
      <c r="J2693" s="1" cm="1">
        <f t="array" ref="J2693">GetLongitude(D2693)</f>
        <v>117601042</v>
      </c>
      <c r="K2693" s="1">
        <f t="shared" si="127"/>
        <v>55.229414800000001</v>
      </c>
      <c r="L2693" s="1">
        <f t="shared" si="128"/>
        <v>11.760104200000001</v>
      </c>
    </row>
    <row r="2694" spans="1:12" ht="16" x14ac:dyDescent="0.2">
      <c r="A2694" s="1">
        <v>2693</v>
      </c>
      <c r="B2694" s="1" t="s">
        <v>7960</v>
      </c>
      <c r="C2694" s="1" t="s">
        <v>8029</v>
      </c>
      <c r="D2694" s="1" t="str">
        <f t="shared" si="126"/>
        <v>Næstved KommuneRiddergade 3</v>
      </c>
      <c r="E2694" s="1" t="s">
        <v>8030</v>
      </c>
      <c r="F2694" s="1" t="s">
        <v>3849</v>
      </c>
      <c r="G2694" s="1">
        <v>1918</v>
      </c>
      <c r="H2694" s="1" t="s">
        <v>15</v>
      </c>
      <c r="I2694" s="6" cm="1">
        <f t="array" ref="I2694">GetLatitude(D2694)</f>
        <v>552292243</v>
      </c>
      <c r="J2694" s="1" cm="1">
        <f t="array" ref="J2694">GetLongitude(D2694)</f>
        <v>117599705</v>
      </c>
      <c r="K2694" s="1">
        <f t="shared" si="127"/>
        <v>55.229224299999998</v>
      </c>
      <c r="L2694" s="1">
        <f t="shared" si="128"/>
        <v>11.7599705</v>
      </c>
    </row>
    <row r="2695" spans="1:12" ht="16" x14ac:dyDescent="0.2">
      <c r="A2695" s="1">
        <v>2694</v>
      </c>
      <c r="B2695" s="1" t="s">
        <v>7960</v>
      </c>
      <c r="C2695" s="1" t="s">
        <v>8031</v>
      </c>
      <c r="D2695" s="1" t="str">
        <f t="shared" si="126"/>
        <v>Næstved Kommune Riddergade 5</v>
      </c>
      <c r="E2695" s="1" t="s">
        <v>8032</v>
      </c>
      <c r="F2695" s="1" t="s">
        <v>8033</v>
      </c>
      <c r="G2695" s="1">
        <v>1918</v>
      </c>
      <c r="H2695" s="1" t="s">
        <v>15</v>
      </c>
      <c r="I2695" s="6" cm="1">
        <f t="array" ref="I2695">GetLatitude(D2695)</f>
        <v>552291737</v>
      </c>
      <c r="J2695" s="1" cm="1">
        <f t="array" ref="J2695">GetLongitude(D2695)</f>
        <v>117597752</v>
      </c>
      <c r="K2695" s="1">
        <f t="shared" si="127"/>
        <v>55.229173699999997</v>
      </c>
      <c r="L2695" s="1">
        <f t="shared" si="128"/>
        <v>11.7597752</v>
      </c>
    </row>
    <row r="2696" spans="1:12" ht="16" x14ac:dyDescent="0.2">
      <c r="A2696" s="1">
        <v>2695</v>
      </c>
      <c r="B2696" s="1" t="s">
        <v>7960</v>
      </c>
      <c r="C2696" s="1" t="s">
        <v>8034</v>
      </c>
      <c r="D2696" s="1" t="str">
        <f t="shared" si="126"/>
        <v>Næstved KommuneRiddergade 7</v>
      </c>
      <c r="E2696" s="1" t="s">
        <v>8035</v>
      </c>
      <c r="F2696" s="1" t="s">
        <v>8036</v>
      </c>
      <c r="G2696" s="1">
        <v>1945</v>
      </c>
      <c r="H2696" s="1" t="s">
        <v>11</v>
      </c>
      <c r="I2696" s="6" cm="1">
        <f t="array" ref="I2696">GetLatitude(D2696)</f>
        <v>552289905</v>
      </c>
      <c r="J2696" s="1" cm="1">
        <f t="array" ref="J2696">GetLongitude(D2696)</f>
        <v>117596747</v>
      </c>
      <c r="K2696" s="1">
        <f t="shared" si="127"/>
        <v>55.228990500000002</v>
      </c>
      <c r="L2696" s="1">
        <f t="shared" si="128"/>
        <v>11.7596747</v>
      </c>
    </row>
    <row r="2697" spans="1:12" ht="16" x14ac:dyDescent="0.2">
      <c r="A2697" s="1">
        <v>2696</v>
      </c>
      <c r="B2697" s="1" t="s">
        <v>7960</v>
      </c>
      <c r="C2697" s="1" t="s">
        <v>8037</v>
      </c>
      <c r="D2697" s="1" t="str">
        <f t="shared" si="126"/>
        <v>Næstved KommuneRingstedgade 4 A</v>
      </c>
      <c r="E2697" s="1" t="s">
        <v>6658</v>
      </c>
      <c r="F2697" s="1" t="s">
        <v>8038</v>
      </c>
      <c r="G2697" s="1">
        <v>1918</v>
      </c>
      <c r="H2697" s="1" t="s">
        <v>15</v>
      </c>
      <c r="I2697" s="6" cm="1">
        <f t="array" ref="I2697">GetLatitude(D2697)</f>
        <v>552323160</v>
      </c>
      <c r="J2697" s="1" cm="1">
        <f t="array" ref="J2697">GetLongitude(D2697)</f>
        <v>117583821</v>
      </c>
      <c r="K2697" s="1">
        <f t="shared" si="127"/>
        <v>55.232315999999997</v>
      </c>
      <c r="L2697" s="1">
        <f t="shared" si="128"/>
        <v>11.7583821</v>
      </c>
    </row>
    <row r="2698" spans="1:12" ht="16" x14ac:dyDescent="0.2">
      <c r="A2698" s="1">
        <v>2697</v>
      </c>
      <c r="B2698" s="1" t="s">
        <v>7960</v>
      </c>
      <c r="C2698" s="1" t="s">
        <v>8039</v>
      </c>
      <c r="D2698" s="1" t="str">
        <f t="shared" si="126"/>
        <v>Næstved KommuneRønnebæksholm 1</v>
      </c>
      <c r="E2698" s="1" t="s">
        <v>8040</v>
      </c>
      <c r="F2698" s="1" t="s">
        <v>8041</v>
      </c>
      <c r="G2698" s="1">
        <v>1938</v>
      </c>
      <c r="H2698" s="1" t="s">
        <v>15</v>
      </c>
      <c r="I2698" s="6" cm="1">
        <f t="array" ref="I2698">GetLatitude(D2698)</f>
        <v>552246130</v>
      </c>
      <c r="J2698" s="1" cm="1">
        <f t="array" ref="J2698">GetLongitude(D2698)</f>
        <v>117592070</v>
      </c>
      <c r="K2698" s="1">
        <f t="shared" si="127"/>
        <v>55.224612999999998</v>
      </c>
      <c r="L2698" s="1">
        <f t="shared" si="128"/>
        <v>11.759207</v>
      </c>
    </row>
    <row r="2699" spans="1:12" ht="16" x14ac:dyDescent="0.2">
      <c r="A2699" s="1">
        <v>2698</v>
      </c>
      <c r="B2699" s="1" t="s">
        <v>7960</v>
      </c>
      <c r="C2699" s="1" t="s">
        <v>8042</v>
      </c>
      <c r="D2699" s="1" t="str">
        <f t="shared" si="126"/>
        <v>Næstved KommuneSaltøvej 61</v>
      </c>
      <c r="E2699" s="1" t="s">
        <v>8043</v>
      </c>
      <c r="F2699" s="1" t="s">
        <v>8044</v>
      </c>
      <c r="G2699" s="1">
        <v>1918</v>
      </c>
      <c r="H2699" s="1" t="s">
        <v>15</v>
      </c>
      <c r="I2699" s="6" cm="1">
        <f t="array" ref="I2699">GetLatitude(D2699)</f>
        <v>552270644</v>
      </c>
      <c r="J2699" s="1" cm="1">
        <f t="array" ref="J2699">GetLongitude(D2699)</f>
        <v>116323705</v>
      </c>
      <c r="K2699" s="1">
        <f t="shared" si="127"/>
        <v>55.227064400000003</v>
      </c>
      <c r="L2699" s="1">
        <f t="shared" si="128"/>
        <v>11.6323705</v>
      </c>
    </row>
    <row r="2700" spans="1:12" ht="16" x14ac:dyDescent="0.2">
      <c r="A2700" s="1">
        <v>2699</v>
      </c>
      <c r="B2700" s="1" t="s">
        <v>7960</v>
      </c>
      <c r="C2700" s="1" t="s">
        <v>8045</v>
      </c>
      <c r="D2700" s="1" t="str">
        <f t="shared" si="126"/>
        <v>Næstved KommuneSankt Peders Kirkeplads 3 og Kirkestræde 3</v>
      </c>
      <c r="E2700" s="1" t="s">
        <v>8046</v>
      </c>
      <c r="F2700" s="1" t="s">
        <v>8047</v>
      </c>
      <c r="G2700" s="1">
        <v>1919</v>
      </c>
      <c r="H2700" s="1" t="s">
        <v>8048</v>
      </c>
      <c r="I2700" s="6" cm="1">
        <f t="array" ref="I2700">GetLatitude(D2700)</f>
        <v>552302946</v>
      </c>
      <c r="J2700" s="1" cm="1">
        <f t="array" ref="J2700">GetLongitude(D2700)</f>
        <v>117573280</v>
      </c>
      <c r="K2700" s="1">
        <f t="shared" si="127"/>
        <v>55.230294600000001</v>
      </c>
      <c r="L2700" s="1">
        <f t="shared" si="128"/>
        <v>11.757327999999999</v>
      </c>
    </row>
    <row r="2701" spans="1:12" ht="16" x14ac:dyDescent="0.2">
      <c r="A2701" s="1">
        <v>2700</v>
      </c>
      <c r="B2701" s="1" t="s">
        <v>7960</v>
      </c>
      <c r="C2701" s="1" t="s">
        <v>8049</v>
      </c>
      <c r="D2701" s="1" t="str">
        <f t="shared" si="126"/>
        <v>Næstved KommuneSankt Peders Kirkeplads 4</v>
      </c>
      <c r="E2701" s="1" t="s">
        <v>8050</v>
      </c>
      <c r="F2701" s="1" t="s">
        <v>8051</v>
      </c>
      <c r="G2701" s="1">
        <v>1919</v>
      </c>
      <c r="H2701" s="1" t="s">
        <v>11</v>
      </c>
      <c r="I2701" s="6" cm="1">
        <f t="array" ref="I2701">GetLatitude(D2701)</f>
        <v>552302970</v>
      </c>
      <c r="J2701" s="1" cm="1">
        <f t="array" ref="J2701">GetLongitude(D2701)</f>
        <v>117564170</v>
      </c>
      <c r="K2701" s="1">
        <f t="shared" si="127"/>
        <v>55.230297</v>
      </c>
      <c r="L2701" s="1">
        <f t="shared" si="128"/>
        <v>11.756417000000001</v>
      </c>
    </row>
    <row r="2702" spans="1:12" ht="16" x14ac:dyDescent="0.2">
      <c r="A2702" s="1">
        <v>2701</v>
      </c>
      <c r="B2702" s="1" t="s">
        <v>7960</v>
      </c>
      <c r="C2702" s="1" t="s">
        <v>8052</v>
      </c>
      <c r="D2702" s="1" t="str">
        <f t="shared" si="126"/>
        <v>Næstved KommuneSankt Peders Kirkeplads 5</v>
      </c>
      <c r="E2702" s="1" t="s">
        <v>8053</v>
      </c>
      <c r="F2702" s="1" t="s">
        <v>8054</v>
      </c>
      <c r="G2702" s="1">
        <v>1918</v>
      </c>
      <c r="H2702" s="1" t="s">
        <v>11</v>
      </c>
      <c r="I2702" s="6" cm="1">
        <f t="array" ref="I2702">GetLatitude(D2702)</f>
        <v>552302316</v>
      </c>
      <c r="J2702" s="1" cm="1">
        <f t="array" ref="J2702">GetLongitude(D2702)</f>
        <v>117575790</v>
      </c>
      <c r="K2702" s="1">
        <f t="shared" si="127"/>
        <v>55.230231600000003</v>
      </c>
      <c r="L2702" s="1">
        <f t="shared" si="128"/>
        <v>11.757579</v>
      </c>
    </row>
    <row r="2703" spans="1:12" ht="16" x14ac:dyDescent="0.2">
      <c r="A2703" s="1">
        <v>2702</v>
      </c>
      <c r="B2703" s="1" t="s">
        <v>7960</v>
      </c>
      <c r="C2703" s="1" t="s">
        <v>8055</v>
      </c>
      <c r="D2703" s="1" t="str">
        <f t="shared" si="126"/>
        <v>Næstved KommuneSankt Peders Kirkeplads 8-12</v>
      </c>
      <c r="E2703" s="1" t="s">
        <v>8056</v>
      </c>
      <c r="F2703" s="1" t="s">
        <v>8057</v>
      </c>
      <c r="G2703" s="1">
        <v>1918</v>
      </c>
      <c r="H2703" s="1" t="s">
        <v>3269</v>
      </c>
      <c r="I2703" s="6" cm="1">
        <f t="array" ref="I2703">GetLatitude(D2703)</f>
        <v>552299010</v>
      </c>
      <c r="J2703" s="1" cm="1">
        <f t="array" ref="J2703">GetLongitude(D2703)</f>
        <v>117564370</v>
      </c>
      <c r="K2703" s="1">
        <f t="shared" si="127"/>
        <v>55.229900999999998</v>
      </c>
      <c r="L2703" s="1">
        <f t="shared" si="128"/>
        <v>11.756437</v>
      </c>
    </row>
    <row r="2704" spans="1:12" ht="16" x14ac:dyDescent="0.2">
      <c r="A2704" s="1">
        <v>2703</v>
      </c>
      <c r="B2704" s="1" t="s">
        <v>7960</v>
      </c>
      <c r="C2704" s="1" t="s">
        <v>8058</v>
      </c>
      <c r="D2704" s="1" t="str">
        <f t="shared" si="126"/>
        <v>Næstved KommuneSlagelsevej 283 C</v>
      </c>
      <c r="E2704" s="1" t="s">
        <v>8059</v>
      </c>
      <c r="F2704" s="1" t="s">
        <v>8060</v>
      </c>
      <c r="G2704" s="1">
        <v>1918</v>
      </c>
      <c r="H2704" s="1" t="s">
        <v>15</v>
      </c>
      <c r="I2704" s="6" cm="1">
        <f t="array" ref="I2704">GetLatitude(D2704)</f>
        <v>553279857</v>
      </c>
      <c r="J2704" s="1" cm="1">
        <f t="array" ref="J2704">GetLongitude(D2704)</f>
        <v>117272534</v>
      </c>
      <c r="K2704" s="1">
        <f t="shared" si="127"/>
        <v>55.327985699999999</v>
      </c>
      <c r="L2704" s="1">
        <f t="shared" si="128"/>
        <v>11.7272534</v>
      </c>
    </row>
    <row r="2705" spans="1:12" ht="16" x14ac:dyDescent="0.2">
      <c r="A2705" s="1">
        <v>2704</v>
      </c>
      <c r="B2705" s="1" t="s">
        <v>7960</v>
      </c>
      <c r="C2705" s="1" t="s">
        <v>8061</v>
      </c>
      <c r="D2705" s="1" t="str">
        <f t="shared" si="126"/>
        <v>Næstved KommuneSparresholmvej 4</v>
      </c>
      <c r="E2705" s="1" t="s">
        <v>8062</v>
      </c>
      <c r="F2705" s="1" t="s">
        <v>8063</v>
      </c>
      <c r="G2705" s="1">
        <v>1918</v>
      </c>
      <c r="H2705" s="1" t="s">
        <v>11</v>
      </c>
      <c r="I2705" s="6" cm="1">
        <f t="array" ref="I2705">GetLatitude(D2705)</f>
        <v>552369480</v>
      </c>
      <c r="J2705" s="1" cm="1">
        <f t="array" ref="J2705">GetLongitude(D2705)</f>
        <v>119505100</v>
      </c>
      <c r="K2705" s="1">
        <f t="shared" si="127"/>
        <v>55.236947999999998</v>
      </c>
      <c r="L2705" s="1">
        <f t="shared" si="128"/>
        <v>11.95051</v>
      </c>
    </row>
    <row r="2706" spans="1:12" ht="16" x14ac:dyDescent="0.2">
      <c r="A2706" s="1">
        <v>2705</v>
      </c>
      <c r="B2706" s="1" t="s">
        <v>7960</v>
      </c>
      <c r="C2706" s="1" t="s">
        <v>8064</v>
      </c>
      <c r="D2706" s="1" t="str">
        <f t="shared" si="126"/>
        <v>Næstved KommuneStoregade 24</v>
      </c>
      <c r="E2706" s="1" t="s">
        <v>8065</v>
      </c>
      <c r="F2706" s="1" t="s">
        <v>8066</v>
      </c>
      <c r="G2706" s="1">
        <v>1954</v>
      </c>
      <c r="H2706" s="1" t="s">
        <v>11</v>
      </c>
      <c r="I2706" s="6" cm="1">
        <f t="array" ref="I2706">GetLatitude(D2706)</f>
        <v>553540001</v>
      </c>
      <c r="J2706" s="1" cm="1">
        <f t="array" ref="J2706">GetLongitude(D2706)</f>
        <v>116888689</v>
      </c>
      <c r="K2706" s="1">
        <f t="shared" si="127"/>
        <v>55.3540001</v>
      </c>
      <c r="L2706" s="1">
        <f t="shared" si="128"/>
        <v>11.688868899999999</v>
      </c>
    </row>
    <row r="2707" spans="1:12" ht="16" x14ac:dyDescent="0.2">
      <c r="A2707" s="1">
        <v>2706</v>
      </c>
      <c r="B2707" s="1" t="s">
        <v>7960</v>
      </c>
      <c r="C2707" s="1" t="s">
        <v>8067</v>
      </c>
      <c r="D2707" s="1" t="str">
        <f t="shared" si="126"/>
        <v>Næstved KommuneTeglværksvej 4</v>
      </c>
      <c r="E2707" s="1" t="s">
        <v>8068</v>
      </c>
      <c r="F2707" s="1" t="s">
        <v>8069</v>
      </c>
      <c r="G2707" s="1">
        <v>1979</v>
      </c>
      <c r="H2707" s="1" t="s">
        <v>11</v>
      </c>
      <c r="I2707" s="6" cm="1">
        <f t="array" ref="I2707">GetLatitude(D2707)</f>
        <v>553279857</v>
      </c>
      <c r="J2707" s="1" cm="1">
        <f t="array" ref="J2707">GetLongitude(D2707)</f>
        <v>117272534</v>
      </c>
      <c r="K2707" s="1">
        <f t="shared" si="127"/>
        <v>55.327985699999999</v>
      </c>
      <c r="L2707" s="1">
        <f t="shared" si="128"/>
        <v>11.7272534</v>
      </c>
    </row>
    <row r="2708" spans="1:12" ht="16" x14ac:dyDescent="0.2">
      <c r="A2708" s="1">
        <v>2707</v>
      </c>
      <c r="B2708" s="1" t="s">
        <v>7960</v>
      </c>
      <c r="C2708" s="1" t="s">
        <v>8070</v>
      </c>
      <c r="D2708" s="1" t="str">
        <f t="shared" si="126"/>
        <v>Næstved KommuneTybjerg Bygade 2</v>
      </c>
      <c r="E2708" s="1" t="s">
        <v>8071</v>
      </c>
      <c r="F2708" s="1" t="s">
        <v>8072</v>
      </c>
      <c r="G2708" s="1">
        <v>1918</v>
      </c>
      <c r="H2708" s="1" t="s">
        <v>15</v>
      </c>
      <c r="I2708" s="6" cm="1">
        <f t="array" ref="I2708">GetLatitude(D2708)</f>
        <v>553484789</v>
      </c>
      <c r="J2708" s="1" cm="1">
        <f t="array" ref="J2708">GetLongitude(D2708)</f>
        <v>118099863</v>
      </c>
      <c r="K2708" s="1">
        <f t="shared" si="127"/>
        <v>55.348478900000003</v>
      </c>
      <c r="L2708" s="1">
        <f t="shared" si="128"/>
        <v>11.8099863</v>
      </c>
    </row>
    <row r="2709" spans="1:12" ht="16" x14ac:dyDescent="0.2">
      <c r="A2709" s="1">
        <v>2708</v>
      </c>
      <c r="B2709" s="1" t="s">
        <v>8073</v>
      </c>
      <c r="C2709" s="1" t="s">
        <v>8074</v>
      </c>
      <c r="D2709" s="1" t="str">
        <f t="shared" si="126"/>
        <v>Odder KommuneFallingvej 1 og 3</v>
      </c>
      <c r="E2709" s="1" t="s">
        <v>8075</v>
      </c>
      <c r="F2709" s="1" t="s">
        <v>8076</v>
      </c>
      <c r="G2709" s="1">
        <v>1945</v>
      </c>
      <c r="H2709" s="1" t="s">
        <v>4003</v>
      </c>
      <c r="I2709" s="6" cm="1">
        <f t="array" ref="I2709">GetLatitude(D2709)</f>
        <v>558907284</v>
      </c>
      <c r="J2709" s="1" cm="1">
        <f t="array" ref="J2709">GetLongitude(D2709)</f>
        <v>101648324</v>
      </c>
      <c r="K2709" s="1">
        <f t="shared" si="127"/>
        <v>55.8907284</v>
      </c>
      <c r="L2709" s="1">
        <f t="shared" si="128"/>
        <v>10.1648324</v>
      </c>
    </row>
    <row r="2710" spans="1:12" ht="16" x14ac:dyDescent="0.2">
      <c r="A2710" s="1">
        <v>2709</v>
      </c>
      <c r="B2710" s="1" t="s">
        <v>8073</v>
      </c>
      <c r="C2710" s="1" t="s">
        <v>8077</v>
      </c>
      <c r="D2710" s="1" t="str">
        <f t="shared" si="126"/>
        <v>Odder KommuneGyllingvej 31</v>
      </c>
      <c r="E2710" s="1" t="s">
        <v>8078</v>
      </c>
      <c r="F2710" s="1" t="s">
        <v>8079</v>
      </c>
      <c r="G2710" s="1">
        <v>1950</v>
      </c>
      <c r="H2710" s="1" t="s">
        <v>15</v>
      </c>
      <c r="I2710" s="6" cm="1">
        <f t="array" ref="I2710">GetLatitude(D2710)</f>
        <v>559186400</v>
      </c>
      <c r="J2710" s="1" cm="1">
        <f t="array" ref="J2710">GetLongitude(D2710)</f>
        <v>101626768</v>
      </c>
      <c r="K2710" s="1">
        <f t="shared" si="127"/>
        <v>55.918640000000003</v>
      </c>
      <c r="L2710" s="1">
        <f t="shared" si="128"/>
        <v>10.1626768</v>
      </c>
    </row>
    <row r="2711" spans="1:12" ht="16" x14ac:dyDescent="0.2">
      <c r="A2711" s="1">
        <v>2710</v>
      </c>
      <c r="B2711" s="1" t="s">
        <v>8073</v>
      </c>
      <c r="C2711" s="1" t="s">
        <v>8080</v>
      </c>
      <c r="D2711" s="1" t="str">
        <f t="shared" si="126"/>
        <v>Odder KommuneKirkevej 52-54</v>
      </c>
      <c r="E2711" s="1" t="s">
        <v>8081</v>
      </c>
      <c r="F2711" s="1" t="s">
        <v>8082</v>
      </c>
      <c r="G2711" s="1">
        <v>1950</v>
      </c>
      <c r="H2711" s="1" t="s">
        <v>15</v>
      </c>
      <c r="I2711" s="6" cm="1">
        <f t="array" ref="I2711">GetLatitude(D2711)</f>
        <v>559446594</v>
      </c>
      <c r="J2711" s="1" cm="1">
        <f t="array" ref="J2711">GetLongitude(D2711)</f>
        <v>101865177</v>
      </c>
      <c r="K2711" s="1">
        <f t="shared" si="127"/>
        <v>55.944659399999999</v>
      </c>
      <c r="L2711" s="1">
        <f t="shared" si="128"/>
        <v>10.1865177</v>
      </c>
    </row>
    <row r="2712" spans="1:12" ht="16" x14ac:dyDescent="0.2">
      <c r="A2712" s="1">
        <v>2711</v>
      </c>
      <c r="B2712" s="1" t="s">
        <v>8073</v>
      </c>
      <c r="C2712" s="1" t="s">
        <v>8083</v>
      </c>
      <c r="D2712" s="1" t="str">
        <f t="shared" si="126"/>
        <v>Odder KommuneKongshusvej 68</v>
      </c>
      <c r="E2712" s="1" t="s">
        <v>8084</v>
      </c>
      <c r="F2712" s="1" t="s">
        <v>8085</v>
      </c>
      <c r="G2712" s="1">
        <v>1948</v>
      </c>
      <c r="H2712" s="1" t="s">
        <v>11</v>
      </c>
      <c r="I2712" s="6" cm="1">
        <f t="array" ref="I2712">GetLatitude(D2712)</f>
        <v>559648361</v>
      </c>
      <c r="J2712" s="1" cm="1">
        <f t="array" ref="J2712">GetLongitude(D2712)</f>
        <v>101246877</v>
      </c>
      <c r="K2712" s="1">
        <f t="shared" si="127"/>
        <v>55.964836099999999</v>
      </c>
      <c r="L2712" s="1">
        <f t="shared" si="128"/>
        <v>10.124687700000001</v>
      </c>
    </row>
    <row r="2713" spans="1:12" ht="16" x14ac:dyDescent="0.2">
      <c r="A2713" s="1">
        <v>2712</v>
      </c>
      <c r="B2713" s="1" t="s">
        <v>8073</v>
      </c>
      <c r="C2713" s="1" t="s">
        <v>8086</v>
      </c>
      <c r="D2713" s="1" t="str">
        <f t="shared" si="126"/>
        <v>Odder KommuneMøllevej 3-5</v>
      </c>
      <c r="E2713" s="1" t="s">
        <v>8087</v>
      </c>
      <c r="F2713" s="1" t="s">
        <v>8088</v>
      </c>
      <c r="G2713" s="1">
        <v>1971</v>
      </c>
      <c r="H2713" s="1" t="s">
        <v>11</v>
      </c>
      <c r="I2713" s="6" cm="1">
        <f t="array" ref="I2713">GetLatitude(D2713)</f>
        <v>559706029</v>
      </c>
      <c r="J2713" s="1" cm="1">
        <f t="array" ref="J2713">GetLongitude(D2713)</f>
        <v>101389951</v>
      </c>
      <c r="K2713" s="1">
        <f t="shared" si="127"/>
        <v>55.970602900000003</v>
      </c>
      <c r="L2713" s="1">
        <f t="shared" si="128"/>
        <v>10.138995100000001</v>
      </c>
    </row>
    <row r="2714" spans="1:12" ht="16" x14ac:dyDescent="0.2">
      <c r="A2714" s="1">
        <v>2713</v>
      </c>
      <c r="B2714" s="1" t="s">
        <v>8073</v>
      </c>
      <c r="C2714" s="1" t="s">
        <v>8089</v>
      </c>
      <c r="D2714" s="1" t="str">
        <f t="shared" si="126"/>
        <v>Odder KommuneRodstensejevej 10</v>
      </c>
      <c r="E2714" s="1" t="s">
        <v>8090</v>
      </c>
      <c r="F2714" s="1" t="s">
        <v>8091</v>
      </c>
      <c r="G2714" s="1">
        <v>1918</v>
      </c>
      <c r="H2714" s="1" t="s">
        <v>11</v>
      </c>
      <c r="I2714" s="6" cm="1">
        <f t="array" ref="I2714">GetLatitude(D2714)</f>
        <v>559597590</v>
      </c>
      <c r="J2714" s="1" cm="1">
        <f t="array" ref="J2714">GetLongitude(D2714)</f>
        <v>101625515</v>
      </c>
      <c r="K2714" s="1">
        <f t="shared" si="127"/>
        <v>55.959758999999998</v>
      </c>
      <c r="L2714" s="1">
        <f t="shared" si="128"/>
        <v>10.162551499999999</v>
      </c>
    </row>
    <row r="2715" spans="1:12" ht="16" x14ac:dyDescent="0.2">
      <c r="A2715" s="1">
        <v>2714</v>
      </c>
      <c r="B2715" s="1" t="s">
        <v>8073</v>
      </c>
      <c r="C2715" s="1" t="s">
        <v>8092</v>
      </c>
      <c r="D2715" s="1" t="str">
        <f t="shared" si="126"/>
        <v>Odder KommuneRosensgade 16, 18 A og 20</v>
      </c>
      <c r="E2715" s="1" t="s">
        <v>8093</v>
      </c>
      <c r="F2715" s="1" t="s">
        <v>8094</v>
      </c>
      <c r="G2715" s="1">
        <v>1993</v>
      </c>
      <c r="H2715" s="1" t="s">
        <v>11</v>
      </c>
      <c r="I2715" s="6" cm="1">
        <f t="array" ref="I2715">GetLatitude(D2715)</f>
        <v>559725501</v>
      </c>
      <c r="J2715" s="1" cm="1">
        <f t="array" ref="J2715">GetLongitude(D2715)</f>
        <v>101467495</v>
      </c>
      <c r="K2715" s="1">
        <f t="shared" si="127"/>
        <v>55.972550099999999</v>
      </c>
      <c r="L2715" s="1">
        <f t="shared" si="128"/>
        <v>10.1467495</v>
      </c>
    </row>
    <row r="2716" spans="1:12" ht="16" x14ac:dyDescent="0.2">
      <c r="A2716" s="1">
        <v>2715</v>
      </c>
      <c r="B2716" s="1" t="s">
        <v>8073</v>
      </c>
      <c r="C2716" s="1" t="s">
        <v>8095</v>
      </c>
      <c r="D2716" s="1" t="str">
        <f t="shared" si="126"/>
        <v>Odder KommuneVadsmøllevej 30</v>
      </c>
      <c r="E2716" s="1" t="s">
        <v>8096</v>
      </c>
      <c r="F2716" s="1" t="s">
        <v>8097</v>
      </c>
      <c r="G2716" s="1">
        <v>1949</v>
      </c>
      <c r="H2716" s="1" t="s">
        <v>11</v>
      </c>
      <c r="I2716" s="6" cm="1">
        <f t="array" ref="I2716">GetLatitude(D2716)</f>
        <v>558899899</v>
      </c>
      <c r="J2716" s="1" cm="1">
        <f t="array" ref="J2716">GetLongitude(D2716)</f>
        <v>101009230</v>
      </c>
      <c r="K2716" s="1">
        <f t="shared" si="127"/>
        <v>55.889989900000003</v>
      </c>
      <c r="L2716" s="1">
        <f t="shared" si="128"/>
        <v>10.100923</v>
      </c>
    </row>
    <row r="2717" spans="1:12" ht="16" x14ac:dyDescent="0.2">
      <c r="A2717" s="1">
        <v>2716</v>
      </c>
      <c r="B2717" s="1" t="s">
        <v>8073</v>
      </c>
      <c r="C2717" s="1" t="s">
        <v>8098</v>
      </c>
      <c r="D2717" s="1" t="str">
        <f t="shared" si="126"/>
        <v>Odder KommuneÅkærvej 100 (tidl nr 89)</v>
      </c>
      <c r="E2717" s="1" t="s">
        <v>8099</v>
      </c>
      <c r="F2717" s="1" t="s">
        <v>8100</v>
      </c>
      <c r="G2717" s="1">
        <v>1918</v>
      </c>
      <c r="H2717" s="1" t="s">
        <v>11</v>
      </c>
      <c r="I2717" s="6" cm="1">
        <f t="array" ref="I2717">GetLatitude(D2717)</f>
        <v>559105990</v>
      </c>
      <c r="J2717" s="1" cm="1">
        <f t="array" ref="J2717">GetLongitude(D2717)</f>
        <v>101062420</v>
      </c>
      <c r="K2717" s="1">
        <f t="shared" si="127"/>
        <v>55.910598999999998</v>
      </c>
      <c r="L2717" s="1">
        <f t="shared" si="128"/>
        <v>10.106242</v>
      </c>
    </row>
    <row r="2718" spans="1:12" ht="16" x14ac:dyDescent="0.2">
      <c r="A2718" s="1">
        <v>2717</v>
      </c>
      <c r="B2718" s="1" t="s">
        <v>8101</v>
      </c>
      <c r="C2718" s="1" t="s">
        <v>8102</v>
      </c>
      <c r="D2718" s="1" t="str">
        <f t="shared" si="126"/>
        <v>Odense KommuneAlbani Torv 11</v>
      </c>
      <c r="E2718" s="1" t="s">
        <v>8103</v>
      </c>
      <c r="F2718" s="1" t="s">
        <v>8104</v>
      </c>
      <c r="G2718" s="1">
        <v>1919</v>
      </c>
      <c r="H2718" s="1" t="s">
        <v>15</v>
      </c>
      <c r="I2718" s="6" cm="1">
        <f t="array" ref="I2718">GetLatitude(D2718)</f>
        <v>553965805</v>
      </c>
      <c r="J2718" s="1" cm="1">
        <f t="array" ref="J2718">GetLongitude(D2718)</f>
        <v>103897783</v>
      </c>
      <c r="K2718" s="1">
        <f t="shared" si="127"/>
        <v>55.396580499999999</v>
      </c>
      <c r="L2718" s="1">
        <f t="shared" si="128"/>
        <v>10.3897783</v>
      </c>
    </row>
    <row r="2719" spans="1:12" ht="16" x14ac:dyDescent="0.2">
      <c r="A2719" s="1">
        <v>2718</v>
      </c>
      <c r="B2719" s="1" t="s">
        <v>8101</v>
      </c>
      <c r="C2719" s="1" t="s">
        <v>8105</v>
      </c>
      <c r="D2719" s="1" t="str">
        <f t="shared" si="126"/>
        <v>Odense KommuneAlbani Torv 6</v>
      </c>
      <c r="E2719" s="1" t="s">
        <v>8106</v>
      </c>
      <c r="F2719" s="1" t="s">
        <v>8107</v>
      </c>
      <c r="G2719" s="1">
        <v>1918</v>
      </c>
      <c r="H2719" s="1" t="s">
        <v>11</v>
      </c>
      <c r="I2719" s="6" cm="1">
        <f t="array" ref="I2719">GetLatitude(D2719)</f>
        <v>553962993</v>
      </c>
      <c r="J2719" s="1" cm="1">
        <f t="array" ref="J2719">GetLongitude(D2719)</f>
        <v>103917092</v>
      </c>
      <c r="K2719" s="1">
        <f t="shared" si="127"/>
        <v>55.396299300000003</v>
      </c>
      <c r="L2719" s="1">
        <f t="shared" si="128"/>
        <v>10.391709199999999</v>
      </c>
    </row>
    <row r="2720" spans="1:12" ht="16" x14ac:dyDescent="0.2">
      <c r="A2720" s="1">
        <v>2719</v>
      </c>
      <c r="B2720" s="1" t="s">
        <v>8101</v>
      </c>
      <c r="C2720" s="1" t="s">
        <v>8108</v>
      </c>
      <c r="D2720" s="1" t="str">
        <f t="shared" si="126"/>
        <v>Odense KommuneBlangstedgårds Allé 92</v>
      </c>
      <c r="E2720" s="1" t="s">
        <v>8109</v>
      </c>
      <c r="F2720" s="1" t="s">
        <v>8110</v>
      </c>
      <c r="G2720" s="1">
        <v>1983</v>
      </c>
      <c r="H2720" s="1" t="s">
        <v>15</v>
      </c>
      <c r="I2720" s="6" cm="1">
        <f t="array" ref="I2720">GetLatitude(D2720)</f>
        <v>553813180</v>
      </c>
      <c r="J2720" s="1" cm="1">
        <f t="array" ref="J2720">GetLongitude(D2720)</f>
        <v>104454625</v>
      </c>
      <c r="K2720" s="1">
        <f t="shared" si="127"/>
        <v>55.381318</v>
      </c>
      <c r="L2720" s="1">
        <f t="shared" si="128"/>
        <v>10.4454625</v>
      </c>
    </row>
    <row r="2721" spans="1:12" ht="16" x14ac:dyDescent="0.2">
      <c r="A2721" s="1">
        <v>2720</v>
      </c>
      <c r="B2721" s="1" t="s">
        <v>8101</v>
      </c>
      <c r="C2721" s="1" t="s">
        <v>8111</v>
      </c>
      <c r="D2721" s="1" t="str">
        <f t="shared" si="126"/>
        <v>Odense KommuneBuchwaldsgade 33</v>
      </c>
      <c r="E2721" s="1" t="s">
        <v>8112</v>
      </c>
      <c r="F2721" s="1" t="s">
        <v>8113</v>
      </c>
      <c r="G2721" s="1">
        <v>2005</v>
      </c>
      <c r="H2721" s="1" t="s">
        <v>701</v>
      </c>
      <c r="I2721" s="6" cm="1">
        <f t="array" ref="I2721">GetLatitude(D2721)</f>
        <v>554063503</v>
      </c>
      <c r="J2721" s="1" cm="1">
        <f t="array" ref="J2721">GetLongitude(D2721)</f>
        <v>103884484</v>
      </c>
      <c r="K2721" s="1">
        <f t="shared" si="127"/>
        <v>55.4063503</v>
      </c>
      <c r="L2721" s="1">
        <f t="shared" si="128"/>
        <v>10.3884484</v>
      </c>
    </row>
    <row r="2722" spans="1:12" ht="16" x14ac:dyDescent="0.2">
      <c r="A2722" s="1">
        <v>2721</v>
      </c>
      <c r="B2722" s="1" t="s">
        <v>8101</v>
      </c>
      <c r="C2722" s="1" t="s">
        <v>8114</v>
      </c>
      <c r="D2722" s="1" t="str">
        <f t="shared" si="126"/>
        <v>Odense KommuneDalumvej 105</v>
      </c>
      <c r="E2722" s="1" t="s">
        <v>8115</v>
      </c>
      <c r="F2722" s="1" t="s">
        <v>8116</v>
      </c>
      <c r="G2722" s="1">
        <v>1918</v>
      </c>
      <c r="H2722" s="1" t="s">
        <v>8117</v>
      </c>
      <c r="I2722" s="6" cm="1">
        <f t="array" ref="I2722">GetLatitude(D2722)</f>
        <v>553634396</v>
      </c>
      <c r="J2722" s="1" cm="1">
        <f t="array" ref="J2722">GetLongitude(D2722)</f>
        <v>103737399</v>
      </c>
      <c r="K2722" s="1">
        <f t="shared" si="127"/>
        <v>55.3634396</v>
      </c>
      <c r="L2722" s="1">
        <f t="shared" si="128"/>
        <v>10.3737399</v>
      </c>
    </row>
    <row r="2723" spans="1:12" ht="16" x14ac:dyDescent="0.2">
      <c r="A2723" s="1">
        <v>2722</v>
      </c>
      <c r="B2723" s="1" t="s">
        <v>8101</v>
      </c>
      <c r="C2723" s="1" t="s">
        <v>8118</v>
      </c>
      <c r="D2723" s="1" t="str">
        <f t="shared" si="126"/>
        <v>Odense KommuneFraugdegårds Allé 7</v>
      </c>
      <c r="E2723" s="1" t="s">
        <v>8119</v>
      </c>
      <c r="F2723" s="1" t="s">
        <v>8120</v>
      </c>
      <c r="G2723" s="1">
        <v>1918</v>
      </c>
      <c r="H2723" s="1" t="s">
        <v>11</v>
      </c>
      <c r="I2723" s="6" cm="1">
        <f t="array" ref="I2723">GetLatitude(D2723)</f>
        <v>553522869</v>
      </c>
      <c r="J2723" s="1" cm="1">
        <f t="array" ref="J2723">GetLongitude(D2723)</f>
        <v>104983934</v>
      </c>
      <c r="K2723" s="1">
        <f t="shared" si="127"/>
        <v>55.352286900000003</v>
      </c>
      <c r="L2723" s="1">
        <f t="shared" si="128"/>
        <v>10.498393399999999</v>
      </c>
    </row>
    <row r="2724" spans="1:12" ht="16" x14ac:dyDescent="0.2">
      <c r="A2724" s="1">
        <v>2723</v>
      </c>
      <c r="B2724" s="1" t="s">
        <v>8101</v>
      </c>
      <c r="C2724" s="1" t="s">
        <v>8121</v>
      </c>
      <c r="D2724" s="1" t="str">
        <f t="shared" si="126"/>
        <v>Odense KommuneFrederiksgade 2-4 og Christiansgade 2-8</v>
      </c>
      <c r="E2724" s="1" t="s">
        <v>8122</v>
      </c>
      <c r="F2724" s="1" t="s">
        <v>8123</v>
      </c>
      <c r="G2724" s="1">
        <v>1950</v>
      </c>
      <c r="H2724" s="1" t="s">
        <v>11</v>
      </c>
      <c r="I2724" s="6" cm="1">
        <f t="array" ref="I2724">GetLatitude(D2724)</f>
        <v>553966458</v>
      </c>
      <c r="J2724" s="1" cm="1">
        <f t="array" ref="J2724">GetLongitude(D2724)</f>
        <v>103976184</v>
      </c>
      <c r="K2724" s="1">
        <f t="shared" si="127"/>
        <v>55.396645800000002</v>
      </c>
      <c r="L2724" s="1">
        <f t="shared" si="128"/>
        <v>10.397618400000001</v>
      </c>
    </row>
    <row r="2725" spans="1:12" ht="16" x14ac:dyDescent="0.2">
      <c r="A2725" s="1">
        <v>2724</v>
      </c>
      <c r="B2725" s="1" t="s">
        <v>8101</v>
      </c>
      <c r="C2725" s="1" t="s">
        <v>8124</v>
      </c>
      <c r="D2725" s="1" t="str">
        <f t="shared" si="126"/>
        <v>Odense KommuneFrue Kirkestræde 10-12</v>
      </c>
      <c r="E2725" s="1" t="s">
        <v>8125</v>
      </c>
      <c r="F2725" s="1" t="s">
        <v>8126</v>
      </c>
      <c r="G2725" s="1">
        <v>1996</v>
      </c>
      <c r="H2725" s="1" t="s">
        <v>15</v>
      </c>
      <c r="I2725" s="6" cm="1">
        <f t="array" ref="I2725">GetLatitude(D2725)</f>
        <v>553976693</v>
      </c>
      <c r="J2725" s="1" cm="1">
        <f t="array" ref="J2725">GetLongitude(D2725)</f>
        <v>103950913</v>
      </c>
      <c r="K2725" s="1">
        <f t="shared" si="127"/>
        <v>55.397669299999997</v>
      </c>
      <c r="L2725" s="1">
        <f t="shared" si="128"/>
        <v>10.395091300000001</v>
      </c>
    </row>
    <row r="2726" spans="1:12" ht="16" x14ac:dyDescent="0.2">
      <c r="A2726" s="1">
        <v>2725</v>
      </c>
      <c r="B2726" s="1" t="s">
        <v>8101</v>
      </c>
      <c r="C2726" s="1" t="s">
        <v>8127</v>
      </c>
      <c r="D2726" s="1" t="str">
        <f t="shared" si="126"/>
        <v>Odense KommuneFruens Bøge Skov 4 (tidl Skovalléen 34)</v>
      </c>
      <c r="E2726" s="1" t="s">
        <v>8128</v>
      </c>
      <c r="F2726" s="1" t="s">
        <v>8129</v>
      </c>
      <c r="G2726" s="1">
        <v>1992</v>
      </c>
      <c r="H2726" s="1" t="s">
        <v>701</v>
      </c>
      <c r="I2726" s="6" cm="1">
        <f t="array" ref="I2726">GetLatitude(D2726)</f>
        <v>553697048</v>
      </c>
      <c r="J2726" s="1" cm="1">
        <f t="array" ref="J2726">GetLongitude(D2726)</f>
        <v>103776381</v>
      </c>
      <c r="K2726" s="1">
        <f t="shared" si="127"/>
        <v>55.369704800000001</v>
      </c>
      <c r="L2726" s="1">
        <f t="shared" si="128"/>
        <v>10.3776381</v>
      </c>
    </row>
    <row r="2727" spans="1:12" ht="16" x14ac:dyDescent="0.2">
      <c r="A2727" s="1">
        <v>2726</v>
      </c>
      <c r="B2727" s="1" t="s">
        <v>8101</v>
      </c>
      <c r="C2727" s="1" t="s">
        <v>8130</v>
      </c>
      <c r="D2727" s="1" t="str">
        <f t="shared" si="126"/>
        <v>Odense KommuneGråbrødre Plads 1</v>
      </c>
      <c r="E2727" s="1" t="s">
        <v>8131</v>
      </c>
      <c r="F2727" s="1" t="s">
        <v>8132</v>
      </c>
      <c r="G2727" s="1">
        <v>1918</v>
      </c>
      <c r="H2727" s="1" t="s">
        <v>15</v>
      </c>
      <c r="I2727" s="6" cm="1">
        <f t="array" ref="I2727">GetLatitude(D2727)</f>
        <v>553967049</v>
      </c>
      <c r="J2727" s="1" cm="1">
        <f t="array" ref="J2727">GetLongitude(D2727)</f>
        <v>103859554</v>
      </c>
      <c r="K2727" s="1">
        <f t="shared" si="127"/>
        <v>55.396704900000003</v>
      </c>
      <c r="L2727" s="1">
        <f t="shared" si="128"/>
        <v>10.3859554</v>
      </c>
    </row>
    <row r="2728" spans="1:12" ht="16" x14ac:dyDescent="0.2">
      <c r="A2728" s="1">
        <v>2727</v>
      </c>
      <c r="B2728" s="1" t="s">
        <v>8101</v>
      </c>
      <c r="C2728" s="1" t="s">
        <v>8133</v>
      </c>
      <c r="D2728" s="1" t="str">
        <f t="shared" si="126"/>
        <v>Odense KommuneHans Jensens Stræde 37</v>
      </c>
      <c r="E2728" s="1" t="s">
        <v>8134</v>
      </c>
      <c r="F2728" s="1" t="s">
        <v>1276</v>
      </c>
      <c r="G2728" s="1">
        <v>1919</v>
      </c>
      <c r="H2728" s="1" t="s">
        <v>15</v>
      </c>
      <c r="I2728" s="6" cm="1">
        <f t="array" ref="I2728">GetLatitude(D2728)</f>
        <v>553986139</v>
      </c>
      <c r="J2728" s="1" cm="1">
        <f t="array" ref="J2728">GetLongitude(D2728)</f>
        <v>103904802</v>
      </c>
      <c r="K2728" s="1">
        <f t="shared" si="127"/>
        <v>55.398613900000001</v>
      </c>
      <c r="L2728" s="1">
        <f t="shared" si="128"/>
        <v>10.390480200000001</v>
      </c>
    </row>
    <row r="2729" spans="1:12" ht="16" x14ac:dyDescent="0.2">
      <c r="A2729" s="1">
        <v>2728</v>
      </c>
      <c r="B2729" s="1" t="s">
        <v>8101</v>
      </c>
      <c r="C2729" s="1" t="s">
        <v>8135</v>
      </c>
      <c r="D2729" s="1" t="str">
        <f t="shared" si="126"/>
        <v>Odense KommuneHollufgårds Allé 6-12 og Hestehaven 201</v>
      </c>
      <c r="E2729" s="1" t="s">
        <v>8136</v>
      </c>
      <c r="F2729" s="1" t="s">
        <v>8137</v>
      </c>
      <c r="G2729" s="1">
        <v>1918</v>
      </c>
      <c r="H2729" s="1" t="s">
        <v>8138</v>
      </c>
      <c r="I2729" s="6" cm="1">
        <f t="array" ref="I2729">GetLatitude(D2729)</f>
        <v>553548468</v>
      </c>
      <c r="J2729" s="1" cm="1">
        <f t="array" ref="J2729">GetLongitude(D2729)</f>
        <v>104413876</v>
      </c>
      <c r="K2729" s="1">
        <f t="shared" si="127"/>
        <v>55.354846799999997</v>
      </c>
      <c r="L2729" s="1">
        <f t="shared" si="128"/>
        <v>10.441387600000001</v>
      </c>
    </row>
    <row r="2730" spans="1:12" ht="16" x14ac:dyDescent="0.2">
      <c r="A2730" s="1">
        <v>2729</v>
      </c>
      <c r="B2730" s="1" t="s">
        <v>8101</v>
      </c>
      <c r="C2730" s="1" t="s">
        <v>8139</v>
      </c>
      <c r="D2730" s="1" t="str">
        <f t="shared" si="126"/>
        <v>Odense KommuneHunderupvej 34</v>
      </c>
      <c r="E2730" s="1" t="s">
        <v>8140</v>
      </c>
      <c r="F2730" s="1" t="s">
        <v>8141</v>
      </c>
      <c r="G2730" s="1">
        <v>1994</v>
      </c>
      <c r="H2730" s="1" t="s">
        <v>11</v>
      </c>
      <c r="I2730" s="6" cm="1">
        <f t="array" ref="I2730">GetLatitude(D2730)</f>
        <v>553901382</v>
      </c>
      <c r="J2730" s="1" cm="1">
        <f t="array" ref="J2730">GetLongitude(D2730)</f>
        <v>103891269</v>
      </c>
      <c r="K2730" s="1">
        <f t="shared" si="127"/>
        <v>55.390138200000003</v>
      </c>
      <c r="L2730" s="1">
        <f t="shared" si="128"/>
        <v>10.389126900000001</v>
      </c>
    </row>
    <row r="2731" spans="1:12" ht="16" x14ac:dyDescent="0.2">
      <c r="A2731" s="1">
        <v>2730</v>
      </c>
      <c r="B2731" s="1" t="s">
        <v>8101</v>
      </c>
      <c r="C2731" s="1" t="s">
        <v>8142</v>
      </c>
      <c r="D2731" s="1" t="str">
        <f t="shared" si="126"/>
        <v>Odense KommuneHøjbjergvej 140</v>
      </c>
      <c r="E2731" s="1" t="s">
        <v>8143</v>
      </c>
      <c r="F2731" s="1" t="s">
        <v>8144</v>
      </c>
      <c r="G2731" s="1">
        <v>1984</v>
      </c>
      <c r="H2731" s="1" t="s">
        <v>8145</v>
      </c>
      <c r="I2731" s="6" cm="1">
        <f t="array" ref="I2731">GetLatitude(D2731)</f>
        <v>554117767</v>
      </c>
      <c r="J2731" s="1" cm="1">
        <f t="array" ref="J2731">GetLongitude(D2731)</f>
        <v>102380362</v>
      </c>
      <c r="K2731" s="1">
        <f t="shared" si="127"/>
        <v>55.411776699999997</v>
      </c>
      <c r="L2731" s="1">
        <f t="shared" si="128"/>
        <v>10.2380362</v>
      </c>
    </row>
    <row r="2732" spans="1:12" ht="16" x14ac:dyDescent="0.2">
      <c r="A2732" s="1">
        <v>2731</v>
      </c>
      <c r="B2732" s="1" t="s">
        <v>8101</v>
      </c>
      <c r="C2732" s="1" t="s">
        <v>8146</v>
      </c>
      <c r="D2732" s="1" t="str">
        <f t="shared" si="126"/>
        <v>Odense KommuneJernbanegade 13</v>
      </c>
      <c r="E2732" s="1" t="s">
        <v>8147</v>
      </c>
      <c r="F2732" s="1" t="s">
        <v>8148</v>
      </c>
      <c r="G2732" s="1">
        <v>2020</v>
      </c>
      <c r="H2732" s="1" t="s">
        <v>15</v>
      </c>
      <c r="I2732" s="6" cm="1">
        <f t="array" ref="I2732">GetLatitude(D2732)</f>
        <v>553861015</v>
      </c>
      <c r="J2732" s="1" cm="1">
        <f t="array" ref="J2732">GetLongitude(D2732)</f>
        <v>103537946</v>
      </c>
      <c r="K2732" s="1">
        <f t="shared" si="127"/>
        <v>55.386101500000002</v>
      </c>
      <c r="L2732" s="1">
        <f t="shared" si="128"/>
        <v>10.353794600000001</v>
      </c>
    </row>
    <row r="2733" spans="1:12" ht="16" x14ac:dyDescent="0.2">
      <c r="A2733" s="1">
        <v>2732</v>
      </c>
      <c r="B2733" s="1" t="s">
        <v>8101</v>
      </c>
      <c r="C2733" s="1" t="s">
        <v>8149</v>
      </c>
      <c r="D2733" s="1" t="str">
        <f t="shared" si="126"/>
        <v>Odense KommuneJernbanegade 36</v>
      </c>
      <c r="E2733" s="1" t="s">
        <v>8150</v>
      </c>
      <c r="F2733" s="1" t="s">
        <v>8151</v>
      </c>
      <c r="G2733" s="1">
        <v>1984</v>
      </c>
      <c r="H2733" s="1" t="s">
        <v>15</v>
      </c>
      <c r="I2733" s="6" cm="1">
        <f t="array" ref="I2733">GetLatitude(D2733)</f>
        <v>553995033</v>
      </c>
      <c r="J2733" s="1" cm="1">
        <f t="array" ref="J2733">GetLongitude(D2733)</f>
        <v>103838412</v>
      </c>
      <c r="K2733" s="1">
        <f t="shared" si="127"/>
        <v>55.399503299999999</v>
      </c>
      <c r="L2733" s="1">
        <f t="shared" si="128"/>
        <v>10.383841200000001</v>
      </c>
    </row>
    <row r="2734" spans="1:12" ht="16" x14ac:dyDescent="0.2">
      <c r="A2734" s="1">
        <v>2733</v>
      </c>
      <c r="B2734" s="1" t="s">
        <v>8101</v>
      </c>
      <c r="C2734" s="1" t="s">
        <v>8152</v>
      </c>
      <c r="D2734" s="1" t="str">
        <f t="shared" si="126"/>
        <v>Odense KommuneKlaregade 17</v>
      </c>
      <c r="E2734" s="1" t="s">
        <v>8153</v>
      </c>
      <c r="F2734" s="1" t="s">
        <v>8154</v>
      </c>
      <c r="G2734" s="1">
        <v>1959</v>
      </c>
      <c r="H2734" s="1" t="s">
        <v>15</v>
      </c>
      <c r="I2734" s="6" cm="1">
        <f t="array" ref="I2734">GetLatitude(D2734)</f>
        <v>553939220</v>
      </c>
      <c r="J2734" s="1" cm="1">
        <f t="array" ref="J2734">GetLongitude(D2734)</f>
        <v>103858070</v>
      </c>
      <c r="K2734" s="1">
        <f t="shared" si="127"/>
        <v>55.393922000000003</v>
      </c>
      <c r="L2734" s="1">
        <f t="shared" si="128"/>
        <v>10.385807</v>
      </c>
    </row>
    <row r="2735" spans="1:12" ht="16" x14ac:dyDescent="0.2">
      <c r="A2735" s="1">
        <v>2734</v>
      </c>
      <c r="B2735" s="1" t="s">
        <v>8101</v>
      </c>
      <c r="C2735" s="1" t="s">
        <v>65</v>
      </c>
      <c r="D2735" s="1" t="str">
        <f t="shared" si="126"/>
        <v>Odense KommuneKlaregade 25</v>
      </c>
      <c r="E2735" s="1" t="s">
        <v>8153</v>
      </c>
      <c r="F2735" s="1" t="s">
        <v>8155</v>
      </c>
      <c r="G2735" s="1">
        <v>1959</v>
      </c>
      <c r="H2735" s="1" t="s">
        <v>15</v>
      </c>
      <c r="I2735" s="6" cm="1">
        <f t="array" ref="I2735">GetLatitude(D2735)</f>
        <v>553935611</v>
      </c>
      <c r="J2735" s="1" cm="1">
        <f t="array" ref="J2735">GetLongitude(D2735)</f>
        <v>103864210</v>
      </c>
      <c r="K2735" s="1">
        <f t="shared" si="127"/>
        <v>55.393561099999999</v>
      </c>
      <c r="L2735" s="1">
        <f t="shared" si="128"/>
        <v>10.386421</v>
      </c>
    </row>
    <row r="2736" spans="1:12" ht="16" x14ac:dyDescent="0.2">
      <c r="A2736" s="1">
        <v>2735</v>
      </c>
      <c r="B2736" s="1" t="s">
        <v>8101</v>
      </c>
      <c r="C2736" s="1" t="s">
        <v>8156</v>
      </c>
      <c r="D2736" s="1" t="str">
        <f t="shared" si="126"/>
        <v>Odense KommuneKlaregade 42 (Klosterbakken 13)</v>
      </c>
      <c r="E2736" s="1" t="s">
        <v>8157</v>
      </c>
      <c r="F2736" s="1" t="s">
        <v>8158</v>
      </c>
      <c r="G2736" s="1">
        <v>1954</v>
      </c>
      <c r="H2736" s="1" t="s">
        <v>15</v>
      </c>
      <c r="I2736" s="6" cm="1">
        <f t="array" ref="I2736">GetLatitude(D2736)</f>
        <v>553935532</v>
      </c>
      <c r="J2736" s="1" cm="1">
        <f t="array" ref="J2736">GetLongitude(D2736)</f>
        <v>103867260</v>
      </c>
      <c r="K2736" s="1">
        <f t="shared" si="127"/>
        <v>55.393553199999999</v>
      </c>
      <c r="L2736" s="1">
        <f t="shared" si="128"/>
        <v>10.386725999999999</v>
      </c>
    </row>
    <row r="2737" spans="1:12" ht="16" x14ac:dyDescent="0.2">
      <c r="A2737" s="1">
        <v>2736</v>
      </c>
      <c r="B2737" s="1" t="s">
        <v>8101</v>
      </c>
      <c r="C2737" s="1" t="s">
        <v>8159</v>
      </c>
      <c r="D2737" s="1" t="str">
        <f t="shared" si="126"/>
        <v>Odense KommuneKlosterbakken 2 og Klingenberg 18</v>
      </c>
      <c r="E2737" s="1" t="s">
        <v>8160</v>
      </c>
      <c r="F2737" s="1" t="s">
        <v>8161</v>
      </c>
      <c r="G2737" s="1">
        <v>1924</v>
      </c>
      <c r="H2737" s="1" t="s">
        <v>15</v>
      </c>
      <c r="I2737" s="6" cm="1">
        <f t="array" ref="I2737">GetLatitude(D2737)</f>
        <v>553955480</v>
      </c>
      <c r="J2737" s="1" cm="1">
        <f t="array" ref="J2737">GetLongitude(D2737)</f>
        <v>103874270</v>
      </c>
      <c r="K2737" s="1">
        <f t="shared" si="127"/>
        <v>55.395547999999998</v>
      </c>
      <c r="L2737" s="1">
        <f t="shared" si="128"/>
        <v>10.387427000000001</v>
      </c>
    </row>
    <row r="2738" spans="1:12" ht="16" x14ac:dyDescent="0.2">
      <c r="A2738" s="1">
        <v>2737</v>
      </c>
      <c r="B2738" s="1" t="s">
        <v>8101</v>
      </c>
      <c r="C2738" s="1" t="s">
        <v>8162</v>
      </c>
      <c r="D2738" s="1" t="str">
        <f t="shared" si="126"/>
        <v>Odense KommuneKorupvej 21</v>
      </c>
      <c r="E2738" s="1" t="s">
        <v>8163</v>
      </c>
      <c r="F2738" s="1" t="s">
        <v>8164</v>
      </c>
      <c r="G2738" s="1">
        <v>2003</v>
      </c>
      <c r="H2738" s="1" t="s">
        <v>15</v>
      </c>
      <c r="I2738" s="6" cm="1">
        <f t="array" ref="I2738">GetLatitude(D2738)</f>
        <v>554287823</v>
      </c>
      <c r="J2738" s="1" cm="1">
        <f t="array" ref="J2738">GetLongitude(D2738)</f>
        <v>102814514</v>
      </c>
      <c r="K2738" s="1">
        <f t="shared" si="127"/>
        <v>55.428782300000002</v>
      </c>
      <c r="L2738" s="1">
        <f t="shared" si="128"/>
        <v>10.2814514</v>
      </c>
    </row>
    <row r="2739" spans="1:12" ht="16" x14ac:dyDescent="0.2">
      <c r="A2739" s="1">
        <v>2738</v>
      </c>
      <c r="B2739" s="1" t="s">
        <v>8101</v>
      </c>
      <c r="C2739" s="1" t="s">
        <v>8165</v>
      </c>
      <c r="D2739" s="1" t="str">
        <f t="shared" si="126"/>
        <v>Odense KommuneLille Gråbrødrestræde 1</v>
      </c>
      <c r="E2739" s="1" t="s">
        <v>8166</v>
      </c>
      <c r="F2739" s="1" t="s">
        <v>8167</v>
      </c>
      <c r="G2739" s="1">
        <v>1945</v>
      </c>
      <c r="H2739" s="1" t="s">
        <v>11</v>
      </c>
      <c r="I2739" s="6" cm="1">
        <f t="array" ref="I2739">GetLatitude(D2739)</f>
        <v>553957887</v>
      </c>
      <c r="J2739" s="1" cm="1">
        <f t="array" ref="J2739">GetLongitude(D2739)</f>
        <v>103856776</v>
      </c>
      <c r="K2739" s="1">
        <f t="shared" si="127"/>
        <v>55.395788699999997</v>
      </c>
      <c r="L2739" s="1">
        <f t="shared" si="128"/>
        <v>10.385677599999999</v>
      </c>
    </row>
    <row r="2740" spans="1:12" ht="16" x14ac:dyDescent="0.2">
      <c r="A2740" s="1">
        <v>2739</v>
      </c>
      <c r="B2740" s="1" t="s">
        <v>8101</v>
      </c>
      <c r="C2740" s="1" t="s">
        <v>8168</v>
      </c>
      <c r="D2740" s="1" t="str">
        <f t="shared" si="126"/>
        <v>Odense KommuneLindvedvej 73-75 (tidl 71-77)</v>
      </c>
      <c r="E2740" s="1" t="s">
        <v>8169</v>
      </c>
      <c r="F2740" s="1" t="s">
        <v>8170</v>
      </c>
      <c r="G2740" s="1">
        <v>1944</v>
      </c>
      <c r="H2740" s="1" t="s">
        <v>11</v>
      </c>
      <c r="I2740" s="6" cm="1">
        <f t="array" ref="I2740">GetLatitude(D2740)</f>
        <v>553423326</v>
      </c>
      <c r="J2740" s="1" cm="1">
        <f t="array" ref="J2740">GetLongitude(D2740)</f>
        <v>104225415</v>
      </c>
      <c r="K2740" s="1">
        <f t="shared" si="127"/>
        <v>55.342332599999999</v>
      </c>
      <c r="L2740" s="1">
        <f t="shared" si="128"/>
        <v>10.422541499999999</v>
      </c>
    </row>
    <row r="2741" spans="1:12" ht="16" x14ac:dyDescent="0.2">
      <c r="A2741" s="1">
        <v>2740</v>
      </c>
      <c r="B2741" s="1" t="s">
        <v>8101</v>
      </c>
      <c r="C2741" s="1" t="s">
        <v>8171</v>
      </c>
      <c r="D2741" s="1" t="str">
        <f t="shared" si="126"/>
        <v>Odense KommuneLondongade 4</v>
      </c>
      <c r="E2741" s="1" t="s">
        <v>7870</v>
      </c>
      <c r="F2741" s="1" t="s">
        <v>8172</v>
      </c>
      <c r="G2741" s="1">
        <v>1950</v>
      </c>
      <c r="H2741" s="1" t="s">
        <v>11</v>
      </c>
      <c r="I2741" s="6" cm="1">
        <f t="array" ref="I2741">GetLatitude(D2741)</f>
        <v>554061857</v>
      </c>
      <c r="J2741" s="1" cm="1">
        <f t="array" ref="J2741">GetLongitude(D2741)</f>
        <v>103832244</v>
      </c>
      <c r="K2741" s="1">
        <f t="shared" si="127"/>
        <v>55.406185700000002</v>
      </c>
      <c r="L2741" s="1">
        <f t="shared" si="128"/>
        <v>10.3832244</v>
      </c>
    </row>
    <row r="2742" spans="1:12" ht="16" x14ac:dyDescent="0.2">
      <c r="A2742" s="1">
        <v>2741</v>
      </c>
      <c r="B2742" s="1" t="s">
        <v>8101</v>
      </c>
      <c r="C2742" s="1" t="s">
        <v>8173</v>
      </c>
      <c r="D2742" s="1" t="str">
        <f t="shared" si="126"/>
        <v>Odense KommuneMindelundsvej 59</v>
      </c>
      <c r="E2742" s="1" t="s">
        <v>8174</v>
      </c>
      <c r="F2742" s="1" t="s">
        <v>3789</v>
      </c>
      <c r="G2742" s="1">
        <v>1945</v>
      </c>
      <c r="H2742" s="1" t="s">
        <v>11</v>
      </c>
      <c r="I2742" s="6" cm="1">
        <f t="array" ref="I2742">GetLatitude(D2742)</f>
        <v>554285641</v>
      </c>
      <c r="J2742" s="1" cm="1">
        <f t="array" ref="J2742">GetLongitude(D2742)</f>
        <v>104332233</v>
      </c>
      <c r="K2742" s="1">
        <f t="shared" si="127"/>
        <v>55.428564100000003</v>
      </c>
      <c r="L2742" s="1">
        <f t="shared" si="128"/>
        <v>10.4332233</v>
      </c>
    </row>
    <row r="2743" spans="1:12" ht="16" x14ac:dyDescent="0.2">
      <c r="A2743" s="1">
        <v>2742</v>
      </c>
      <c r="B2743" s="1" t="s">
        <v>8101</v>
      </c>
      <c r="C2743" s="1" t="s">
        <v>8175</v>
      </c>
      <c r="D2743" s="1" t="str">
        <f t="shared" si="126"/>
        <v>Odense KommuneMøllegyden 18</v>
      </c>
      <c r="E2743" s="1" t="s">
        <v>8176</v>
      </c>
      <c r="F2743" s="1" t="s">
        <v>8177</v>
      </c>
      <c r="G2743" s="1">
        <v>1998</v>
      </c>
      <c r="H2743" s="1" t="s">
        <v>8178</v>
      </c>
      <c r="I2743" s="6" cm="1">
        <f t="array" ref="I2743">GetLatitude(D2743)</f>
        <v>553459202</v>
      </c>
      <c r="J2743" s="1" cm="1">
        <f t="array" ref="J2743">GetLongitude(D2743)</f>
        <v>102690912</v>
      </c>
      <c r="K2743" s="1">
        <f t="shared" si="127"/>
        <v>55.345920200000002</v>
      </c>
      <c r="L2743" s="1">
        <f t="shared" si="128"/>
        <v>10.2690912</v>
      </c>
    </row>
    <row r="2744" spans="1:12" ht="16" x14ac:dyDescent="0.2">
      <c r="A2744" s="1">
        <v>2743</v>
      </c>
      <c r="B2744" s="1" t="s">
        <v>8101</v>
      </c>
      <c r="C2744" s="1" t="s">
        <v>8179</v>
      </c>
      <c r="D2744" s="1" t="str">
        <f t="shared" si="126"/>
        <v>Odense KommuneNedergade 36</v>
      </c>
      <c r="E2744" s="1" t="s">
        <v>8180</v>
      </c>
      <c r="F2744" s="1" t="s">
        <v>8181</v>
      </c>
      <c r="G2744" s="1">
        <v>1919</v>
      </c>
      <c r="H2744" s="1" t="s">
        <v>11</v>
      </c>
      <c r="I2744" s="6" cm="1">
        <f t="array" ref="I2744">GetLatitude(D2744)</f>
        <v>553983389</v>
      </c>
      <c r="J2744" s="1" cm="1">
        <f t="array" ref="J2744">GetLongitude(D2744)</f>
        <v>103867848</v>
      </c>
      <c r="K2744" s="1">
        <f t="shared" si="127"/>
        <v>55.398338899999999</v>
      </c>
      <c r="L2744" s="1">
        <f t="shared" si="128"/>
        <v>10.386784799999999</v>
      </c>
    </row>
    <row r="2745" spans="1:12" ht="16" x14ac:dyDescent="0.2">
      <c r="A2745" s="1">
        <v>2744</v>
      </c>
      <c r="B2745" s="1" t="s">
        <v>8101</v>
      </c>
      <c r="C2745" s="1" t="s">
        <v>8182</v>
      </c>
      <c r="D2745" s="1" t="str">
        <f t="shared" si="126"/>
        <v>Odense KommuneNedergade 7</v>
      </c>
      <c r="E2745" s="1" t="s">
        <v>8183</v>
      </c>
      <c r="F2745" s="1" t="s">
        <v>8184</v>
      </c>
      <c r="G2745" s="1">
        <v>1983</v>
      </c>
      <c r="H2745" s="1" t="s">
        <v>11</v>
      </c>
      <c r="I2745" s="6" cm="1">
        <f t="array" ref="I2745">GetLatitude(D2745)</f>
        <v>553970902</v>
      </c>
      <c r="J2745" s="1" cm="1">
        <f t="array" ref="J2745">GetLongitude(D2745)</f>
        <v>103922150</v>
      </c>
      <c r="K2745" s="1">
        <f t="shared" si="127"/>
        <v>55.397090200000001</v>
      </c>
      <c r="L2745" s="1">
        <f t="shared" si="128"/>
        <v>10.392215</v>
      </c>
    </row>
    <row r="2746" spans="1:12" ht="16" x14ac:dyDescent="0.2">
      <c r="A2746" s="1">
        <v>2745</v>
      </c>
      <c r="B2746" s="1" t="s">
        <v>8101</v>
      </c>
      <c r="C2746" s="1" t="s">
        <v>8185</v>
      </c>
      <c r="D2746" s="1" t="str">
        <f t="shared" si="126"/>
        <v>Odense KommuneNørregade 15</v>
      </c>
      <c r="E2746" s="1" t="s">
        <v>8186</v>
      </c>
      <c r="F2746" s="1" t="s">
        <v>178</v>
      </c>
      <c r="G2746" s="1">
        <v>1919</v>
      </c>
      <c r="H2746" s="1" t="s">
        <v>15</v>
      </c>
      <c r="I2746" s="6" cm="1">
        <f t="array" ref="I2746">GetLatitude(D2746)</f>
        <v>553994692</v>
      </c>
      <c r="J2746" s="1" cm="1">
        <f t="array" ref="J2746">GetLongitude(D2746)</f>
        <v>103884145</v>
      </c>
      <c r="K2746" s="1">
        <f t="shared" si="127"/>
        <v>55.399469199999999</v>
      </c>
      <c r="L2746" s="1">
        <f t="shared" si="128"/>
        <v>10.3884145</v>
      </c>
    </row>
    <row r="2747" spans="1:12" ht="16" x14ac:dyDescent="0.2">
      <c r="A2747" s="1">
        <v>2746</v>
      </c>
      <c r="B2747" s="1" t="s">
        <v>8101</v>
      </c>
      <c r="C2747" s="1" t="s">
        <v>8187</v>
      </c>
      <c r="D2747" s="1" t="str">
        <f t="shared" si="126"/>
        <v>Odense KommuneNørregade 29</v>
      </c>
      <c r="E2747" s="1" t="s">
        <v>8188</v>
      </c>
      <c r="F2747" s="1" t="s">
        <v>8189</v>
      </c>
      <c r="G2747" s="1">
        <v>1919</v>
      </c>
      <c r="H2747" s="1" t="s">
        <v>11</v>
      </c>
      <c r="I2747" s="6" cm="1">
        <f t="array" ref="I2747">GetLatitude(D2747)</f>
        <v>553982070</v>
      </c>
      <c r="J2747" s="1" cm="1">
        <f t="array" ref="J2747">GetLongitude(D2747)</f>
        <v>103886294</v>
      </c>
      <c r="K2747" s="1">
        <f t="shared" si="127"/>
        <v>55.398206999999999</v>
      </c>
      <c r="L2747" s="1">
        <f t="shared" si="128"/>
        <v>10.388629399999999</v>
      </c>
    </row>
    <row r="2748" spans="1:12" ht="16" x14ac:dyDescent="0.2">
      <c r="A2748" s="1">
        <v>2747</v>
      </c>
      <c r="B2748" s="1" t="s">
        <v>8101</v>
      </c>
      <c r="C2748" s="1" t="s">
        <v>8190</v>
      </c>
      <c r="D2748" s="1" t="str">
        <f t="shared" si="126"/>
        <v>Odense KommuneNørregade 36-38</v>
      </c>
      <c r="E2748" s="1" t="s">
        <v>8191</v>
      </c>
      <c r="F2748" s="1" t="s">
        <v>8192</v>
      </c>
      <c r="G2748" s="1">
        <v>1918</v>
      </c>
      <c r="H2748" s="1" t="s">
        <v>15</v>
      </c>
      <c r="I2748" s="6" cm="1">
        <f t="array" ref="I2748">GetLatitude(D2748)</f>
        <v>553983389</v>
      </c>
      <c r="J2748" s="1" cm="1">
        <f t="array" ref="J2748">GetLongitude(D2748)</f>
        <v>103867848</v>
      </c>
      <c r="K2748" s="1">
        <f t="shared" si="127"/>
        <v>55.398338899999999</v>
      </c>
      <c r="L2748" s="1">
        <f t="shared" si="128"/>
        <v>10.386784799999999</v>
      </c>
    </row>
    <row r="2749" spans="1:12" ht="16" x14ac:dyDescent="0.2">
      <c r="A2749" s="1">
        <v>2748</v>
      </c>
      <c r="B2749" s="1" t="s">
        <v>8101</v>
      </c>
      <c r="C2749" s="1" t="s">
        <v>8193</v>
      </c>
      <c r="D2749" s="1" t="str">
        <f t="shared" si="126"/>
        <v>Odense KommuneNørregade 42</v>
      </c>
      <c r="E2749" s="1" t="s">
        <v>8194</v>
      </c>
      <c r="F2749" s="1" t="s">
        <v>8195</v>
      </c>
      <c r="G2749" s="1">
        <v>1918</v>
      </c>
      <c r="H2749" s="1" t="s">
        <v>5099</v>
      </c>
      <c r="I2749" s="6" cm="1">
        <f t="array" ref="I2749">GetLatitude(D2749)</f>
        <v>553994692</v>
      </c>
      <c r="J2749" s="1" cm="1">
        <f t="array" ref="J2749">GetLongitude(D2749)</f>
        <v>103884145</v>
      </c>
      <c r="K2749" s="1">
        <f t="shared" si="127"/>
        <v>55.399469199999999</v>
      </c>
      <c r="L2749" s="1">
        <f t="shared" si="128"/>
        <v>10.3884145</v>
      </c>
    </row>
    <row r="2750" spans="1:12" ht="16" x14ac:dyDescent="0.2">
      <c r="A2750" s="1">
        <v>2749</v>
      </c>
      <c r="B2750" s="1" t="s">
        <v>8101</v>
      </c>
      <c r="C2750" s="1" t="s">
        <v>8196</v>
      </c>
      <c r="D2750" s="1" t="str">
        <f t="shared" si="126"/>
        <v>Odense KommuneNørregade 45 A-B-C-D</v>
      </c>
      <c r="E2750" s="1" t="s">
        <v>8197</v>
      </c>
      <c r="F2750" s="1" t="s">
        <v>8198</v>
      </c>
      <c r="G2750" s="1">
        <v>1971</v>
      </c>
      <c r="H2750" s="1" t="s">
        <v>11</v>
      </c>
      <c r="I2750" s="6" cm="1">
        <f t="array" ref="I2750">GetLatitude(D2750)</f>
        <v>553861015</v>
      </c>
      <c r="J2750" s="1" cm="1">
        <f t="array" ref="J2750">GetLongitude(D2750)</f>
        <v>103537946</v>
      </c>
      <c r="K2750" s="1">
        <f t="shared" si="127"/>
        <v>55.386101500000002</v>
      </c>
      <c r="L2750" s="1">
        <f t="shared" si="128"/>
        <v>10.353794600000001</v>
      </c>
    </row>
    <row r="2751" spans="1:12" ht="16" x14ac:dyDescent="0.2">
      <c r="A2751" s="1">
        <v>2750</v>
      </c>
      <c r="B2751" s="1" t="s">
        <v>8101</v>
      </c>
      <c r="C2751" s="1" t="s">
        <v>8199</v>
      </c>
      <c r="D2751" s="1" t="str">
        <f t="shared" si="126"/>
        <v>Odense KommuneOvergade 19</v>
      </c>
      <c r="E2751" s="1" t="s">
        <v>8200</v>
      </c>
      <c r="F2751" s="1" t="s">
        <v>8201</v>
      </c>
      <c r="G2751" s="1">
        <v>1919</v>
      </c>
      <c r="H2751" s="1" t="s">
        <v>8202</v>
      </c>
      <c r="I2751" s="6" cm="1">
        <f t="array" ref="I2751">GetLatitude(D2751)</f>
        <v>553971005</v>
      </c>
      <c r="J2751" s="1" cm="1">
        <f t="array" ref="J2751">GetLongitude(D2751)</f>
        <v>103914083</v>
      </c>
      <c r="K2751" s="1">
        <f t="shared" si="127"/>
        <v>55.397100500000001</v>
      </c>
      <c r="L2751" s="1">
        <f t="shared" si="128"/>
        <v>10.3914083</v>
      </c>
    </row>
    <row r="2752" spans="1:12" ht="16" x14ac:dyDescent="0.2">
      <c r="A2752" s="1">
        <v>2751</v>
      </c>
      <c r="B2752" s="1" t="s">
        <v>8101</v>
      </c>
      <c r="C2752" s="1" t="s">
        <v>8203</v>
      </c>
      <c r="D2752" s="1" t="str">
        <f t="shared" si="126"/>
        <v>Odense KommuneOvergade 24-26 og Overstræde 2A-2B</v>
      </c>
      <c r="E2752" s="1" t="s">
        <v>8204</v>
      </c>
      <c r="F2752" s="1" t="s">
        <v>8205</v>
      </c>
      <c r="G2752" s="1">
        <v>1919</v>
      </c>
      <c r="H2752" s="1" t="s">
        <v>8206</v>
      </c>
      <c r="I2752" s="6" cm="1">
        <f t="array" ref="I2752">GetLatitude(D2752)</f>
        <v>553987414</v>
      </c>
      <c r="J2752" s="1" cm="1">
        <f t="array" ref="J2752">GetLongitude(D2752)</f>
        <v>103916407</v>
      </c>
      <c r="K2752" s="1">
        <f t="shared" si="127"/>
        <v>55.398741399999999</v>
      </c>
      <c r="L2752" s="1">
        <f t="shared" si="128"/>
        <v>10.3916407</v>
      </c>
    </row>
    <row r="2753" spans="1:12" ht="16" x14ac:dyDescent="0.2">
      <c r="A2753" s="1">
        <v>2752</v>
      </c>
      <c r="B2753" s="1" t="s">
        <v>8101</v>
      </c>
      <c r="C2753" s="1" t="s">
        <v>8207</v>
      </c>
      <c r="D2753" s="1" t="str">
        <f t="shared" si="126"/>
        <v>Odense KommuneOvergade 28 A-B-C-D</v>
      </c>
      <c r="E2753" s="1" t="s">
        <v>8208</v>
      </c>
      <c r="F2753" s="1" t="s">
        <v>8209</v>
      </c>
      <c r="G2753" s="1">
        <v>1919</v>
      </c>
      <c r="H2753" s="1" t="s">
        <v>11</v>
      </c>
      <c r="I2753" s="6" cm="1">
        <f t="array" ref="I2753">GetLatitude(D2753)</f>
        <v>553976249</v>
      </c>
      <c r="J2753" s="1" cm="1">
        <f t="array" ref="J2753">GetLongitude(D2753)</f>
        <v>103924869</v>
      </c>
      <c r="K2753" s="1">
        <f t="shared" si="127"/>
        <v>55.397624899999997</v>
      </c>
      <c r="L2753" s="1">
        <f t="shared" si="128"/>
        <v>10.3924869</v>
      </c>
    </row>
    <row r="2754" spans="1:12" ht="16" x14ac:dyDescent="0.2">
      <c r="A2754" s="1">
        <v>2753</v>
      </c>
      <c r="B2754" s="1" t="s">
        <v>8101</v>
      </c>
      <c r="C2754" s="1" t="s">
        <v>8210</v>
      </c>
      <c r="D2754" s="1" t="str">
        <f t="shared" si="126"/>
        <v>Odense KommuneOvergade 28 E-F-G-H og 30</v>
      </c>
      <c r="E2754" s="1" t="s">
        <v>8211</v>
      </c>
      <c r="F2754" s="1" t="s">
        <v>8212</v>
      </c>
      <c r="G2754" s="1">
        <v>1983</v>
      </c>
      <c r="H2754" s="1" t="s">
        <v>11</v>
      </c>
      <c r="I2754" s="6" cm="1">
        <f t="array" ref="I2754">GetLatitude(D2754)</f>
        <v>553976249</v>
      </c>
      <c r="J2754" s="1" cm="1">
        <f t="array" ref="J2754">GetLongitude(D2754)</f>
        <v>103924869</v>
      </c>
      <c r="K2754" s="1">
        <f t="shared" si="127"/>
        <v>55.397624899999997</v>
      </c>
      <c r="L2754" s="1">
        <f t="shared" si="128"/>
        <v>10.3924869</v>
      </c>
    </row>
    <row r="2755" spans="1:12" ht="16" x14ac:dyDescent="0.2">
      <c r="A2755" s="1">
        <v>2754</v>
      </c>
      <c r="B2755" s="1" t="s">
        <v>8101</v>
      </c>
      <c r="C2755" s="1" t="s">
        <v>8213</v>
      </c>
      <c r="D2755" s="1" t="str">
        <f t="shared" ref="D2755:D2818" si="129">B2755&amp;C2755</f>
        <v>Odense KommuneOvergade 41 og Nedergade 24</v>
      </c>
      <c r="E2755" s="1" t="s">
        <v>8214</v>
      </c>
      <c r="F2755" s="1" t="s">
        <v>8215</v>
      </c>
      <c r="G2755" s="1">
        <v>1919</v>
      </c>
      <c r="H2755" s="1" t="s">
        <v>11</v>
      </c>
      <c r="I2755" s="6" cm="1">
        <f t="array" ref="I2755">GetLatitude(D2755)</f>
        <v>553970754</v>
      </c>
      <c r="J2755" s="1" cm="1">
        <f t="array" ref="J2755">GetLongitude(D2755)</f>
        <v>103953543</v>
      </c>
      <c r="K2755" s="1">
        <f t="shared" si="127"/>
        <v>55.397075399999999</v>
      </c>
      <c r="L2755" s="1">
        <f t="shared" si="128"/>
        <v>10.395354299999999</v>
      </c>
    </row>
    <row r="2756" spans="1:12" ht="16" x14ac:dyDescent="0.2">
      <c r="A2756" s="1">
        <v>2755</v>
      </c>
      <c r="B2756" s="1" t="s">
        <v>8101</v>
      </c>
      <c r="C2756" s="1" t="s">
        <v>8216</v>
      </c>
      <c r="D2756" s="1" t="str">
        <f t="shared" si="129"/>
        <v>Odense KommuneOvergade 48-50 og Møntestræde 4</v>
      </c>
      <c r="E2756" s="1" t="s">
        <v>8217</v>
      </c>
      <c r="F2756" s="1" t="s">
        <v>8218</v>
      </c>
      <c r="G2756" s="1">
        <v>1918</v>
      </c>
      <c r="H2756" s="1" t="s">
        <v>15</v>
      </c>
      <c r="I2756" s="6" cm="1">
        <f t="array" ref="I2756">GetLatitude(D2756)</f>
        <v>553979082</v>
      </c>
      <c r="J2756" s="1" cm="1">
        <f t="array" ref="J2756">GetLongitude(D2756)</f>
        <v>103938503</v>
      </c>
      <c r="K2756" s="1">
        <f t="shared" ref="K2756:K2819" si="130">I2756/10000000</f>
        <v>55.397908200000003</v>
      </c>
      <c r="L2756" s="1">
        <f t="shared" ref="L2756:L2819" si="131">J2756/10000000</f>
        <v>10.3938503</v>
      </c>
    </row>
    <row r="2757" spans="1:12" ht="16" x14ac:dyDescent="0.2">
      <c r="A2757" s="1">
        <v>2756</v>
      </c>
      <c r="B2757" s="1" t="s">
        <v>8101</v>
      </c>
      <c r="C2757" s="1" t="s">
        <v>8219</v>
      </c>
      <c r="D2757" s="1" t="str">
        <f t="shared" si="129"/>
        <v>Odense KommuneOvergade 60</v>
      </c>
      <c r="E2757" s="1" t="s">
        <v>8220</v>
      </c>
      <c r="F2757" s="1" t="s">
        <v>8221</v>
      </c>
      <c r="G2757" s="1">
        <v>1919</v>
      </c>
      <c r="H2757" s="1" t="s">
        <v>11</v>
      </c>
      <c r="I2757" s="6" cm="1">
        <f t="array" ref="I2757">GetLatitude(D2757)</f>
        <v>553980947</v>
      </c>
      <c r="J2757" s="1" cm="1">
        <f t="array" ref="J2757">GetLongitude(D2757)</f>
        <v>103952446</v>
      </c>
      <c r="K2757" s="1">
        <f t="shared" si="130"/>
        <v>55.398094700000001</v>
      </c>
      <c r="L2757" s="1">
        <f t="shared" si="131"/>
        <v>10.3952446</v>
      </c>
    </row>
    <row r="2758" spans="1:12" ht="16" x14ac:dyDescent="0.2">
      <c r="A2758" s="1">
        <v>2757</v>
      </c>
      <c r="B2758" s="1" t="s">
        <v>8101</v>
      </c>
      <c r="C2758" s="1" t="s">
        <v>8222</v>
      </c>
      <c r="D2758" s="1" t="str">
        <f t="shared" si="129"/>
        <v>Odense KommuneOvergade 64</v>
      </c>
      <c r="E2758" s="1" t="s">
        <v>8223</v>
      </c>
      <c r="F2758" s="1" t="s">
        <v>8224</v>
      </c>
      <c r="G2758" s="1">
        <v>1919</v>
      </c>
      <c r="H2758" s="1" t="s">
        <v>11</v>
      </c>
      <c r="I2758" s="6" cm="1">
        <f t="array" ref="I2758">GetLatitude(D2758)</f>
        <v>553981532</v>
      </c>
      <c r="J2758" s="1" cm="1">
        <f t="array" ref="J2758">GetLongitude(D2758)</f>
        <v>103955821</v>
      </c>
      <c r="K2758" s="1">
        <f t="shared" si="130"/>
        <v>55.398153200000003</v>
      </c>
      <c r="L2758" s="1">
        <f t="shared" si="131"/>
        <v>10.3955821</v>
      </c>
    </row>
    <row r="2759" spans="1:12" ht="16" x14ac:dyDescent="0.2">
      <c r="A2759" s="1">
        <v>2758</v>
      </c>
      <c r="B2759" s="1" t="s">
        <v>8101</v>
      </c>
      <c r="C2759" s="1" t="s">
        <v>8225</v>
      </c>
      <c r="D2759" s="1" t="str">
        <f t="shared" si="129"/>
        <v>Odense KommuneOvergade 66</v>
      </c>
      <c r="E2759" s="1" t="s">
        <v>8226</v>
      </c>
      <c r="F2759" s="1" t="s">
        <v>8227</v>
      </c>
      <c r="G2759" s="1">
        <v>1945</v>
      </c>
      <c r="H2759" s="1" t="s">
        <v>15</v>
      </c>
      <c r="I2759" s="6" cm="1">
        <f t="array" ref="I2759">GetLatitude(D2759)</f>
        <v>553981798</v>
      </c>
      <c r="J2759" s="1" cm="1">
        <f t="array" ref="J2759">GetLongitude(D2759)</f>
        <v>103957813</v>
      </c>
      <c r="K2759" s="1">
        <f t="shared" si="130"/>
        <v>55.398179800000001</v>
      </c>
      <c r="L2759" s="1">
        <f t="shared" si="131"/>
        <v>10.395781299999999</v>
      </c>
    </row>
    <row r="2760" spans="1:12" ht="16" x14ac:dyDescent="0.2">
      <c r="A2760" s="1">
        <v>2759</v>
      </c>
      <c r="B2760" s="1" t="s">
        <v>8101</v>
      </c>
      <c r="C2760" s="1" t="s">
        <v>8228</v>
      </c>
      <c r="D2760" s="1" t="str">
        <f t="shared" si="129"/>
        <v>Odense KommuneRyttervejen 12</v>
      </c>
      <c r="E2760" s="1" t="s">
        <v>8229</v>
      </c>
      <c r="F2760" s="1" t="s">
        <v>8230</v>
      </c>
      <c r="G2760" s="1">
        <v>1990</v>
      </c>
      <c r="H2760" s="1" t="s">
        <v>11</v>
      </c>
      <c r="I2760" s="6" cm="1">
        <f t="array" ref="I2760">GetLatitude(D2760)</f>
        <v>553992973</v>
      </c>
      <c r="J2760" s="1" cm="1">
        <f t="array" ref="J2760">GetLongitude(D2760)</f>
        <v>104663796</v>
      </c>
      <c r="K2760" s="1">
        <f t="shared" si="130"/>
        <v>55.399297300000001</v>
      </c>
      <c r="L2760" s="1">
        <f t="shared" si="131"/>
        <v>10.4663796</v>
      </c>
    </row>
    <row r="2761" spans="1:12" ht="16" x14ac:dyDescent="0.2">
      <c r="A2761" s="1">
        <v>2760</v>
      </c>
      <c r="B2761" s="1" t="s">
        <v>8101</v>
      </c>
      <c r="C2761" s="1" t="s">
        <v>8231</v>
      </c>
      <c r="D2761" s="1" t="str">
        <f t="shared" si="129"/>
        <v>Odense KommuneSanderumgårdsvej 150</v>
      </c>
      <c r="E2761" s="1" t="s">
        <v>8232</v>
      </c>
      <c r="F2761" s="1" t="s">
        <v>8233</v>
      </c>
      <c r="G2761" s="1">
        <v>1945</v>
      </c>
      <c r="H2761" s="1" t="s">
        <v>11</v>
      </c>
      <c r="I2761" s="6" cm="1">
        <f t="array" ref="I2761">GetLatitude(D2761)</f>
        <v>553684240</v>
      </c>
      <c r="J2761" s="1" cm="1">
        <f t="array" ref="J2761">GetLongitude(D2761)</f>
        <v>103334759</v>
      </c>
      <c r="K2761" s="1">
        <f t="shared" si="130"/>
        <v>55.368423999999997</v>
      </c>
      <c r="L2761" s="1">
        <f t="shared" si="131"/>
        <v>10.3334759</v>
      </c>
    </row>
    <row r="2762" spans="1:12" ht="16" x14ac:dyDescent="0.2">
      <c r="A2762" s="1">
        <v>2761</v>
      </c>
      <c r="B2762" s="1" t="s">
        <v>8101</v>
      </c>
      <c r="C2762" s="1" t="s">
        <v>8234</v>
      </c>
      <c r="D2762" s="1" t="str">
        <f t="shared" si="129"/>
        <v>Odense KommuneSlettensvej 292-294</v>
      </c>
      <c r="E2762" s="1" t="s">
        <v>8235</v>
      </c>
      <c r="F2762" s="1" t="s">
        <v>8236</v>
      </c>
      <c r="G2762" s="1">
        <v>1959</v>
      </c>
      <c r="H2762" s="1" t="s">
        <v>11</v>
      </c>
      <c r="I2762" s="6" cm="1">
        <f t="array" ref="I2762">GetLatitude(D2762)</f>
        <v>554492917</v>
      </c>
      <c r="J2762" s="1" cm="1">
        <f t="array" ref="J2762">GetLongitude(D2762)</f>
        <v>103754748</v>
      </c>
      <c r="K2762" s="1">
        <f t="shared" si="130"/>
        <v>55.449291700000003</v>
      </c>
      <c r="L2762" s="1">
        <f t="shared" si="131"/>
        <v>10.375474799999999</v>
      </c>
    </row>
    <row r="2763" spans="1:12" ht="16" x14ac:dyDescent="0.2">
      <c r="A2763" s="1">
        <v>2762</v>
      </c>
      <c r="B2763" s="1" t="s">
        <v>8101</v>
      </c>
      <c r="C2763" s="1" t="s">
        <v>8237</v>
      </c>
      <c r="D2763" s="1" t="str">
        <f t="shared" si="129"/>
        <v>Odense KommuneStaupudevej 2</v>
      </c>
      <c r="E2763" s="1" t="s">
        <v>8238</v>
      </c>
      <c r="F2763" s="1" t="s">
        <v>8239</v>
      </c>
      <c r="G2763" s="1">
        <v>1970</v>
      </c>
      <c r="H2763" s="1" t="s">
        <v>11</v>
      </c>
      <c r="I2763" s="6" cm="1">
        <f t="array" ref="I2763">GetLatitude(D2763)</f>
        <v>553990921</v>
      </c>
      <c r="J2763" s="1" cm="1">
        <f t="array" ref="J2763">GetLongitude(D2763)</f>
        <v>104624249</v>
      </c>
      <c r="K2763" s="1">
        <f t="shared" si="130"/>
        <v>55.399092099999997</v>
      </c>
      <c r="L2763" s="1">
        <f t="shared" si="131"/>
        <v>10.4624249</v>
      </c>
    </row>
    <row r="2764" spans="1:12" ht="16" x14ac:dyDescent="0.2">
      <c r="A2764" s="1">
        <v>2763</v>
      </c>
      <c r="B2764" s="1" t="s">
        <v>8101</v>
      </c>
      <c r="C2764" s="1" t="s">
        <v>8240</v>
      </c>
      <c r="D2764" s="1" t="str">
        <f t="shared" si="129"/>
        <v>Odense KommuneVestergade 70</v>
      </c>
      <c r="E2764" s="1" t="s">
        <v>8240</v>
      </c>
      <c r="F2764" s="1" t="s">
        <v>8241</v>
      </c>
      <c r="G2764" s="1">
        <v>1984</v>
      </c>
      <c r="H2764" s="1" t="s">
        <v>11</v>
      </c>
      <c r="I2764" s="6" cm="1">
        <f t="array" ref="I2764">GetLatitude(D2764)</f>
        <v>553945298</v>
      </c>
      <c r="J2764" s="1" cm="1">
        <f t="array" ref="J2764">GetLongitude(D2764)</f>
        <v>103832786</v>
      </c>
      <c r="K2764" s="1">
        <f t="shared" si="130"/>
        <v>55.394529800000001</v>
      </c>
      <c r="L2764" s="1">
        <f t="shared" si="131"/>
        <v>10.383278600000001</v>
      </c>
    </row>
    <row r="2765" spans="1:12" ht="16" x14ac:dyDescent="0.2">
      <c r="A2765" s="1">
        <v>2764</v>
      </c>
      <c r="B2765" s="1" t="s">
        <v>8101</v>
      </c>
      <c r="C2765" s="1" t="s">
        <v>8242</v>
      </c>
      <c r="D2765" s="1" t="str">
        <f t="shared" si="129"/>
        <v>Odense KommuneVestergade 70-72 og Lottrups Gård 6 og 9</v>
      </c>
      <c r="E2765" s="1" t="s">
        <v>8243</v>
      </c>
      <c r="F2765" s="1" t="s">
        <v>8244</v>
      </c>
      <c r="G2765" s="1">
        <v>1984</v>
      </c>
      <c r="H2765" s="1" t="s">
        <v>11</v>
      </c>
      <c r="I2765" s="6" cm="1">
        <f t="array" ref="I2765">GetLatitude(D2765)</f>
        <v>553940179</v>
      </c>
      <c r="J2765" s="1" cm="1">
        <f t="array" ref="J2765">GetLongitude(D2765)</f>
        <v>103832118</v>
      </c>
      <c r="K2765" s="1">
        <f t="shared" si="130"/>
        <v>55.394017900000001</v>
      </c>
      <c r="L2765" s="1">
        <f t="shared" si="131"/>
        <v>10.3832118</v>
      </c>
    </row>
    <row r="2766" spans="1:12" ht="16" x14ac:dyDescent="0.2">
      <c r="A2766" s="1">
        <v>2765</v>
      </c>
      <c r="B2766" s="1" t="s">
        <v>8101</v>
      </c>
      <c r="C2766" s="1" t="s">
        <v>8245</v>
      </c>
      <c r="D2766" s="1" t="str">
        <f t="shared" si="129"/>
        <v>Odense KommuneVestergade 73</v>
      </c>
      <c r="E2766" s="1" t="s">
        <v>8246</v>
      </c>
      <c r="F2766" s="1" t="s">
        <v>7312</v>
      </c>
      <c r="G2766" s="1">
        <v>1983</v>
      </c>
      <c r="H2766" s="1" t="s">
        <v>11</v>
      </c>
      <c r="I2766" s="6" cm="1">
        <f t="array" ref="I2766">GetLatitude(D2766)</f>
        <v>553945969</v>
      </c>
      <c r="J2766" s="1" cm="1">
        <f t="array" ref="J2766">GetLongitude(D2766)</f>
        <v>103819842</v>
      </c>
      <c r="K2766" s="1">
        <f t="shared" si="130"/>
        <v>55.394596900000003</v>
      </c>
      <c r="L2766" s="1">
        <f t="shared" si="131"/>
        <v>10.3819842</v>
      </c>
    </row>
    <row r="2767" spans="1:12" ht="16" x14ac:dyDescent="0.2">
      <c r="A2767" s="1">
        <v>2766</v>
      </c>
      <c r="B2767" s="1" t="s">
        <v>8101</v>
      </c>
      <c r="C2767" s="1" t="s">
        <v>8247</v>
      </c>
      <c r="D2767" s="1" t="str">
        <f t="shared" si="129"/>
        <v>Odense KommuneVosemosevej 10 (tidl Vosemosegyden 51)</v>
      </c>
      <c r="E2767" s="1" t="s">
        <v>8248</v>
      </c>
      <c r="F2767" s="1" t="s">
        <v>8249</v>
      </c>
      <c r="G2767" s="1">
        <v>1988</v>
      </c>
      <c r="H2767" s="1" t="s">
        <v>15</v>
      </c>
      <c r="I2767" s="6" cm="1">
        <f t="array" ref="I2767">GetLatitude(D2767)</f>
        <v>553640589</v>
      </c>
      <c r="J2767" s="1" cm="1">
        <f t="array" ref="J2767">GetLongitude(D2767)</f>
        <v>102421338</v>
      </c>
      <c r="K2767" s="1">
        <f t="shared" si="130"/>
        <v>55.364058900000003</v>
      </c>
      <c r="L2767" s="1">
        <f t="shared" si="131"/>
        <v>10.2421338</v>
      </c>
    </row>
    <row r="2768" spans="1:12" ht="16" x14ac:dyDescent="0.2">
      <c r="A2768" s="1">
        <v>2767</v>
      </c>
      <c r="B2768" s="1" t="s">
        <v>8101</v>
      </c>
      <c r="C2768" s="1" t="s">
        <v>8250</v>
      </c>
      <c r="D2768" s="1" t="str">
        <f t="shared" si="129"/>
        <v>Odense KommuneÅsum Bygade 15</v>
      </c>
      <c r="E2768" s="1" t="s">
        <v>8251</v>
      </c>
      <c r="F2768" s="1" t="s">
        <v>8252</v>
      </c>
      <c r="G2768" s="1">
        <v>2005</v>
      </c>
      <c r="H2768" s="1" t="s">
        <v>701</v>
      </c>
      <c r="I2768" s="6" cm="1">
        <f t="array" ref="I2768">GetLatitude(D2768)</f>
        <v>554044786</v>
      </c>
      <c r="J2768" s="1" cm="1">
        <f t="array" ref="J2768">GetLongitude(D2768)</f>
        <v>104653722</v>
      </c>
      <c r="K2768" s="1">
        <f t="shared" si="130"/>
        <v>55.404478599999997</v>
      </c>
      <c r="L2768" s="1">
        <f t="shared" si="131"/>
        <v>10.465372199999999</v>
      </c>
    </row>
    <row r="2769" spans="1:12" ht="16" x14ac:dyDescent="0.2">
      <c r="A2769" s="1">
        <v>2768</v>
      </c>
      <c r="B2769" s="1" t="s">
        <v>8253</v>
      </c>
      <c r="C2769" s="1" t="s">
        <v>8254</v>
      </c>
      <c r="D2769" s="1" t="str">
        <f t="shared" si="129"/>
        <v>Odsherred KommuneAnnebergparken 26, 26 A, 26 B, 28 A, 28 B, 28 C, 28 D, 35, 48, 50 og 52 matrnr 1 ac, portnerboligen, matr, nr, 1 eg og vægterboligen matr Nr 1 dz, alle Annebjerggård, Nykøbing Sj. Jorder</v>
      </c>
      <c r="E2769" s="1" t="s">
        <v>8255</v>
      </c>
      <c r="F2769" s="1" t="s">
        <v>8256</v>
      </c>
      <c r="G2769" s="1">
        <v>2009</v>
      </c>
      <c r="H2769" s="1" t="s">
        <v>701</v>
      </c>
      <c r="I2769" s="6" cm="1">
        <f t="array" ref="I2769">GetLatitude(D2769)</f>
        <v>559087070</v>
      </c>
      <c r="J2769" s="1" cm="1">
        <f t="array" ref="J2769">GetLongitude(D2769)</f>
        <v>116600040</v>
      </c>
      <c r="K2769" s="1">
        <f t="shared" si="130"/>
        <v>55.908707</v>
      </c>
      <c r="L2769" s="1">
        <f t="shared" si="131"/>
        <v>11.660004000000001</v>
      </c>
    </row>
    <row r="2770" spans="1:12" ht="16" x14ac:dyDescent="0.2">
      <c r="A2770" s="1">
        <v>2769</v>
      </c>
      <c r="B2770" s="1" t="s">
        <v>8253</v>
      </c>
      <c r="C2770" s="1" t="s">
        <v>8257</v>
      </c>
      <c r="D2770" s="1" t="str">
        <f t="shared" si="129"/>
        <v>Odsherred KommuneAnnebergparken 32</v>
      </c>
      <c r="E2770" s="1" t="s">
        <v>8258</v>
      </c>
      <c r="F2770" s="1" t="s">
        <v>8259</v>
      </c>
      <c r="G2770" s="1">
        <v>2007</v>
      </c>
      <c r="H2770" s="1" t="s">
        <v>15</v>
      </c>
      <c r="I2770" s="6" cm="1">
        <f t="array" ref="I2770">GetLatitude(D2770)</f>
        <v>559122890</v>
      </c>
      <c r="J2770" s="1" cm="1">
        <f t="array" ref="J2770">GetLongitude(D2770)</f>
        <v>116595090</v>
      </c>
      <c r="K2770" s="1">
        <f t="shared" si="130"/>
        <v>55.912289000000001</v>
      </c>
      <c r="L2770" s="1">
        <f t="shared" si="131"/>
        <v>11.659509</v>
      </c>
    </row>
    <row r="2771" spans="1:12" ht="16" x14ac:dyDescent="0.2">
      <c r="A2771" s="1">
        <v>2770</v>
      </c>
      <c r="B2771" s="1" t="s">
        <v>8253</v>
      </c>
      <c r="C2771" s="1" t="s">
        <v>8260</v>
      </c>
      <c r="D2771" s="1" t="str">
        <f t="shared" si="129"/>
        <v>Odsherred KommuneDragsholm Allé 1</v>
      </c>
      <c r="E2771" s="1" t="s">
        <v>8261</v>
      </c>
      <c r="F2771" s="1" t="s">
        <v>8262</v>
      </c>
      <c r="G2771" s="1">
        <v>1918</v>
      </c>
      <c r="H2771" s="1" t="s">
        <v>11</v>
      </c>
      <c r="I2771" s="6" cm="1">
        <f t="array" ref="I2771">GetLatitude(D2771)</f>
        <v>557711621</v>
      </c>
      <c r="J2771" s="1" cm="1">
        <f t="array" ref="J2771">GetLongitude(D2771)</f>
        <v>113907052</v>
      </c>
      <c r="K2771" s="1">
        <f t="shared" si="130"/>
        <v>55.771162099999998</v>
      </c>
      <c r="L2771" s="1">
        <f t="shared" si="131"/>
        <v>11.390705199999999</v>
      </c>
    </row>
    <row r="2772" spans="1:12" ht="16" x14ac:dyDescent="0.2">
      <c r="A2772" s="1">
        <v>2771</v>
      </c>
      <c r="B2772" s="1" t="s">
        <v>8253</v>
      </c>
      <c r="C2772" s="1" t="s">
        <v>8263</v>
      </c>
      <c r="D2772" s="1" t="str">
        <f t="shared" si="129"/>
        <v>Odsherred KommuneHoltets Plads 1</v>
      </c>
      <c r="E2772" s="1" t="s">
        <v>8264</v>
      </c>
      <c r="F2772" s="1" t="s">
        <v>8265</v>
      </c>
      <c r="G2772" s="1">
        <v>1991</v>
      </c>
      <c r="H2772" s="1" t="s">
        <v>15</v>
      </c>
      <c r="I2772" s="6" cm="1">
        <f t="array" ref="I2772">GetLatitude(D2772)</f>
        <v>559242483</v>
      </c>
      <c r="J2772" s="1" cm="1">
        <f t="array" ref="J2772">GetLongitude(D2772)</f>
        <v>116701508</v>
      </c>
      <c r="K2772" s="1">
        <f t="shared" si="130"/>
        <v>55.924248300000002</v>
      </c>
      <c r="L2772" s="1">
        <f t="shared" si="131"/>
        <v>11.6701508</v>
      </c>
    </row>
    <row r="2773" spans="1:12" ht="16" x14ac:dyDescent="0.2">
      <c r="A2773" s="1">
        <v>2772</v>
      </c>
      <c r="B2773" s="1" t="s">
        <v>8253</v>
      </c>
      <c r="C2773" s="1" t="s">
        <v>8266</v>
      </c>
      <c r="D2773" s="1" t="str">
        <f t="shared" si="129"/>
        <v>Odsherred KommuneHøjskolevej 17</v>
      </c>
      <c r="E2773" s="1" t="s">
        <v>8267</v>
      </c>
      <c r="F2773" s="1" t="s">
        <v>8268</v>
      </c>
      <c r="G2773" s="1">
        <v>1986</v>
      </c>
      <c r="H2773" s="1" t="s">
        <v>11</v>
      </c>
      <c r="I2773" s="6" cm="1">
        <f t="array" ref="I2773">GetLatitude(D2773)</f>
        <v>557431489</v>
      </c>
      <c r="J2773" s="1" cm="1">
        <f t="array" ref="J2773">GetLongitude(D2773)</f>
        <v>114275786</v>
      </c>
      <c r="K2773" s="1">
        <f t="shared" si="130"/>
        <v>55.743148900000001</v>
      </c>
      <c r="L2773" s="1">
        <f t="shared" si="131"/>
        <v>11.4275786</v>
      </c>
    </row>
    <row r="2774" spans="1:12" ht="16" x14ac:dyDescent="0.2">
      <c r="A2774" s="1">
        <v>2773</v>
      </c>
      <c r="B2774" s="1" t="s">
        <v>8253</v>
      </c>
      <c r="C2774" s="1" t="s">
        <v>8269</v>
      </c>
      <c r="D2774" s="1" t="str">
        <f t="shared" si="129"/>
        <v>Odsherred KommuneHøjskolevej 19</v>
      </c>
      <c r="E2774" s="1" t="s">
        <v>8270</v>
      </c>
      <c r="F2774" s="1" t="s">
        <v>8271</v>
      </c>
      <c r="G2774" s="1">
        <v>1986</v>
      </c>
      <c r="H2774" s="1" t="s">
        <v>11</v>
      </c>
      <c r="I2774" s="6" cm="1">
        <f t="array" ref="I2774">GetLatitude(D2774)</f>
        <v>557431651</v>
      </c>
      <c r="J2774" s="1" cm="1">
        <f t="array" ref="J2774">GetLongitude(D2774)</f>
        <v>114269389</v>
      </c>
      <c r="K2774" s="1">
        <f t="shared" si="130"/>
        <v>55.743165099999999</v>
      </c>
      <c r="L2774" s="1">
        <f t="shared" si="131"/>
        <v>11.4269389</v>
      </c>
    </row>
    <row r="2775" spans="1:12" ht="16" x14ac:dyDescent="0.2">
      <c r="A2775" s="1">
        <v>2774</v>
      </c>
      <c r="B2775" s="1" t="s">
        <v>8253</v>
      </c>
      <c r="C2775" s="1" t="s">
        <v>8272</v>
      </c>
      <c r="D2775" s="1" t="str">
        <f t="shared" si="129"/>
        <v>Odsherred KommuneHøjskolevej 21</v>
      </c>
      <c r="E2775" s="1" t="s">
        <v>8273</v>
      </c>
      <c r="F2775" s="1" t="s">
        <v>8274</v>
      </c>
      <c r="G2775" s="1">
        <v>1986</v>
      </c>
      <c r="H2775" s="1" t="s">
        <v>11</v>
      </c>
      <c r="I2775" s="6" cm="1">
        <f t="array" ref="I2775">GetLatitude(D2775)</f>
        <v>557430441</v>
      </c>
      <c r="J2775" s="1" cm="1">
        <f t="array" ref="J2775">GetLongitude(D2775)</f>
        <v>114268216</v>
      </c>
      <c r="K2775" s="1">
        <f t="shared" si="130"/>
        <v>55.743044099999999</v>
      </c>
      <c r="L2775" s="1">
        <f t="shared" si="131"/>
        <v>11.4268216</v>
      </c>
    </row>
    <row r="2776" spans="1:12" ht="16" x14ac:dyDescent="0.2">
      <c r="A2776" s="1">
        <v>2775</v>
      </c>
      <c r="B2776" s="1" t="s">
        <v>8253</v>
      </c>
      <c r="C2776" s="1" t="s">
        <v>8275</v>
      </c>
      <c r="D2776" s="1" t="str">
        <f t="shared" si="129"/>
        <v>Odsherred KommuneHøjskolevej 4</v>
      </c>
      <c r="E2776" s="1" t="s">
        <v>8276</v>
      </c>
      <c r="F2776" s="1" t="s">
        <v>8277</v>
      </c>
      <c r="G2776" s="1">
        <v>1986</v>
      </c>
      <c r="H2776" s="1" t="s">
        <v>11</v>
      </c>
      <c r="I2776" s="6" cm="1">
        <f t="array" ref="I2776">GetLatitude(D2776)</f>
        <v>558578944</v>
      </c>
      <c r="J2776" s="1" cm="1">
        <f t="array" ref="J2776">GetLongitude(D2776)</f>
        <v>115979880</v>
      </c>
      <c r="K2776" s="1">
        <f t="shared" si="130"/>
        <v>55.857894399999999</v>
      </c>
      <c r="L2776" s="1">
        <f t="shared" si="131"/>
        <v>11.597988000000001</v>
      </c>
    </row>
    <row r="2777" spans="1:12" ht="16" x14ac:dyDescent="0.2">
      <c r="A2777" s="1">
        <v>2776</v>
      </c>
      <c r="B2777" s="1" t="s">
        <v>8253</v>
      </c>
      <c r="C2777" s="1" t="s">
        <v>8278</v>
      </c>
      <c r="D2777" s="1" t="str">
        <f t="shared" si="129"/>
        <v>Odsherred KommuneHøjskolevej 9</v>
      </c>
      <c r="E2777" s="1" t="s">
        <v>8279</v>
      </c>
      <c r="F2777" s="1" t="s">
        <v>8280</v>
      </c>
      <c r="G2777" s="1">
        <v>1983</v>
      </c>
      <c r="H2777" s="1" t="s">
        <v>7125</v>
      </c>
      <c r="I2777" s="6" cm="1">
        <f t="array" ref="I2777">GetLatitude(D2777)</f>
        <v>558578944</v>
      </c>
      <c r="J2777" s="1" cm="1">
        <f t="array" ref="J2777">GetLongitude(D2777)</f>
        <v>115979880</v>
      </c>
      <c r="K2777" s="1">
        <f t="shared" si="130"/>
        <v>55.857894399999999</v>
      </c>
      <c r="L2777" s="1">
        <f t="shared" si="131"/>
        <v>11.597988000000001</v>
      </c>
    </row>
    <row r="2778" spans="1:12" ht="16" x14ac:dyDescent="0.2">
      <c r="A2778" s="1">
        <v>2777</v>
      </c>
      <c r="B2778" s="1" t="s">
        <v>8253</v>
      </c>
      <c r="C2778" s="1" t="s">
        <v>8281</v>
      </c>
      <c r="D2778" s="1" t="str">
        <f t="shared" si="129"/>
        <v>Odsherred KommuneKlintvej 64</v>
      </c>
      <c r="E2778" s="1" t="s">
        <v>8282</v>
      </c>
      <c r="F2778" s="1" t="s">
        <v>8283</v>
      </c>
      <c r="G2778" s="1">
        <v>1985</v>
      </c>
      <c r="H2778" s="1" t="s">
        <v>11</v>
      </c>
      <c r="I2778" s="6" cm="1">
        <f t="array" ref="I2778">GetLatitude(D2778)</f>
        <v>559443153</v>
      </c>
      <c r="J2778" s="1" cm="1">
        <f t="array" ref="J2778">GetLongitude(D2778)</f>
        <v>116083430</v>
      </c>
      <c r="K2778" s="1">
        <f t="shared" si="130"/>
        <v>55.9443153</v>
      </c>
      <c r="L2778" s="1">
        <f t="shared" si="131"/>
        <v>11.608343</v>
      </c>
    </row>
    <row r="2779" spans="1:12" ht="16" x14ac:dyDescent="0.2">
      <c r="A2779" s="1">
        <v>2778</v>
      </c>
      <c r="B2779" s="1" t="s">
        <v>8253</v>
      </c>
      <c r="C2779" s="1" t="s">
        <v>8284</v>
      </c>
      <c r="D2779" s="1" t="str">
        <f t="shared" si="129"/>
        <v>Odsherred KommuneKolåsvej 10 A</v>
      </c>
      <c r="E2779" s="1" t="s">
        <v>8285</v>
      </c>
      <c r="F2779" s="1" t="s">
        <v>8286</v>
      </c>
      <c r="G2779" s="1">
        <v>1954</v>
      </c>
      <c r="H2779" s="1" t="s">
        <v>11</v>
      </c>
      <c r="I2779" s="6" cm="1">
        <f t="array" ref="I2779">GetLatitude(D2779)</f>
        <v>557828080</v>
      </c>
      <c r="J2779" s="1" cm="1">
        <f t="array" ref="J2779">GetLongitude(D2779)</f>
        <v>114007287</v>
      </c>
      <c r="K2779" s="1">
        <f t="shared" si="130"/>
        <v>55.782808000000003</v>
      </c>
      <c r="L2779" s="1">
        <f t="shared" si="131"/>
        <v>11.4007287</v>
      </c>
    </row>
    <row r="2780" spans="1:12" ht="16" x14ac:dyDescent="0.2">
      <c r="A2780" s="1">
        <v>2779</v>
      </c>
      <c r="B2780" s="1" t="s">
        <v>8253</v>
      </c>
      <c r="C2780" s="1" t="s">
        <v>8287</v>
      </c>
      <c r="D2780" s="1" t="str">
        <f t="shared" si="129"/>
        <v>Odsherred KommuneKorshage Fjordvej 1</v>
      </c>
      <c r="E2780" s="1" t="s">
        <v>8288</v>
      </c>
      <c r="F2780" s="1" t="s">
        <v>8289</v>
      </c>
      <c r="G2780" s="1">
        <v>1999</v>
      </c>
      <c r="H2780" s="1" t="s">
        <v>11</v>
      </c>
      <c r="I2780" s="6" cm="1">
        <f t="array" ref="I2780">GetLatitude(D2780)</f>
        <v>559678353</v>
      </c>
      <c r="J2780" s="1" cm="1">
        <f t="array" ref="J2780">GetLongitude(D2780)</f>
        <v>117742814</v>
      </c>
      <c r="K2780" s="1">
        <f t="shared" si="130"/>
        <v>55.967835299999997</v>
      </c>
      <c r="L2780" s="1">
        <f t="shared" si="131"/>
        <v>11.7742814</v>
      </c>
    </row>
    <row r="2781" spans="1:12" ht="16" x14ac:dyDescent="0.2">
      <c r="A2781" s="1">
        <v>2780</v>
      </c>
      <c r="B2781" s="1" t="s">
        <v>8253</v>
      </c>
      <c r="C2781" s="1" t="s">
        <v>8290</v>
      </c>
      <c r="D2781" s="1" t="str">
        <f t="shared" si="129"/>
        <v>Odsherred KommuneLinneavej 5</v>
      </c>
      <c r="E2781" s="1" t="s">
        <v>8291</v>
      </c>
      <c r="F2781" s="1" t="s">
        <v>8292</v>
      </c>
      <c r="G2781" s="1">
        <v>2004</v>
      </c>
      <c r="H2781" s="1" t="s">
        <v>701</v>
      </c>
      <c r="I2781" s="6" cm="1">
        <f t="array" ref="I2781">GetLatitude(D2781)</f>
        <v>559525366</v>
      </c>
      <c r="J2781" s="1" cm="1">
        <f t="array" ref="J2781">GetLongitude(D2781)</f>
        <v>114380690</v>
      </c>
      <c r="K2781" s="1">
        <f t="shared" si="130"/>
        <v>55.952536600000002</v>
      </c>
      <c r="L2781" s="1">
        <f t="shared" si="131"/>
        <v>11.438069</v>
      </c>
    </row>
    <row r="2782" spans="1:12" ht="16" x14ac:dyDescent="0.2">
      <c r="A2782" s="1">
        <v>2781</v>
      </c>
      <c r="B2782" s="1" t="s">
        <v>8253</v>
      </c>
      <c r="C2782" s="1" t="s">
        <v>8293</v>
      </c>
      <c r="D2782" s="1" t="str">
        <f t="shared" si="129"/>
        <v>Odsherred KommuneLumsås Møllevej 6</v>
      </c>
      <c r="E2782" s="1" t="s">
        <v>8294</v>
      </c>
      <c r="F2782" s="1" t="s">
        <v>8295</v>
      </c>
      <c r="G2782" s="1">
        <v>1964</v>
      </c>
      <c r="H2782" s="1" t="s">
        <v>15</v>
      </c>
      <c r="I2782" s="6" cm="1">
        <f t="array" ref="I2782">GetLatitude(D2782)</f>
        <v>559399042</v>
      </c>
      <c r="J2782" s="1" cm="1">
        <f t="array" ref="J2782">GetLongitude(D2782)</f>
        <v>115162299</v>
      </c>
      <c r="K2782" s="1">
        <f t="shared" si="130"/>
        <v>55.939904200000001</v>
      </c>
      <c r="L2782" s="1">
        <f t="shared" si="131"/>
        <v>11.516229900000001</v>
      </c>
    </row>
    <row r="2783" spans="1:12" ht="16" x14ac:dyDescent="0.2">
      <c r="A2783" s="1">
        <v>2782</v>
      </c>
      <c r="B2783" s="1" t="s">
        <v>8253</v>
      </c>
      <c r="C2783" s="1" t="s">
        <v>8296</v>
      </c>
      <c r="D2783" s="1" t="str">
        <f t="shared" si="129"/>
        <v>Odsherred KommuneRøgerivej 1</v>
      </c>
      <c r="E2783" s="1" t="s">
        <v>8297</v>
      </c>
      <c r="F2783" s="1" t="s">
        <v>8298</v>
      </c>
      <c r="G2783" s="1">
        <v>2000</v>
      </c>
      <c r="H2783" s="1" t="s">
        <v>15</v>
      </c>
      <c r="I2783" s="6" cm="1">
        <f t="array" ref="I2783">GetLatitude(D2783)</f>
        <v>559735640</v>
      </c>
      <c r="J2783" s="1" cm="1">
        <f t="array" ref="J2783">GetLongitude(D2783)</f>
        <v>113597533</v>
      </c>
      <c r="K2783" s="1">
        <f t="shared" si="130"/>
        <v>55.973564000000003</v>
      </c>
      <c r="L2783" s="1">
        <f t="shared" si="131"/>
        <v>11.359753299999999</v>
      </c>
    </row>
    <row r="2784" spans="1:12" ht="16" x14ac:dyDescent="0.2">
      <c r="A2784" s="1">
        <v>2783</v>
      </c>
      <c r="B2784" s="1" t="s">
        <v>8253</v>
      </c>
      <c r="C2784" s="1" t="s">
        <v>8299</v>
      </c>
      <c r="D2784" s="1" t="str">
        <f t="shared" si="129"/>
        <v>Odsherred KommuneSkovsti 15</v>
      </c>
      <c r="E2784" s="1" t="s">
        <v>8300</v>
      </c>
      <c r="F2784" s="1" t="s">
        <v>8301</v>
      </c>
      <c r="G2784" s="1">
        <v>1985</v>
      </c>
      <c r="H2784" s="1" t="s">
        <v>15</v>
      </c>
      <c r="I2784" s="6" cm="1">
        <f t="array" ref="I2784">GetLatitude(D2784)</f>
        <v>558578944</v>
      </c>
      <c r="J2784" s="1" cm="1">
        <f t="array" ref="J2784">GetLongitude(D2784)</f>
        <v>115979880</v>
      </c>
      <c r="K2784" s="1">
        <f t="shared" si="130"/>
        <v>55.857894399999999</v>
      </c>
      <c r="L2784" s="1">
        <f t="shared" si="131"/>
        <v>11.597988000000001</v>
      </c>
    </row>
    <row r="2785" spans="1:12" ht="16" x14ac:dyDescent="0.2">
      <c r="A2785" s="1">
        <v>2784</v>
      </c>
      <c r="B2785" s="1" t="s">
        <v>8253</v>
      </c>
      <c r="C2785" s="1" t="s">
        <v>8302</v>
      </c>
      <c r="D2785" s="1" t="str">
        <f t="shared" si="129"/>
        <v>Odsherred KommuneSmedestræde 8</v>
      </c>
      <c r="E2785" s="1" t="s">
        <v>8303</v>
      </c>
      <c r="F2785" s="1" t="s">
        <v>8304</v>
      </c>
      <c r="G2785" s="1">
        <v>1983</v>
      </c>
      <c r="H2785" s="1" t="s">
        <v>11</v>
      </c>
      <c r="I2785" s="6" cm="1">
        <f t="array" ref="I2785">GetLatitude(D2785)</f>
        <v>559549676</v>
      </c>
      <c r="J2785" s="1" cm="1">
        <f t="array" ref="J2785">GetLongitude(D2785)</f>
        <v>114014331</v>
      </c>
      <c r="K2785" s="1">
        <f t="shared" si="130"/>
        <v>55.954967600000003</v>
      </c>
      <c r="L2785" s="1">
        <f t="shared" si="131"/>
        <v>11.4014331</v>
      </c>
    </row>
    <row r="2786" spans="1:12" ht="16" x14ac:dyDescent="0.2">
      <c r="A2786" s="1">
        <v>2785</v>
      </c>
      <c r="B2786" s="1" t="s">
        <v>8253</v>
      </c>
      <c r="C2786" s="1" t="s">
        <v>8305</v>
      </c>
      <c r="D2786" s="1" t="str">
        <f t="shared" si="129"/>
        <v>Odsherred KommuneStenstrupvej 41</v>
      </c>
      <c r="E2786" s="1" t="s">
        <v>8306</v>
      </c>
      <c r="F2786" s="1" t="s">
        <v>8307</v>
      </c>
      <c r="G2786" s="1">
        <v>1980</v>
      </c>
      <c r="H2786" s="1" t="s">
        <v>11</v>
      </c>
      <c r="I2786" s="6" cm="1">
        <f t="array" ref="I2786">GetLatitude(D2786)</f>
        <v>559271575</v>
      </c>
      <c r="J2786" s="1" cm="1">
        <f t="array" ref="J2786">GetLongitude(D2786)</f>
        <v>115522288</v>
      </c>
      <c r="K2786" s="1">
        <f t="shared" si="130"/>
        <v>55.9271575</v>
      </c>
      <c r="L2786" s="1">
        <f t="shared" si="131"/>
        <v>11.5522288</v>
      </c>
    </row>
    <row r="2787" spans="1:12" ht="16" x14ac:dyDescent="0.2">
      <c r="A2787" s="1">
        <v>2786</v>
      </c>
      <c r="B2787" s="1" t="s">
        <v>8253</v>
      </c>
      <c r="C2787" s="1" t="s">
        <v>8308</v>
      </c>
      <c r="D2787" s="1" t="str">
        <f t="shared" si="129"/>
        <v>Odsherred KommuneSøndergade 23</v>
      </c>
      <c r="E2787" s="1" t="s">
        <v>8309</v>
      </c>
      <c r="F2787" s="1" t="s">
        <v>8310</v>
      </c>
      <c r="G2787" s="1">
        <v>2003</v>
      </c>
      <c r="H2787" s="1" t="s">
        <v>15</v>
      </c>
      <c r="I2787" s="6" cm="1">
        <f t="array" ref="I2787">GetLatitude(D2787)</f>
        <v>558578944</v>
      </c>
      <c r="J2787" s="1" cm="1">
        <f t="array" ref="J2787">GetLongitude(D2787)</f>
        <v>115979880</v>
      </c>
      <c r="K2787" s="1">
        <f t="shared" si="130"/>
        <v>55.857894399999999</v>
      </c>
      <c r="L2787" s="1">
        <f t="shared" si="131"/>
        <v>11.597988000000001</v>
      </c>
    </row>
    <row r="2788" spans="1:12" ht="16" x14ac:dyDescent="0.2">
      <c r="A2788" s="1">
        <v>2787</v>
      </c>
      <c r="B2788" s="1" t="s">
        <v>8253</v>
      </c>
      <c r="C2788" s="1" t="s">
        <v>8311</v>
      </c>
      <c r="D2788" s="1" t="str">
        <f t="shared" si="129"/>
        <v>Odsherred KommuneSøndervangsvej 7</v>
      </c>
      <c r="E2788" s="1" t="s">
        <v>8312</v>
      </c>
      <c r="F2788" s="1" t="s">
        <v>7545</v>
      </c>
      <c r="G2788" s="1">
        <v>1964</v>
      </c>
      <c r="H2788" s="1" t="s">
        <v>11</v>
      </c>
      <c r="I2788" s="6" cm="1">
        <f t="array" ref="I2788">GetLatitude(D2788)</f>
        <v>559558561</v>
      </c>
      <c r="J2788" s="1" cm="1">
        <f t="array" ref="J2788">GetLongitude(D2788)</f>
        <v>113868451</v>
      </c>
      <c r="K2788" s="1">
        <f t="shared" si="130"/>
        <v>55.955856099999998</v>
      </c>
      <c r="L2788" s="1">
        <f t="shared" si="131"/>
        <v>11.3868451</v>
      </c>
    </row>
    <row r="2789" spans="1:12" ht="16" x14ac:dyDescent="0.2">
      <c r="A2789" s="1">
        <v>2788</v>
      </c>
      <c r="B2789" s="1" t="s">
        <v>8253</v>
      </c>
      <c r="C2789" s="1" t="s">
        <v>8313</v>
      </c>
      <c r="D2789" s="1" t="str">
        <f t="shared" si="129"/>
        <v>Odsherred KommuneToldbodvej 73</v>
      </c>
      <c r="E2789" s="1" t="s">
        <v>8314</v>
      </c>
      <c r="F2789" s="1" t="s">
        <v>8315</v>
      </c>
      <c r="G2789" s="1">
        <v>1939</v>
      </c>
      <c r="H2789" s="1" t="s">
        <v>11</v>
      </c>
      <c r="I2789" s="6" cm="1">
        <f t="array" ref="I2789">GetLatitude(D2789)</f>
        <v>559455556</v>
      </c>
      <c r="J2789" s="1" cm="1">
        <f t="array" ref="J2789">GetLongitude(D2789)</f>
        <v>117659761</v>
      </c>
      <c r="K2789" s="1">
        <f t="shared" si="130"/>
        <v>55.945555599999999</v>
      </c>
      <c r="L2789" s="1">
        <f t="shared" si="131"/>
        <v>11.7659761</v>
      </c>
    </row>
    <row r="2790" spans="1:12" ht="16" x14ac:dyDescent="0.2">
      <c r="A2790" s="1">
        <v>2789</v>
      </c>
      <c r="B2790" s="1" t="s">
        <v>8253</v>
      </c>
      <c r="C2790" s="1" t="s">
        <v>8316</v>
      </c>
      <c r="D2790" s="1" t="str">
        <f t="shared" si="129"/>
        <v>Odsherred KommuneVed Kirken 6</v>
      </c>
      <c r="E2790" s="1" t="s">
        <v>8317</v>
      </c>
      <c r="F2790" s="1" t="s">
        <v>8318</v>
      </c>
      <c r="G2790" s="1">
        <v>1964</v>
      </c>
      <c r="H2790" s="1" t="s">
        <v>15</v>
      </c>
      <c r="I2790" s="6" cm="1">
        <f t="array" ref="I2790">GetLatitude(D2790)</f>
        <v>558578944</v>
      </c>
      <c r="J2790" s="1" cm="1">
        <f t="array" ref="J2790">GetLongitude(D2790)</f>
        <v>115979880</v>
      </c>
      <c r="K2790" s="1">
        <f t="shared" si="130"/>
        <v>55.857894399999999</v>
      </c>
      <c r="L2790" s="1">
        <f t="shared" si="131"/>
        <v>11.597988000000001</v>
      </c>
    </row>
    <row r="2791" spans="1:12" ht="16" x14ac:dyDescent="0.2">
      <c r="A2791" s="1">
        <v>2790</v>
      </c>
      <c r="B2791" s="1" t="s">
        <v>8319</v>
      </c>
      <c r="C2791" s="1" t="s">
        <v>8320</v>
      </c>
      <c r="D2791" s="1" t="str">
        <f t="shared" si="129"/>
        <v>Randers KommuneBrødregade 24</v>
      </c>
      <c r="E2791" s="1" t="s">
        <v>8321</v>
      </c>
      <c r="F2791" s="1" t="s">
        <v>8322</v>
      </c>
      <c r="G2791" s="1">
        <v>1918</v>
      </c>
      <c r="H2791" s="1" t="s">
        <v>701</v>
      </c>
      <c r="I2791" s="6" cm="1">
        <f t="array" ref="I2791">GetLatitude(D2791)</f>
        <v>564594470</v>
      </c>
      <c r="J2791" s="1" cm="1">
        <f t="array" ref="J2791">GetLongitude(D2791)</f>
        <v>100375170</v>
      </c>
      <c r="K2791" s="1">
        <f t="shared" si="130"/>
        <v>56.459446999999997</v>
      </c>
      <c r="L2791" s="1">
        <f t="shared" si="131"/>
        <v>10.037516999999999</v>
      </c>
    </row>
    <row r="2792" spans="1:12" ht="16" x14ac:dyDescent="0.2">
      <c r="A2792" s="1">
        <v>2791</v>
      </c>
      <c r="B2792" s="1" t="s">
        <v>8319</v>
      </c>
      <c r="C2792" s="1" t="s">
        <v>8323</v>
      </c>
      <c r="D2792" s="1" t="str">
        <f t="shared" si="129"/>
        <v>Randers KommuneBrødregade 25</v>
      </c>
      <c r="E2792" s="1" t="s">
        <v>8324</v>
      </c>
      <c r="F2792" s="1" t="s">
        <v>8325</v>
      </c>
      <c r="G2792" s="1">
        <v>1919</v>
      </c>
      <c r="H2792" s="1" t="s">
        <v>11</v>
      </c>
      <c r="I2792" s="6" cm="1">
        <f t="array" ref="I2792">GetLatitude(D2792)</f>
        <v>564587142</v>
      </c>
      <c r="J2792" s="1" cm="1">
        <f t="array" ref="J2792">GetLongitude(D2792)</f>
        <v>100378470</v>
      </c>
      <c r="K2792" s="1">
        <f t="shared" si="130"/>
        <v>56.458714200000003</v>
      </c>
      <c r="L2792" s="1">
        <f t="shared" si="131"/>
        <v>10.037846999999999</v>
      </c>
    </row>
    <row r="2793" spans="1:12" ht="16" x14ac:dyDescent="0.2">
      <c r="A2793" s="1">
        <v>2792</v>
      </c>
      <c r="B2793" s="1" t="s">
        <v>8319</v>
      </c>
      <c r="C2793" s="1" t="s">
        <v>8326</v>
      </c>
      <c r="D2793" s="1" t="str">
        <f t="shared" si="129"/>
        <v>Randers KommuneBrødregade 26</v>
      </c>
      <c r="E2793" s="1" t="s">
        <v>8327</v>
      </c>
      <c r="F2793" s="1" t="s">
        <v>8328</v>
      </c>
      <c r="G2793" s="1">
        <v>1918</v>
      </c>
      <c r="H2793" s="1" t="s">
        <v>11</v>
      </c>
      <c r="I2793" s="6" cm="1">
        <f t="array" ref="I2793">GetLatitude(D2793)</f>
        <v>564593679</v>
      </c>
      <c r="J2793" s="1" cm="1">
        <f t="array" ref="J2793">GetLongitude(D2793)</f>
        <v>100375627</v>
      </c>
      <c r="K2793" s="1">
        <f t="shared" si="130"/>
        <v>56.459367899999997</v>
      </c>
      <c r="L2793" s="1">
        <f t="shared" si="131"/>
        <v>10.037562700000001</v>
      </c>
    </row>
    <row r="2794" spans="1:12" ht="16" x14ac:dyDescent="0.2">
      <c r="A2794" s="1">
        <v>2793</v>
      </c>
      <c r="B2794" s="1" t="s">
        <v>8319</v>
      </c>
      <c r="C2794" s="1" t="s">
        <v>8329</v>
      </c>
      <c r="D2794" s="1" t="str">
        <f t="shared" si="129"/>
        <v>Randers KommuneErik Menveds Plads 1</v>
      </c>
      <c r="E2794" s="1" t="s">
        <v>6658</v>
      </c>
      <c r="F2794" s="1" t="s">
        <v>8330</v>
      </c>
      <c r="G2794" s="1">
        <v>1918</v>
      </c>
      <c r="H2794" s="1" t="s">
        <v>15</v>
      </c>
      <c r="I2794" s="6" cm="1">
        <f t="array" ref="I2794">GetLatitude(D2794)</f>
        <v>564604077</v>
      </c>
      <c r="J2794" s="1" cm="1">
        <f t="array" ref="J2794">GetLongitude(D2794)</f>
        <v>100356256</v>
      </c>
      <c r="K2794" s="1">
        <f t="shared" si="130"/>
        <v>56.460407699999998</v>
      </c>
      <c r="L2794" s="1">
        <f t="shared" si="131"/>
        <v>10.035625599999999</v>
      </c>
    </row>
    <row r="2795" spans="1:12" ht="16" x14ac:dyDescent="0.2">
      <c r="A2795" s="1">
        <v>2794</v>
      </c>
      <c r="B2795" s="1" t="s">
        <v>8319</v>
      </c>
      <c r="C2795" s="1" t="s">
        <v>8331</v>
      </c>
      <c r="D2795" s="1" t="str">
        <f t="shared" si="129"/>
        <v>Randers KommuneFrisenvoldvej 22</v>
      </c>
      <c r="E2795" s="1" t="s">
        <v>8332</v>
      </c>
      <c r="F2795" s="1" t="s">
        <v>8333</v>
      </c>
      <c r="G2795" s="1">
        <v>1939</v>
      </c>
      <c r="H2795" s="1" t="s">
        <v>15</v>
      </c>
      <c r="I2795" s="6" cm="1">
        <f t="array" ref="I2795">GetLatitude(D2795)</f>
        <v>564147199</v>
      </c>
      <c r="J2795" s="1" cm="1">
        <f t="array" ref="J2795">GetLongitude(D2795)</f>
        <v>99708533</v>
      </c>
      <c r="K2795" s="1">
        <f t="shared" si="130"/>
        <v>56.414719900000001</v>
      </c>
      <c r="L2795" s="1">
        <f t="shared" si="131"/>
        <v>9.9708532999999999</v>
      </c>
    </row>
    <row r="2796" spans="1:12" ht="16" x14ac:dyDescent="0.2">
      <c r="A2796" s="1">
        <v>2795</v>
      </c>
      <c r="B2796" s="1" t="s">
        <v>8319</v>
      </c>
      <c r="C2796" s="1" t="s">
        <v>8334</v>
      </c>
      <c r="D2796" s="1" t="str">
        <f t="shared" si="129"/>
        <v>Randers KommuneGammel Hadsundvej 3</v>
      </c>
      <c r="E2796" s="1" t="s">
        <v>8335</v>
      </c>
      <c r="F2796" s="1" t="s">
        <v>8336</v>
      </c>
      <c r="G2796" s="1">
        <v>2003</v>
      </c>
      <c r="H2796" s="1" t="s">
        <v>15</v>
      </c>
      <c r="I2796" s="6" cm="1">
        <f t="array" ref="I2796">GetLatitude(D2796)</f>
        <v>564659910</v>
      </c>
      <c r="J2796" s="1" cm="1">
        <f t="array" ref="J2796">GetLongitude(D2796)</f>
        <v>100392700</v>
      </c>
      <c r="K2796" s="1">
        <f t="shared" si="130"/>
        <v>56.465991000000002</v>
      </c>
      <c r="L2796" s="1">
        <f t="shared" si="131"/>
        <v>10.03927</v>
      </c>
    </row>
    <row r="2797" spans="1:12" ht="16" x14ac:dyDescent="0.2">
      <c r="A2797" s="1">
        <v>2796</v>
      </c>
      <c r="B2797" s="1" t="s">
        <v>8319</v>
      </c>
      <c r="C2797" s="1" t="s">
        <v>8337</v>
      </c>
      <c r="D2797" s="1" t="str">
        <f t="shared" si="129"/>
        <v>Randers KommuneHobrovej 84A</v>
      </c>
      <c r="E2797" s="1" t="s">
        <v>8338</v>
      </c>
      <c r="F2797" s="1" t="s">
        <v>8339</v>
      </c>
      <c r="G2797" s="1">
        <v>2017</v>
      </c>
      <c r="H2797" s="1" t="s">
        <v>15</v>
      </c>
      <c r="I2797" s="6" cm="1">
        <f t="array" ref="I2797">GetLatitude(D2797)</f>
        <v>564694973</v>
      </c>
      <c r="J2797" s="1" cm="1">
        <f t="array" ref="J2797">GetLongitude(D2797)</f>
        <v>100184572</v>
      </c>
      <c r="K2797" s="1">
        <f t="shared" si="130"/>
        <v>56.4694973</v>
      </c>
      <c r="L2797" s="1">
        <f t="shared" si="131"/>
        <v>10.0184572</v>
      </c>
    </row>
    <row r="2798" spans="1:12" ht="16" x14ac:dyDescent="0.2">
      <c r="A2798" s="1">
        <v>2797</v>
      </c>
      <c r="B2798" s="1" t="s">
        <v>8319</v>
      </c>
      <c r="C2798" s="1" t="s">
        <v>8340</v>
      </c>
      <c r="D2798" s="1" t="str">
        <f t="shared" si="129"/>
        <v>Randers KommuneHoumeden 2-4 og Rådhustorvet 1</v>
      </c>
      <c r="E2798" s="1" t="s">
        <v>8341</v>
      </c>
      <c r="F2798" s="1" t="s">
        <v>8342</v>
      </c>
      <c r="G2798" s="1">
        <v>1919</v>
      </c>
      <c r="H2798" s="1" t="s">
        <v>15</v>
      </c>
      <c r="I2798" s="6" cm="1">
        <f t="array" ref="I2798">GetLatitude(D2798)</f>
        <v>564607520</v>
      </c>
      <c r="J2798" s="1" cm="1">
        <f t="array" ref="J2798">GetLongitude(D2798)</f>
        <v>100361890</v>
      </c>
      <c r="K2798" s="1">
        <f t="shared" si="130"/>
        <v>56.460751999999999</v>
      </c>
      <c r="L2798" s="1">
        <f t="shared" si="131"/>
        <v>10.036189</v>
      </c>
    </row>
    <row r="2799" spans="1:12" ht="16" x14ac:dyDescent="0.2">
      <c r="A2799" s="1">
        <v>2798</v>
      </c>
      <c r="B2799" s="1" t="s">
        <v>8319</v>
      </c>
      <c r="C2799" s="1" t="s">
        <v>8343</v>
      </c>
      <c r="D2799" s="1" t="str">
        <f t="shared" si="129"/>
        <v>Randers KommuneKirkegade 17</v>
      </c>
      <c r="E2799" s="1" t="s">
        <v>8344</v>
      </c>
      <c r="F2799" s="1" t="s">
        <v>8345</v>
      </c>
      <c r="G2799" s="1">
        <v>1919</v>
      </c>
      <c r="H2799" s="1" t="s">
        <v>15</v>
      </c>
      <c r="I2799" s="6" cm="1">
        <f t="array" ref="I2799">GetLatitude(D2799)</f>
        <v>564598806</v>
      </c>
      <c r="J2799" s="1" cm="1">
        <f t="array" ref="J2799">GetLongitude(D2799)</f>
        <v>100334156</v>
      </c>
      <c r="K2799" s="1">
        <f t="shared" si="130"/>
        <v>56.459880599999998</v>
      </c>
      <c r="L2799" s="1">
        <f t="shared" si="131"/>
        <v>10.0334156</v>
      </c>
    </row>
    <row r="2800" spans="1:12" ht="16" x14ac:dyDescent="0.2">
      <c r="A2800" s="1">
        <v>2799</v>
      </c>
      <c r="B2800" s="1" t="s">
        <v>8319</v>
      </c>
      <c r="C2800" s="1" t="s">
        <v>8346</v>
      </c>
      <c r="D2800" s="1" t="str">
        <f t="shared" si="129"/>
        <v>Randers KommuneLangå, over Gudenåen</v>
      </c>
      <c r="E2800" s="1" t="s">
        <v>8347</v>
      </c>
      <c r="F2800" s="1" t="s">
        <v>8348</v>
      </c>
      <c r="G2800" s="1">
        <v>1986</v>
      </c>
      <c r="H2800" s="1" t="s">
        <v>15</v>
      </c>
      <c r="I2800" s="6" cm="1">
        <f t="array" ref="I2800">GetLatitude(D2800)</f>
        <v>558883670</v>
      </c>
      <c r="J2800" s="1" cm="1">
        <f t="array" ref="J2800">GetLongitude(D2800)</f>
        <v>94343076</v>
      </c>
      <c r="K2800" s="1">
        <f t="shared" si="130"/>
        <v>55.888367000000002</v>
      </c>
      <c r="L2800" s="1">
        <f t="shared" si="131"/>
        <v>9.4343076000000003</v>
      </c>
    </row>
    <row r="2801" spans="1:12" ht="16" x14ac:dyDescent="0.2">
      <c r="A2801" s="1">
        <v>2800</v>
      </c>
      <c r="B2801" s="1" t="s">
        <v>8319</v>
      </c>
      <c r="C2801" s="1" t="s">
        <v>8349</v>
      </c>
      <c r="D2801" s="1" t="str">
        <f t="shared" si="129"/>
        <v>Randers KommuneLangå-broen mellem matr nr 18, Løjstrup og nr 52, Langå</v>
      </c>
      <c r="E2801" s="1" t="s">
        <v>8350</v>
      </c>
      <c r="F2801" s="1" t="s">
        <v>8351</v>
      </c>
      <c r="G2801" s="1">
        <v>1998</v>
      </c>
      <c r="H2801" s="1" t="s">
        <v>15</v>
      </c>
      <c r="I2801" s="6" cm="1">
        <f t="array" ref="I2801">GetLatitude(D2801)</f>
        <v>563839293</v>
      </c>
      <c r="J2801" s="1" cm="1">
        <f t="array" ref="J2801">GetLongitude(D2801)</f>
        <v>99100113</v>
      </c>
      <c r="K2801" s="1">
        <f t="shared" si="130"/>
        <v>56.383929299999998</v>
      </c>
      <c r="L2801" s="1">
        <f t="shared" si="131"/>
        <v>9.9100113000000007</v>
      </c>
    </row>
    <row r="2802" spans="1:12" ht="16" x14ac:dyDescent="0.2">
      <c r="A2802" s="1">
        <v>2801</v>
      </c>
      <c r="B2802" s="1" t="s">
        <v>8319</v>
      </c>
      <c r="C2802" s="1" t="s">
        <v>8352</v>
      </c>
      <c r="D2802" s="1" t="str">
        <f t="shared" si="129"/>
        <v>Randers KommuneMariagervej 261</v>
      </c>
      <c r="E2802" s="1" t="s">
        <v>8353</v>
      </c>
      <c r="F2802" s="1" t="s">
        <v>8354</v>
      </c>
      <c r="G2802" s="1">
        <v>1950</v>
      </c>
      <c r="H2802" s="1" t="s">
        <v>15</v>
      </c>
      <c r="I2802" s="6" cm="1">
        <f t="array" ref="I2802">GetLatitude(D2802)</f>
        <v>565008762</v>
      </c>
      <c r="J2802" s="1" cm="1">
        <f t="array" ref="J2802">GetLongitude(D2802)</f>
        <v>100226933</v>
      </c>
      <c r="K2802" s="1">
        <f t="shared" si="130"/>
        <v>56.5008762</v>
      </c>
      <c r="L2802" s="1">
        <f t="shared" si="131"/>
        <v>10.0226933</v>
      </c>
    </row>
    <row r="2803" spans="1:12" ht="16" x14ac:dyDescent="0.2">
      <c r="A2803" s="1">
        <v>2802</v>
      </c>
      <c r="B2803" s="1" t="s">
        <v>8319</v>
      </c>
      <c r="C2803" s="1" t="s">
        <v>8355</v>
      </c>
      <c r="D2803" s="1" t="str">
        <f t="shared" si="129"/>
        <v>Randers KommuneMariagervej 450</v>
      </c>
      <c r="E2803" s="1" t="s">
        <v>8356</v>
      </c>
      <c r="F2803" s="1" t="s">
        <v>8357</v>
      </c>
      <c r="G2803" s="1">
        <v>1987</v>
      </c>
      <c r="H2803" s="1" t="s">
        <v>11</v>
      </c>
      <c r="I2803" s="6" cm="1">
        <f t="array" ref="I2803">GetLatitude(D2803)</f>
        <v>565501621</v>
      </c>
      <c r="J2803" s="1" cm="1">
        <f t="array" ref="J2803">GetLongitude(D2803)</f>
        <v>100021297</v>
      </c>
      <c r="K2803" s="1">
        <f t="shared" si="130"/>
        <v>56.550162100000001</v>
      </c>
      <c r="L2803" s="1">
        <f t="shared" si="131"/>
        <v>10.002129699999999</v>
      </c>
    </row>
    <row r="2804" spans="1:12" ht="16" x14ac:dyDescent="0.2">
      <c r="A2804" s="1">
        <v>2803</v>
      </c>
      <c r="B2804" s="1" t="s">
        <v>8319</v>
      </c>
      <c r="C2804" s="1" t="s">
        <v>8358</v>
      </c>
      <c r="D2804" s="1" t="str">
        <f t="shared" si="129"/>
        <v>Randers KommuneMiddelgade 2</v>
      </c>
      <c r="E2804" s="1" t="s">
        <v>6868</v>
      </c>
      <c r="F2804" s="1" t="s">
        <v>8359</v>
      </c>
      <c r="G2804" s="1">
        <v>1919</v>
      </c>
      <c r="H2804" s="1" t="s">
        <v>8360</v>
      </c>
      <c r="I2804" s="6" cm="1">
        <f t="array" ref="I2804">GetLatitude(D2804)</f>
        <v>564591497</v>
      </c>
      <c r="J2804" s="1" cm="1">
        <f t="array" ref="J2804">GetLongitude(D2804)</f>
        <v>100361459</v>
      </c>
      <c r="K2804" s="1">
        <f t="shared" si="130"/>
        <v>56.459149699999998</v>
      </c>
      <c r="L2804" s="1">
        <f t="shared" si="131"/>
        <v>10.036145899999999</v>
      </c>
    </row>
    <row r="2805" spans="1:12" ht="16" x14ac:dyDescent="0.2">
      <c r="A2805" s="1">
        <v>2804</v>
      </c>
      <c r="B2805" s="1" t="s">
        <v>8319</v>
      </c>
      <c r="C2805" s="1" t="s">
        <v>8361</v>
      </c>
      <c r="D2805" s="1" t="str">
        <f t="shared" si="129"/>
        <v>Randers KommuneMøllestræde 8</v>
      </c>
      <c r="E2805" s="1" t="s">
        <v>3172</v>
      </c>
      <c r="F2805" s="1" t="s">
        <v>8362</v>
      </c>
      <c r="G2805" s="1">
        <v>1988</v>
      </c>
      <c r="H2805" s="1" t="s">
        <v>15</v>
      </c>
      <c r="I2805" s="6" cm="1">
        <f t="array" ref="I2805">GetLatitude(D2805)</f>
        <v>564627770</v>
      </c>
      <c r="J2805" s="1" cm="1">
        <f t="array" ref="J2805">GetLongitude(D2805)</f>
        <v>100361152</v>
      </c>
      <c r="K2805" s="1">
        <f t="shared" si="130"/>
        <v>56.462777000000003</v>
      </c>
      <c r="L2805" s="1">
        <f t="shared" si="131"/>
        <v>10.036115199999999</v>
      </c>
    </row>
    <row r="2806" spans="1:12" ht="16" x14ac:dyDescent="0.2">
      <c r="A2806" s="1">
        <v>2805</v>
      </c>
      <c r="B2806" s="1" t="s">
        <v>8319</v>
      </c>
      <c r="C2806" s="1" t="s">
        <v>8363</v>
      </c>
      <c r="D2806" s="1" t="str">
        <f t="shared" si="129"/>
        <v>Randers KommuneNygade 2-6</v>
      </c>
      <c r="E2806" s="1" t="s">
        <v>8364</v>
      </c>
      <c r="F2806" s="1" t="s">
        <v>8365</v>
      </c>
      <c r="G2806" s="1">
        <v>1919</v>
      </c>
      <c r="H2806" s="1" t="s">
        <v>11</v>
      </c>
      <c r="I2806" s="6" cm="1">
        <f t="array" ref="I2806">GetLatitude(D2806)</f>
        <v>565541315</v>
      </c>
      <c r="J2806" s="1" cm="1">
        <f t="array" ref="J2806">GetLongitude(D2806)</f>
        <v>101213124</v>
      </c>
      <c r="K2806" s="1">
        <f t="shared" si="130"/>
        <v>56.554131499999997</v>
      </c>
      <c r="L2806" s="1">
        <f t="shared" si="131"/>
        <v>10.121312400000001</v>
      </c>
    </row>
    <row r="2807" spans="1:12" ht="16" x14ac:dyDescent="0.2">
      <c r="A2807" s="1">
        <v>2806</v>
      </c>
      <c r="B2807" s="1" t="s">
        <v>8319</v>
      </c>
      <c r="C2807" s="1" t="s">
        <v>8366</v>
      </c>
      <c r="D2807" s="1" t="str">
        <f t="shared" si="129"/>
        <v>Randers KommuneNørregade 7</v>
      </c>
      <c r="E2807" s="1" t="s">
        <v>8367</v>
      </c>
      <c r="F2807" s="1" t="s">
        <v>8368</v>
      </c>
      <c r="G2807" s="1">
        <v>1919</v>
      </c>
      <c r="H2807" s="1" t="s">
        <v>11</v>
      </c>
      <c r="I2807" s="6" cm="1">
        <f t="array" ref="I2807">GetLatitude(D2807)</f>
        <v>565541315</v>
      </c>
      <c r="J2807" s="1" cm="1">
        <f t="array" ref="J2807">GetLongitude(D2807)</f>
        <v>101213124</v>
      </c>
      <c r="K2807" s="1">
        <f t="shared" si="130"/>
        <v>56.554131499999997</v>
      </c>
      <c r="L2807" s="1">
        <f t="shared" si="131"/>
        <v>10.121312400000001</v>
      </c>
    </row>
    <row r="2808" spans="1:12" ht="16" x14ac:dyDescent="0.2">
      <c r="A2808" s="1">
        <v>2807</v>
      </c>
      <c r="B2808" s="1" t="s">
        <v>8319</v>
      </c>
      <c r="C2808" s="1" t="s">
        <v>8369</v>
      </c>
      <c r="D2808" s="1" t="str">
        <f t="shared" si="129"/>
        <v>Randers KommuneOust Møllevej 27</v>
      </c>
      <c r="E2808" s="1" t="s">
        <v>8370</v>
      </c>
      <c r="F2808" s="1" t="s">
        <v>8371</v>
      </c>
      <c r="G2808" s="1">
        <v>1954</v>
      </c>
      <c r="H2808" s="1" t="s">
        <v>701</v>
      </c>
      <c r="I2808" s="6" cm="1">
        <f t="array" ref="I2808">GetLatitude(D2808)</f>
        <v>564758695</v>
      </c>
      <c r="J2808" s="1" cm="1">
        <f t="array" ref="J2808">GetLongitude(D2808)</f>
        <v>99900758</v>
      </c>
      <c r="K2808" s="1">
        <f t="shared" si="130"/>
        <v>56.475869500000002</v>
      </c>
      <c r="L2808" s="1">
        <f t="shared" si="131"/>
        <v>9.9900757999999996</v>
      </c>
    </row>
    <row r="2809" spans="1:12" ht="16" x14ac:dyDescent="0.2">
      <c r="A2809" s="1">
        <v>2808</v>
      </c>
      <c r="B2809" s="1" t="s">
        <v>8319</v>
      </c>
      <c r="C2809" s="1" t="s">
        <v>8372</v>
      </c>
      <c r="D2809" s="1" t="str">
        <f t="shared" si="129"/>
        <v>Randers KommuneOvergårdsvej 28</v>
      </c>
      <c r="E2809" s="1" t="s">
        <v>8373</v>
      </c>
      <c r="F2809" s="1" t="s">
        <v>8374</v>
      </c>
      <c r="G2809" s="1">
        <v>1918</v>
      </c>
      <c r="H2809" s="1" t="s">
        <v>15</v>
      </c>
      <c r="I2809" s="6" cm="1">
        <f t="array" ref="I2809">GetLatitude(D2809)</f>
        <v>566841876</v>
      </c>
      <c r="J2809" s="1" cm="1">
        <f t="array" ref="J2809">GetLongitude(D2809)</f>
        <v>102494926</v>
      </c>
      <c r="K2809" s="1">
        <f t="shared" si="130"/>
        <v>56.684187600000001</v>
      </c>
      <c r="L2809" s="1">
        <f t="shared" si="131"/>
        <v>10.2494926</v>
      </c>
    </row>
    <row r="2810" spans="1:12" ht="16" x14ac:dyDescent="0.2">
      <c r="A2810" s="1">
        <v>2809</v>
      </c>
      <c r="B2810" s="1" t="s">
        <v>8319</v>
      </c>
      <c r="C2810" s="1" t="s">
        <v>8375</v>
      </c>
      <c r="D2810" s="1" t="str">
        <f t="shared" si="129"/>
        <v>Randers KommuneRosengade 1</v>
      </c>
      <c r="E2810" s="1" t="s">
        <v>8376</v>
      </c>
      <c r="F2810" s="1" t="s">
        <v>8377</v>
      </c>
      <c r="G2810" s="1">
        <v>1984</v>
      </c>
      <c r="H2810" s="1" t="s">
        <v>11</v>
      </c>
      <c r="I2810" s="6" cm="1">
        <f t="array" ref="I2810">GetLatitude(D2810)</f>
        <v>564611390</v>
      </c>
      <c r="J2810" s="1" cm="1">
        <f t="array" ref="J2810">GetLongitude(D2810)</f>
        <v>100371729</v>
      </c>
      <c r="K2810" s="1">
        <f t="shared" si="130"/>
        <v>56.461139000000003</v>
      </c>
      <c r="L2810" s="1">
        <f t="shared" si="131"/>
        <v>10.0371729</v>
      </c>
    </row>
    <row r="2811" spans="1:12" ht="16" x14ac:dyDescent="0.2">
      <c r="A2811" s="1">
        <v>2810</v>
      </c>
      <c r="B2811" s="1" t="s">
        <v>8319</v>
      </c>
      <c r="C2811" s="1" t="s">
        <v>8378</v>
      </c>
      <c r="D2811" s="1" t="str">
        <f t="shared" si="129"/>
        <v>Randers KommuneRådhusstræde 1</v>
      </c>
      <c r="E2811" s="1" t="s">
        <v>8379</v>
      </c>
      <c r="F2811" s="1" t="s">
        <v>8380</v>
      </c>
      <c r="G2811" s="1">
        <v>1918</v>
      </c>
      <c r="H2811" s="1" t="s">
        <v>11</v>
      </c>
      <c r="I2811" s="6" cm="1">
        <f t="array" ref="I2811">GetLatitude(D2811)</f>
        <v>564608248</v>
      </c>
      <c r="J2811" s="1" cm="1">
        <f t="array" ref="J2811">GetLongitude(D2811)</f>
        <v>100370164</v>
      </c>
      <c r="K2811" s="1">
        <f t="shared" si="130"/>
        <v>56.460824799999997</v>
      </c>
      <c r="L2811" s="1">
        <f t="shared" si="131"/>
        <v>10.037016400000001</v>
      </c>
    </row>
    <row r="2812" spans="1:12" ht="16" x14ac:dyDescent="0.2">
      <c r="A2812" s="1">
        <v>2811</v>
      </c>
      <c r="B2812" s="1" t="s">
        <v>8319</v>
      </c>
      <c r="C2812" s="1" t="s">
        <v>8381</v>
      </c>
      <c r="D2812" s="1" t="str">
        <f t="shared" si="129"/>
        <v>Randers KommuneRådhustorvet 7</v>
      </c>
      <c r="E2812" s="1" t="s">
        <v>8382</v>
      </c>
      <c r="F2812" s="1" t="s">
        <v>8383</v>
      </c>
      <c r="G2812" s="1">
        <v>1918</v>
      </c>
      <c r="H2812" s="1" t="s">
        <v>11</v>
      </c>
      <c r="I2812" s="6" cm="1">
        <f t="array" ref="I2812">GetLatitude(D2812)</f>
        <v>565541315</v>
      </c>
      <c r="J2812" s="1" cm="1">
        <f t="array" ref="J2812">GetLongitude(D2812)</f>
        <v>101213124</v>
      </c>
      <c r="K2812" s="1">
        <f t="shared" si="130"/>
        <v>56.554131499999997</v>
      </c>
      <c r="L2812" s="1">
        <f t="shared" si="131"/>
        <v>10.121312400000001</v>
      </c>
    </row>
    <row r="2813" spans="1:12" ht="16" x14ac:dyDescent="0.2">
      <c r="A2813" s="1">
        <v>2812</v>
      </c>
      <c r="B2813" s="1" t="s">
        <v>8319</v>
      </c>
      <c r="C2813" s="1" t="s">
        <v>8384</v>
      </c>
      <c r="D2813" s="1" t="str">
        <f t="shared" si="129"/>
        <v>Randers KommuneRådmands Boulevard 20</v>
      </c>
      <c r="E2813" s="1" t="s">
        <v>8385</v>
      </c>
      <c r="F2813" s="1" t="s">
        <v>8386</v>
      </c>
      <c r="G2813" s="1">
        <v>1986</v>
      </c>
      <c r="H2813" s="1" t="s">
        <v>8387</v>
      </c>
      <c r="I2813" s="6" cm="1">
        <f t="array" ref="I2813">GetLatitude(D2813)</f>
        <v>564696643</v>
      </c>
      <c r="J2813" s="1" cm="1">
        <f t="array" ref="J2813">GetLongitude(D2813)</f>
        <v>100264550</v>
      </c>
      <c r="K2813" s="1">
        <f t="shared" si="130"/>
        <v>56.469664299999998</v>
      </c>
      <c r="L2813" s="1">
        <f t="shared" si="131"/>
        <v>10.026455</v>
      </c>
    </row>
    <row r="2814" spans="1:12" ht="16" x14ac:dyDescent="0.2">
      <c r="A2814" s="1">
        <v>2813</v>
      </c>
      <c r="B2814" s="1" t="s">
        <v>8319</v>
      </c>
      <c r="C2814" s="1" t="s">
        <v>8388</v>
      </c>
      <c r="D2814" s="1" t="str">
        <f t="shared" si="129"/>
        <v>Randers KommuneSandgade 11</v>
      </c>
      <c r="E2814" s="1" t="s">
        <v>8389</v>
      </c>
      <c r="F2814" s="1" t="s">
        <v>8390</v>
      </c>
      <c r="G2814" s="1">
        <v>1988</v>
      </c>
      <c r="H2814" s="1" t="s">
        <v>15</v>
      </c>
      <c r="I2814" s="6" cm="1">
        <f t="array" ref="I2814">GetLatitude(D2814)</f>
        <v>564631901</v>
      </c>
      <c r="J2814" s="1" cm="1">
        <f t="array" ref="J2814">GetLongitude(D2814)</f>
        <v>100408077</v>
      </c>
      <c r="K2814" s="1">
        <f t="shared" si="130"/>
        <v>56.463190099999998</v>
      </c>
      <c r="L2814" s="1">
        <f t="shared" si="131"/>
        <v>10.0408077</v>
      </c>
    </row>
    <row r="2815" spans="1:12" ht="16" x14ac:dyDescent="0.2">
      <c r="A2815" s="1">
        <v>2814</v>
      </c>
      <c r="B2815" s="1" t="s">
        <v>8319</v>
      </c>
      <c r="C2815" s="1" t="s">
        <v>8391</v>
      </c>
      <c r="D2815" s="1" t="str">
        <f t="shared" si="129"/>
        <v>Randers Kommune Snaregade 2</v>
      </c>
      <c r="E2815" s="1" t="s">
        <v>8391</v>
      </c>
      <c r="F2815" s="1" t="s">
        <v>7327</v>
      </c>
      <c r="G2815" s="1">
        <v>1919</v>
      </c>
      <c r="H2815" s="1" t="s">
        <v>15</v>
      </c>
      <c r="I2815" s="6" cm="1">
        <f t="array" ref="I2815">GetLatitude(D2815)</f>
        <v>564607703</v>
      </c>
      <c r="J2815" s="1" cm="1">
        <f t="array" ref="J2815">GetLongitude(D2815)</f>
        <v>100353874</v>
      </c>
      <c r="K2815" s="1">
        <f t="shared" si="130"/>
        <v>56.4607703</v>
      </c>
      <c r="L2815" s="1">
        <f t="shared" si="131"/>
        <v>10.035387399999999</v>
      </c>
    </row>
    <row r="2816" spans="1:12" ht="16" x14ac:dyDescent="0.2">
      <c r="A2816" s="1">
        <v>2815</v>
      </c>
      <c r="B2816" s="1" t="s">
        <v>8319</v>
      </c>
      <c r="C2816" s="1" t="s">
        <v>8392</v>
      </c>
      <c r="D2816" s="1" t="str">
        <f t="shared" si="129"/>
        <v>Randers KommuneSognevej 22</v>
      </c>
      <c r="E2816" s="1" t="s">
        <v>8393</v>
      </c>
      <c r="F2816" s="1" t="s">
        <v>98</v>
      </c>
      <c r="G2816" s="1">
        <v>1964</v>
      </c>
      <c r="H2816" s="1" t="s">
        <v>15</v>
      </c>
      <c r="I2816" s="6" cm="1">
        <f t="array" ref="I2816">GetLatitude(D2816)</f>
        <v>566088892</v>
      </c>
      <c r="J2816" s="1" cm="1">
        <f t="array" ref="J2816">GetLongitude(D2816)</f>
        <v>101257013</v>
      </c>
      <c r="K2816" s="1">
        <f t="shared" si="130"/>
        <v>56.6088892</v>
      </c>
      <c r="L2816" s="1">
        <f t="shared" si="131"/>
        <v>10.125701299999999</v>
      </c>
    </row>
    <row r="2817" spans="1:12" ht="16" x14ac:dyDescent="0.2">
      <c r="A2817" s="1">
        <v>2816</v>
      </c>
      <c r="B2817" s="1" t="s">
        <v>8319</v>
      </c>
      <c r="C2817" s="1" t="s">
        <v>8394</v>
      </c>
      <c r="D2817" s="1" t="str">
        <f t="shared" si="129"/>
        <v>Randers KommuneStationsvej 45</v>
      </c>
      <c r="E2817" s="1" t="s">
        <v>8395</v>
      </c>
      <c r="F2817" s="1" t="s">
        <v>8396</v>
      </c>
      <c r="G2817" s="1">
        <v>1918</v>
      </c>
      <c r="H2817" s="1" t="s">
        <v>15</v>
      </c>
      <c r="I2817" s="6" cm="1">
        <f t="array" ref="I2817">GetLatitude(D2817)</f>
        <v>564605840</v>
      </c>
      <c r="J2817" s="1" cm="1">
        <f t="array" ref="J2817">GetLongitude(D2817)</f>
        <v>100365390</v>
      </c>
      <c r="K2817" s="1">
        <f t="shared" si="130"/>
        <v>56.460583999999997</v>
      </c>
      <c r="L2817" s="1">
        <f t="shared" si="131"/>
        <v>10.036538999999999</v>
      </c>
    </row>
    <row r="2818" spans="1:12" ht="16" x14ac:dyDescent="0.2">
      <c r="A2818" s="1">
        <v>2817</v>
      </c>
      <c r="B2818" s="1" t="s">
        <v>8319</v>
      </c>
      <c r="C2818" s="1" t="s">
        <v>8397</v>
      </c>
      <c r="D2818" s="1" t="str">
        <f t="shared" si="129"/>
        <v>Randers KommuneStoregade 11</v>
      </c>
      <c r="E2818" s="1" t="s">
        <v>8398</v>
      </c>
      <c r="F2818" s="1" t="s">
        <v>8399</v>
      </c>
      <c r="G2818" s="1">
        <v>1919</v>
      </c>
      <c r="H2818" s="1" t="s">
        <v>11</v>
      </c>
      <c r="I2818" s="6" cm="1">
        <f t="array" ref="I2818">GetLatitude(D2818)</f>
        <v>564579760</v>
      </c>
      <c r="J2818" s="1" cm="1">
        <f t="array" ref="J2818">GetLongitude(D2818)</f>
        <v>100382560</v>
      </c>
      <c r="K2818" s="1">
        <f t="shared" si="130"/>
        <v>56.457976000000002</v>
      </c>
      <c r="L2818" s="1">
        <f t="shared" si="131"/>
        <v>10.038256000000001</v>
      </c>
    </row>
    <row r="2819" spans="1:12" ht="16" x14ac:dyDescent="0.2">
      <c r="A2819" s="1">
        <v>2818</v>
      </c>
      <c r="B2819" s="1" t="s">
        <v>8319</v>
      </c>
      <c r="C2819" s="1" t="s">
        <v>8400</v>
      </c>
      <c r="D2819" s="1" t="str">
        <f t="shared" ref="D2819:D2882" si="132">B2819&amp;C2819</f>
        <v>Randers KommuneStoregade 13</v>
      </c>
      <c r="E2819" s="1" t="s">
        <v>8401</v>
      </c>
      <c r="F2819" s="1" t="s">
        <v>8402</v>
      </c>
      <c r="G2819" s="1">
        <v>1918</v>
      </c>
      <c r="H2819" s="1" t="s">
        <v>11</v>
      </c>
      <c r="I2819" s="6" cm="1">
        <f t="array" ref="I2819">GetLatitude(D2819)</f>
        <v>564605840</v>
      </c>
      <c r="J2819" s="1" cm="1">
        <f t="array" ref="J2819">GetLongitude(D2819)</f>
        <v>100365390</v>
      </c>
      <c r="K2819" s="1">
        <f t="shared" si="130"/>
        <v>56.460583999999997</v>
      </c>
      <c r="L2819" s="1">
        <f t="shared" si="131"/>
        <v>10.036538999999999</v>
      </c>
    </row>
    <row r="2820" spans="1:12" ht="16" x14ac:dyDescent="0.2">
      <c r="A2820" s="1">
        <v>2819</v>
      </c>
      <c r="B2820" s="1" t="s">
        <v>8319</v>
      </c>
      <c r="C2820" s="1" t="s">
        <v>8403</v>
      </c>
      <c r="D2820" s="1" t="str">
        <f t="shared" si="132"/>
        <v>Randers KommuneStore Kirkestræde 2</v>
      </c>
      <c r="E2820" s="1" t="s">
        <v>8404</v>
      </c>
      <c r="F2820" s="1" t="s">
        <v>8405</v>
      </c>
      <c r="G2820" s="1">
        <v>1918</v>
      </c>
      <c r="H2820" s="1" t="s">
        <v>11</v>
      </c>
      <c r="I2820" s="6" cm="1">
        <f t="array" ref="I2820">GetLatitude(D2820)</f>
        <v>564604021</v>
      </c>
      <c r="J2820" s="1" cm="1">
        <f t="array" ref="J2820">GetLongitude(D2820)</f>
        <v>100344740</v>
      </c>
      <c r="K2820" s="1">
        <f t="shared" ref="K2820:K2883" si="133">I2820/10000000</f>
        <v>56.460402100000003</v>
      </c>
      <c r="L2820" s="1">
        <f t="shared" ref="L2820:L2883" si="134">J2820/10000000</f>
        <v>10.034473999999999</v>
      </c>
    </row>
    <row r="2821" spans="1:12" ht="16" x14ac:dyDescent="0.2">
      <c r="A2821" s="1">
        <v>2820</v>
      </c>
      <c r="B2821" s="1" t="s">
        <v>8319</v>
      </c>
      <c r="C2821" s="1" t="s">
        <v>8406</v>
      </c>
      <c r="D2821" s="1" t="str">
        <f t="shared" si="132"/>
        <v>Randers KommuneStrømmen 32</v>
      </c>
      <c r="E2821" s="1" t="s">
        <v>8407</v>
      </c>
      <c r="F2821" s="1" t="s">
        <v>8408</v>
      </c>
      <c r="G2821" s="1">
        <v>2005</v>
      </c>
      <c r="H2821" s="1" t="s">
        <v>15</v>
      </c>
      <c r="I2821" s="6" cm="1">
        <f t="array" ref="I2821">GetLatitude(D2821)</f>
        <v>564520979</v>
      </c>
      <c r="J2821" s="1" cm="1">
        <f t="array" ref="J2821">GetLongitude(D2821)</f>
        <v>100457868</v>
      </c>
      <c r="K2821" s="1">
        <f t="shared" si="133"/>
        <v>56.452097899999998</v>
      </c>
      <c r="L2821" s="1">
        <f t="shared" si="134"/>
        <v>10.0457868</v>
      </c>
    </row>
    <row r="2822" spans="1:12" ht="16" x14ac:dyDescent="0.2">
      <c r="A2822" s="1">
        <v>2821</v>
      </c>
      <c r="B2822" s="1" t="s">
        <v>8319</v>
      </c>
      <c r="C2822" s="1" t="s">
        <v>8409</v>
      </c>
      <c r="D2822" s="1" t="str">
        <f t="shared" si="132"/>
        <v>Randers KommuneStøvringgårdvej 73 og 73 D</v>
      </c>
      <c r="E2822" s="1" t="s">
        <v>8410</v>
      </c>
      <c r="F2822" s="1" t="s">
        <v>8411</v>
      </c>
      <c r="G2822" s="1">
        <v>1918</v>
      </c>
      <c r="H2822" s="1" t="s">
        <v>11</v>
      </c>
      <c r="I2822" s="6" cm="1">
        <f t="array" ref="I2822">GetLatitude(D2822)</f>
        <v>565022885</v>
      </c>
      <c r="J2822" s="1" cm="1">
        <f t="array" ref="J2822">GetLongitude(D2822)</f>
        <v>102024736</v>
      </c>
      <c r="K2822" s="1">
        <f t="shared" si="133"/>
        <v>56.502288499999999</v>
      </c>
      <c r="L2822" s="1">
        <f t="shared" si="134"/>
        <v>10.202473599999999</v>
      </c>
    </row>
    <row r="2823" spans="1:12" ht="16" x14ac:dyDescent="0.2">
      <c r="A2823" s="1">
        <v>2822</v>
      </c>
      <c r="B2823" s="1" t="s">
        <v>8319</v>
      </c>
      <c r="C2823" s="1" t="s">
        <v>8412</v>
      </c>
      <c r="D2823" s="1" t="str">
        <f t="shared" si="132"/>
        <v>Randers KommuneThorsgade 24, 26, 34 og 36</v>
      </c>
      <c r="E2823" s="1" t="s">
        <v>8413</v>
      </c>
      <c r="F2823" s="1" t="s">
        <v>8414</v>
      </c>
      <c r="G2823" s="1">
        <v>1988</v>
      </c>
      <c r="H2823" s="1" t="s">
        <v>701</v>
      </c>
      <c r="I2823" s="6" cm="1">
        <f t="array" ref="I2823">GetLatitude(D2823)</f>
        <v>564636183</v>
      </c>
      <c r="J2823" s="1" cm="1">
        <f t="array" ref="J2823">GetLongitude(D2823)</f>
        <v>100397593</v>
      </c>
      <c r="K2823" s="1">
        <f t="shared" si="133"/>
        <v>56.4636183</v>
      </c>
      <c r="L2823" s="1">
        <f t="shared" si="134"/>
        <v>10.0397593</v>
      </c>
    </row>
    <row r="2824" spans="1:12" ht="16" x14ac:dyDescent="0.2">
      <c r="A2824" s="1">
        <v>2823</v>
      </c>
      <c r="B2824" s="1" t="s">
        <v>8319</v>
      </c>
      <c r="C2824" s="1" t="s">
        <v>8415</v>
      </c>
      <c r="D2824" s="1" t="str">
        <f t="shared" si="132"/>
        <v>Randers KommuneUdbyhøjvej 30-32</v>
      </c>
      <c r="E2824" s="1" t="s">
        <v>8416</v>
      </c>
      <c r="F2824" s="1" t="s">
        <v>8417</v>
      </c>
      <c r="G2824" s="1">
        <v>1918</v>
      </c>
      <c r="H2824" s="1" t="s">
        <v>242</v>
      </c>
      <c r="I2824" s="6" cm="1">
        <f t="array" ref="I2824">GetLatitude(D2824)</f>
        <v>564639376</v>
      </c>
      <c r="J2824" s="1" cm="1">
        <f t="array" ref="J2824">GetLongitude(D2824)</f>
        <v>100475695</v>
      </c>
      <c r="K2824" s="1">
        <f t="shared" si="133"/>
        <v>56.463937600000001</v>
      </c>
      <c r="L2824" s="1">
        <f t="shared" si="134"/>
        <v>10.0475695</v>
      </c>
    </row>
    <row r="2825" spans="1:12" ht="16" x14ac:dyDescent="0.2">
      <c r="A2825" s="1">
        <v>2824</v>
      </c>
      <c r="B2825" s="1" t="s">
        <v>8319</v>
      </c>
      <c r="C2825" s="1" t="s">
        <v>8418</v>
      </c>
      <c r="D2825" s="1" t="str">
        <f t="shared" si="132"/>
        <v>Randers KommuneUdbyhøjvej 496 A</v>
      </c>
      <c r="E2825" s="1" t="s">
        <v>8419</v>
      </c>
      <c r="F2825" s="1" t="s">
        <v>8420</v>
      </c>
      <c r="G2825" s="1">
        <v>1918</v>
      </c>
      <c r="H2825" s="1" t="s">
        <v>15</v>
      </c>
      <c r="I2825" s="6" cm="1">
        <f t="array" ref="I2825">GetLatitude(D2825)</f>
        <v>565559610</v>
      </c>
      <c r="J2825" s="1" cm="1">
        <f t="array" ref="J2825">GetLongitude(D2825)</f>
        <v>101777140</v>
      </c>
      <c r="K2825" s="1">
        <f t="shared" si="133"/>
        <v>56.555961000000003</v>
      </c>
      <c r="L2825" s="1">
        <f t="shared" si="134"/>
        <v>10.177714</v>
      </c>
    </row>
    <row r="2826" spans="1:12" ht="16" x14ac:dyDescent="0.2">
      <c r="A2826" s="1">
        <v>2825</v>
      </c>
      <c r="B2826" s="1" t="s">
        <v>8319</v>
      </c>
      <c r="C2826" s="1" t="s">
        <v>8421</v>
      </c>
      <c r="D2826" s="1" t="str">
        <f t="shared" si="132"/>
        <v>Randers KommuneVasevej 9</v>
      </c>
      <c r="E2826" s="1" t="s">
        <v>8422</v>
      </c>
      <c r="F2826" s="1" t="s">
        <v>8423</v>
      </c>
      <c r="G2826" s="1">
        <v>1918</v>
      </c>
      <c r="H2826" s="1" t="s">
        <v>15</v>
      </c>
      <c r="I2826" s="6" cm="1">
        <f t="array" ref="I2826">GetLatitude(D2826)</f>
        <v>564735570</v>
      </c>
      <c r="J2826" s="1" cm="1">
        <f t="array" ref="J2826">GetLongitude(D2826)</f>
        <v>98436810</v>
      </c>
      <c r="K2826" s="1">
        <f t="shared" si="133"/>
        <v>56.473557</v>
      </c>
      <c r="L2826" s="1">
        <f t="shared" si="134"/>
        <v>9.8436810000000001</v>
      </c>
    </row>
    <row r="2827" spans="1:12" ht="16" x14ac:dyDescent="0.2">
      <c r="A2827" s="1">
        <v>2826</v>
      </c>
      <c r="B2827" s="1" t="s">
        <v>8319</v>
      </c>
      <c r="C2827" s="1" t="s">
        <v>8424</v>
      </c>
      <c r="D2827" s="1" t="str">
        <f t="shared" si="132"/>
        <v>Randers KommuneVesterbro 40 og 44</v>
      </c>
      <c r="E2827" s="1" t="s">
        <v>7172</v>
      </c>
      <c r="F2827" s="1" t="s">
        <v>8425</v>
      </c>
      <c r="G2827" s="1">
        <v>1918</v>
      </c>
      <c r="H2827" s="1" t="s">
        <v>11</v>
      </c>
      <c r="I2827" s="6" cm="1">
        <f t="array" ref="I2827">GetLatitude(D2827)</f>
        <v>565541315</v>
      </c>
      <c r="J2827" s="1" cm="1">
        <f t="array" ref="J2827">GetLongitude(D2827)</f>
        <v>101213124</v>
      </c>
      <c r="K2827" s="1">
        <f t="shared" si="133"/>
        <v>56.554131499999997</v>
      </c>
      <c r="L2827" s="1">
        <f t="shared" si="134"/>
        <v>10.121312400000001</v>
      </c>
    </row>
    <row r="2828" spans="1:12" ht="16" x14ac:dyDescent="0.2">
      <c r="A2828" s="1">
        <v>2827</v>
      </c>
      <c r="B2828" s="1" t="s">
        <v>8319</v>
      </c>
      <c r="C2828" s="1" t="s">
        <v>8426</v>
      </c>
      <c r="D2828" s="1" t="str">
        <f t="shared" si="132"/>
        <v>Randers KommuneVestergade 35</v>
      </c>
      <c r="E2828" s="1" t="s">
        <v>8427</v>
      </c>
      <c r="F2828" s="1" t="s">
        <v>5608</v>
      </c>
      <c r="G2828" s="1">
        <v>1979</v>
      </c>
      <c r="H2828" s="1" t="s">
        <v>15</v>
      </c>
      <c r="I2828" s="6" cm="1">
        <f t="array" ref="I2828">GetLatitude(D2828)</f>
        <v>565457892</v>
      </c>
      <c r="J2828" s="1" cm="1">
        <f t="array" ref="J2828">GetLongitude(D2828)</f>
        <v>99231965</v>
      </c>
      <c r="K2828" s="1">
        <f t="shared" si="133"/>
        <v>56.545789200000002</v>
      </c>
      <c r="L2828" s="1">
        <f t="shared" si="134"/>
        <v>9.9231964999999995</v>
      </c>
    </row>
    <row r="2829" spans="1:12" ht="16" x14ac:dyDescent="0.2">
      <c r="A2829" s="1">
        <v>2828</v>
      </c>
      <c r="B2829" s="1" t="s">
        <v>8319</v>
      </c>
      <c r="C2829" s="1" t="s">
        <v>8428</v>
      </c>
      <c r="D2829" s="1" t="str">
        <f t="shared" si="132"/>
        <v>Randers Kommune Vestergrave 42</v>
      </c>
      <c r="E2829" s="1" t="s">
        <v>8429</v>
      </c>
      <c r="F2829" s="1" t="s">
        <v>2708</v>
      </c>
      <c r="G2829" s="1">
        <v>1919</v>
      </c>
      <c r="H2829" s="1" t="s">
        <v>15</v>
      </c>
      <c r="I2829" s="6" cm="1">
        <f t="array" ref="I2829">GetLatitude(D2829)</f>
        <v>564574816</v>
      </c>
      <c r="J2829" s="1" cm="1">
        <f t="array" ref="J2829">GetLongitude(D2829)</f>
        <v>100374961</v>
      </c>
      <c r="K2829" s="1">
        <f t="shared" si="133"/>
        <v>56.457481600000001</v>
      </c>
      <c r="L2829" s="1">
        <f t="shared" si="134"/>
        <v>10.0374961</v>
      </c>
    </row>
    <row r="2830" spans="1:12" ht="16" x14ac:dyDescent="0.2">
      <c r="A2830" s="1">
        <v>2829</v>
      </c>
      <c r="B2830" s="1" t="s">
        <v>8319</v>
      </c>
      <c r="C2830" s="1" t="s">
        <v>8430</v>
      </c>
      <c r="D2830" s="1" t="str">
        <f t="shared" si="132"/>
        <v>Randers Kommune Vestergrave 44</v>
      </c>
      <c r="E2830" s="1" t="s">
        <v>8431</v>
      </c>
      <c r="F2830" s="1" t="s">
        <v>2708</v>
      </c>
      <c r="G2830" s="1">
        <v>1919</v>
      </c>
      <c r="H2830" s="1" t="s">
        <v>15</v>
      </c>
      <c r="I2830" s="6" cm="1">
        <f t="array" ref="I2830">GetLatitude(D2830)</f>
        <v>564574037</v>
      </c>
      <c r="J2830" s="1" cm="1">
        <f t="array" ref="J2830">GetLongitude(D2830)</f>
        <v>100377737</v>
      </c>
      <c r="K2830" s="1">
        <f t="shared" si="133"/>
        <v>56.4574037</v>
      </c>
      <c r="L2830" s="1">
        <f t="shared" si="134"/>
        <v>10.037773700000001</v>
      </c>
    </row>
    <row r="2831" spans="1:12" ht="16" x14ac:dyDescent="0.2">
      <c r="A2831" s="1">
        <v>2830</v>
      </c>
      <c r="B2831" s="1" t="s">
        <v>8319</v>
      </c>
      <c r="C2831" s="1" t="s">
        <v>8432</v>
      </c>
      <c r="D2831" s="1" t="str">
        <f t="shared" si="132"/>
        <v>Randers Kommune Vestergrave 48</v>
      </c>
      <c r="E2831" s="1" t="s">
        <v>8433</v>
      </c>
      <c r="F2831" s="1" t="s">
        <v>8434</v>
      </c>
      <c r="G2831" s="1">
        <v>1919</v>
      </c>
      <c r="H2831" s="1" t="s">
        <v>11</v>
      </c>
      <c r="I2831" s="6" cm="1">
        <f t="array" ref="I2831">GetLatitude(D2831)</f>
        <v>564574921</v>
      </c>
      <c r="J2831" s="1" cm="1">
        <f t="array" ref="J2831">GetLongitude(D2831)</f>
        <v>100381801</v>
      </c>
      <c r="K2831" s="1">
        <f t="shared" si="133"/>
        <v>56.457492100000003</v>
      </c>
      <c r="L2831" s="1">
        <f t="shared" si="134"/>
        <v>10.0381801</v>
      </c>
    </row>
    <row r="2832" spans="1:12" ht="16" x14ac:dyDescent="0.2">
      <c r="A2832" s="1">
        <v>2831</v>
      </c>
      <c r="B2832" s="1" t="s">
        <v>8319</v>
      </c>
      <c r="C2832" s="1" t="s">
        <v>8435</v>
      </c>
      <c r="D2832" s="1" t="str">
        <f t="shared" si="132"/>
        <v>Randers KommuneVon Hattenstræde 7</v>
      </c>
      <c r="E2832" s="1" t="s">
        <v>8436</v>
      </c>
      <c r="F2832" s="1" t="s">
        <v>8437</v>
      </c>
      <c r="G2832" s="1">
        <v>1919</v>
      </c>
      <c r="H2832" s="1" t="s">
        <v>15</v>
      </c>
      <c r="I2832" s="6" cm="1">
        <f t="array" ref="I2832">GetLatitude(D2832)</f>
        <v>564606530</v>
      </c>
      <c r="J2832" s="1" cm="1">
        <f t="array" ref="J2832">GetLongitude(D2832)</f>
        <v>100329250</v>
      </c>
      <c r="K2832" s="1">
        <f t="shared" si="133"/>
        <v>56.460653000000001</v>
      </c>
      <c r="L2832" s="1">
        <f t="shared" si="134"/>
        <v>10.032925000000001</v>
      </c>
    </row>
    <row r="2833" spans="1:12" ht="16" x14ac:dyDescent="0.2">
      <c r="A2833" s="1">
        <v>2832</v>
      </c>
      <c r="B2833" s="1" t="s">
        <v>8319</v>
      </c>
      <c r="C2833" s="1" t="s">
        <v>8438</v>
      </c>
      <c r="D2833" s="1" t="str">
        <f t="shared" si="132"/>
        <v>Randers KommuneØstergade 19</v>
      </c>
      <c r="E2833" s="1" t="s">
        <v>8439</v>
      </c>
      <c r="F2833" s="1" t="s">
        <v>4996</v>
      </c>
      <c r="G2833" s="1">
        <v>1919</v>
      </c>
      <c r="H2833" s="1" t="s">
        <v>701</v>
      </c>
      <c r="I2833" s="6" cm="1">
        <f t="array" ref="I2833">GetLatitude(D2833)</f>
        <v>564605840</v>
      </c>
      <c r="J2833" s="1" cm="1">
        <f t="array" ref="J2833">GetLongitude(D2833)</f>
        <v>100365390</v>
      </c>
      <c r="K2833" s="1">
        <f t="shared" si="133"/>
        <v>56.460583999999997</v>
      </c>
      <c r="L2833" s="1">
        <f t="shared" si="134"/>
        <v>10.036538999999999</v>
      </c>
    </row>
    <row r="2834" spans="1:12" ht="16" x14ac:dyDescent="0.2">
      <c r="A2834" s="1">
        <v>2833</v>
      </c>
      <c r="B2834" s="1" t="s">
        <v>8319</v>
      </c>
      <c r="C2834" s="1" t="s">
        <v>8440</v>
      </c>
      <c r="D2834" s="1" t="str">
        <f t="shared" si="132"/>
        <v>Randers KommuneÅbrovej 3</v>
      </c>
      <c r="E2834" s="1" t="s">
        <v>8441</v>
      </c>
      <c r="F2834" s="1" t="s">
        <v>8442</v>
      </c>
      <c r="G2834" s="1">
        <v>1970</v>
      </c>
      <c r="H2834" s="1" t="s">
        <v>11</v>
      </c>
      <c r="I2834" s="6" cm="1">
        <f t="array" ref="I2834">GetLatitude(D2834)</f>
        <v>563943270</v>
      </c>
      <c r="J2834" s="1" cm="1">
        <f t="array" ref="J2834">GetLongitude(D2834)</f>
        <v>98879520</v>
      </c>
      <c r="K2834" s="1">
        <f t="shared" si="133"/>
        <v>56.394326999999997</v>
      </c>
      <c r="L2834" s="1">
        <f t="shared" si="134"/>
        <v>9.8879520000000003</v>
      </c>
    </row>
    <row r="2835" spans="1:12" ht="16" x14ac:dyDescent="0.2">
      <c r="A2835" s="1">
        <v>2834</v>
      </c>
      <c r="B2835" s="1" t="s">
        <v>8443</v>
      </c>
      <c r="C2835" s="1" t="s">
        <v>8444</v>
      </c>
      <c r="D2835" s="1" t="str">
        <f t="shared" si="132"/>
        <v>Rebild KommuneBuderupholmvej 44</v>
      </c>
      <c r="E2835" s="1" t="s">
        <v>8445</v>
      </c>
      <c r="F2835" s="1" t="s">
        <v>8446</v>
      </c>
      <c r="G2835" s="1">
        <v>1918</v>
      </c>
      <c r="H2835" s="1" t="s">
        <v>11</v>
      </c>
      <c r="I2835" s="6" cm="1">
        <f t="array" ref="I2835">GetLatitude(D2835)</f>
        <v>568588303</v>
      </c>
      <c r="J2835" s="1" cm="1">
        <f t="array" ref="J2835">GetLongitude(D2835)</f>
        <v>98561881</v>
      </c>
      <c r="K2835" s="1">
        <f t="shared" si="133"/>
        <v>56.858830300000001</v>
      </c>
      <c r="L2835" s="1">
        <f t="shared" si="134"/>
        <v>9.8561881000000007</v>
      </c>
    </row>
    <row r="2836" spans="1:12" ht="16" x14ac:dyDescent="0.2">
      <c r="A2836" s="1">
        <v>2835</v>
      </c>
      <c r="B2836" s="1" t="s">
        <v>8443</v>
      </c>
      <c r="C2836" s="1" t="s">
        <v>8447</v>
      </c>
      <c r="D2836" s="1" t="str">
        <f t="shared" si="132"/>
        <v>Rebild KommuneHjortholmvej 41</v>
      </c>
      <c r="E2836" s="1" t="s">
        <v>8448</v>
      </c>
      <c r="F2836" s="1" t="s">
        <v>8449</v>
      </c>
      <c r="G2836" s="1">
        <v>1990</v>
      </c>
      <c r="H2836" s="1" t="s">
        <v>11</v>
      </c>
      <c r="I2836" s="6" cm="1">
        <f t="array" ref="I2836">GetLatitude(D2836)</f>
        <v>568521670</v>
      </c>
      <c r="J2836" s="1" cm="1">
        <f t="array" ref="J2836">GetLongitude(D2836)</f>
        <v>97356214</v>
      </c>
      <c r="K2836" s="1">
        <f t="shared" si="133"/>
        <v>56.852167000000001</v>
      </c>
      <c r="L2836" s="1">
        <f t="shared" si="134"/>
        <v>9.7356213999999994</v>
      </c>
    </row>
    <row r="2837" spans="1:12" ht="16" x14ac:dyDescent="0.2">
      <c r="A2837" s="1">
        <v>2836</v>
      </c>
      <c r="B2837" s="1" t="s">
        <v>8443</v>
      </c>
      <c r="C2837" s="1" t="s">
        <v>8450</v>
      </c>
      <c r="D2837" s="1" t="str">
        <f t="shared" si="132"/>
        <v>Rebild KommuneRandrupvej 9</v>
      </c>
      <c r="E2837" s="1" t="s">
        <v>8451</v>
      </c>
      <c r="F2837" s="1" t="s">
        <v>8452</v>
      </c>
      <c r="G2837" s="1">
        <v>1918</v>
      </c>
      <c r="H2837" s="1" t="s">
        <v>11</v>
      </c>
      <c r="I2837" s="6" cm="1">
        <f t="array" ref="I2837">GetLatitude(D2837)</f>
        <v>568680069</v>
      </c>
      <c r="J2837" s="1" cm="1">
        <f t="array" ref="J2837">GetLongitude(D2837)</f>
        <v>101116322</v>
      </c>
      <c r="K2837" s="1">
        <f t="shared" si="133"/>
        <v>56.868006899999997</v>
      </c>
      <c r="L2837" s="1">
        <f t="shared" si="134"/>
        <v>10.111632200000001</v>
      </c>
    </row>
    <row r="2838" spans="1:12" ht="16" x14ac:dyDescent="0.2">
      <c r="A2838" s="1">
        <v>2837</v>
      </c>
      <c r="B2838" s="1" t="s">
        <v>8443</v>
      </c>
      <c r="C2838" s="1" t="s">
        <v>8453</v>
      </c>
      <c r="D2838" s="1" t="str">
        <f t="shared" si="132"/>
        <v>Rebild KommuneRoldvej 142-144</v>
      </c>
      <c r="E2838" s="1" t="s">
        <v>8454</v>
      </c>
      <c r="F2838" s="1" t="s">
        <v>8455</v>
      </c>
      <c r="G2838" s="1">
        <v>1918</v>
      </c>
      <c r="H2838" s="1" t="s">
        <v>11</v>
      </c>
      <c r="I2838" s="6" cm="1">
        <f t="array" ref="I2838">GetLatitude(D2838)</f>
        <v>567825475</v>
      </c>
      <c r="J2838" s="1" cm="1">
        <f t="array" ref="J2838">GetLongitude(D2838)</f>
        <v>97232567</v>
      </c>
      <c r="K2838" s="1">
        <f t="shared" si="133"/>
        <v>56.7825475</v>
      </c>
      <c r="L2838" s="1">
        <f t="shared" si="134"/>
        <v>9.7232567000000003</v>
      </c>
    </row>
    <row r="2839" spans="1:12" ht="16" x14ac:dyDescent="0.2">
      <c r="A2839" s="1">
        <v>2838</v>
      </c>
      <c r="B2839" s="1" t="s">
        <v>8443</v>
      </c>
      <c r="C2839" s="1" t="s">
        <v>8456</v>
      </c>
      <c r="D2839" s="1" t="str">
        <f t="shared" si="132"/>
        <v>Rebild KommuneRøde Møllevej 22</v>
      </c>
      <c r="E2839" s="1" t="s">
        <v>8457</v>
      </c>
      <c r="F2839" s="1" t="s">
        <v>8458</v>
      </c>
      <c r="G2839" s="1">
        <v>2014</v>
      </c>
      <c r="H2839" s="1" t="s">
        <v>15</v>
      </c>
      <c r="I2839" s="6" cm="1">
        <f t="array" ref="I2839">GetLatitude(D2839)</f>
        <v>568243636</v>
      </c>
      <c r="J2839" s="1" cm="1">
        <f t="array" ref="J2839">GetLongitude(D2839)</f>
        <v>98024856</v>
      </c>
      <c r="K2839" s="1">
        <f t="shared" si="133"/>
        <v>56.824363599999998</v>
      </c>
      <c r="L2839" s="1">
        <f t="shared" si="134"/>
        <v>9.8024856000000007</v>
      </c>
    </row>
    <row r="2840" spans="1:12" ht="16" x14ac:dyDescent="0.2">
      <c r="A2840" s="1">
        <v>2839</v>
      </c>
      <c r="B2840" s="1" t="s">
        <v>8443</v>
      </c>
      <c r="C2840" s="1" t="s">
        <v>8459</v>
      </c>
      <c r="D2840" s="1" t="str">
        <f t="shared" si="132"/>
        <v>Rebild KommuneSankt Jørgensvej 1</v>
      </c>
      <c r="E2840" s="1" t="s">
        <v>8460</v>
      </c>
      <c r="F2840" s="1" t="s">
        <v>8461</v>
      </c>
      <c r="G2840" s="1">
        <v>1988</v>
      </c>
      <c r="H2840" s="1" t="s">
        <v>15</v>
      </c>
      <c r="I2840" s="6" cm="1">
        <f t="array" ref="I2840">GetLatitude(D2840)</f>
        <v>568936065</v>
      </c>
      <c r="J2840" s="1" cm="1">
        <f t="array" ref="J2840">GetLongitude(D2840)</f>
        <v>99552961</v>
      </c>
      <c r="K2840" s="1">
        <f t="shared" si="133"/>
        <v>56.893606499999997</v>
      </c>
      <c r="L2840" s="1">
        <f t="shared" si="134"/>
        <v>9.9552961</v>
      </c>
    </row>
    <row r="2841" spans="1:12" ht="16" x14ac:dyDescent="0.2">
      <c r="A2841" s="1">
        <v>2840</v>
      </c>
      <c r="B2841" s="1" t="s">
        <v>8443</v>
      </c>
      <c r="C2841" s="1" t="s">
        <v>8462</v>
      </c>
      <c r="D2841" s="1" t="str">
        <f t="shared" si="132"/>
        <v>Rebild KommuneSvanfolkvej 1</v>
      </c>
      <c r="E2841" s="1" t="s">
        <v>8463</v>
      </c>
      <c r="F2841" s="1" t="s">
        <v>8464</v>
      </c>
      <c r="G2841" s="1">
        <v>1939</v>
      </c>
      <c r="H2841" s="1" t="s">
        <v>15</v>
      </c>
      <c r="I2841" s="6" cm="1">
        <f t="array" ref="I2841">GetLatitude(D2841)</f>
        <v>568391822</v>
      </c>
      <c r="J2841" s="1" cm="1">
        <f t="array" ref="J2841">GetLongitude(D2841)</f>
        <v>100908596</v>
      </c>
      <c r="K2841" s="1">
        <f t="shared" si="133"/>
        <v>56.839182200000003</v>
      </c>
      <c r="L2841" s="1">
        <f t="shared" si="134"/>
        <v>10.0908596</v>
      </c>
    </row>
    <row r="2842" spans="1:12" ht="16" x14ac:dyDescent="0.2">
      <c r="A2842" s="1">
        <v>2841</v>
      </c>
      <c r="B2842" s="1" t="s">
        <v>8443</v>
      </c>
      <c r="C2842" s="1" t="s">
        <v>8465</v>
      </c>
      <c r="D2842" s="1" t="str">
        <f t="shared" si="132"/>
        <v>Rebild KommuneSverriggårdsvej 3</v>
      </c>
      <c r="E2842" s="1" t="s">
        <v>8466</v>
      </c>
      <c r="F2842" s="1" t="s">
        <v>8467</v>
      </c>
      <c r="G2842" s="1">
        <v>1992</v>
      </c>
      <c r="H2842" s="1" t="s">
        <v>15</v>
      </c>
      <c r="I2842" s="6" cm="1">
        <f t="array" ref="I2842">GetLatitude(D2842)</f>
        <v>568357004</v>
      </c>
      <c r="J2842" s="1" cm="1">
        <f t="array" ref="J2842">GetLongitude(D2842)</f>
        <v>98874665</v>
      </c>
      <c r="K2842" s="1">
        <f t="shared" si="133"/>
        <v>56.8357004</v>
      </c>
      <c r="L2842" s="1">
        <f t="shared" si="134"/>
        <v>9.8874665000000004</v>
      </c>
    </row>
    <row r="2843" spans="1:12" ht="16" x14ac:dyDescent="0.2">
      <c r="A2843" s="1">
        <v>2842</v>
      </c>
      <c r="B2843" s="1" t="s">
        <v>8443</v>
      </c>
      <c r="C2843" s="1" t="s">
        <v>8468</v>
      </c>
      <c r="D2843" s="1" t="str">
        <f t="shared" si="132"/>
        <v>Rebild KommuneÅlborgvej 63</v>
      </c>
      <c r="E2843" s="1" t="s">
        <v>8469</v>
      </c>
      <c r="F2843" s="1" t="s">
        <v>8470</v>
      </c>
      <c r="G2843" s="1">
        <v>1918</v>
      </c>
      <c r="H2843" s="1" t="s">
        <v>15</v>
      </c>
      <c r="I2843" s="6" cm="1">
        <f t="array" ref="I2843">GetLatitude(D2843)</f>
        <v>568915617</v>
      </c>
      <c r="J2843" s="1" cm="1">
        <f t="array" ref="J2843">GetLongitude(D2843)</f>
        <v>98267342</v>
      </c>
      <c r="K2843" s="1">
        <f t="shared" si="133"/>
        <v>56.891561699999997</v>
      </c>
      <c r="L2843" s="1">
        <f t="shared" si="134"/>
        <v>9.8267342000000006</v>
      </c>
    </row>
    <row r="2844" spans="1:12" ht="16" x14ac:dyDescent="0.2">
      <c r="A2844" s="1">
        <v>2843</v>
      </c>
      <c r="B2844" s="1" t="s">
        <v>8471</v>
      </c>
      <c r="C2844" s="1" t="s">
        <v>8472</v>
      </c>
      <c r="D2844" s="1" t="str">
        <f t="shared" si="132"/>
        <v>Ringkøbing-Skjern KommuneBrejninggårdsvej 12</v>
      </c>
      <c r="E2844" s="1" t="s">
        <v>8473</v>
      </c>
      <c r="F2844" s="1" t="s">
        <v>8474</v>
      </c>
      <c r="G2844" s="1">
        <v>1918</v>
      </c>
      <c r="H2844" s="1" t="s">
        <v>11</v>
      </c>
      <c r="I2844" s="6" cm="1">
        <f t="array" ref="I2844">GetLatitude(D2844)</f>
        <v>561154327</v>
      </c>
      <c r="J2844" s="1" cm="1">
        <f t="array" ref="J2844">GetLongitude(D2844)</f>
        <v>85130819</v>
      </c>
      <c r="K2844" s="1">
        <f t="shared" si="133"/>
        <v>56.115432699999999</v>
      </c>
      <c r="L2844" s="1">
        <f t="shared" si="134"/>
        <v>8.5130818999999995</v>
      </c>
    </row>
    <row r="2845" spans="1:12" ht="16" x14ac:dyDescent="0.2">
      <c r="A2845" s="1">
        <v>2844</v>
      </c>
      <c r="B2845" s="1" t="s">
        <v>8471</v>
      </c>
      <c r="C2845" s="1" t="s">
        <v>8475</v>
      </c>
      <c r="D2845" s="1" t="str">
        <f t="shared" si="132"/>
        <v>Ringkøbing-Skjern KommuneBundsbækvej 27</v>
      </c>
      <c r="E2845" s="1" t="s">
        <v>8476</v>
      </c>
      <c r="F2845" s="1" t="s">
        <v>8477</v>
      </c>
      <c r="G2845" s="1">
        <v>1977</v>
      </c>
      <c r="H2845" s="1" t="s">
        <v>1319</v>
      </c>
      <c r="I2845" s="6" cm="1">
        <f t="array" ref="I2845">GetLatitude(D2845)</f>
        <v>560446887</v>
      </c>
      <c r="J2845" s="1" cm="1">
        <f t="array" ref="J2845">GetLongitude(D2845)</f>
        <v>85058900</v>
      </c>
      <c r="K2845" s="1">
        <f t="shared" si="133"/>
        <v>56.044688700000002</v>
      </c>
      <c r="L2845" s="1">
        <f t="shared" si="134"/>
        <v>8.5058900000000008</v>
      </c>
    </row>
    <row r="2846" spans="1:12" ht="16" x14ac:dyDescent="0.2">
      <c r="A2846" s="1">
        <v>2845</v>
      </c>
      <c r="B2846" s="1" t="s">
        <v>8471</v>
      </c>
      <c r="C2846" s="1" t="s">
        <v>8478</v>
      </c>
      <c r="D2846" s="1" t="str">
        <f t="shared" si="132"/>
        <v>Ringkøbing-Skjern KommuneGalgebjergvej 20, Hemmet</v>
      </c>
      <c r="E2846" s="1" t="s">
        <v>8479</v>
      </c>
      <c r="F2846" s="1" t="s">
        <v>8480</v>
      </c>
      <c r="G2846" s="1">
        <v>1995</v>
      </c>
      <c r="H2846" s="1" t="s">
        <v>11</v>
      </c>
      <c r="I2846" s="6" cm="1">
        <f t="array" ref="I2846">GetLatitude(D2846)</f>
        <v>558500190</v>
      </c>
      <c r="J2846" s="1" cm="1">
        <f t="array" ref="J2846">GetLongitude(D2846)</f>
        <v>83727630</v>
      </c>
      <c r="K2846" s="1">
        <f t="shared" si="133"/>
        <v>55.850019000000003</v>
      </c>
      <c r="L2846" s="1">
        <f t="shared" si="134"/>
        <v>8.3727630000000008</v>
      </c>
    </row>
    <row r="2847" spans="1:12" ht="16" x14ac:dyDescent="0.2">
      <c r="A2847" s="1">
        <v>2846</v>
      </c>
      <c r="B2847" s="1" t="s">
        <v>8471</v>
      </c>
      <c r="C2847" s="1" t="s">
        <v>8481</v>
      </c>
      <c r="D2847" s="1" t="str">
        <f t="shared" si="132"/>
        <v>Ringkøbing-Skjern KommuneHavnepladsen 2</v>
      </c>
      <c r="E2847" s="1" t="s">
        <v>8482</v>
      </c>
      <c r="F2847" s="1" t="s">
        <v>8483</v>
      </c>
      <c r="G2847" s="1">
        <v>2003</v>
      </c>
      <c r="H2847" s="1" t="s">
        <v>15</v>
      </c>
      <c r="I2847" s="6" cm="1">
        <f t="array" ref="I2847">GetLatitude(D2847)</f>
        <v>560446887</v>
      </c>
      <c r="J2847" s="1" cm="1">
        <f t="array" ref="J2847">GetLongitude(D2847)</f>
        <v>85058900</v>
      </c>
      <c r="K2847" s="1">
        <f t="shared" si="133"/>
        <v>56.044688700000002</v>
      </c>
      <c r="L2847" s="1">
        <f t="shared" si="134"/>
        <v>8.5058900000000008</v>
      </c>
    </row>
    <row r="2848" spans="1:12" ht="16" x14ac:dyDescent="0.2">
      <c r="A2848" s="1">
        <v>2847</v>
      </c>
      <c r="B2848" s="1" t="s">
        <v>8471</v>
      </c>
      <c r="C2848" s="1" t="s">
        <v>8484</v>
      </c>
      <c r="D2848" s="1" t="str">
        <f t="shared" si="132"/>
        <v>Ringkøbing-Skjern KommuneHolmsland Klitvej 117</v>
      </c>
      <c r="E2848" s="1" t="s">
        <v>8485</v>
      </c>
      <c r="F2848" s="1" t="s">
        <v>8486</v>
      </c>
      <c r="G2848" s="1">
        <v>2003</v>
      </c>
      <c r="H2848" s="1" t="s">
        <v>15</v>
      </c>
      <c r="I2848" s="6" cm="1">
        <f t="array" ref="I2848">GetLatitude(D2848)</f>
        <v>560485114</v>
      </c>
      <c r="J2848" s="1" cm="1">
        <f t="array" ref="J2848">GetLongitude(D2848)</f>
        <v>81189184</v>
      </c>
      <c r="K2848" s="1">
        <f t="shared" si="133"/>
        <v>56.048511400000002</v>
      </c>
      <c r="L2848" s="1">
        <f t="shared" si="134"/>
        <v>8.1189184000000001</v>
      </c>
    </row>
    <row r="2849" spans="1:12" ht="16" x14ac:dyDescent="0.2">
      <c r="A2849" s="1">
        <v>2848</v>
      </c>
      <c r="B2849" s="1" t="s">
        <v>8471</v>
      </c>
      <c r="C2849" s="1" t="s">
        <v>8487</v>
      </c>
      <c r="D2849" s="1" t="str">
        <f t="shared" si="132"/>
        <v>Ringkøbing-Skjern KommuneHolmsland Klitvej 203</v>
      </c>
      <c r="E2849" s="1" t="s">
        <v>8488</v>
      </c>
      <c r="F2849" s="1" t="s">
        <v>8489</v>
      </c>
      <c r="G2849" s="1">
        <v>1998</v>
      </c>
      <c r="H2849" s="1" t="s">
        <v>11</v>
      </c>
      <c r="I2849" s="6" cm="1">
        <f t="array" ref="I2849">GetLatitude(D2849)</f>
        <v>560741924</v>
      </c>
      <c r="J2849" s="1" cm="1">
        <f t="array" ref="J2849">GetLongitude(D2849)</f>
        <v>81195448</v>
      </c>
      <c r="K2849" s="1">
        <f t="shared" si="133"/>
        <v>56.074192400000001</v>
      </c>
      <c r="L2849" s="1">
        <f t="shared" si="134"/>
        <v>8.1195447999999999</v>
      </c>
    </row>
    <row r="2850" spans="1:12" ht="16" x14ac:dyDescent="0.2">
      <c r="A2850" s="1">
        <v>2849</v>
      </c>
      <c r="B2850" s="1" t="s">
        <v>8471</v>
      </c>
      <c r="C2850" s="1" t="s">
        <v>8490</v>
      </c>
      <c r="D2850" s="1" t="str">
        <f t="shared" si="132"/>
        <v>Ringkøbing-Skjern KommuneHolmsland Klitvej 91</v>
      </c>
      <c r="E2850" s="1" t="s">
        <v>8491</v>
      </c>
      <c r="F2850" s="1" t="s">
        <v>8492</v>
      </c>
      <c r="G2850" s="1">
        <v>1971</v>
      </c>
      <c r="H2850" s="1" t="s">
        <v>11</v>
      </c>
      <c r="I2850" s="6" cm="1">
        <f t="array" ref="I2850">GetLatitude(D2850)</f>
        <v>560481286</v>
      </c>
      <c r="J2850" s="1" cm="1">
        <f t="array" ref="J2850">GetLongitude(D2850)</f>
        <v>81187385</v>
      </c>
      <c r="K2850" s="1">
        <f t="shared" si="133"/>
        <v>56.048128599999998</v>
      </c>
      <c r="L2850" s="1">
        <f t="shared" si="134"/>
        <v>8.1187384999999992</v>
      </c>
    </row>
    <row r="2851" spans="1:12" ht="16" x14ac:dyDescent="0.2">
      <c r="A2851" s="1">
        <v>2850</v>
      </c>
      <c r="B2851" s="1" t="s">
        <v>8471</v>
      </c>
      <c r="C2851" s="1" t="s">
        <v>8493</v>
      </c>
      <c r="D2851" s="1" t="str">
        <f t="shared" si="132"/>
        <v>Ringkøbing-Skjern KommuneHusby Klitvej</v>
      </c>
      <c r="E2851" s="1" t="s">
        <v>8494</v>
      </c>
      <c r="F2851" s="1" t="s">
        <v>8495</v>
      </c>
      <c r="G2851" s="1">
        <v>1997</v>
      </c>
      <c r="H2851" s="1" t="s">
        <v>15</v>
      </c>
      <c r="I2851" s="6" cm="1">
        <f t="array" ref="I2851">GetLatitude(D2851)</f>
        <v>562158355</v>
      </c>
      <c r="J2851" s="1" cm="1">
        <f t="array" ref="J2851">GetLongitude(D2851)</f>
        <v>81378566</v>
      </c>
      <c r="K2851" s="1">
        <f t="shared" si="133"/>
        <v>56.215835499999997</v>
      </c>
      <c r="L2851" s="1">
        <f t="shared" si="134"/>
        <v>8.1378565999999992</v>
      </c>
    </row>
    <row r="2852" spans="1:12" ht="16" x14ac:dyDescent="0.2">
      <c r="A2852" s="1">
        <v>2851</v>
      </c>
      <c r="B2852" s="1" t="s">
        <v>8471</v>
      </c>
      <c r="C2852" s="1" t="s">
        <v>8496</v>
      </c>
      <c r="D2852" s="1" t="str">
        <f t="shared" si="132"/>
        <v>Ringkøbing-Skjern KommuneHusby Klitvej 23</v>
      </c>
      <c r="E2852" s="1" t="s">
        <v>8497</v>
      </c>
      <c r="F2852" s="1" t="s">
        <v>8498</v>
      </c>
      <c r="G2852" s="1">
        <v>1971</v>
      </c>
      <c r="H2852" s="1" t="s">
        <v>15</v>
      </c>
      <c r="I2852" s="6" cm="1">
        <f t="array" ref="I2852">GetLatitude(D2852)</f>
        <v>562238298</v>
      </c>
      <c r="J2852" s="1" cm="1">
        <f t="array" ref="J2852">GetLongitude(D2852)</f>
        <v>81390744</v>
      </c>
      <c r="K2852" s="1">
        <f t="shared" si="133"/>
        <v>56.223829799999997</v>
      </c>
      <c r="L2852" s="1">
        <f t="shared" si="134"/>
        <v>8.1390744000000002</v>
      </c>
    </row>
    <row r="2853" spans="1:12" ht="16" x14ac:dyDescent="0.2">
      <c r="A2853" s="1">
        <v>2852</v>
      </c>
      <c r="B2853" s="1" t="s">
        <v>8471</v>
      </c>
      <c r="C2853" s="1" t="s">
        <v>8499</v>
      </c>
      <c r="D2853" s="1" t="str">
        <f t="shared" si="132"/>
        <v>Ringkøbing-Skjern KommuneHusby Klitvej 33</v>
      </c>
      <c r="E2853" s="1" t="s">
        <v>8500</v>
      </c>
      <c r="F2853" s="1" t="s">
        <v>8501</v>
      </c>
      <c r="G2853" s="1">
        <v>2000</v>
      </c>
      <c r="H2853" s="1" t="s">
        <v>11</v>
      </c>
      <c r="I2853" s="6" cm="1">
        <f t="array" ref="I2853">GetLatitude(D2853)</f>
        <v>562393589</v>
      </c>
      <c r="J2853" s="1" cm="1">
        <f t="array" ref="J2853">GetLongitude(D2853)</f>
        <v>81378004</v>
      </c>
      <c r="K2853" s="1">
        <f t="shared" si="133"/>
        <v>56.239358899999999</v>
      </c>
      <c r="L2853" s="1">
        <f t="shared" si="134"/>
        <v>8.1378003999999997</v>
      </c>
    </row>
    <row r="2854" spans="1:12" ht="16" x14ac:dyDescent="0.2">
      <c r="A2854" s="1">
        <v>2853</v>
      </c>
      <c r="B2854" s="1" t="s">
        <v>8471</v>
      </c>
      <c r="C2854" s="1" t="s">
        <v>8502</v>
      </c>
      <c r="D2854" s="1" t="str">
        <f t="shared" si="132"/>
        <v>Ringkøbing-Skjern KommuneHusby Klitvej 5</v>
      </c>
      <c r="E2854" s="1" t="s">
        <v>8503</v>
      </c>
      <c r="F2854" s="1" t="s">
        <v>8504</v>
      </c>
      <c r="G2854" s="1">
        <v>1995</v>
      </c>
      <c r="H2854" s="1" t="s">
        <v>701</v>
      </c>
      <c r="I2854" s="6" cm="1">
        <f t="array" ref="I2854">GetLatitude(D2854)</f>
        <v>561942931</v>
      </c>
      <c r="J2854" s="1" cm="1">
        <f t="array" ref="J2854">GetLongitude(D2854)</f>
        <v>81283524</v>
      </c>
      <c r="K2854" s="1">
        <f t="shared" si="133"/>
        <v>56.194293100000003</v>
      </c>
      <c r="L2854" s="1">
        <f t="shared" si="134"/>
        <v>8.1283524000000007</v>
      </c>
    </row>
    <row r="2855" spans="1:12" ht="16" x14ac:dyDescent="0.2">
      <c r="A2855" s="1">
        <v>2854</v>
      </c>
      <c r="B2855" s="1" t="s">
        <v>8471</v>
      </c>
      <c r="C2855" s="1" t="s">
        <v>8505</v>
      </c>
      <c r="D2855" s="1" t="str">
        <f t="shared" si="132"/>
        <v xml:space="preserve">Ringkøbing-Skjern KommuneNørredige 3 A </v>
      </c>
      <c r="E2855" s="1" t="s">
        <v>8506</v>
      </c>
      <c r="F2855" s="1" t="s">
        <v>8507</v>
      </c>
      <c r="G2855" s="1">
        <v>1993</v>
      </c>
      <c r="H2855" s="1" t="s">
        <v>15</v>
      </c>
      <c r="I2855" s="6" cm="1">
        <f t="array" ref="I2855">GetLatitude(D2855)</f>
        <v>560930232</v>
      </c>
      <c r="J2855" s="1" cm="1">
        <f t="array" ref="J2855">GetLongitude(D2855)</f>
        <v>82498379</v>
      </c>
      <c r="K2855" s="1">
        <f t="shared" si="133"/>
        <v>56.093023199999998</v>
      </c>
      <c r="L2855" s="1">
        <f t="shared" si="134"/>
        <v>8.2498378999999993</v>
      </c>
    </row>
    <row r="2856" spans="1:12" ht="16" x14ac:dyDescent="0.2">
      <c r="A2856" s="1">
        <v>2855</v>
      </c>
      <c r="B2856" s="1" t="s">
        <v>8471</v>
      </c>
      <c r="C2856" s="1" t="s">
        <v>8508</v>
      </c>
      <c r="D2856" s="1" t="str">
        <f t="shared" si="132"/>
        <v>Ringkøbing-Skjern KommuneNørredige 7</v>
      </c>
      <c r="E2856" s="1" t="s">
        <v>8509</v>
      </c>
      <c r="F2856" s="1" t="s">
        <v>8510</v>
      </c>
      <c r="G2856" s="1">
        <v>1993</v>
      </c>
      <c r="H2856" s="1" t="s">
        <v>15</v>
      </c>
      <c r="I2856" s="6" cm="1">
        <f t="array" ref="I2856">GetLatitude(D2856)</f>
        <v>560917677</v>
      </c>
      <c r="J2856" s="1" cm="1">
        <f t="array" ref="J2856">GetLongitude(D2856)</f>
        <v>82512169</v>
      </c>
      <c r="K2856" s="1">
        <f t="shared" si="133"/>
        <v>56.091767699999998</v>
      </c>
      <c r="L2856" s="1">
        <f t="shared" si="134"/>
        <v>8.2512168999999993</v>
      </c>
    </row>
    <row r="2857" spans="1:12" ht="16" x14ac:dyDescent="0.2">
      <c r="A2857" s="1">
        <v>2856</v>
      </c>
      <c r="B2857" s="1" t="s">
        <v>8471</v>
      </c>
      <c r="C2857" s="1" t="s">
        <v>8511</v>
      </c>
      <c r="D2857" s="1" t="str">
        <f t="shared" si="132"/>
        <v>Ringkøbing-Skjern KommuneSkjern Station</v>
      </c>
      <c r="E2857" s="1" t="s">
        <v>8512</v>
      </c>
      <c r="F2857" s="1" t="s">
        <v>8513</v>
      </c>
      <c r="G2857" s="1">
        <v>1981</v>
      </c>
      <c r="H2857" s="1" t="s">
        <v>15</v>
      </c>
      <c r="I2857" s="6" cm="1">
        <f t="array" ref="I2857">GetLatitude(D2857)</f>
        <v>560880540</v>
      </c>
      <c r="J2857" s="1" cm="1">
        <f t="array" ref="J2857">GetLongitude(D2857)</f>
        <v>82576330</v>
      </c>
      <c r="K2857" s="1">
        <f t="shared" si="133"/>
        <v>56.088054</v>
      </c>
      <c r="L2857" s="1">
        <f t="shared" si="134"/>
        <v>8.2576330000000002</v>
      </c>
    </row>
    <row r="2858" spans="1:12" ht="16" x14ac:dyDescent="0.2">
      <c r="A2858" s="1">
        <v>2857</v>
      </c>
      <c r="B2858" s="1" t="s">
        <v>8471</v>
      </c>
      <c r="C2858" s="1" t="s">
        <v>8514</v>
      </c>
      <c r="D2858" s="1" t="str">
        <f t="shared" si="132"/>
        <v>Ringkøbing-Skjern KommuneStauningvej 56</v>
      </c>
      <c r="E2858" s="1" t="s">
        <v>8515</v>
      </c>
      <c r="F2858" s="1" t="s">
        <v>8516</v>
      </c>
      <c r="G2858" s="1">
        <v>1918</v>
      </c>
      <c r="H2858" s="1" t="s">
        <v>15</v>
      </c>
      <c r="I2858" s="6" cm="1">
        <f t="array" ref="I2858">GetLatitude(D2858)</f>
        <v>559721197</v>
      </c>
      <c r="J2858" s="1" cm="1">
        <f t="array" ref="J2858">GetLongitude(D2858)</f>
        <v>83611907</v>
      </c>
      <c r="K2858" s="1">
        <f t="shared" si="133"/>
        <v>55.9721197</v>
      </c>
      <c r="L2858" s="1">
        <f t="shared" si="134"/>
        <v>8.3611906999999999</v>
      </c>
    </row>
    <row r="2859" spans="1:12" ht="16" x14ac:dyDescent="0.2">
      <c r="A2859" s="1">
        <v>2858</v>
      </c>
      <c r="B2859" s="1" t="s">
        <v>8471</v>
      </c>
      <c r="C2859" s="1" t="s">
        <v>8517</v>
      </c>
      <c r="D2859" s="1" t="str">
        <f t="shared" si="132"/>
        <v>Ringkøbing-Skjern KommuneSøndergade, Hvide Sande</v>
      </c>
      <c r="E2859" s="1" t="s">
        <v>8518</v>
      </c>
      <c r="F2859" s="1" t="s">
        <v>8519</v>
      </c>
      <c r="G2859" s="1">
        <v>1997</v>
      </c>
      <c r="H2859" s="1" t="s">
        <v>15</v>
      </c>
      <c r="I2859" s="6" cm="1">
        <f t="array" ref="I2859">GetLatitude(D2859)</f>
        <v>559949240</v>
      </c>
      <c r="J2859" s="1" cm="1">
        <f t="array" ref="J2859">GetLongitude(D2859)</f>
        <v>81292470</v>
      </c>
      <c r="K2859" s="1">
        <f t="shared" si="133"/>
        <v>55.994923999999997</v>
      </c>
      <c r="L2859" s="1">
        <f t="shared" si="134"/>
        <v>8.1292469999999994</v>
      </c>
    </row>
    <row r="2860" spans="1:12" ht="16" x14ac:dyDescent="0.2">
      <c r="A2860" s="1">
        <v>2859</v>
      </c>
      <c r="B2860" s="1" t="s">
        <v>8471</v>
      </c>
      <c r="C2860" s="1" t="s">
        <v>8520</v>
      </c>
      <c r="D2860" s="1" t="str">
        <f t="shared" si="132"/>
        <v>Ringkøbing-Skjern Kommune Sønder Klitvej 142</v>
      </c>
      <c r="E2860" s="1" t="s">
        <v>8521</v>
      </c>
      <c r="F2860" s="1" t="s">
        <v>8522</v>
      </c>
      <c r="G2860" s="1">
        <v>1998</v>
      </c>
      <c r="H2860" s="1" t="s">
        <v>15</v>
      </c>
      <c r="I2860" s="6" cm="1">
        <f t="array" ref="I2860">GetLatitude(D2860)</f>
        <v>559182393</v>
      </c>
      <c r="J2860" s="1" cm="1">
        <f t="array" ref="J2860">GetLongitude(D2860)</f>
        <v>81612796</v>
      </c>
      <c r="K2860" s="1">
        <f t="shared" si="133"/>
        <v>55.918239300000003</v>
      </c>
      <c r="L2860" s="1">
        <f t="shared" si="134"/>
        <v>8.1612796000000003</v>
      </c>
    </row>
    <row r="2861" spans="1:12" ht="16" x14ac:dyDescent="0.2">
      <c r="A2861" s="1">
        <v>2860</v>
      </c>
      <c r="B2861" s="1" t="s">
        <v>8471</v>
      </c>
      <c r="C2861" s="1" t="s">
        <v>8523</v>
      </c>
      <c r="D2861" s="1" t="str">
        <f t="shared" si="132"/>
        <v>Ringkøbing-Skjern KommuneSønder Klitvej 250 A</v>
      </c>
      <c r="E2861" s="1" t="s">
        <v>8524</v>
      </c>
      <c r="F2861" s="1" t="s">
        <v>8525</v>
      </c>
      <c r="G2861" s="1">
        <v>1988</v>
      </c>
      <c r="H2861" s="1" t="s">
        <v>15</v>
      </c>
      <c r="I2861" s="6" cm="1">
        <f t="array" ref="I2861">GetLatitude(D2861)</f>
        <v>558736963</v>
      </c>
      <c r="J2861" s="1" cm="1">
        <f t="array" ref="J2861">GetLongitude(D2861)</f>
        <v>81752628</v>
      </c>
      <c r="K2861" s="1">
        <f t="shared" si="133"/>
        <v>55.873696299999999</v>
      </c>
      <c r="L2861" s="1">
        <f t="shared" si="134"/>
        <v>8.1752628000000005</v>
      </c>
    </row>
    <row r="2862" spans="1:12" ht="16" x14ac:dyDescent="0.2">
      <c r="A2862" s="1">
        <v>2861</v>
      </c>
      <c r="B2862" s="1" t="s">
        <v>8471</v>
      </c>
      <c r="C2862" s="1" t="s">
        <v>8526</v>
      </c>
      <c r="D2862" s="1" t="str">
        <f t="shared" si="132"/>
        <v>Ringkøbing-Skjern KommuneSønder Klitvej 282</v>
      </c>
      <c r="E2862" s="1" t="s">
        <v>8527</v>
      </c>
      <c r="F2862" s="1" t="s">
        <v>8528</v>
      </c>
      <c r="G2862" s="1">
        <v>1995</v>
      </c>
      <c r="H2862" s="1" t="s">
        <v>11</v>
      </c>
      <c r="I2862" s="6" cm="1">
        <f t="array" ref="I2862">GetLatitude(D2862)</f>
        <v>558597382</v>
      </c>
      <c r="J2862" s="1" cm="1">
        <f t="array" ref="J2862">GetLongitude(D2862)</f>
        <v>81780282</v>
      </c>
      <c r="K2862" s="1">
        <f t="shared" si="133"/>
        <v>55.859738200000002</v>
      </c>
      <c r="L2862" s="1">
        <f t="shared" si="134"/>
        <v>8.1780282</v>
      </c>
    </row>
    <row r="2863" spans="1:12" ht="16" x14ac:dyDescent="0.2">
      <c r="A2863" s="1">
        <v>2862</v>
      </c>
      <c r="B2863" s="1" t="s">
        <v>8471</v>
      </c>
      <c r="C2863" s="1" t="s">
        <v>8529</v>
      </c>
      <c r="D2863" s="1" t="str">
        <f t="shared" si="132"/>
        <v>Ringkøbing-Skjern KommuneSønder Klitvej 72</v>
      </c>
      <c r="E2863" s="1" t="s">
        <v>8530</v>
      </c>
      <c r="F2863" s="1" t="s">
        <v>8531</v>
      </c>
      <c r="G2863" s="1">
        <v>1995</v>
      </c>
      <c r="H2863" s="1" t="s">
        <v>15</v>
      </c>
      <c r="I2863" s="6" cm="1">
        <f t="array" ref="I2863">GetLatitude(D2863)</f>
        <v>559449271</v>
      </c>
      <c r="J2863" s="1" cm="1">
        <f t="array" ref="J2863">GetLongitude(D2863)</f>
        <v>81544274</v>
      </c>
      <c r="K2863" s="1">
        <f t="shared" si="133"/>
        <v>55.944927100000001</v>
      </c>
      <c r="L2863" s="1">
        <f t="shared" si="134"/>
        <v>8.1544273999999994</v>
      </c>
    </row>
    <row r="2864" spans="1:12" ht="16" x14ac:dyDescent="0.2">
      <c r="A2864" s="1">
        <v>2863</v>
      </c>
      <c r="B2864" s="1" t="s">
        <v>8471</v>
      </c>
      <c r="C2864" s="1" t="s">
        <v>8532</v>
      </c>
      <c r="D2864" s="1" t="str">
        <f t="shared" si="132"/>
        <v>Ringkøbing-Skjern KommuneSønder Klitvej 84</v>
      </c>
      <c r="E2864" s="1" t="s">
        <v>8533</v>
      </c>
      <c r="F2864" s="1" t="s">
        <v>8534</v>
      </c>
      <c r="G2864" s="1">
        <v>1988</v>
      </c>
      <c r="H2864" s="1" t="s">
        <v>15</v>
      </c>
      <c r="I2864" s="6" cm="1">
        <f t="array" ref="I2864">GetLatitude(D2864)</f>
        <v>559364922</v>
      </c>
      <c r="J2864" s="1" cm="1">
        <f t="array" ref="J2864">GetLongitude(D2864)</f>
        <v>81543087</v>
      </c>
      <c r="K2864" s="1">
        <f t="shared" si="133"/>
        <v>55.936492200000004</v>
      </c>
      <c r="L2864" s="1">
        <f t="shared" si="134"/>
        <v>8.1543086999999996</v>
      </c>
    </row>
    <row r="2865" spans="1:12" ht="16" x14ac:dyDescent="0.2">
      <c r="A2865" s="1">
        <v>2864</v>
      </c>
      <c r="B2865" s="1" t="s">
        <v>8471</v>
      </c>
      <c r="C2865" s="1" t="s">
        <v>8535</v>
      </c>
      <c r="D2865" s="1" t="str">
        <f t="shared" si="132"/>
        <v>Ringkøbing-Skjern KommuneSønder Klitvej 87</v>
      </c>
      <c r="E2865" s="1" t="s">
        <v>8536</v>
      </c>
      <c r="F2865" s="1" t="s">
        <v>8537</v>
      </c>
      <c r="G2865" s="1">
        <v>1974</v>
      </c>
      <c r="H2865" s="1" t="s">
        <v>11</v>
      </c>
      <c r="I2865" s="6" cm="1">
        <f t="array" ref="I2865">GetLatitude(D2865)</f>
        <v>559454331</v>
      </c>
      <c r="J2865" s="1" cm="1">
        <f t="array" ref="J2865">GetLongitude(D2865)</f>
        <v>81562054</v>
      </c>
      <c r="K2865" s="1">
        <f t="shared" si="133"/>
        <v>55.945433100000002</v>
      </c>
      <c r="L2865" s="1">
        <f t="shared" si="134"/>
        <v>8.1562053999999993</v>
      </c>
    </row>
    <row r="2866" spans="1:12" ht="16" x14ac:dyDescent="0.2">
      <c r="A2866" s="1">
        <v>2865</v>
      </c>
      <c r="B2866" s="1" t="s">
        <v>8471</v>
      </c>
      <c r="C2866" s="1" t="s">
        <v>8538</v>
      </c>
      <c r="D2866" s="1" t="str">
        <f t="shared" si="132"/>
        <v>Ringkøbing-Skjern KommuneTorvet 18</v>
      </c>
      <c r="E2866" s="1" t="s">
        <v>8539</v>
      </c>
      <c r="F2866" s="1" t="s">
        <v>8540</v>
      </c>
      <c r="G2866" s="1">
        <v>1919</v>
      </c>
      <c r="H2866" s="1" t="s">
        <v>1493</v>
      </c>
      <c r="I2866" s="6" cm="1">
        <f t="array" ref="I2866">GetLatitude(D2866)</f>
        <v>560446887</v>
      </c>
      <c r="J2866" s="1" cm="1">
        <f t="array" ref="J2866">GetLongitude(D2866)</f>
        <v>85058900</v>
      </c>
      <c r="K2866" s="1">
        <f t="shared" si="133"/>
        <v>56.044688700000002</v>
      </c>
      <c r="L2866" s="1">
        <f t="shared" si="134"/>
        <v>8.5058900000000008</v>
      </c>
    </row>
    <row r="2867" spans="1:12" ht="16" x14ac:dyDescent="0.2">
      <c r="A2867" s="1">
        <v>2866</v>
      </c>
      <c r="B2867" s="1" t="s">
        <v>8471</v>
      </c>
      <c r="C2867" s="1" t="s">
        <v>981</v>
      </c>
      <c r="D2867" s="1" t="str">
        <f t="shared" si="132"/>
        <v>Ringkøbing-Skjern KommuneTorvet 20</v>
      </c>
      <c r="E2867" s="1" t="s">
        <v>4032</v>
      </c>
      <c r="F2867" s="1" t="s">
        <v>8541</v>
      </c>
      <c r="G2867" s="1">
        <v>1919</v>
      </c>
      <c r="H2867" s="1" t="s">
        <v>1493</v>
      </c>
      <c r="I2867" s="6" cm="1">
        <f t="array" ref="I2867">GetLatitude(D2867)</f>
        <v>560446887</v>
      </c>
      <c r="J2867" s="1" cm="1">
        <f t="array" ref="J2867">GetLongitude(D2867)</f>
        <v>85058900</v>
      </c>
      <c r="K2867" s="1">
        <f t="shared" si="133"/>
        <v>56.044688700000002</v>
      </c>
      <c r="L2867" s="1">
        <f t="shared" si="134"/>
        <v>8.5058900000000008</v>
      </c>
    </row>
    <row r="2868" spans="1:12" ht="16" x14ac:dyDescent="0.2">
      <c r="A2868" s="1">
        <v>2867</v>
      </c>
      <c r="B2868" s="1" t="s">
        <v>8471</v>
      </c>
      <c r="C2868" s="1" t="s">
        <v>8542</v>
      </c>
      <c r="D2868" s="1" t="str">
        <f t="shared" si="132"/>
        <v>Ringkøbing-Skjern KommuneVedersø Klit</v>
      </c>
      <c r="E2868" s="1" t="s">
        <v>8543</v>
      </c>
      <c r="F2868" s="1" t="s">
        <v>8544</v>
      </c>
      <c r="G2868" s="1">
        <v>1997</v>
      </c>
      <c r="H2868" s="1" t="s">
        <v>15</v>
      </c>
      <c r="I2868" s="6" cm="1">
        <f t="array" ref="I2868">GetLatitude(D2868)</f>
        <v>560446887</v>
      </c>
      <c r="J2868" s="1" cm="1">
        <f t="array" ref="J2868">GetLongitude(D2868)</f>
        <v>85058900</v>
      </c>
      <c r="K2868" s="1">
        <f t="shared" si="133"/>
        <v>56.044688700000002</v>
      </c>
      <c r="L2868" s="1">
        <f t="shared" si="134"/>
        <v>8.5058900000000008</v>
      </c>
    </row>
    <row r="2869" spans="1:12" ht="16" x14ac:dyDescent="0.2">
      <c r="A2869" s="1">
        <v>2868</v>
      </c>
      <c r="B2869" s="1" t="s">
        <v>8471</v>
      </c>
      <c r="C2869" s="1" t="s">
        <v>8545</v>
      </c>
      <c r="D2869" s="1" t="str">
        <f t="shared" si="132"/>
        <v>Ringkøbing-Skjern KommuneVelling Kirkeby 1</v>
      </c>
      <c r="E2869" s="1" t="s">
        <v>8546</v>
      </c>
      <c r="F2869" s="1" t="s">
        <v>8547</v>
      </c>
      <c r="G2869" s="1">
        <v>1984</v>
      </c>
      <c r="H2869" s="1" t="s">
        <v>11</v>
      </c>
      <c r="I2869" s="6" cm="1">
        <f t="array" ref="I2869">GetLatitude(D2869)</f>
        <v>560579070</v>
      </c>
      <c r="J2869" s="1" cm="1">
        <f t="array" ref="J2869">GetLongitude(D2869)</f>
        <v>83136527</v>
      </c>
      <c r="K2869" s="1">
        <f t="shared" si="133"/>
        <v>56.057907</v>
      </c>
      <c r="L2869" s="1">
        <f t="shared" si="134"/>
        <v>8.3136527000000005</v>
      </c>
    </row>
    <row r="2870" spans="1:12" ht="16" x14ac:dyDescent="0.2">
      <c r="A2870" s="1">
        <v>2869</v>
      </c>
      <c r="B2870" s="1" t="s">
        <v>8471</v>
      </c>
      <c r="C2870" s="1" t="s">
        <v>8548</v>
      </c>
      <c r="D2870" s="1" t="str">
        <f t="shared" si="132"/>
        <v>Ringkøbing-Skjern KommuneVester Strandgade 33</v>
      </c>
      <c r="E2870" s="1" t="s">
        <v>8549</v>
      </c>
      <c r="F2870" s="1" t="s">
        <v>8550</v>
      </c>
      <c r="G2870" s="1">
        <v>1980</v>
      </c>
      <c r="H2870" s="1" t="s">
        <v>15</v>
      </c>
      <c r="I2870" s="6" cm="1">
        <f t="array" ref="I2870">GetLatitude(D2870)</f>
        <v>560887501</v>
      </c>
      <c r="J2870" s="1" cm="1">
        <f t="array" ref="J2870">GetLongitude(D2870)</f>
        <v>82415371</v>
      </c>
      <c r="K2870" s="1">
        <f t="shared" si="133"/>
        <v>56.088750099999999</v>
      </c>
      <c r="L2870" s="1">
        <f t="shared" si="134"/>
        <v>8.2415371000000004</v>
      </c>
    </row>
    <row r="2871" spans="1:12" ht="16" x14ac:dyDescent="0.2">
      <c r="A2871" s="1">
        <v>2870</v>
      </c>
      <c r="B2871" s="1" t="s">
        <v>8471</v>
      </c>
      <c r="C2871" s="1" t="s">
        <v>8551</v>
      </c>
      <c r="D2871" s="1" t="str">
        <f t="shared" si="132"/>
        <v>Ringkøbing-Skjern KommuneVester Strandsbjerg 1</v>
      </c>
      <c r="E2871" s="1" t="s">
        <v>8552</v>
      </c>
      <c r="F2871" s="1" t="s">
        <v>8553</v>
      </c>
      <c r="G2871" s="1">
        <v>1983</v>
      </c>
      <c r="H2871" s="1" t="s">
        <v>11</v>
      </c>
      <c r="I2871" s="6" cm="1">
        <f t="array" ref="I2871">GetLatitude(D2871)</f>
        <v>560886610</v>
      </c>
      <c r="J2871" s="1" cm="1">
        <f t="array" ref="J2871">GetLongitude(D2871)</f>
        <v>82409497</v>
      </c>
      <c r="K2871" s="1">
        <f t="shared" si="133"/>
        <v>56.088661000000002</v>
      </c>
      <c r="L2871" s="1">
        <f t="shared" si="134"/>
        <v>8.2409496999999998</v>
      </c>
    </row>
    <row r="2872" spans="1:12" ht="16" x14ac:dyDescent="0.2">
      <c r="A2872" s="1">
        <v>2871</v>
      </c>
      <c r="B2872" s="1" t="s">
        <v>8471</v>
      </c>
      <c r="C2872" s="1" t="s">
        <v>8554</v>
      </c>
      <c r="D2872" s="1" t="str">
        <f t="shared" si="132"/>
        <v>Ringkøbing-Skjern KommuneØster Strandgade 13</v>
      </c>
      <c r="E2872" s="1" t="s">
        <v>8555</v>
      </c>
      <c r="F2872" s="1" t="s">
        <v>8556</v>
      </c>
      <c r="G2872" s="1">
        <v>1980</v>
      </c>
      <c r="H2872" s="1" t="s">
        <v>11</v>
      </c>
      <c r="I2872" s="6" cm="1">
        <f t="array" ref="I2872">GetLatitude(D2872)</f>
        <v>560896987</v>
      </c>
      <c r="J2872" s="1" cm="1">
        <f t="array" ref="J2872">GetLongitude(D2872)</f>
        <v>82422871</v>
      </c>
      <c r="K2872" s="1">
        <f t="shared" si="133"/>
        <v>56.0896987</v>
      </c>
      <c r="L2872" s="1">
        <f t="shared" si="134"/>
        <v>8.2422871000000004</v>
      </c>
    </row>
    <row r="2873" spans="1:12" ht="16" x14ac:dyDescent="0.2">
      <c r="A2873" s="1">
        <v>2872</v>
      </c>
      <c r="B2873" s="1" t="s">
        <v>8557</v>
      </c>
      <c r="C2873" s="1" t="s">
        <v>8558</v>
      </c>
      <c r="D2873" s="1" t="str">
        <f t="shared" si="132"/>
        <v>Ringsted Kommune Sankt Bendtsgade 1</v>
      </c>
      <c r="E2873" s="1" t="s">
        <v>8559</v>
      </c>
      <c r="F2873" s="1" t="s">
        <v>8560</v>
      </c>
      <c r="G2873" s="1">
        <v>1995</v>
      </c>
      <c r="H2873" s="1" t="s">
        <v>15</v>
      </c>
      <c r="I2873" s="6" cm="1">
        <f t="array" ref="I2873">GetLatitude(D2873)</f>
        <v>554459196</v>
      </c>
      <c r="J2873" s="1" cm="1">
        <f t="array" ref="J2873">GetLongitude(D2873)</f>
        <v>117843642</v>
      </c>
      <c r="K2873" s="1">
        <f t="shared" si="133"/>
        <v>55.445919600000003</v>
      </c>
      <c r="L2873" s="1">
        <f t="shared" si="134"/>
        <v>11.784364200000001</v>
      </c>
    </row>
    <row r="2874" spans="1:12" ht="16" x14ac:dyDescent="0.2">
      <c r="A2874" s="1">
        <v>2873</v>
      </c>
      <c r="B2874" s="1" t="s">
        <v>8557</v>
      </c>
      <c r="C2874" s="1" t="s">
        <v>8561</v>
      </c>
      <c r="D2874" s="1" t="str">
        <f t="shared" si="132"/>
        <v>Ringsted Kommune Sankt Bendtsgade 5</v>
      </c>
      <c r="E2874" s="1" t="s">
        <v>8562</v>
      </c>
      <c r="F2874" s="1" t="s">
        <v>8563</v>
      </c>
      <c r="G2874" s="1">
        <v>1924</v>
      </c>
      <c r="H2874" s="1" t="s">
        <v>15</v>
      </c>
      <c r="I2874" s="6" cm="1">
        <f t="array" ref="I2874">GetLatitude(D2874)</f>
        <v>554458922</v>
      </c>
      <c r="J2874" s="1" cm="1">
        <f t="array" ref="J2874">GetLongitude(D2874)</f>
        <v>117864461</v>
      </c>
      <c r="K2874" s="1">
        <f t="shared" si="133"/>
        <v>55.445892200000003</v>
      </c>
      <c r="L2874" s="1">
        <f t="shared" si="134"/>
        <v>11.786446099999999</v>
      </c>
    </row>
    <row r="2875" spans="1:12" ht="16" x14ac:dyDescent="0.2">
      <c r="A2875" s="1">
        <v>2874</v>
      </c>
      <c r="B2875" s="1" t="s">
        <v>8557</v>
      </c>
      <c r="C2875" s="1" t="s">
        <v>8564</v>
      </c>
      <c r="D2875" s="1" t="str">
        <f t="shared" si="132"/>
        <v>Ringsted Kommune Sigerstedvej 109</v>
      </c>
      <c r="E2875" s="1" t="s">
        <v>8565</v>
      </c>
      <c r="F2875" s="1" t="s">
        <v>8566</v>
      </c>
      <c r="G2875" s="1">
        <v>1991</v>
      </c>
      <c r="H2875" s="1" t="s">
        <v>11</v>
      </c>
      <c r="I2875" s="6" cm="1">
        <f t="array" ref="I2875">GetLatitude(D2875)</f>
        <v>554124276</v>
      </c>
      <c r="J2875" s="1" cm="1">
        <f t="array" ref="J2875">GetLongitude(D2875)</f>
        <v>117346000</v>
      </c>
      <c r="K2875" s="1">
        <f t="shared" si="133"/>
        <v>55.412427600000001</v>
      </c>
      <c r="L2875" s="1">
        <f t="shared" si="134"/>
        <v>11.7346</v>
      </c>
    </row>
    <row r="2876" spans="1:12" ht="16" x14ac:dyDescent="0.2">
      <c r="A2876" s="1">
        <v>2875</v>
      </c>
      <c r="B2876" s="1" t="s">
        <v>8557</v>
      </c>
      <c r="C2876" s="1" t="s">
        <v>8567</v>
      </c>
      <c r="D2876" s="1" t="str">
        <f t="shared" si="132"/>
        <v>Ringsted Kommune Skjoldenæsvej 106</v>
      </c>
      <c r="E2876" s="1" t="s">
        <v>8568</v>
      </c>
      <c r="F2876" s="1" t="s">
        <v>8569</v>
      </c>
      <c r="G2876" s="1">
        <v>1918</v>
      </c>
      <c r="H2876" s="1" t="s">
        <v>11</v>
      </c>
      <c r="I2876" s="6" cm="1">
        <f t="array" ref="I2876">GetLatitude(D2876)</f>
        <v>555354946</v>
      </c>
      <c r="J2876" s="1" cm="1">
        <f t="array" ref="J2876">GetLongitude(D2876)</f>
        <v>118530011</v>
      </c>
      <c r="K2876" s="1">
        <f t="shared" si="133"/>
        <v>55.5354946</v>
      </c>
      <c r="L2876" s="1">
        <f t="shared" si="134"/>
        <v>11.8530011</v>
      </c>
    </row>
    <row r="2877" spans="1:12" ht="16" x14ac:dyDescent="0.2">
      <c r="A2877" s="1">
        <v>2876</v>
      </c>
      <c r="B2877" s="1" t="s">
        <v>8557</v>
      </c>
      <c r="C2877" s="1" t="s">
        <v>8570</v>
      </c>
      <c r="D2877" s="1" t="str">
        <f t="shared" si="132"/>
        <v>Ringsted Kommune Skjoldenæsvej 136</v>
      </c>
      <c r="E2877" s="1" t="s">
        <v>8571</v>
      </c>
      <c r="F2877" s="1" t="s">
        <v>8572</v>
      </c>
      <c r="G2877" s="1">
        <v>1985</v>
      </c>
      <c r="H2877" s="1" t="s">
        <v>11</v>
      </c>
      <c r="I2877" s="6" cm="1">
        <f t="array" ref="I2877">GetLatitude(D2877)</f>
        <v>555453228</v>
      </c>
      <c r="J2877" s="1" cm="1">
        <f t="array" ref="J2877">GetLongitude(D2877)</f>
        <v>118650276</v>
      </c>
      <c r="K2877" s="1">
        <f t="shared" si="133"/>
        <v>55.545322800000001</v>
      </c>
      <c r="L2877" s="1">
        <f t="shared" si="134"/>
        <v>11.865027599999999</v>
      </c>
    </row>
    <row r="2878" spans="1:12" ht="16" x14ac:dyDescent="0.2">
      <c r="A2878" s="1">
        <v>2877</v>
      </c>
      <c r="B2878" s="1" t="s">
        <v>8557</v>
      </c>
      <c r="C2878" s="1" t="s">
        <v>8573</v>
      </c>
      <c r="D2878" s="1" t="str">
        <f t="shared" si="132"/>
        <v>Ringsted Kommune Valsømaglevej 134</v>
      </c>
      <c r="E2878" s="1" t="s">
        <v>8574</v>
      </c>
      <c r="F2878" s="1" t="s">
        <v>8575</v>
      </c>
      <c r="G2878" s="1">
        <v>1971</v>
      </c>
      <c r="H2878" s="1" t="s">
        <v>11</v>
      </c>
      <c r="I2878" s="6" cm="1">
        <f t="array" ref="I2878">GetLatitude(D2878)</f>
        <v>555209564</v>
      </c>
      <c r="J2878" s="1" cm="1">
        <f t="array" ref="J2878">GetLongitude(D2878)</f>
        <v>118343428</v>
      </c>
      <c r="K2878" s="1">
        <f t="shared" si="133"/>
        <v>55.520956400000003</v>
      </c>
      <c r="L2878" s="1">
        <f t="shared" si="134"/>
        <v>11.8343428</v>
      </c>
    </row>
    <row r="2879" spans="1:12" ht="16" x14ac:dyDescent="0.2">
      <c r="A2879" s="1">
        <v>2878</v>
      </c>
      <c r="B2879" s="1" t="s">
        <v>8557</v>
      </c>
      <c r="C2879" s="1" t="s">
        <v>8576</v>
      </c>
      <c r="D2879" s="1" t="str">
        <f t="shared" si="132"/>
        <v>Ringsted Kommune Vigersted Bygade 33 (Vigerstedvej 2 A)</v>
      </c>
      <c r="E2879" s="1" t="s">
        <v>8577</v>
      </c>
      <c r="F2879" s="1" t="s">
        <v>8578</v>
      </c>
      <c r="G2879" s="1">
        <v>1964</v>
      </c>
      <c r="H2879" s="1" t="s">
        <v>11</v>
      </c>
      <c r="I2879" s="6" cm="1">
        <f t="array" ref="I2879">GetLatitude(D2879)</f>
        <v>554820274</v>
      </c>
      <c r="J2879" s="1" cm="1">
        <f t="array" ref="J2879">GetLongitude(D2879)</f>
        <v>118860429</v>
      </c>
      <c r="K2879" s="1">
        <f t="shared" si="133"/>
        <v>55.4820274</v>
      </c>
      <c r="L2879" s="1">
        <f t="shared" si="134"/>
        <v>11.8860429</v>
      </c>
    </row>
    <row r="2880" spans="1:12" ht="16" x14ac:dyDescent="0.2">
      <c r="A2880" s="1">
        <v>2879</v>
      </c>
      <c r="B2880" s="1" t="s">
        <v>8579</v>
      </c>
      <c r="C2880" s="1" t="s">
        <v>8580</v>
      </c>
      <c r="D2880" s="1" t="str">
        <f t="shared" si="132"/>
        <v>Roskilde KommuneAlgade 13</v>
      </c>
      <c r="E2880" s="1" t="s">
        <v>8581</v>
      </c>
      <c r="F2880" s="1" t="s">
        <v>8582</v>
      </c>
      <c r="G2880" s="1">
        <v>1980</v>
      </c>
      <c r="H2880" s="1" t="s">
        <v>11</v>
      </c>
      <c r="I2880" s="6" cm="1">
        <f t="array" ref="I2880">GetLatitude(D2880)</f>
        <v>556412608</v>
      </c>
      <c r="J2880" s="1" cm="1">
        <f t="array" ref="J2880">GetLongitude(D2880)</f>
        <v>120836031</v>
      </c>
      <c r="K2880" s="1">
        <f t="shared" si="133"/>
        <v>55.641260799999998</v>
      </c>
      <c r="L2880" s="1">
        <f t="shared" si="134"/>
        <v>12.083603099999999</v>
      </c>
    </row>
    <row r="2881" spans="1:12" ht="16" x14ac:dyDescent="0.2">
      <c r="A2881" s="1">
        <v>2880</v>
      </c>
      <c r="B2881" s="1" t="s">
        <v>8579</v>
      </c>
      <c r="C2881" s="1" t="s">
        <v>8583</v>
      </c>
      <c r="D2881" s="1" t="str">
        <f t="shared" si="132"/>
        <v>Roskilde KommuneAlgade 15 A og G</v>
      </c>
      <c r="E2881" s="1" t="s">
        <v>7761</v>
      </c>
      <c r="F2881" s="1" t="s">
        <v>8584</v>
      </c>
      <c r="G2881" s="1">
        <v>1979</v>
      </c>
      <c r="H2881" s="1" t="s">
        <v>15</v>
      </c>
      <c r="I2881" s="6" cm="1">
        <f t="array" ref="I2881">GetLatitude(D2881)</f>
        <v>556412489</v>
      </c>
      <c r="J2881" s="1" cm="1">
        <f t="array" ref="J2881">GetLongitude(D2881)</f>
        <v>120840849</v>
      </c>
      <c r="K2881" s="1">
        <f t="shared" si="133"/>
        <v>55.641248900000001</v>
      </c>
      <c r="L2881" s="1">
        <f t="shared" si="134"/>
        <v>12.084084900000001</v>
      </c>
    </row>
    <row r="2882" spans="1:12" ht="16" x14ac:dyDescent="0.2">
      <c r="A2882" s="1">
        <v>2881</v>
      </c>
      <c r="B2882" s="1" t="s">
        <v>8579</v>
      </c>
      <c r="C2882" s="1" t="s">
        <v>1619</v>
      </c>
      <c r="D2882" s="1" t="str">
        <f t="shared" si="132"/>
        <v>Roskilde KommuneAlgade 3</v>
      </c>
      <c r="E2882" s="1" t="s">
        <v>8585</v>
      </c>
      <c r="F2882" s="1" t="s">
        <v>8586</v>
      </c>
      <c r="G2882" s="1">
        <v>1919</v>
      </c>
      <c r="H2882" s="1" t="s">
        <v>15</v>
      </c>
      <c r="I2882" s="6" cm="1">
        <f t="array" ref="I2882">GetLatitude(D2882)</f>
        <v>556412147</v>
      </c>
      <c r="J2882" s="1" cm="1">
        <f t="array" ref="J2882">GetLongitude(D2882)</f>
        <v>120820239</v>
      </c>
      <c r="K2882" s="1">
        <f t="shared" si="133"/>
        <v>55.641214699999999</v>
      </c>
      <c r="L2882" s="1">
        <f t="shared" si="134"/>
        <v>12.082023899999999</v>
      </c>
    </row>
    <row r="2883" spans="1:12" ht="16" x14ac:dyDescent="0.2">
      <c r="A2883" s="1">
        <v>2882</v>
      </c>
      <c r="B2883" s="1" t="s">
        <v>8579</v>
      </c>
      <c r="C2883" s="1" t="s">
        <v>8587</v>
      </c>
      <c r="D2883" s="1" t="str">
        <f t="shared" ref="D2883:D2946" si="135">B2883&amp;C2883</f>
        <v>Roskilde KommuneBirkede-Dåstrup</v>
      </c>
      <c r="E2883" s="1" t="s">
        <v>8588</v>
      </c>
      <c r="F2883" s="1" t="s">
        <v>8589</v>
      </c>
      <c r="G2883" s="1">
        <v>1981</v>
      </c>
      <c r="H2883" s="1" t="s">
        <v>15</v>
      </c>
      <c r="I2883" s="6" cm="1">
        <f t="array" ref="I2883">GetLatitude(D2883)</f>
        <v>555362870</v>
      </c>
      <c r="J2883" s="1" cm="1">
        <f t="array" ref="J2883">GetLongitude(D2883)</f>
        <v>120097710</v>
      </c>
      <c r="K2883" s="1">
        <f t="shared" si="133"/>
        <v>55.536287000000002</v>
      </c>
      <c r="L2883" s="1">
        <f t="shared" si="134"/>
        <v>12.009771000000001</v>
      </c>
    </row>
    <row r="2884" spans="1:12" ht="16" x14ac:dyDescent="0.2">
      <c r="A2884" s="1">
        <v>2883</v>
      </c>
      <c r="B2884" s="1" t="s">
        <v>8579</v>
      </c>
      <c r="C2884" s="1" t="s">
        <v>8590</v>
      </c>
      <c r="D2884" s="1" t="str">
        <f t="shared" si="135"/>
        <v>Roskilde KommuneBondetinget 17</v>
      </c>
      <c r="E2884" s="1" t="s">
        <v>8591</v>
      </c>
      <c r="F2884" s="1" t="s">
        <v>6980</v>
      </c>
      <c r="G2884" s="1">
        <v>1979</v>
      </c>
      <c r="H2884" s="1" t="s">
        <v>11</v>
      </c>
      <c r="I2884" s="6" cm="1">
        <f t="array" ref="I2884">GetLatitude(D2884)</f>
        <v>556417695</v>
      </c>
      <c r="J2884" s="1" cm="1">
        <f t="array" ref="J2884">GetLongitude(D2884)</f>
        <v>120767361</v>
      </c>
      <c r="K2884" s="1">
        <f t="shared" ref="K2884:K2947" si="136">I2884/10000000</f>
        <v>55.641769500000002</v>
      </c>
      <c r="L2884" s="1">
        <f t="shared" ref="L2884:L2947" si="137">J2884/10000000</f>
        <v>12.0767361</v>
      </c>
    </row>
    <row r="2885" spans="1:12" ht="16" x14ac:dyDescent="0.2">
      <c r="A2885" s="1">
        <v>2884</v>
      </c>
      <c r="B2885" s="1" t="s">
        <v>8579</v>
      </c>
      <c r="C2885" s="1" t="s">
        <v>8592</v>
      </c>
      <c r="D2885" s="1" t="str">
        <f t="shared" si="135"/>
        <v>Roskilde KommuneBondetinget 19</v>
      </c>
      <c r="E2885" s="1" t="s">
        <v>8593</v>
      </c>
      <c r="F2885" s="1" t="s">
        <v>2584</v>
      </c>
      <c r="G2885" s="1">
        <v>1979</v>
      </c>
      <c r="H2885" s="1" t="s">
        <v>11</v>
      </c>
      <c r="I2885" s="6" cm="1">
        <f t="array" ref="I2885">GetLatitude(D2885)</f>
        <v>556417729</v>
      </c>
      <c r="J2885" s="1" cm="1">
        <f t="array" ref="J2885">GetLongitude(D2885)</f>
        <v>120765911</v>
      </c>
      <c r="K2885" s="1">
        <f t="shared" si="136"/>
        <v>55.641772899999999</v>
      </c>
      <c r="L2885" s="1">
        <f t="shared" si="137"/>
        <v>12.0765911</v>
      </c>
    </row>
    <row r="2886" spans="1:12" ht="16" x14ac:dyDescent="0.2">
      <c r="A2886" s="1">
        <v>2885</v>
      </c>
      <c r="B2886" s="1" t="s">
        <v>8579</v>
      </c>
      <c r="C2886" s="1" t="s">
        <v>8594</v>
      </c>
      <c r="D2886" s="1" t="str">
        <f t="shared" si="135"/>
        <v>Roskilde KommuneBondetinget 4</v>
      </c>
      <c r="E2886" s="1" t="s">
        <v>8595</v>
      </c>
      <c r="F2886" s="1" t="s">
        <v>8596</v>
      </c>
      <c r="G2886" s="1">
        <v>1978</v>
      </c>
      <c r="H2886" s="1" t="s">
        <v>11</v>
      </c>
      <c r="I2886" s="6" cm="1">
        <f t="array" ref="I2886">GetLatitude(D2886)</f>
        <v>556422517</v>
      </c>
      <c r="J2886" s="1" cm="1">
        <f t="array" ref="J2886">GetLongitude(D2886)</f>
        <v>120785210</v>
      </c>
      <c r="K2886" s="1">
        <f t="shared" si="136"/>
        <v>55.642251700000003</v>
      </c>
      <c r="L2886" s="1">
        <f t="shared" si="137"/>
        <v>12.078521</v>
      </c>
    </row>
    <row r="2887" spans="1:12" ht="16" x14ac:dyDescent="0.2">
      <c r="A2887" s="1">
        <v>2886</v>
      </c>
      <c r="B2887" s="1" t="s">
        <v>8579</v>
      </c>
      <c r="C2887" s="1" t="s">
        <v>8597</v>
      </c>
      <c r="D2887" s="1" t="str">
        <f t="shared" si="135"/>
        <v>Roskilde KommuneBoserupvej 2</v>
      </c>
      <c r="E2887" s="1" t="s">
        <v>8598</v>
      </c>
      <c r="F2887" s="1" t="s">
        <v>8599</v>
      </c>
      <c r="G2887" s="1">
        <v>1944</v>
      </c>
      <c r="H2887" s="1" t="s">
        <v>15</v>
      </c>
      <c r="I2887" s="6" cm="1">
        <f t="array" ref="I2887">GetLatitude(D2887)</f>
        <v>556506331</v>
      </c>
      <c r="J2887" s="1" cm="1">
        <f t="array" ref="J2887">GetLongitude(D2887)</f>
        <v>120683951</v>
      </c>
      <c r="K2887" s="1">
        <f t="shared" si="136"/>
        <v>55.6506331</v>
      </c>
      <c r="L2887" s="1">
        <f t="shared" si="137"/>
        <v>12.0683951</v>
      </c>
    </row>
    <row r="2888" spans="1:12" ht="16" x14ac:dyDescent="0.2">
      <c r="A2888" s="1">
        <v>2887</v>
      </c>
      <c r="B2888" s="1" t="s">
        <v>8579</v>
      </c>
      <c r="C2888" s="1" t="s">
        <v>8600</v>
      </c>
      <c r="D2888" s="1" t="str">
        <f t="shared" si="135"/>
        <v>Roskilde KommuneBredgade 2 A</v>
      </c>
      <c r="E2888" s="1" t="s">
        <v>8601</v>
      </c>
      <c r="F2888" s="1" t="s">
        <v>8602</v>
      </c>
      <c r="G2888" s="1">
        <v>1964</v>
      </c>
      <c r="H2888" s="1" t="s">
        <v>15</v>
      </c>
      <c r="I2888" s="6" cm="1">
        <f t="array" ref="I2888">GetLatitude(D2888)</f>
        <v>556394973</v>
      </c>
      <c r="J2888" s="1" cm="1">
        <f t="array" ref="J2888">GetLongitude(D2888)</f>
        <v>120810531</v>
      </c>
      <c r="K2888" s="1">
        <f t="shared" si="136"/>
        <v>55.639497300000002</v>
      </c>
      <c r="L2888" s="1">
        <f t="shared" si="137"/>
        <v>12.0810531</v>
      </c>
    </row>
    <row r="2889" spans="1:12" ht="16" x14ac:dyDescent="0.2">
      <c r="A2889" s="1">
        <v>2888</v>
      </c>
      <c r="B2889" s="1" t="s">
        <v>8579</v>
      </c>
      <c r="C2889" s="1" t="s">
        <v>8603</v>
      </c>
      <c r="D2889" s="1" t="str">
        <f t="shared" si="135"/>
        <v>Roskilde KommuneByvolden 25 A-B</v>
      </c>
      <c r="E2889" s="1" t="s">
        <v>8604</v>
      </c>
      <c r="F2889" s="1" t="s">
        <v>8605</v>
      </c>
      <c r="G2889" s="1">
        <v>1986</v>
      </c>
      <c r="H2889" s="1" t="s">
        <v>11</v>
      </c>
      <c r="I2889" s="6" cm="1">
        <f t="array" ref="I2889">GetLatitude(D2889)</f>
        <v>556437184</v>
      </c>
      <c r="J2889" s="1" cm="1">
        <f t="array" ref="J2889">GetLongitude(D2889)</f>
        <v>120731566</v>
      </c>
      <c r="K2889" s="1">
        <f t="shared" si="136"/>
        <v>55.643718399999997</v>
      </c>
      <c r="L2889" s="1">
        <f t="shared" si="137"/>
        <v>12.073156600000001</v>
      </c>
    </row>
    <row r="2890" spans="1:12" ht="16" x14ac:dyDescent="0.2">
      <c r="A2890" s="1">
        <v>2889</v>
      </c>
      <c r="B2890" s="1" t="s">
        <v>8579</v>
      </c>
      <c r="C2890" s="1" t="s">
        <v>2507</v>
      </c>
      <c r="D2890" s="1" t="str">
        <f t="shared" si="135"/>
        <v>Roskilde KommuneDomkirkepladsen 1</v>
      </c>
      <c r="E2890" s="1" t="s">
        <v>8606</v>
      </c>
      <c r="F2890" s="1" t="s">
        <v>8607</v>
      </c>
      <c r="G2890" s="1">
        <v>1924</v>
      </c>
      <c r="H2890" s="1" t="s">
        <v>11</v>
      </c>
      <c r="I2890" s="6" cm="1">
        <f t="array" ref="I2890">GetLatitude(D2890)</f>
        <v>556423305</v>
      </c>
      <c r="J2890" s="1" cm="1">
        <f t="array" ref="J2890">GetLongitude(D2890)</f>
        <v>120790632</v>
      </c>
      <c r="K2890" s="1">
        <f t="shared" si="136"/>
        <v>55.6423305</v>
      </c>
      <c r="L2890" s="1">
        <f t="shared" si="137"/>
        <v>12.0790632</v>
      </c>
    </row>
    <row r="2891" spans="1:12" ht="16" x14ac:dyDescent="0.2">
      <c r="A2891" s="1">
        <v>2890</v>
      </c>
      <c r="B2891" s="1" t="s">
        <v>8579</v>
      </c>
      <c r="C2891" s="1" t="s">
        <v>8608</v>
      </c>
      <c r="D2891" s="1" t="str">
        <f t="shared" si="135"/>
        <v>Roskilde KommuneDomkirkepladsen 2</v>
      </c>
      <c r="E2891" s="1" t="s">
        <v>8609</v>
      </c>
      <c r="F2891" s="1" t="s">
        <v>8610</v>
      </c>
      <c r="G2891" s="1">
        <v>1978</v>
      </c>
      <c r="H2891" s="1" t="s">
        <v>2323</v>
      </c>
      <c r="I2891" s="6" cm="1">
        <f t="array" ref="I2891">GetLatitude(D2891)</f>
        <v>556422807</v>
      </c>
      <c r="J2891" s="1" cm="1">
        <f t="array" ref="J2891">GetLongitude(D2891)</f>
        <v>120799690</v>
      </c>
      <c r="K2891" s="1">
        <f t="shared" si="136"/>
        <v>55.642280700000001</v>
      </c>
      <c r="L2891" s="1">
        <f t="shared" si="137"/>
        <v>12.079969</v>
      </c>
    </row>
    <row r="2892" spans="1:12" ht="16" x14ac:dyDescent="0.2">
      <c r="A2892" s="1">
        <v>2891</v>
      </c>
      <c r="B2892" s="1" t="s">
        <v>8579</v>
      </c>
      <c r="C2892" s="1" t="s">
        <v>8611</v>
      </c>
      <c r="D2892" s="1" t="str">
        <f t="shared" si="135"/>
        <v>Roskilde KommuneDomkirkepladsen 4</v>
      </c>
      <c r="E2892" s="1" t="s">
        <v>8612</v>
      </c>
      <c r="F2892" s="1" t="s">
        <v>8613</v>
      </c>
      <c r="G2892" s="1">
        <v>1964</v>
      </c>
      <c r="H2892" s="1" t="s">
        <v>8614</v>
      </c>
      <c r="I2892" s="6" cm="1">
        <f t="array" ref="I2892">GetLatitude(D2892)</f>
        <v>556433233</v>
      </c>
      <c r="J2892" s="1" cm="1">
        <f t="array" ref="J2892">GetLongitude(D2892)</f>
        <v>120810448</v>
      </c>
      <c r="K2892" s="1">
        <f t="shared" si="136"/>
        <v>55.643323299999999</v>
      </c>
      <c r="L2892" s="1">
        <f t="shared" si="137"/>
        <v>12.081044800000001</v>
      </c>
    </row>
    <row r="2893" spans="1:12" ht="16" x14ac:dyDescent="0.2">
      <c r="A2893" s="1">
        <v>2892</v>
      </c>
      <c r="B2893" s="1" t="s">
        <v>8579</v>
      </c>
      <c r="C2893" s="1" t="s">
        <v>8615</v>
      </c>
      <c r="D2893" s="1" t="str">
        <f t="shared" si="135"/>
        <v>Roskilde KommuneDomkirkestræde 10</v>
      </c>
      <c r="E2893" s="1" t="s">
        <v>8616</v>
      </c>
      <c r="F2893" s="1" t="s">
        <v>8617</v>
      </c>
      <c r="G2893" s="1">
        <v>1924</v>
      </c>
      <c r="H2893" s="1" t="s">
        <v>11</v>
      </c>
      <c r="I2893" s="6" cm="1">
        <f t="array" ref="I2893">GetLatitude(D2893)</f>
        <v>556428512</v>
      </c>
      <c r="J2893" s="1" cm="1">
        <f t="array" ref="J2893">GetLongitude(D2893)</f>
        <v>120813370</v>
      </c>
      <c r="K2893" s="1">
        <f t="shared" si="136"/>
        <v>55.642851200000003</v>
      </c>
      <c r="L2893" s="1">
        <f t="shared" si="137"/>
        <v>12.081337</v>
      </c>
    </row>
    <row r="2894" spans="1:12" ht="16" x14ac:dyDescent="0.2">
      <c r="A2894" s="1">
        <v>2893</v>
      </c>
      <c r="B2894" s="1" t="s">
        <v>8579</v>
      </c>
      <c r="C2894" s="1" t="s">
        <v>8618</v>
      </c>
      <c r="D2894" s="1" t="str">
        <f t="shared" si="135"/>
        <v>Roskilde KommuneDronning Margrethes Vej 1 (tidl Frederiksborgvej 2)</v>
      </c>
      <c r="E2894" s="1" t="s">
        <v>8619</v>
      </c>
      <c r="F2894" s="1" t="s">
        <v>8620</v>
      </c>
      <c r="G2894" s="1">
        <v>1983</v>
      </c>
      <c r="H2894" s="1" t="s">
        <v>15</v>
      </c>
      <c r="I2894" s="6" cm="1">
        <f t="array" ref="I2894">GetLatitude(D2894)</f>
        <v>556434519</v>
      </c>
      <c r="J2894" s="1" cm="1">
        <f t="array" ref="J2894">GetLongitude(D2894)</f>
        <v>120856850</v>
      </c>
      <c r="K2894" s="1">
        <f t="shared" si="136"/>
        <v>55.643451900000002</v>
      </c>
      <c r="L2894" s="1">
        <f t="shared" si="137"/>
        <v>12.085685</v>
      </c>
    </row>
    <row r="2895" spans="1:12" ht="16" x14ac:dyDescent="0.2">
      <c r="A2895" s="1">
        <v>2894</v>
      </c>
      <c r="B2895" s="1" t="s">
        <v>8579</v>
      </c>
      <c r="C2895" s="1" t="s">
        <v>8621</v>
      </c>
      <c r="D2895" s="1" t="str">
        <f t="shared" si="135"/>
        <v>Roskilde KommuneHavnevej 17 A</v>
      </c>
      <c r="E2895" s="1" t="s">
        <v>8622</v>
      </c>
      <c r="F2895" s="1" t="s">
        <v>8623</v>
      </c>
      <c r="G2895" s="1">
        <v>1980</v>
      </c>
      <c r="H2895" s="1" t="s">
        <v>11</v>
      </c>
      <c r="I2895" s="6" cm="1">
        <f t="array" ref="I2895">GetLatitude(D2895)</f>
        <v>556471824</v>
      </c>
      <c r="J2895" s="1" cm="1">
        <f t="array" ref="J2895">GetLongitude(D2895)</f>
        <v>120763236</v>
      </c>
      <c r="K2895" s="1">
        <f t="shared" si="136"/>
        <v>55.647182399999998</v>
      </c>
      <c r="L2895" s="1">
        <f t="shared" si="137"/>
        <v>12.0763236</v>
      </c>
    </row>
    <row r="2896" spans="1:12" ht="16" x14ac:dyDescent="0.2">
      <c r="A2896" s="1">
        <v>2895</v>
      </c>
      <c r="B2896" s="1" t="s">
        <v>8579</v>
      </c>
      <c r="C2896" s="1" t="s">
        <v>8624</v>
      </c>
      <c r="D2896" s="1" t="str">
        <f t="shared" si="135"/>
        <v>Roskilde KommuneHavnevej 25</v>
      </c>
      <c r="E2896" s="1" t="s">
        <v>8625</v>
      </c>
      <c r="F2896" s="1" t="s">
        <v>8626</v>
      </c>
      <c r="G2896" s="1">
        <v>2001</v>
      </c>
      <c r="H2896" s="1" t="s">
        <v>15</v>
      </c>
      <c r="I2896" s="6" cm="1">
        <f t="array" ref="I2896">GetLatitude(D2896)</f>
        <v>556475248</v>
      </c>
      <c r="J2896" s="1" cm="1">
        <f t="array" ref="J2896">GetLongitude(D2896)</f>
        <v>120765519</v>
      </c>
      <c r="K2896" s="1">
        <f t="shared" si="136"/>
        <v>55.647524799999999</v>
      </c>
      <c r="L2896" s="1">
        <f t="shared" si="137"/>
        <v>12.0765519</v>
      </c>
    </row>
    <row r="2897" spans="1:12" ht="16" x14ac:dyDescent="0.2">
      <c r="A2897" s="1">
        <v>2896</v>
      </c>
      <c r="B2897" s="1" t="s">
        <v>8579</v>
      </c>
      <c r="C2897" s="1" t="s">
        <v>8627</v>
      </c>
      <c r="D2897" s="1" t="str">
        <f t="shared" si="135"/>
        <v>Roskilde KommuneHejnstrupvej 35</v>
      </c>
      <c r="E2897" s="1" t="s">
        <v>8628</v>
      </c>
      <c r="F2897" s="1" t="s">
        <v>8629</v>
      </c>
      <c r="G2897" s="1">
        <v>1959</v>
      </c>
      <c r="H2897" s="1" t="s">
        <v>11</v>
      </c>
      <c r="I2897" s="6" cm="1">
        <f t="array" ref="I2897">GetLatitude(D2897)</f>
        <v>557309353</v>
      </c>
      <c r="J2897" s="1" cm="1">
        <f t="array" ref="J2897">GetLongitude(D2897)</f>
        <v>121434106</v>
      </c>
      <c r="K2897" s="1">
        <f t="shared" si="136"/>
        <v>55.730935299999999</v>
      </c>
      <c r="L2897" s="1">
        <f t="shared" si="137"/>
        <v>12.143410599999999</v>
      </c>
    </row>
    <row r="2898" spans="1:12" ht="16" x14ac:dyDescent="0.2">
      <c r="A2898" s="1">
        <v>2897</v>
      </c>
      <c r="B2898" s="1" t="s">
        <v>8579</v>
      </c>
      <c r="C2898" s="1" t="s">
        <v>8630</v>
      </c>
      <c r="D2898" s="1" t="str">
        <f t="shared" si="135"/>
        <v>Roskilde KommuneJernbanegade 1 A</v>
      </c>
      <c r="E2898" s="1" t="s">
        <v>8631</v>
      </c>
      <c r="F2898" s="1" t="s">
        <v>8632</v>
      </c>
      <c r="G2898" s="1">
        <v>1964</v>
      </c>
      <c r="H2898" s="1" t="s">
        <v>11</v>
      </c>
      <c r="I2898" s="6" cm="1">
        <f t="array" ref="I2898">GetLatitude(D2898)</f>
        <v>556391933</v>
      </c>
      <c r="J2898" s="1" cm="1">
        <f t="array" ref="J2898">GetLongitude(D2898)</f>
        <v>120888519</v>
      </c>
      <c r="K2898" s="1">
        <f t="shared" si="136"/>
        <v>55.639193300000002</v>
      </c>
      <c r="L2898" s="1">
        <f t="shared" si="137"/>
        <v>12.0888519</v>
      </c>
    </row>
    <row r="2899" spans="1:12" ht="16" x14ac:dyDescent="0.2">
      <c r="A2899" s="1">
        <v>2898</v>
      </c>
      <c r="B2899" s="1" t="s">
        <v>8579</v>
      </c>
      <c r="C2899" s="1" t="s">
        <v>8633</v>
      </c>
      <c r="D2899" s="1" t="str">
        <f t="shared" si="135"/>
        <v>Roskilde KommuneMaglekildevej</v>
      </c>
      <c r="E2899" s="1" t="s">
        <v>8634</v>
      </c>
      <c r="F2899" s="1" t="s">
        <v>8635</v>
      </c>
      <c r="G2899" s="1">
        <v>1979</v>
      </c>
      <c r="H2899" s="1" t="s">
        <v>15</v>
      </c>
      <c r="I2899" s="6" cm="1">
        <f t="array" ref="I2899">GetLatitude(D2899)</f>
        <v>556433678</v>
      </c>
      <c r="J2899" s="1" cm="1">
        <f t="array" ref="J2899">GetLongitude(D2899)</f>
        <v>120764310</v>
      </c>
      <c r="K2899" s="1">
        <f t="shared" si="136"/>
        <v>55.6433678</v>
      </c>
      <c r="L2899" s="1">
        <f t="shared" si="137"/>
        <v>12.076430999999999</v>
      </c>
    </row>
    <row r="2900" spans="1:12" ht="16" x14ac:dyDescent="0.2">
      <c r="A2900" s="1">
        <v>2899</v>
      </c>
      <c r="B2900" s="1" t="s">
        <v>8579</v>
      </c>
      <c r="C2900" s="1" t="s">
        <v>8636</v>
      </c>
      <c r="D2900" s="1" t="str">
        <f t="shared" si="135"/>
        <v>Roskilde KommuneMøllevej 16</v>
      </c>
      <c r="E2900" s="1" t="s">
        <v>8637</v>
      </c>
      <c r="F2900" s="1" t="s">
        <v>8638</v>
      </c>
      <c r="G2900" s="1">
        <v>2000</v>
      </c>
      <c r="H2900" s="1" t="s">
        <v>11</v>
      </c>
      <c r="I2900" s="6" cm="1">
        <f t="array" ref="I2900">GetLatitude(D2900)</f>
        <v>556419100</v>
      </c>
      <c r="J2900" s="1" cm="1">
        <f t="array" ref="J2900">GetLongitude(D2900)</f>
        <v>120878450</v>
      </c>
      <c r="K2900" s="1">
        <f t="shared" si="136"/>
        <v>55.641910000000003</v>
      </c>
      <c r="L2900" s="1">
        <f t="shared" si="137"/>
        <v>12.087845</v>
      </c>
    </row>
    <row r="2901" spans="1:12" ht="16" x14ac:dyDescent="0.2">
      <c r="A2901" s="1">
        <v>2900</v>
      </c>
      <c r="B2901" s="1" t="s">
        <v>8579</v>
      </c>
      <c r="C2901" s="1" t="s">
        <v>8639</v>
      </c>
      <c r="D2901" s="1" t="str">
        <f t="shared" si="135"/>
        <v>Roskilde KommuneRingstedgade 3</v>
      </c>
      <c r="E2901" s="1" t="s">
        <v>8640</v>
      </c>
      <c r="F2901" s="1" t="s">
        <v>8641</v>
      </c>
      <c r="G2901" s="1">
        <v>1979</v>
      </c>
      <c r="H2901" s="1" t="s">
        <v>11</v>
      </c>
      <c r="I2901" s="6" cm="1">
        <f t="array" ref="I2901">GetLatitude(D2901)</f>
        <v>556402408</v>
      </c>
      <c r="J2901" s="1" cm="1">
        <f t="array" ref="J2901">GetLongitude(D2901)</f>
        <v>120761712</v>
      </c>
      <c r="K2901" s="1">
        <f t="shared" si="136"/>
        <v>55.640240800000001</v>
      </c>
      <c r="L2901" s="1">
        <f t="shared" si="137"/>
        <v>12.076171199999999</v>
      </c>
    </row>
    <row r="2902" spans="1:12" ht="16" x14ac:dyDescent="0.2">
      <c r="A2902" s="1">
        <v>2901</v>
      </c>
      <c r="B2902" s="1" t="s">
        <v>8579</v>
      </c>
      <c r="C2902" s="1" t="s">
        <v>8642</v>
      </c>
      <c r="D2902" s="1" t="str">
        <f t="shared" si="135"/>
        <v>Roskilde KommuneRingstedgade 76 A-78 og Møllehusene 5-19 (tidl Ringstedgade 80)</v>
      </c>
      <c r="E2902" s="1" t="s">
        <v>8643</v>
      </c>
      <c r="F2902" s="1" t="s">
        <v>8644</v>
      </c>
      <c r="G2902" s="1">
        <v>1964</v>
      </c>
      <c r="H2902" s="1" t="s">
        <v>8645</v>
      </c>
      <c r="I2902" s="6" cm="1">
        <f t="array" ref="I2902">GetLatitude(D2902)</f>
        <v>556342255</v>
      </c>
      <c r="J2902" s="1" cm="1">
        <f t="array" ref="J2902">GetLongitude(D2902)</f>
        <v>120721304</v>
      </c>
      <c r="K2902" s="1">
        <f t="shared" si="136"/>
        <v>55.634225499999999</v>
      </c>
      <c r="L2902" s="1">
        <f t="shared" si="137"/>
        <v>12.072130400000001</v>
      </c>
    </row>
    <row r="2903" spans="1:12" ht="16" x14ac:dyDescent="0.2">
      <c r="A2903" s="1">
        <v>2902</v>
      </c>
      <c r="B2903" s="1" t="s">
        <v>8579</v>
      </c>
      <c r="C2903" s="1" t="s">
        <v>8646</v>
      </c>
      <c r="D2903" s="1" t="str">
        <f t="shared" si="135"/>
        <v>Roskilde KommuneSankt Ibsvej 12</v>
      </c>
      <c r="E2903" s="1" t="s">
        <v>8647</v>
      </c>
      <c r="F2903" s="1" t="s">
        <v>8648</v>
      </c>
      <c r="G2903" s="1">
        <v>1994</v>
      </c>
      <c r="H2903" s="1" t="s">
        <v>15</v>
      </c>
      <c r="I2903" s="6" cm="1">
        <f t="array" ref="I2903">GetLatitude(D2903)</f>
        <v>556483468</v>
      </c>
      <c r="J2903" s="1" cm="1">
        <f t="array" ref="J2903">GetLongitude(D2903)</f>
        <v>120781754</v>
      </c>
      <c r="K2903" s="1">
        <f t="shared" si="136"/>
        <v>55.648346799999999</v>
      </c>
      <c r="L2903" s="1">
        <f t="shared" si="137"/>
        <v>12.078175399999999</v>
      </c>
    </row>
    <row r="2904" spans="1:12" ht="16" x14ac:dyDescent="0.2">
      <c r="A2904" s="1">
        <v>2903</v>
      </c>
      <c r="B2904" s="1" t="s">
        <v>8579</v>
      </c>
      <c r="C2904" s="1" t="s">
        <v>8649</v>
      </c>
      <c r="D2904" s="1" t="str">
        <f t="shared" si="135"/>
        <v>Roskilde KommuneSankt Ibsvej 2 og Frederiksborgvej 31</v>
      </c>
      <c r="E2904" s="1" t="s">
        <v>8650</v>
      </c>
      <c r="F2904" s="1" t="s">
        <v>8651</v>
      </c>
      <c r="G2904" s="1">
        <v>1987</v>
      </c>
      <c r="H2904" s="1" t="s">
        <v>15</v>
      </c>
      <c r="I2904" s="6" cm="1">
        <f t="array" ref="I2904">GetLatitude(D2904)</f>
        <v>556435800</v>
      </c>
      <c r="J2904" s="1" cm="1">
        <f t="array" ref="J2904">GetLongitude(D2904)</f>
        <v>120846389</v>
      </c>
      <c r="K2904" s="1">
        <f t="shared" si="136"/>
        <v>55.64358</v>
      </c>
      <c r="L2904" s="1">
        <f t="shared" si="137"/>
        <v>12.0846389</v>
      </c>
    </row>
    <row r="2905" spans="1:12" ht="16" x14ac:dyDescent="0.2">
      <c r="A2905" s="1">
        <v>2904</v>
      </c>
      <c r="B2905" s="1" t="s">
        <v>8579</v>
      </c>
      <c r="C2905" s="1" t="s">
        <v>8652</v>
      </c>
      <c r="D2905" s="1" t="str">
        <f t="shared" si="135"/>
        <v>Roskilde KommuneSankt Olsgade 18 og Sankt Olsstræde 1</v>
      </c>
      <c r="E2905" s="1" t="s">
        <v>8653</v>
      </c>
      <c r="F2905" s="1" t="s">
        <v>8654</v>
      </c>
      <c r="G2905" s="1">
        <v>1919</v>
      </c>
      <c r="H2905" s="1" t="s">
        <v>1493</v>
      </c>
      <c r="I2905" s="6" cm="1">
        <f t="array" ref="I2905">GetLatitude(D2905)</f>
        <v>556417491</v>
      </c>
      <c r="J2905" s="1" cm="1">
        <f t="array" ref="J2905">GetLongitude(D2905)</f>
        <v>120852064</v>
      </c>
      <c r="K2905" s="1">
        <f t="shared" si="136"/>
        <v>55.641749099999998</v>
      </c>
      <c r="L2905" s="1">
        <f t="shared" si="137"/>
        <v>12.085206400000001</v>
      </c>
    </row>
    <row r="2906" spans="1:12" ht="16" x14ac:dyDescent="0.2">
      <c r="A2906" s="1">
        <v>2905</v>
      </c>
      <c r="B2906" s="1" t="s">
        <v>8579</v>
      </c>
      <c r="C2906" s="1" t="s">
        <v>8655</v>
      </c>
      <c r="D2906" s="1" t="str">
        <f t="shared" si="135"/>
        <v>Roskilde KommuneSankt Pedersstræde 8 og 8 B, E</v>
      </c>
      <c r="E2906" s="1" t="s">
        <v>8656</v>
      </c>
      <c r="F2906" s="1" t="s">
        <v>8657</v>
      </c>
      <c r="G2906" s="1">
        <v>1918</v>
      </c>
      <c r="H2906" s="1" t="s">
        <v>4003</v>
      </c>
      <c r="I2906" s="6" cm="1">
        <f t="array" ref="I2906">GetLatitude(D2906)</f>
        <v>556419610</v>
      </c>
      <c r="J2906" s="1" cm="1">
        <f t="array" ref="J2906">GetLongitude(D2906)</f>
        <v>120863673</v>
      </c>
      <c r="K2906" s="1">
        <f t="shared" si="136"/>
        <v>55.641961000000002</v>
      </c>
      <c r="L2906" s="1">
        <f t="shared" si="137"/>
        <v>12.086367299999999</v>
      </c>
    </row>
    <row r="2907" spans="1:12" ht="16" x14ac:dyDescent="0.2">
      <c r="A2907" s="1">
        <v>2906</v>
      </c>
      <c r="B2907" s="1" t="s">
        <v>8579</v>
      </c>
      <c r="C2907" s="1" t="s">
        <v>8658</v>
      </c>
      <c r="D2907" s="1" t="str">
        <f t="shared" si="135"/>
        <v>Roskilde KommuneSkolegade 3</v>
      </c>
      <c r="E2907" s="1" t="s">
        <v>8659</v>
      </c>
      <c r="F2907" s="1" t="s">
        <v>8660</v>
      </c>
      <c r="G2907" s="1">
        <v>1945</v>
      </c>
      <c r="H2907" s="1" t="s">
        <v>11</v>
      </c>
      <c r="I2907" s="6" cm="1">
        <f t="array" ref="I2907">GetLatitude(D2907)</f>
        <v>556382005</v>
      </c>
      <c r="J2907" s="1" cm="1">
        <f t="array" ref="J2907">GetLongitude(D2907)</f>
        <v>121157851</v>
      </c>
      <c r="K2907" s="1">
        <f t="shared" si="136"/>
        <v>55.638200500000004</v>
      </c>
      <c r="L2907" s="1">
        <f t="shared" si="137"/>
        <v>12.1157851</v>
      </c>
    </row>
    <row r="2908" spans="1:12" ht="16" x14ac:dyDescent="0.2">
      <c r="A2908" s="1">
        <v>2907</v>
      </c>
      <c r="B2908" s="1" t="s">
        <v>8579</v>
      </c>
      <c r="C2908" s="1" t="s">
        <v>8661</v>
      </c>
      <c r="D2908" s="1" t="str">
        <f t="shared" si="135"/>
        <v>Roskilde KommuneSkolegade 5, 7 og 9 og Lille Maglekildestræde 2</v>
      </c>
      <c r="E2908" s="1" t="s">
        <v>8662</v>
      </c>
      <c r="F2908" s="1" t="s">
        <v>8663</v>
      </c>
      <c r="G2908" s="1">
        <v>1919</v>
      </c>
      <c r="H2908" s="1" t="s">
        <v>8664</v>
      </c>
      <c r="I2908" s="6" cm="1">
        <f t="array" ref="I2908">GetLatitude(D2908)</f>
        <v>556427693</v>
      </c>
      <c r="J2908" s="1" cm="1">
        <f t="array" ref="J2908">GetLongitude(D2908)</f>
        <v>120790749</v>
      </c>
      <c r="K2908" s="1">
        <f t="shared" si="136"/>
        <v>55.642769299999998</v>
      </c>
      <c r="L2908" s="1">
        <f t="shared" si="137"/>
        <v>12.0790749</v>
      </c>
    </row>
    <row r="2909" spans="1:12" ht="16" x14ac:dyDescent="0.2">
      <c r="A2909" s="1">
        <v>2908</v>
      </c>
      <c r="B2909" s="1" t="s">
        <v>8579</v>
      </c>
      <c r="C2909" s="1" t="s">
        <v>8665</v>
      </c>
      <c r="D2909" s="1" t="str">
        <f t="shared" si="135"/>
        <v>Roskilde KommuneSkovbogade 43 A og C</v>
      </c>
      <c r="E2909" s="1" t="s">
        <v>8666</v>
      </c>
      <c r="F2909" s="1" t="s">
        <v>8667</v>
      </c>
      <c r="G2909" s="1">
        <v>1992</v>
      </c>
      <c r="H2909" s="1" t="s">
        <v>15</v>
      </c>
      <c r="I2909" s="6" cm="1">
        <f t="array" ref="I2909">GetLatitude(D2909)</f>
        <v>556359591</v>
      </c>
      <c r="J2909" s="1" cm="1">
        <f t="array" ref="J2909">GetLongitude(D2909)</f>
        <v>120789528</v>
      </c>
      <c r="K2909" s="1">
        <f t="shared" si="136"/>
        <v>55.635959100000001</v>
      </c>
      <c r="L2909" s="1">
        <f t="shared" si="137"/>
        <v>12.0789528</v>
      </c>
    </row>
    <row r="2910" spans="1:12" ht="16" x14ac:dyDescent="0.2">
      <c r="A2910" s="1">
        <v>2909</v>
      </c>
      <c r="B2910" s="1" t="s">
        <v>8579</v>
      </c>
      <c r="C2910" s="1" t="s">
        <v>8668</v>
      </c>
      <c r="D2910" s="1" t="str">
        <f t="shared" si="135"/>
        <v>Roskilde KommuneSmedestræde 1</v>
      </c>
      <c r="E2910" s="1" t="s">
        <v>8669</v>
      </c>
      <c r="F2910" s="1" t="s">
        <v>8670</v>
      </c>
      <c r="G2910" s="1">
        <v>1990</v>
      </c>
      <c r="H2910" s="1" t="s">
        <v>11</v>
      </c>
      <c r="I2910" s="6" cm="1">
        <f t="array" ref="I2910">GetLatitude(D2910)</f>
        <v>556419100</v>
      </c>
      <c r="J2910" s="1" cm="1">
        <f t="array" ref="J2910">GetLongitude(D2910)</f>
        <v>120878450</v>
      </c>
      <c r="K2910" s="1">
        <f t="shared" si="136"/>
        <v>55.641910000000003</v>
      </c>
      <c r="L2910" s="1">
        <f t="shared" si="137"/>
        <v>12.087845</v>
      </c>
    </row>
    <row r="2911" spans="1:12" ht="16" x14ac:dyDescent="0.2">
      <c r="A2911" s="1">
        <v>2910</v>
      </c>
      <c r="B2911" s="1" t="s">
        <v>8579</v>
      </c>
      <c r="C2911" s="1" t="s">
        <v>8671</v>
      </c>
      <c r="D2911" s="1" t="str">
        <f t="shared" si="135"/>
        <v>Roskilde KommuneStore Gråbrødrestræde 12 B</v>
      </c>
      <c r="E2911" s="1" t="s">
        <v>8672</v>
      </c>
      <c r="F2911" s="1" t="s">
        <v>8673</v>
      </c>
      <c r="G2911" s="1">
        <v>2000</v>
      </c>
      <c r="H2911" s="1" t="s">
        <v>15</v>
      </c>
      <c r="I2911" s="6" cm="1">
        <f t="array" ref="I2911">GetLatitude(D2911)</f>
        <v>556396920</v>
      </c>
      <c r="J2911" s="1" cm="1">
        <f t="array" ref="J2911">GetLongitude(D2911)</f>
        <v>120866220</v>
      </c>
      <c r="K2911" s="1">
        <f t="shared" si="136"/>
        <v>55.639691999999997</v>
      </c>
      <c r="L2911" s="1">
        <f t="shared" si="137"/>
        <v>12.086622</v>
      </c>
    </row>
    <row r="2912" spans="1:12" ht="16" x14ac:dyDescent="0.2">
      <c r="A2912" s="1">
        <v>2911</v>
      </c>
      <c r="B2912" s="1" t="s">
        <v>8579</v>
      </c>
      <c r="C2912" s="1" t="s">
        <v>8674</v>
      </c>
      <c r="D2912" s="1" t="str">
        <f t="shared" si="135"/>
        <v>Roskilde KommuneStore Valbyvej 276</v>
      </c>
      <c r="E2912" s="1" t="s">
        <v>2096</v>
      </c>
      <c r="F2912" s="1" t="s">
        <v>8675</v>
      </c>
      <c r="G2912" s="1">
        <v>1959</v>
      </c>
      <c r="H2912" s="1" t="s">
        <v>15</v>
      </c>
      <c r="I2912" s="6" cm="1">
        <f t="array" ref="I2912">GetLatitude(D2912)</f>
        <v>557264670</v>
      </c>
      <c r="J2912" s="1" cm="1">
        <f t="array" ref="J2912">GetLongitude(D2912)</f>
        <v>122002350</v>
      </c>
      <c r="K2912" s="1">
        <f t="shared" si="136"/>
        <v>55.726467</v>
      </c>
      <c r="L2912" s="1">
        <f t="shared" si="137"/>
        <v>12.200234999999999</v>
      </c>
    </row>
    <row r="2913" spans="1:12" ht="16" x14ac:dyDescent="0.2">
      <c r="A2913" s="1">
        <v>2912</v>
      </c>
      <c r="B2913" s="1" t="s">
        <v>8579</v>
      </c>
      <c r="C2913" s="1" t="s">
        <v>8676</v>
      </c>
      <c r="D2913" s="1" t="str">
        <f t="shared" si="135"/>
        <v>Roskilde KommuneStændertorvet 1</v>
      </c>
      <c r="E2913" s="1" t="s">
        <v>8677</v>
      </c>
      <c r="F2913" s="1" t="s">
        <v>8678</v>
      </c>
      <c r="G2913" s="1">
        <v>1918</v>
      </c>
      <c r="H2913" s="1" t="s">
        <v>15</v>
      </c>
      <c r="I2913" s="6" cm="1">
        <f t="array" ref="I2913">GetLatitude(D2913)</f>
        <v>556415183</v>
      </c>
      <c r="J2913" s="1" cm="1">
        <f t="array" ref="J2913">GetLongitude(D2913)</f>
        <v>120801384</v>
      </c>
      <c r="K2913" s="1">
        <f t="shared" si="136"/>
        <v>55.641518300000001</v>
      </c>
      <c r="L2913" s="1">
        <f t="shared" si="137"/>
        <v>12.080138399999999</v>
      </c>
    </row>
    <row r="2914" spans="1:12" ht="16" x14ac:dyDescent="0.2">
      <c r="A2914" s="1">
        <v>2913</v>
      </c>
      <c r="B2914" s="1" t="s">
        <v>8579</v>
      </c>
      <c r="C2914" s="1" t="s">
        <v>8679</v>
      </c>
      <c r="D2914" s="1" t="str">
        <f t="shared" si="135"/>
        <v>Roskilde KommuneStændertorvet 3 A-E</v>
      </c>
      <c r="E2914" s="1" t="s">
        <v>8680</v>
      </c>
      <c r="F2914" s="1" t="s">
        <v>8681</v>
      </c>
      <c r="G2914" s="1">
        <v>1918</v>
      </c>
      <c r="H2914" s="1" t="s">
        <v>8682</v>
      </c>
      <c r="I2914" s="6" cm="1">
        <f t="array" ref="I2914">GetLatitude(D2914)</f>
        <v>556417240</v>
      </c>
      <c r="J2914" s="1" cm="1">
        <f t="array" ref="J2914">GetLongitude(D2914)</f>
        <v>120817401</v>
      </c>
      <c r="K2914" s="1">
        <f t="shared" si="136"/>
        <v>55.641724000000004</v>
      </c>
      <c r="L2914" s="1">
        <f t="shared" si="137"/>
        <v>12.081740099999999</v>
      </c>
    </row>
    <row r="2915" spans="1:12" ht="16" x14ac:dyDescent="0.2">
      <c r="A2915" s="1">
        <v>2914</v>
      </c>
      <c r="B2915" s="1" t="s">
        <v>8579</v>
      </c>
      <c r="C2915" s="1" t="s">
        <v>8683</v>
      </c>
      <c r="D2915" s="1" t="str">
        <f t="shared" si="135"/>
        <v>Roskilde KommuneStændertorvet 3 F</v>
      </c>
      <c r="E2915" s="1" t="s">
        <v>8684</v>
      </c>
      <c r="F2915" s="1" t="s">
        <v>8685</v>
      </c>
      <c r="G2915" s="1">
        <v>1918</v>
      </c>
      <c r="H2915" s="1" t="s">
        <v>15</v>
      </c>
      <c r="I2915" s="6" cm="1">
        <f t="array" ref="I2915">GetLatitude(D2915)</f>
        <v>556418246</v>
      </c>
      <c r="J2915" s="1" cm="1">
        <f t="array" ref="J2915">GetLongitude(D2915)</f>
        <v>120823637</v>
      </c>
      <c r="K2915" s="1">
        <f t="shared" si="136"/>
        <v>55.6418246</v>
      </c>
      <c r="L2915" s="1">
        <f t="shared" si="137"/>
        <v>12.0823637</v>
      </c>
    </row>
    <row r="2916" spans="1:12" ht="16" x14ac:dyDescent="0.2">
      <c r="A2916" s="1">
        <v>2915</v>
      </c>
      <c r="B2916" s="1" t="s">
        <v>8579</v>
      </c>
      <c r="C2916" s="1" t="s">
        <v>8686</v>
      </c>
      <c r="D2916" s="1" t="str">
        <f t="shared" si="135"/>
        <v>Roskilde KommuneTuttesti</v>
      </c>
      <c r="E2916" s="1" t="s">
        <v>8687</v>
      </c>
      <c r="F2916" s="1" t="s">
        <v>8688</v>
      </c>
      <c r="G2916" s="1">
        <v>1976</v>
      </c>
      <c r="H2916" s="1" t="s">
        <v>15</v>
      </c>
      <c r="I2916" s="6" cm="1">
        <f t="array" ref="I2916">GetLatitude(D2916)</f>
        <v>556448187</v>
      </c>
      <c r="J2916" s="1" cm="1">
        <f t="array" ref="J2916">GetLongitude(D2916)</f>
        <v>120793755</v>
      </c>
      <c r="K2916" s="1">
        <f t="shared" si="136"/>
        <v>55.644818700000002</v>
      </c>
      <c r="L2916" s="1">
        <f t="shared" si="137"/>
        <v>12.079375499999999</v>
      </c>
    </row>
    <row r="2917" spans="1:12" ht="16" x14ac:dyDescent="0.2">
      <c r="A2917" s="1">
        <v>2916</v>
      </c>
      <c r="B2917" s="1" t="s">
        <v>8579</v>
      </c>
      <c r="C2917" s="1" t="s">
        <v>8689</v>
      </c>
      <c r="D2917" s="1" t="str">
        <f t="shared" si="135"/>
        <v>Roskilde KommuneØstermarken 4</v>
      </c>
      <c r="E2917" s="1" t="s">
        <v>8690</v>
      </c>
      <c r="F2917" s="1" t="s">
        <v>8691</v>
      </c>
      <c r="G2917" s="1">
        <v>1997</v>
      </c>
      <c r="H2917" s="1" t="s">
        <v>15</v>
      </c>
      <c r="I2917" s="6" cm="1">
        <f t="array" ref="I2917">GetLatitude(D2917)</f>
        <v>556382005</v>
      </c>
      <c r="J2917" s="1" cm="1">
        <f t="array" ref="J2917">GetLongitude(D2917)</f>
        <v>121157851</v>
      </c>
      <c r="K2917" s="1">
        <f t="shared" si="136"/>
        <v>55.638200500000004</v>
      </c>
      <c r="L2917" s="1">
        <f t="shared" si="137"/>
        <v>12.1157851</v>
      </c>
    </row>
    <row r="2918" spans="1:12" ht="16" x14ac:dyDescent="0.2">
      <c r="A2918" s="1">
        <v>2917</v>
      </c>
      <c r="B2918" s="1" t="s">
        <v>8579</v>
      </c>
      <c r="C2918" s="1" t="s">
        <v>8692</v>
      </c>
      <c r="D2918" s="1" t="str">
        <f t="shared" si="135"/>
        <v>Roskilde KommuneAttemosevej 170</v>
      </c>
      <c r="E2918" s="1" t="s">
        <v>8693</v>
      </c>
      <c r="F2918" s="1" t="s">
        <v>8694</v>
      </c>
      <c r="G2918" s="1">
        <v>1918</v>
      </c>
      <c r="H2918" s="1" t="s">
        <v>15</v>
      </c>
      <c r="I2918" s="6" cm="1">
        <f t="array" ref="I2918">GetLatitude(D2918)</f>
        <v>558289229</v>
      </c>
      <c r="J2918" s="1" cm="1">
        <f t="array" ref="J2918">GetLongitude(D2918)</f>
        <v>125174475</v>
      </c>
      <c r="K2918" s="1">
        <f t="shared" si="136"/>
        <v>55.828922900000002</v>
      </c>
      <c r="L2918" s="1">
        <f t="shared" si="137"/>
        <v>12.517447499999999</v>
      </c>
    </row>
    <row r="2919" spans="1:12" ht="16" x14ac:dyDescent="0.2">
      <c r="A2919" s="1">
        <v>2918</v>
      </c>
      <c r="B2919" s="1" t="s">
        <v>8579</v>
      </c>
      <c r="C2919" s="1" t="s">
        <v>8695</v>
      </c>
      <c r="D2919" s="1" t="str">
        <f t="shared" si="135"/>
        <v>Roskilde KommuneAttemosevej 53</v>
      </c>
      <c r="E2919" s="1" t="s">
        <v>8696</v>
      </c>
      <c r="F2919" s="1" t="s">
        <v>8697</v>
      </c>
      <c r="G2919" s="1">
        <v>2008</v>
      </c>
      <c r="H2919" s="1" t="s">
        <v>15</v>
      </c>
      <c r="I2919" s="6" cm="1">
        <f t="array" ref="I2919">GetLatitude(D2919)</f>
        <v>558156914</v>
      </c>
      <c r="J2919" s="1" cm="1">
        <f t="array" ref="J2919">GetLongitude(D2919)</f>
        <v>125074963</v>
      </c>
      <c r="K2919" s="1">
        <f t="shared" si="136"/>
        <v>55.815691399999999</v>
      </c>
      <c r="L2919" s="1">
        <f t="shared" si="137"/>
        <v>12.5074963</v>
      </c>
    </row>
    <row r="2920" spans="1:12" ht="16" x14ac:dyDescent="0.2">
      <c r="A2920" s="1">
        <v>2919</v>
      </c>
      <c r="B2920" s="1" t="s">
        <v>8579</v>
      </c>
      <c r="C2920" s="1" t="s">
        <v>8698</v>
      </c>
      <c r="D2920" s="1" t="str">
        <f t="shared" si="135"/>
        <v>Roskilde KommuneBaneskellet 64-70 og 72-78</v>
      </c>
      <c r="E2920" s="1" t="s">
        <v>8699</v>
      </c>
      <c r="F2920" s="1" t="s">
        <v>8700</v>
      </c>
      <c r="G2920" s="1">
        <v>2001</v>
      </c>
      <c r="H2920" s="1" t="s">
        <v>11</v>
      </c>
      <c r="I2920" s="6" cm="1">
        <f t="array" ref="I2920">GetLatitude(D2920)</f>
        <v>556419100</v>
      </c>
      <c r="J2920" s="1" cm="1">
        <f t="array" ref="J2920">GetLongitude(D2920)</f>
        <v>120878450</v>
      </c>
      <c r="K2920" s="1">
        <f t="shared" si="136"/>
        <v>55.641910000000003</v>
      </c>
      <c r="L2920" s="1">
        <f t="shared" si="137"/>
        <v>12.087845</v>
      </c>
    </row>
    <row r="2921" spans="1:12" ht="16" x14ac:dyDescent="0.2">
      <c r="A2921" s="1">
        <v>2920</v>
      </c>
      <c r="B2921" s="1" t="s">
        <v>8579</v>
      </c>
      <c r="C2921" s="1" t="s">
        <v>8701</v>
      </c>
      <c r="D2921" s="1" t="str">
        <f t="shared" si="135"/>
        <v>Roskilde KommuneBøllemosevej 4-6 og Skodsborgparken 19-21</v>
      </c>
      <c r="E2921" s="1" t="s">
        <v>8702</v>
      </c>
      <c r="F2921" s="1" t="s">
        <v>8703</v>
      </c>
      <c r="G2921" s="1">
        <v>1992</v>
      </c>
      <c r="H2921" s="1" t="s">
        <v>15</v>
      </c>
      <c r="I2921" s="6" cm="1">
        <f t="array" ref="I2921">GetLatitude(D2921)</f>
        <v>558232714</v>
      </c>
      <c r="J2921" s="1" cm="1">
        <f t="array" ref="J2921">GetLongitude(D2921)</f>
        <v>125720212</v>
      </c>
      <c r="K2921" s="1">
        <f t="shared" si="136"/>
        <v>55.823271400000003</v>
      </c>
      <c r="L2921" s="1">
        <f t="shared" si="137"/>
        <v>12.5720212</v>
      </c>
    </row>
    <row r="2922" spans="1:12" ht="16" x14ac:dyDescent="0.2">
      <c r="A2922" s="1">
        <v>2921</v>
      </c>
      <c r="B2922" s="1" t="s">
        <v>8579</v>
      </c>
      <c r="C2922" s="1" t="s">
        <v>8704</v>
      </c>
      <c r="D2922" s="1" t="str">
        <f t="shared" si="135"/>
        <v>Roskilde KommuneDronninggårds Allé 124-140</v>
      </c>
      <c r="E2922" s="1" t="s">
        <v>8705</v>
      </c>
      <c r="F2922" s="1" t="s">
        <v>8706</v>
      </c>
      <c r="G2922" s="1">
        <v>1918</v>
      </c>
      <c r="H2922" s="1" t="s">
        <v>8707</v>
      </c>
      <c r="I2922" s="6" cm="1">
        <f t="array" ref="I2922">GetLatitude(D2922)</f>
        <v>558076181</v>
      </c>
      <c r="J2922" s="1" cm="1">
        <f t="array" ref="J2922">GetLongitude(D2922)</f>
        <v>124425374</v>
      </c>
      <c r="K2922" s="1">
        <f t="shared" si="136"/>
        <v>55.807618099999999</v>
      </c>
      <c r="L2922" s="1">
        <f t="shared" si="137"/>
        <v>12.442537400000001</v>
      </c>
    </row>
    <row r="2923" spans="1:12" ht="16" x14ac:dyDescent="0.2">
      <c r="A2923" s="1">
        <v>2922</v>
      </c>
      <c r="B2923" s="1" t="s">
        <v>8579</v>
      </c>
      <c r="C2923" s="1" t="s">
        <v>8708</v>
      </c>
      <c r="D2923" s="1" t="str">
        <f t="shared" si="135"/>
        <v>Roskilde KommuneDronninggårds Allé 42</v>
      </c>
      <c r="E2923" s="1" t="s">
        <v>8709</v>
      </c>
      <c r="F2923" s="1" t="s">
        <v>8710</v>
      </c>
      <c r="G2923" s="1">
        <v>2001</v>
      </c>
      <c r="H2923" s="1" t="s">
        <v>11</v>
      </c>
      <c r="I2923" s="6" cm="1">
        <f t="array" ref="I2923">GetLatitude(D2923)</f>
        <v>558113573</v>
      </c>
      <c r="J2923" s="1" cm="1">
        <f t="array" ref="J2923">GetLongitude(D2923)</f>
        <v>124601747</v>
      </c>
      <c r="K2923" s="1">
        <f t="shared" si="136"/>
        <v>55.811357299999997</v>
      </c>
      <c r="L2923" s="1">
        <f t="shared" si="137"/>
        <v>12.4601747</v>
      </c>
    </row>
    <row r="2924" spans="1:12" ht="16" x14ac:dyDescent="0.2">
      <c r="A2924" s="1">
        <v>2923</v>
      </c>
      <c r="B2924" s="1" t="s">
        <v>8579</v>
      </c>
      <c r="C2924" s="1" t="s">
        <v>8711</v>
      </c>
      <c r="D2924" s="1" t="str">
        <f t="shared" si="135"/>
        <v>Roskilde KommuneFrederikslundsvej 21</v>
      </c>
      <c r="E2924" s="1" t="s">
        <v>8712</v>
      </c>
      <c r="F2924" s="1" t="s">
        <v>8713</v>
      </c>
      <c r="G2924" s="1">
        <v>1978</v>
      </c>
      <c r="H2924" s="1" t="s">
        <v>11</v>
      </c>
      <c r="I2924" s="6" cm="1">
        <f t="array" ref="I2924">GetLatitude(D2924)</f>
        <v>556382005</v>
      </c>
      <c r="J2924" s="1" cm="1">
        <f t="array" ref="J2924">GetLongitude(D2924)</f>
        <v>121157851</v>
      </c>
      <c r="K2924" s="1">
        <f t="shared" si="136"/>
        <v>55.638200500000004</v>
      </c>
      <c r="L2924" s="1">
        <f t="shared" si="137"/>
        <v>12.1157851</v>
      </c>
    </row>
    <row r="2925" spans="1:12" ht="16" x14ac:dyDescent="0.2">
      <c r="A2925" s="1">
        <v>2924</v>
      </c>
      <c r="B2925" s="1" t="s">
        <v>8579</v>
      </c>
      <c r="C2925" s="1" t="s">
        <v>8714</v>
      </c>
      <c r="D2925" s="1" t="str">
        <f t="shared" si="135"/>
        <v>Roskilde KommuneFrydenlunds Allé 9-21</v>
      </c>
      <c r="E2925" s="1" t="s">
        <v>8715</v>
      </c>
      <c r="F2925" s="1" t="s">
        <v>8716</v>
      </c>
      <c r="G2925" s="1">
        <v>1918</v>
      </c>
      <c r="H2925" s="1" t="s">
        <v>15</v>
      </c>
      <c r="I2925" s="6" cm="1">
        <f t="array" ref="I2925">GetLatitude(D2925)</f>
        <v>556382005</v>
      </c>
      <c r="J2925" s="1" cm="1">
        <f t="array" ref="J2925">GetLongitude(D2925)</f>
        <v>121157851</v>
      </c>
      <c r="K2925" s="1">
        <f t="shared" si="136"/>
        <v>55.638200500000004</v>
      </c>
      <c r="L2925" s="1">
        <f t="shared" si="137"/>
        <v>12.1157851</v>
      </c>
    </row>
    <row r="2926" spans="1:12" ht="16" x14ac:dyDescent="0.2">
      <c r="A2926" s="1">
        <v>2925</v>
      </c>
      <c r="B2926" s="1" t="s">
        <v>8579</v>
      </c>
      <c r="C2926" s="1" t="s">
        <v>8717</v>
      </c>
      <c r="D2926" s="1" t="str">
        <f t="shared" si="135"/>
        <v>Roskilde KommuneGammel Dronninggårds Allé 3 og 6</v>
      </c>
      <c r="E2926" s="1" t="s">
        <v>8718</v>
      </c>
      <c r="F2926" s="1" t="s">
        <v>8719</v>
      </c>
      <c r="G2926" s="1">
        <v>1964</v>
      </c>
      <c r="H2926" s="1" t="s">
        <v>15</v>
      </c>
      <c r="I2926" s="6" cm="1">
        <f t="array" ref="I2926">GetLatitude(D2926)</f>
        <v>558121250</v>
      </c>
      <c r="J2926" s="1" cm="1">
        <f t="array" ref="J2926">GetLongitude(D2926)</f>
        <v>124709060</v>
      </c>
      <c r="K2926" s="1">
        <f t="shared" si="136"/>
        <v>55.812125000000002</v>
      </c>
      <c r="L2926" s="1">
        <f t="shared" si="137"/>
        <v>12.470905999999999</v>
      </c>
    </row>
    <row r="2927" spans="1:12" ht="16" x14ac:dyDescent="0.2">
      <c r="A2927" s="1">
        <v>2926</v>
      </c>
      <c r="B2927" s="1" t="s">
        <v>8579</v>
      </c>
      <c r="C2927" s="1" t="s">
        <v>8720</v>
      </c>
      <c r="D2927" s="1" t="str">
        <f t="shared" si="135"/>
        <v>Roskilde KommuneGranholmen 9-44, 46-47, Parcelvej 26A-42B (lige numre) og Vejlemosevej 38-66 (lige numre)</v>
      </c>
      <c r="E2927" s="1" t="s">
        <v>8721</v>
      </c>
      <c r="F2927" s="1" t="s">
        <v>8722</v>
      </c>
      <c r="G2927" s="1">
        <v>2015</v>
      </c>
      <c r="H2927" s="1" t="s">
        <v>15</v>
      </c>
      <c r="I2927" s="6" cm="1">
        <f t="array" ref="I2927">GetLatitude(D2927)</f>
        <v>558022357</v>
      </c>
      <c r="J2927" s="1" cm="1">
        <f t="array" ref="J2927">GetLongitude(D2927)</f>
        <v>124497138</v>
      </c>
      <c r="K2927" s="1">
        <f t="shared" si="136"/>
        <v>55.802235699999997</v>
      </c>
      <c r="L2927" s="1">
        <f t="shared" si="137"/>
        <v>12.4497138</v>
      </c>
    </row>
    <row r="2928" spans="1:12" ht="16" x14ac:dyDescent="0.2">
      <c r="A2928" s="1">
        <v>2927</v>
      </c>
      <c r="B2928" s="1" t="s">
        <v>8579</v>
      </c>
      <c r="C2928" s="1" t="s">
        <v>8723</v>
      </c>
      <c r="D2928" s="1" t="str">
        <f t="shared" si="135"/>
        <v>Roskilde KommuneKastanievej 16</v>
      </c>
      <c r="E2928" s="1" t="s">
        <v>8724</v>
      </c>
      <c r="F2928" s="1" t="s">
        <v>8725</v>
      </c>
      <c r="G2928" s="1">
        <v>2021</v>
      </c>
      <c r="H2928" s="1" t="s">
        <v>11</v>
      </c>
      <c r="I2928" s="6" cm="1">
        <f t="array" ref="I2928">GetLatitude(D2928)</f>
        <v>556419100</v>
      </c>
      <c r="J2928" s="1" cm="1">
        <f t="array" ref="J2928">GetLongitude(D2928)</f>
        <v>120878450</v>
      </c>
      <c r="K2928" s="1">
        <f t="shared" si="136"/>
        <v>55.641910000000003</v>
      </c>
      <c r="L2928" s="1">
        <f t="shared" si="137"/>
        <v>12.087845</v>
      </c>
    </row>
    <row r="2929" spans="1:12" ht="16" x14ac:dyDescent="0.2">
      <c r="A2929" s="1">
        <v>2928</v>
      </c>
      <c r="B2929" s="1" t="s">
        <v>8579</v>
      </c>
      <c r="C2929" s="1" t="s">
        <v>8726</v>
      </c>
      <c r="D2929" s="1" t="str">
        <f t="shared" si="135"/>
        <v>Roskilde KommuneK-F Nærum og Omegn 1-50 (tidl Nærumgårdsvej 73)</v>
      </c>
      <c r="E2929" s="1" t="s">
        <v>8727</v>
      </c>
      <c r="F2929" s="1" t="s">
        <v>8728</v>
      </c>
      <c r="G2929" s="1">
        <v>1991</v>
      </c>
      <c r="H2929" s="1" t="s">
        <v>15</v>
      </c>
      <c r="I2929" s="6" cm="1">
        <f t="array" ref="I2929">GetLatitude(D2929)</f>
        <v>558096733</v>
      </c>
      <c r="J2929" s="1" cm="1">
        <f t="array" ref="J2929">GetLongitude(D2929)</f>
        <v>125396770</v>
      </c>
      <c r="K2929" s="1">
        <f t="shared" si="136"/>
        <v>55.8096733</v>
      </c>
      <c r="L2929" s="1">
        <f t="shared" si="137"/>
        <v>12.539676999999999</v>
      </c>
    </row>
    <row r="2930" spans="1:12" ht="16" x14ac:dyDescent="0.2">
      <c r="A2930" s="1">
        <v>2929</v>
      </c>
      <c r="B2930" s="1" t="s">
        <v>8579</v>
      </c>
      <c r="C2930" s="1" t="s">
        <v>8729</v>
      </c>
      <c r="D2930" s="1" t="str">
        <f t="shared" si="135"/>
        <v>Roskilde KommuneKildevej 8, Holte</v>
      </c>
      <c r="E2930" s="1" t="s">
        <v>8730</v>
      </c>
      <c r="F2930" s="1" t="s">
        <v>8731</v>
      </c>
      <c r="G2930" s="1">
        <v>1983</v>
      </c>
      <c r="H2930" s="1" t="s">
        <v>11</v>
      </c>
      <c r="I2930" s="6" cm="1">
        <f t="array" ref="I2930">GetLatitude(D2930)</f>
        <v>556382005</v>
      </c>
      <c r="J2930" s="1" cm="1">
        <f t="array" ref="J2930">GetLongitude(D2930)</f>
        <v>121157851</v>
      </c>
      <c r="K2930" s="1">
        <f t="shared" si="136"/>
        <v>55.638200500000004</v>
      </c>
      <c r="L2930" s="1">
        <f t="shared" si="137"/>
        <v>12.1157851</v>
      </c>
    </row>
    <row r="2931" spans="1:12" ht="16" x14ac:dyDescent="0.2">
      <c r="A2931" s="1">
        <v>2930</v>
      </c>
      <c r="B2931" s="1" t="s">
        <v>8579</v>
      </c>
      <c r="C2931" s="1" t="s">
        <v>8732</v>
      </c>
      <c r="D2931" s="1" t="str">
        <f t="shared" si="135"/>
        <v>Roskilde KommuneLyngskrænten 5</v>
      </c>
      <c r="E2931" s="1" t="s">
        <v>8733</v>
      </c>
      <c r="F2931" s="1" t="s">
        <v>8734</v>
      </c>
      <c r="G2931" s="1">
        <v>2022</v>
      </c>
      <c r="H2931" s="1" t="s">
        <v>15</v>
      </c>
      <c r="I2931" s="6" cm="1">
        <f t="array" ref="I2931">GetLatitude(D2931)</f>
        <v>558141420</v>
      </c>
      <c r="J2931" s="1" cm="1">
        <f t="array" ref="J2931">GetLongitude(D2931)</f>
        <v>125116043</v>
      </c>
      <c r="K2931" s="1">
        <f t="shared" si="136"/>
        <v>55.814141999999997</v>
      </c>
      <c r="L2931" s="1">
        <f t="shared" si="137"/>
        <v>12.5116043</v>
      </c>
    </row>
    <row r="2932" spans="1:12" ht="16" x14ac:dyDescent="0.2">
      <c r="A2932" s="1">
        <v>2931</v>
      </c>
      <c r="B2932" s="1" t="s">
        <v>8579</v>
      </c>
      <c r="C2932" s="1" t="s">
        <v>8735</v>
      </c>
      <c r="D2932" s="1" t="str">
        <f t="shared" si="135"/>
        <v>Roskilde KommuneNorske Allé 15</v>
      </c>
      <c r="E2932" s="1" t="s">
        <v>8736</v>
      </c>
      <c r="F2932" s="1" t="s">
        <v>8737</v>
      </c>
      <c r="G2932" s="1">
        <v>2000</v>
      </c>
      <c r="H2932" s="1" t="s">
        <v>11</v>
      </c>
      <c r="I2932" s="6" cm="1">
        <f t="array" ref="I2932">GetLatitude(D2932)</f>
        <v>558075163</v>
      </c>
      <c r="J2932" s="1" cm="1">
        <f t="array" ref="J2932">GetLongitude(D2932)</f>
        <v>124582502</v>
      </c>
      <c r="K2932" s="1">
        <f t="shared" si="136"/>
        <v>55.807516300000003</v>
      </c>
      <c r="L2932" s="1">
        <f t="shared" si="137"/>
        <v>12.4582502</v>
      </c>
    </row>
    <row r="2933" spans="1:12" ht="16" x14ac:dyDescent="0.2">
      <c r="A2933" s="1">
        <v>2932</v>
      </c>
      <c r="B2933" s="1" t="s">
        <v>8579</v>
      </c>
      <c r="C2933" s="1" t="s">
        <v>8738</v>
      </c>
      <c r="D2933" s="1" t="str">
        <f t="shared" si="135"/>
        <v>Roskilde KommuneParadisvænget 24</v>
      </c>
      <c r="E2933" s="1" t="s">
        <v>8739</v>
      </c>
      <c r="F2933" s="1" t="s">
        <v>8740</v>
      </c>
      <c r="G2933" s="1">
        <v>2012</v>
      </c>
      <c r="H2933" s="1" t="s">
        <v>15</v>
      </c>
      <c r="I2933" s="6" cm="1">
        <f t="array" ref="I2933">GetLatitude(D2933)</f>
        <v>555964570</v>
      </c>
      <c r="J2933" s="1" cm="1">
        <f t="array" ref="J2933">GetLongitude(D2933)</f>
        <v>120148580</v>
      </c>
      <c r="K2933" s="1">
        <f t="shared" si="136"/>
        <v>55.596457000000001</v>
      </c>
      <c r="L2933" s="1">
        <f t="shared" si="137"/>
        <v>12.014858</v>
      </c>
    </row>
    <row r="2934" spans="1:12" ht="16" x14ac:dyDescent="0.2">
      <c r="A2934" s="1">
        <v>2933</v>
      </c>
      <c r="B2934" s="1" t="s">
        <v>8579</v>
      </c>
      <c r="C2934" s="1" t="s">
        <v>8741</v>
      </c>
      <c r="D2934" s="1" t="str">
        <f t="shared" si="135"/>
        <v>Roskilde KommuneRaadvad 46-50</v>
      </c>
      <c r="E2934" s="1" t="s">
        <v>8742</v>
      </c>
      <c r="F2934" s="1" t="s">
        <v>8743</v>
      </c>
      <c r="G2934" s="1">
        <v>1983</v>
      </c>
      <c r="H2934" s="2" t="s">
        <v>11</v>
      </c>
      <c r="I2934" s="6" cm="1">
        <f t="array" ref="I2934">GetLatitude(D2934)</f>
        <v>556382005</v>
      </c>
      <c r="J2934" s="1" cm="1">
        <f t="array" ref="J2934">GetLongitude(D2934)</f>
        <v>121157851</v>
      </c>
      <c r="K2934" s="1">
        <f t="shared" si="136"/>
        <v>55.638200500000004</v>
      </c>
      <c r="L2934" s="1">
        <f t="shared" si="137"/>
        <v>12.1157851</v>
      </c>
    </row>
    <row r="2935" spans="1:12" ht="16" x14ac:dyDescent="0.2">
      <c r="A2935" s="1">
        <v>2934</v>
      </c>
      <c r="B2935" s="1" t="s">
        <v>8579</v>
      </c>
      <c r="C2935" s="1" t="s">
        <v>8744</v>
      </c>
      <c r="D2935" s="1" t="str">
        <f t="shared" si="135"/>
        <v>Roskilde KommuneRaadvad 52</v>
      </c>
      <c r="E2935" s="1" t="s">
        <v>8745</v>
      </c>
      <c r="F2935" s="1" t="s">
        <v>8746</v>
      </c>
      <c r="G2935" s="1">
        <v>1983</v>
      </c>
      <c r="H2935" s="1" t="s">
        <v>15</v>
      </c>
      <c r="I2935" s="6" cm="1">
        <f t="array" ref="I2935">GetLatitude(D2935)</f>
        <v>556382005</v>
      </c>
      <c r="J2935" s="1" cm="1">
        <f t="array" ref="J2935">GetLongitude(D2935)</f>
        <v>121157851</v>
      </c>
      <c r="K2935" s="1">
        <f t="shared" si="136"/>
        <v>55.638200500000004</v>
      </c>
      <c r="L2935" s="1">
        <f t="shared" si="137"/>
        <v>12.1157851</v>
      </c>
    </row>
    <row r="2936" spans="1:12" ht="16" x14ac:dyDescent="0.2">
      <c r="A2936" s="1">
        <v>2935</v>
      </c>
      <c r="B2936" s="1" t="s">
        <v>8579</v>
      </c>
      <c r="C2936" s="1" t="s">
        <v>8747</v>
      </c>
      <c r="D2936" s="1" t="str">
        <f t="shared" si="135"/>
        <v>Roskilde KommuneSkodsborg Strandvej 113</v>
      </c>
      <c r="E2936" s="1" t="s">
        <v>8748</v>
      </c>
      <c r="F2936" s="1" t="s">
        <v>8749</v>
      </c>
      <c r="G2936" s="1">
        <v>1950</v>
      </c>
      <c r="H2936" s="1" t="s">
        <v>15</v>
      </c>
      <c r="I2936" s="6" cm="1">
        <f t="array" ref="I2936">GetLatitude(D2936)</f>
        <v>558180427</v>
      </c>
      <c r="J2936" s="1" cm="1">
        <f t="array" ref="J2936">GetLongitude(D2936)</f>
        <v>125746461</v>
      </c>
      <c r="K2936" s="1">
        <f t="shared" si="136"/>
        <v>55.818042699999999</v>
      </c>
      <c r="L2936" s="1">
        <f t="shared" si="137"/>
        <v>12.574646100000001</v>
      </c>
    </row>
    <row r="2937" spans="1:12" ht="16" x14ac:dyDescent="0.2">
      <c r="A2937" s="1">
        <v>2936</v>
      </c>
      <c r="B2937" s="1" t="s">
        <v>8579</v>
      </c>
      <c r="C2937" s="1" t="s">
        <v>8750</v>
      </c>
      <c r="D2937" s="1" t="str">
        <f t="shared" si="135"/>
        <v>Roskilde KommuneSkodsborg Strandvej 123</v>
      </c>
      <c r="E2937" s="1" t="s">
        <v>8751</v>
      </c>
      <c r="F2937" s="1" t="s">
        <v>8752</v>
      </c>
      <c r="G2937" s="1">
        <v>1994</v>
      </c>
      <c r="H2937" s="1" t="s">
        <v>15</v>
      </c>
      <c r="I2937" s="6" cm="1">
        <f t="array" ref="I2937">GetLatitude(D2937)</f>
        <v>558188034</v>
      </c>
      <c r="J2937" s="1" cm="1">
        <f t="array" ref="J2937">GetLongitude(D2937)</f>
        <v>125745489</v>
      </c>
      <c r="K2937" s="1">
        <f t="shared" si="136"/>
        <v>55.8188034</v>
      </c>
      <c r="L2937" s="1">
        <f t="shared" si="137"/>
        <v>12.5745489</v>
      </c>
    </row>
    <row r="2938" spans="1:12" ht="16" x14ac:dyDescent="0.2">
      <c r="A2938" s="1">
        <v>2937</v>
      </c>
      <c r="B2938" s="1" t="s">
        <v>8579</v>
      </c>
      <c r="C2938" s="1" t="s">
        <v>8753</v>
      </c>
      <c r="D2938" s="1" t="str">
        <f t="shared" si="135"/>
        <v>Roskilde KommuneSøllerødvej 23-25</v>
      </c>
      <c r="E2938" s="1" t="s">
        <v>8754</v>
      </c>
      <c r="F2938" s="1" t="s">
        <v>8755</v>
      </c>
      <c r="G2938" s="1">
        <v>1970</v>
      </c>
      <c r="H2938" s="1" t="s">
        <v>15</v>
      </c>
      <c r="I2938" s="6" cm="1">
        <f t="array" ref="I2938">GetLatitude(D2938)</f>
        <v>556382005</v>
      </c>
      <c r="J2938" s="1" cm="1">
        <f t="array" ref="J2938">GetLongitude(D2938)</f>
        <v>121157851</v>
      </c>
      <c r="K2938" s="1">
        <f t="shared" si="136"/>
        <v>55.638200500000004</v>
      </c>
      <c r="L2938" s="1">
        <f t="shared" si="137"/>
        <v>12.1157851</v>
      </c>
    </row>
    <row r="2939" spans="1:12" ht="16" x14ac:dyDescent="0.2">
      <c r="A2939" s="1">
        <v>2938</v>
      </c>
      <c r="B2939" s="1" t="s">
        <v>8579</v>
      </c>
      <c r="C2939" s="1" t="s">
        <v>8756</v>
      </c>
      <c r="D2939" s="1" t="str">
        <f t="shared" si="135"/>
        <v>Roskilde KommuneSøllerødvej 30-32</v>
      </c>
      <c r="E2939" s="1" t="s">
        <v>8757</v>
      </c>
      <c r="F2939" s="1" t="s">
        <v>8758</v>
      </c>
      <c r="G2939" s="1">
        <v>1918</v>
      </c>
      <c r="H2939" s="1" t="s">
        <v>701</v>
      </c>
      <c r="I2939" s="6" cm="1">
        <f t="array" ref="I2939">GetLatitude(D2939)</f>
        <v>558125185</v>
      </c>
      <c r="J2939" s="1" cm="1">
        <f t="array" ref="J2939">GetLongitude(D2939)</f>
        <v>124948053</v>
      </c>
      <c r="K2939" s="1">
        <f t="shared" si="136"/>
        <v>55.812518500000003</v>
      </c>
      <c r="L2939" s="1">
        <f t="shared" si="137"/>
        <v>12.494805299999999</v>
      </c>
    </row>
    <row r="2940" spans="1:12" ht="16" x14ac:dyDescent="0.2">
      <c r="A2940" s="1">
        <v>2939</v>
      </c>
      <c r="B2940" s="1" t="s">
        <v>8579</v>
      </c>
      <c r="C2940" s="1" t="s">
        <v>8759</v>
      </c>
      <c r="D2940" s="1" t="str">
        <f t="shared" si="135"/>
        <v>Roskilde KommuneSøllerødvej 31</v>
      </c>
      <c r="E2940" s="1" t="s">
        <v>8760</v>
      </c>
      <c r="F2940" s="1" t="s">
        <v>8761</v>
      </c>
      <c r="G2940" s="1">
        <v>1970</v>
      </c>
      <c r="H2940" s="1" t="s">
        <v>11</v>
      </c>
      <c r="I2940" s="6" cm="1">
        <f t="array" ref="I2940">GetLatitude(D2940)</f>
        <v>558140527</v>
      </c>
      <c r="J2940" s="1" cm="1">
        <f t="array" ref="J2940">GetLongitude(D2940)</f>
        <v>124936246</v>
      </c>
      <c r="K2940" s="1">
        <f t="shared" si="136"/>
        <v>55.814052699999998</v>
      </c>
      <c r="L2940" s="1">
        <f t="shared" si="137"/>
        <v>12.4936246</v>
      </c>
    </row>
    <row r="2941" spans="1:12" ht="16" x14ac:dyDescent="0.2">
      <c r="A2941" s="1">
        <v>2940</v>
      </c>
      <c r="B2941" s="1" t="s">
        <v>8579</v>
      </c>
      <c r="C2941" s="1" t="s">
        <v>8762</v>
      </c>
      <c r="D2941" s="1" t="str">
        <f t="shared" si="135"/>
        <v>Roskilde KommuneSøllerødvej 35</v>
      </c>
      <c r="E2941" s="1" t="s">
        <v>8763</v>
      </c>
      <c r="F2941" s="1" t="s">
        <v>8764</v>
      </c>
      <c r="G2941" s="1">
        <v>1964</v>
      </c>
      <c r="H2941" s="1" t="s">
        <v>11</v>
      </c>
      <c r="I2941" s="6" cm="1">
        <f t="array" ref="I2941">GetLatitude(D2941)</f>
        <v>558136675</v>
      </c>
      <c r="J2941" s="1" cm="1">
        <f t="array" ref="J2941">GetLongitude(D2941)</f>
        <v>124952212</v>
      </c>
      <c r="K2941" s="1">
        <f t="shared" si="136"/>
        <v>55.813667500000001</v>
      </c>
      <c r="L2941" s="1">
        <f t="shared" si="137"/>
        <v>12.4952212</v>
      </c>
    </row>
    <row r="2942" spans="1:12" ht="16" x14ac:dyDescent="0.2">
      <c r="A2942" s="1">
        <v>2941</v>
      </c>
      <c r="B2942" s="1" t="s">
        <v>8579</v>
      </c>
      <c r="C2942" s="1" t="s">
        <v>8765</v>
      </c>
      <c r="D2942" s="1" t="str">
        <f t="shared" si="135"/>
        <v>Roskilde KommuneSøllerødvej 36-38</v>
      </c>
      <c r="E2942" s="1" t="s">
        <v>8766</v>
      </c>
      <c r="F2942" s="1" t="s">
        <v>8767</v>
      </c>
      <c r="G2942" s="1">
        <v>1970</v>
      </c>
      <c r="H2942" s="1" t="s">
        <v>11</v>
      </c>
      <c r="I2942" s="6" cm="1">
        <f t="array" ref="I2942">GetLatitude(D2942)</f>
        <v>558132532</v>
      </c>
      <c r="J2942" s="1" cm="1">
        <f t="array" ref="J2942">GetLongitude(D2942)</f>
        <v>124958149</v>
      </c>
      <c r="K2942" s="1">
        <f t="shared" si="136"/>
        <v>55.813253199999998</v>
      </c>
      <c r="L2942" s="1">
        <f t="shared" si="137"/>
        <v>12.495814899999999</v>
      </c>
    </row>
    <row r="2943" spans="1:12" ht="16" x14ac:dyDescent="0.2">
      <c r="A2943" s="1">
        <v>2942</v>
      </c>
      <c r="B2943" s="1" t="s">
        <v>8579</v>
      </c>
      <c r="C2943" s="1" t="s">
        <v>8768</v>
      </c>
      <c r="D2943" s="1" t="str">
        <f t="shared" si="135"/>
        <v>Roskilde KommuneSøllerødvej 40</v>
      </c>
      <c r="E2943" s="1" t="s">
        <v>8769</v>
      </c>
      <c r="F2943" s="1" t="s">
        <v>8770</v>
      </c>
      <c r="G2943" s="1">
        <v>1970</v>
      </c>
      <c r="H2943" s="1" t="s">
        <v>11</v>
      </c>
      <c r="I2943" s="6" cm="1">
        <f t="array" ref="I2943">GetLatitude(D2943)</f>
        <v>558132379</v>
      </c>
      <c r="J2943" s="1" cm="1">
        <f t="array" ref="J2943">GetLongitude(D2943)</f>
        <v>124962857</v>
      </c>
      <c r="K2943" s="1">
        <f t="shared" si="136"/>
        <v>55.813237899999997</v>
      </c>
      <c r="L2943" s="1">
        <f t="shared" si="137"/>
        <v>12.4962857</v>
      </c>
    </row>
    <row r="2944" spans="1:12" ht="16" x14ac:dyDescent="0.2">
      <c r="A2944" s="1">
        <v>2943</v>
      </c>
      <c r="B2944" s="1" t="s">
        <v>8579</v>
      </c>
      <c r="C2944" s="1" t="s">
        <v>8771</v>
      </c>
      <c r="D2944" s="1" t="str">
        <f t="shared" si="135"/>
        <v>Roskilde KommuneVedbæk Stationsvej 20 A</v>
      </c>
      <c r="E2944" s="1" t="s">
        <v>8772</v>
      </c>
      <c r="F2944" s="1" t="s">
        <v>8773</v>
      </c>
      <c r="G2944" s="1">
        <v>1992</v>
      </c>
      <c r="H2944" s="1" t="s">
        <v>11</v>
      </c>
      <c r="I2944" s="6" cm="1">
        <f t="array" ref="I2944">GetLatitude(D2944)</f>
        <v>556526445</v>
      </c>
      <c r="J2944" s="1" cm="1">
        <f t="array" ref="J2944">GetLongitude(D2944)</f>
        <v>121940525</v>
      </c>
      <c r="K2944" s="1">
        <f t="shared" si="136"/>
        <v>55.652644500000001</v>
      </c>
      <c r="L2944" s="1">
        <f t="shared" si="137"/>
        <v>12.1940525</v>
      </c>
    </row>
    <row r="2945" spans="1:12" ht="16" x14ac:dyDescent="0.2">
      <c r="A2945" s="1">
        <v>2944</v>
      </c>
      <c r="B2945" s="1" t="s">
        <v>8579</v>
      </c>
      <c r="C2945" s="1" t="s">
        <v>8774</v>
      </c>
      <c r="D2945" s="1" t="str">
        <f t="shared" si="135"/>
        <v>Roskilde KommuneVedbæk Strandvej 335</v>
      </c>
      <c r="E2945" s="1" t="s">
        <v>8775</v>
      </c>
      <c r="F2945" s="1" t="s">
        <v>8776</v>
      </c>
      <c r="G2945" s="1">
        <v>1977</v>
      </c>
      <c r="H2945" s="1" t="s">
        <v>11</v>
      </c>
      <c r="I2945" s="6" cm="1">
        <f t="array" ref="I2945">GetLatitude(D2945)</f>
        <v>557635009</v>
      </c>
      <c r="J2945" s="1" cm="1">
        <f t="array" ref="J2945">GetLongitude(D2945)</f>
        <v>125968120</v>
      </c>
      <c r="K2945" s="1">
        <f t="shared" si="136"/>
        <v>55.763500899999997</v>
      </c>
      <c r="L2945" s="1">
        <f t="shared" si="137"/>
        <v>12.596812</v>
      </c>
    </row>
    <row r="2946" spans="1:12" ht="16" x14ac:dyDescent="0.2">
      <c r="A2946" s="1">
        <v>2945</v>
      </c>
      <c r="B2946" s="1" t="s">
        <v>8579</v>
      </c>
      <c r="C2946" s="1" t="s">
        <v>8777</v>
      </c>
      <c r="D2946" s="1" t="str">
        <f t="shared" si="135"/>
        <v>Roskilde KommuneVedbæk Strandvej 341</v>
      </c>
      <c r="E2946" s="1" t="s">
        <v>8778</v>
      </c>
      <c r="F2946" s="1" t="s">
        <v>8779</v>
      </c>
      <c r="G2946" s="1">
        <v>1984</v>
      </c>
      <c r="H2946" s="1" t="s">
        <v>11</v>
      </c>
      <c r="I2946" s="6" cm="1">
        <f t="array" ref="I2946">GetLatitude(D2946)</f>
        <v>557639646</v>
      </c>
      <c r="J2946" s="1" cm="1">
        <f t="array" ref="J2946">GetLongitude(D2946)</f>
        <v>125967804</v>
      </c>
      <c r="K2946" s="1">
        <f t="shared" si="136"/>
        <v>55.763964600000001</v>
      </c>
      <c r="L2946" s="1">
        <f t="shared" si="137"/>
        <v>12.5967804</v>
      </c>
    </row>
    <row r="2947" spans="1:12" ht="16" x14ac:dyDescent="0.2">
      <c r="A2947" s="1">
        <v>2946</v>
      </c>
      <c r="B2947" s="1" t="s">
        <v>8579</v>
      </c>
      <c r="C2947" s="1" t="s">
        <v>8780</v>
      </c>
      <c r="D2947" s="1" t="str">
        <f t="shared" ref="D2947:D3010" si="138">B2947&amp;C2947</f>
        <v>Roskilde KommuneVedbæk Strandvej 387</v>
      </c>
      <c r="E2947" s="1" t="s">
        <v>8781</v>
      </c>
      <c r="F2947" s="1" t="s">
        <v>8782</v>
      </c>
      <c r="G2947" s="1">
        <v>1985</v>
      </c>
      <c r="H2947" s="1" t="s">
        <v>11</v>
      </c>
      <c r="I2947" s="6" cm="1">
        <f t="array" ref="I2947">GetLatitude(D2947)</f>
        <v>557681038</v>
      </c>
      <c r="J2947" s="1" cm="1">
        <f t="array" ref="J2947">GetLongitude(D2947)</f>
        <v>125947465</v>
      </c>
      <c r="K2947" s="1">
        <f t="shared" si="136"/>
        <v>55.768103799999999</v>
      </c>
      <c r="L2947" s="1">
        <f t="shared" si="137"/>
        <v>12.594746499999999</v>
      </c>
    </row>
    <row r="2948" spans="1:12" ht="16" x14ac:dyDescent="0.2">
      <c r="A2948" s="1">
        <v>2947</v>
      </c>
      <c r="B2948" s="1" t="s">
        <v>8579</v>
      </c>
      <c r="C2948" s="1" t="s">
        <v>8783</v>
      </c>
      <c r="D2948" s="1" t="str">
        <f t="shared" si="138"/>
        <v>Roskilde KommuneØverødvej 2</v>
      </c>
      <c r="E2948" s="1" t="s">
        <v>8784</v>
      </c>
      <c r="F2948" s="1" t="s">
        <v>8785</v>
      </c>
      <c r="G2948" s="1">
        <v>1992</v>
      </c>
      <c r="H2948" s="1" t="s">
        <v>15</v>
      </c>
      <c r="I2948" s="6" cm="1">
        <f t="array" ref="I2948">GetLatitude(D2948)</f>
        <v>558106537</v>
      </c>
      <c r="J2948" s="1" cm="1">
        <f t="array" ref="J2948">GetLongitude(D2948)</f>
        <v>124741078</v>
      </c>
      <c r="K2948" s="1">
        <f t="shared" ref="K2948:K3011" si="139">I2948/10000000</f>
        <v>55.810653700000003</v>
      </c>
      <c r="L2948" s="1">
        <f t="shared" ref="L2948:L3011" si="140">J2948/10000000</f>
        <v>12.474107800000001</v>
      </c>
    </row>
    <row r="2949" spans="1:12" ht="16" x14ac:dyDescent="0.2">
      <c r="A2949" s="1">
        <v>2948</v>
      </c>
      <c r="B2949" s="1" t="s">
        <v>8786</v>
      </c>
      <c r="C2949" s="1" t="s">
        <v>8787</v>
      </c>
      <c r="D2949" s="1" t="str">
        <f t="shared" si="138"/>
        <v>Rødovre KommuneKorsdalsvej 103</v>
      </c>
      <c r="E2949" s="1" t="s">
        <v>8788</v>
      </c>
      <c r="F2949" s="1" t="s">
        <v>8789</v>
      </c>
      <c r="G2949" s="1">
        <v>2014</v>
      </c>
      <c r="H2949" s="1" t="s">
        <v>15</v>
      </c>
      <c r="I2949" s="6" cm="1">
        <f t="array" ref="I2949">GetLatitude(D2949)</f>
        <v>556765339</v>
      </c>
      <c r="J2949" s="1" cm="1">
        <f t="array" ref="J2949">GetLongitude(D2949)</f>
        <v>124347985</v>
      </c>
      <c r="K2949" s="1">
        <f t="shared" si="139"/>
        <v>55.676533900000003</v>
      </c>
      <c r="L2949" s="1">
        <f t="shared" si="140"/>
        <v>12.434798499999999</v>
      </c>
    </row>
    <row r="2950" spans="1:12" ht="16" x14ac:dyDescent="0.2">
      <c r="A2950" s="1">
        <v>2949</v>
      </c>
      <c r="B2950" s="1" t="s">
        <v>8786</v>
      </c>
      <c r="C2950" s="1" t="s">
        <v>8790</v>
      </c>
      <c r="D2950" s="1" t="str">
        <f t="shared" si="138"/>
        <v>Rødovre KommuneNørrekær 22</v>
      </c>
      <c r="E2950" s="1" t="s">
        <v>8791</v>
      </c>
      <c r="F2950" s="1" t="s">
        <v>8792</v>
      </c>
      <c r="G2950" s="1">
        <v>2017</v>
      </c>
      <c r="H2950" s="1" t="s">
        <v>15</v>
      </c>
      <c r="I2950" s="6" cm="1">
        <f t="array" ref="I2950">GetLatitude(D2950)</f>
        <v>556690596</v>
      </c>
      <c r="J2950" s="1" cm="1">
        <f t="array" ref="J2950">GetLongitude(D2950)</f>
        <v>124476048</v>
      </c>
      <c r="K2950" s="1">
        <f t="shared" si="139"/>
        <v>55.669059599999997</v>
      </c>
      <c r="L2950" s="1">
        <f t="shared" si="140"/>
        <v>12.447604800000001</v>
      </c>
    </row>
    <row r="2951" spans="1:12" ht="16" x14ac:dyDescent="0.2">
      <c r="A2951" s="1">
        <v>2950</v>
      </c>
      <c r="B2951" s="1" t="s">
        <v>8786</v>
      </c>
      <c r="C2951" s="1" t="s">
        <v>8793</v>
      </c>
      <c r="D2951" s="1" t="str">
        <f t="shared" si="138"/>
        <v>Rødovre KommuneRødovre Parkvej 140</v>
      </c>
      <c r="E2951" s="1" t="s">
        <v>8794</v>
      </c>
      <c r="F2951" s="1" t="s">
        <v>8795</v>
      </c>
      <c r="G2951" s="1">
        <v>2010</v>
      </c>
      <c r="H2951" s="1" t="s">
        <v>15</v>
      </c>
      <c r="I2951" s="6" cm="1">
        <f t="array" ref="I2951">GetLatitude(D2951)</f>
        <v>556812178</v>
      </c>
      <c r="J2951" s="1" cm="1">
        <f t="array" ref="J2951">GetLongitude(D2951)</f>
        <v>124571915</v>
      </c>
      <c r="K2951" s="1">
        <f t="shared" si="139"/>
        <v>55.681217799999999</v>
      </c>
      <c r="L2951" s="1">
        <f t="shared" si="140"/>
        <v>12.4571915</v>
      </c>
    </row>
    <row r="2952" spans="1:12" ht="16" x14ac:dyDescent="0.2">
      <c r="A2952" s="1">
        <v>2951</v>
      </c>
      <c r="B2952" s="1" t="s">
        <v>8786</v>
      </c>
      <c r="C2952" s="1" t="s">
        <v>8796</v>
      </c>
      <c r="D2952" s="1" t="str">
        <f t="shared" si="138"/>
        <v>Rødovre KommuneRødovre Parkvej 150</v>
      </c>
      <c r="E2952" s="1" t="s">
        <v>8797</v>
      </c>
      <c r="F2952" s="1" t="s">
        <v>8798</v>
      </c>
      <c r="G2952" s="1">
        <v>1994</v>
      </c>
      <c r="H2952" s="1" t="s">
        <v>15</v>
      </c>
      <c r="I2952" s="6" cm="1">
        <f t="array" ref="I2952">GetLatitude(D2952)</f>
        <v>556809480</v>
      </c>
      <c r="J2952" s="1" cm="1">
        <f t="array" ref="J2952">GetLongitude(D2952)</f>
        <v>124560200</v>
      </c>
      <c r="K2952" s="1">
        <f t="shared" si="139"/>
        <v>55.680948000000001</v>
      </c>
      <c r="L2952" s="1">
        <f t="shared" si="140"/>
        <v>12.456020000000001</v>
      </c>
    </row>
    <row r="2953" spans="1:12" ht="16" x14ac:dyDescent="0.2">
      <c r="A2953" s="1">
        <v>2952</v>
      </c>
      <c r="B2953" s="1" t="s">
        <v>8799</v>
      </c>
      <c r="C2953" s="1" t="s">
        <v>8800</v>
      </c>
      <c r="D2953" s="1" t="str">
        <f t="shared" si="138"/>
        <v>Samsø KommuneBesser Hovedgade 1</v>
      </c>
      <c r="E2953" s="1" t="s">
        <v>8801</v>
      </c>
      <c r="F2953" s="1" t="s">
        <v>8802</v>
      </c>
      <c r="G2953" s="1">
        <v>1950</v>
      </c>
      <c r="H2953" s="1" t="s">
        <v>794</v>
      </c>
      <c r="I2953" s="6" cm="1">
        <f t="array" ref="I2953">GetLatitude(D2953)</f>
        <v>558617846</v>
      </c>
      <c r="J2953" s="1" cm="1">
        <f t="array" ref="J2953">GetLongitude(D2953)</f>
        <v>106364152</v>
      </c>
      <c r="K2953" s="1">
        <f t="shared" si="139"/>
        <v>55.8617846</v>
      </c>
      <c r="L2953" s="1">
        <f t="shared" si="140"/>
        <v>10.6364152</v>
      </c>
    </row>
    <row r="2954" spans="1:12" ht="16" x14ac:dyDescent="0.2">
      <c r="A2954" s="1">
        <v>2953</v>
      </c>
      <c r="B2954" s="1" t="s">
        <v>8799</v>
      </c>
      <c r="C2954" s="1" t="s">
        <v>8803</v>
      </c>
      <c r="D2954" s="1" t="str">
        <f t="shared" si="138"/>
        <v>Samsø KommuneBesser Hovedgade 4</v>
      </c>
      <c r="E2954" s="1" t="s">
        <v>8804</v>
      </c>
      <c r="F2954" s="1" t="s">
        <v>8805</v>
      </c>
      <c r="G2954" s="1">
        <v>1987</v>
      </c>
      <c r="H2954" s="1" t="s">
        <v>15</v>
      </c>
      <c r="I2954" s="6" cm="1">
        <f t="array" ref="I2954">GetLatitude(D2954)</f>
        <v>558617979</v>
      </c>
      <c r="J2954" s="1" cm="1">
        <f t="array" ref="J2954">GetLongitude(D2954)</f>
        <v>106382798</v>
      </c>
      <c r="K2954" s="1">
        <f t="shared" si="139"/>
        <v>55.861797899999999</v>
      </c>
      <c r="L2954" s="1">
        <f t="shared" si="140"/>
        <v>10.638279799999999</v>
      </c>
    </row>
    <row r="2955" spans="1:12" ht="16" x14ac:dyDescent="0.2">
      <c r="A2955" s="1">
        <v>2954</v>
      </c>
      <c r="B2955" s="1" t="s">
        <v>8799</v>
      </c>
      <c r="C2955" s="1" t="s">
        <v>8806</v>
      </c>
      <c r="D2955" s="1" t="str">
        <f t="shared" si="138"/>
        <v>Samsø KommuneBesser Hovedgade 47</v>
      </c>
      <c r="E2955" s="1" t="s">
        <v>8807</v>
      </c>
      <c r="F2955" s="1" t="s">
        <v>8808</v>
      </c>
      <c r="G2955" s="1">
        <v>1964</v>
      </c>
      <c r="H2955" s="1" t="s">
        <v>15</v>
      </c>
      <c r="I2955" s="6" cm="1">
        <f t="array" ref="I2955">GetLatitude(D2955)</f>
        <v>558645711</v>
      </c>
      <c r="J2955" s="1" cm="1">
        <f t="array" ref="J2955">GetLongitude(D2955)</f>
        <v>106453007</v>
      </c>
      <c r="K2955" s="1">
        <f t="shared" si="139"/>
        <v>55.864571099999999</v>
      </c>
      <c r="L2955" s="1">
        <f t="shared" si="140"/>
        <v>10.6453007</v>
      </c>
    </row>
    <row r="2956" spans="1:12" ht="16" x14ac:dyDescent="0.2">
      <c r="A2956" s="1">
        <v>2955</v>
      </c>
      <c r="B2956" s="1" t="s">
        <v>8799</v>
      </c>
      <c r="C2956" s="1" t="s">
        <v>8809</v>
      </c>
      <c r="D2956" s="1" t="str">
        <f t="shared" si="138"/>
        <v>Samsø KommuneBrundbyvej 23 A</v>
      </c>
      <c r="E2956" s="1" t="s">
        <v>8810</v>
      </c>
      <c r="F2956" s="1" t="s">
        <v>8811</v>
      </c>
      <c r="G2956" s="1">
        <v>1964</v>
      </c>
      <c r="H2956" s="1" t="s">
        <v>15</v>
      </c>
      <c r="I2956" s="6" cm="1">
        <f t="array" ref="I2956">GetLatitude(D2956)</f>
        <v>558195183</v>
      </c>
      <c r="J2956" s="1" cm="1">
        <f t="array" ref="J2956">GetLongitude(D2956)</f>
        <v>106062412</v>
      </c>
      <c r="K2956" s="1">
        <f t="shared" si="139"/>
        <v>55.819518299999999</v>
      </c>
      <c r="L2956" s="1">
        <f t="shared" si="140"/>
        <v>10.606241199999999</v>
      </c>
    </row>
    <row r="2957" spans="1:12" ht="16" x14ac:dyDescent="0.2">
      <c r="A2957" s="1">
        <v>2956</v>
      </c>
      <c r="B2957" s="1" t="s">
        <v>8799</v>
      </c>
      <c r="C2957" s="1" t="s">
        <v>8812</v>
      </c>
      <c r="D2957" s="1" t="str">
        <f t="shared" si="138"/>
        <v>Samsø KommuneEgevej 27</v>
      </c>
      <c r="E2957" s="1" t="s">
        <v>8813</v>
      </c>
      <c r="F2957" s="1" t="s">
        <v>8814</v>
      </c>
      <c r="G2957" s="1">
        <v>1984</v>
      </c>
      <c r="H2957" s="1" t="s">
        <v>11</v>
      </c>
      <c r="I2957" s="6" cm="1">
        <f t="array" ref="I2957">GetLatitude(D2957)</f>
        <v>558594726</v>
      </c>
      <c r="J2957" s="1" cm="1">
        <f t="array" ref="J2957">GetLongitude(D2957)</f>
        <v>105998479</v>
      </c>
      <c r="K2957" s="1">
        <f t="shared" si="139"/>
        <v>55.859472599999997</v>
      </c>
      <c r="L2957" s="1">
        <f t="shared" si="140"/>
        <v>10.5998479</v>
      </c>
    </row>
    <row r="2958" spans="1:12" ht="16" x14ac:dyDescent="0.2">
      <c r="A2958" s="1">
        <v>2957</v>
      </c>
      <c r="B2958" s="1" t="s">
        <v>8799</v>
      </c>
      <c r="C2958" s="1" t="s">
        <v>8815</v>
      </c>
      <c r="D2958" s="1" t="str">
        <f t="shared" si="138"/>
        <v>Samsø KommuneHjortgyde 2</v>
      </c>
      <c r="E2958" s="1" t="s">
        <v>8816</v>
      </c>
      <c r="F2958" s="1" t="s">
        <v>8817</v>
      </c>
      <c r="G2958" s="1">
        <v>1964</v>
      </c>
      <c r="H2958" s="1" t="s">
        <v>11</v>
      </c>
      <c r="I2958" s="6" cm="1">
        <f t="array" ref="I2958">GetLatitude(D2958)</f>
        <v>559643521</v>
      </c>
      <c r="J2958" s="1" cm="1">
        <f t="array" ref="J2958">GetLongitude(D2958)</f>
        <v>105526061</v>
      </c>
      <c r="K2958" s="1">
        <f t="shared" si="139"/>
        <v>55.964352099999999</v>
      </c>
      <c r="L2958" s="1">
        <f t="shared" si="140"/>
        <v>10.5526061</v>
      </c>
    </row>
    <row r="2959" spans="1:12" ht="16" x14ac:dyDescent="0.2">
      <c r="A2959" s="1">
        <v>2958</v>
      </c>
      <c r="B2959" s="1" t="s">
        <v>8799</v>
      </c>
      <c r="C2959" s="1" t="s">
        <v>8818</v>
      </c>
      <c r="D2959" s="1" t="str">
        <f t="shared" si="138"/>
        <v>Samsø KommuneHæderlighedsgyden 15</v>
      </c>
      <c r="E2959" s="1" t="s">
        <v>8819</v>
      </c>
      <c r="F2959" s="1" t="s">
        <v>8820</v>
      </c>
      <c r="G2959" s="1">
        <v>1988</v>
      </c>
      <c r="H2959" s="1" t="s">
        <v>11</v>
      </c>
      <c r="I2959" s="6" cm="1">
        <f t="array" ref="I2959">GetLatitude(D2959)</f>
        <v>559661913</v>
      </c>
      <c r="J2959" s="1" cm="1">
        <f t="array" ref="J2959">GetLongitude(D2959)</f>
        <v>105542442</v>
      </c>
      <c r="K2959" s="1">
        <f t="shared" si="139"/>
        <v>55.966191299999998</v>
      </c>
      <c r="L2959" s="1">
        <f t="shared" si="140"/>
        <v>10.554244199999999</v>
      </c>
    </row>
    <row r="2960" spans="1:12" ht="16" x14ac:dyDescent="0.2">
      <c r="A2960" s="1">
        <v>2959</v>
      </c>
      <c r="B2960" s="1" t="s">
        <v>8799</v>
      </c>
      <c r="C2960" s="1" t="s">
        <v>8821</v>
      </c>
      <c r="D2960" s="1" t="str">
        <f t="shared" si="138"/>
        <v>Samsø KommuneKirkevej 10</v>
      </c>
      <c r="E2960" s="1" t="s">
        <v>8822</v>
      </c>
      <c r="F2960" s="1" t="s">
        <v>8823</v>
      </c>
      <c r="G2960" s="1">
        <v>1987</v>
      </c>
      <c r="H2960" s="1" t="s">
        <v>15</v>
      </c>
      <c r="I2960" s="6" cm="1">
        <f t="array" ref="I2960">GetLatitude(D2960)</f>
        <v>558496940</v>
      </c>
      <c r="J2960" s="1" cm="1">
        <f t="array" ref="J2960">GetLongitude(D2960)</f>
        <v>105691810</v>
      </c>
      <c r="K2960" s="1">
        <f t="shared" si="139"/>
        <v>55.849694</v>
      </c>
      <c r="L2960" s="1">
        <f t="shared" si="140"/>
        <v>10.569181</v>
      </c>
    </row>
    <row r="2961" spans="1:12" ht="16" x14ac:dyDescent="0.2">
      <c r="A2961" s="1">
        <v>2960</v>
      </c>
      <c r="B2961" s="1" t="s">
        <v>8799</v>
      </c>
      <c r="C2961" s="1" t="s">
        <v>8824</v>
      </c>
      <c r="D2961" s="1" t="str">
        <f t="shared" si="138"/>
        <v>Samsø KommuneKlokkestræde 2</v>
      </c>
      <c r="E2961" s="1" t="s">
        <v>8825</v>
      </c>
      <c r="F2961" s="1" t="s">
        <v>8826</v>
      </c>
      <c r="G2961" s="1">
        <v>1964</v>
      </c>
      <c r="H2961" s="1" t="s">
        <v>15</v>
      </c>
      <c r="I2961" s="6" cm="1">
        <f t="array" ref="I2961">GetLatitude(D2961)</f>
        <v>559650707</v>
      </c>
      <c r="J2961" s="1" cm="1">
        <f t="array" ref="J2961">GetLongitude(D2961)</f>
        <v>105519311</v>
      </c>
      <c r="K2961" s="1">
        <f t="shared" si="139"/>
        <v>55.965070699999998</v>
      </c>
      <c r="L2961" s="1">
        <f t="shared" si="140"/>
        <v>10.551931099999999</v>
      </c>
    </row>
    <row r="2962" spans="1:12" ht="16" x14ac:dyDescent="0.2">
      <c r="A2962" s="1">
        <v>2961</v>
      </c>
      <c r="B2962" s="1" t="s">
        <v>8799</v>
      </c>
      <c r="C2962" s="1" t="s">
        <v>8827</v>
      </c>
      <c r="D2962" s="1" t="str">
        <f t="shared" si="138"/>
        <v>Samsø KommuneKaasenvejen 16</v>
      </c>
      <c r="E2962" s="1" t="s">
        <v>8828</v>
      </c>
      <c r="F2962" s="1" t="s">
        <v>8829</v>
      </c>
      <c r="G2962" s="1">
        <v>1964</v>
      </c>
      <c r="H2962" s="1" t="s">
        <v>15</v>
      </c>
      <c r="I2962" s="6" cm="1">
        <f t="array" ref="I2962">GetLatitude(D2962)</f>
        <v>558007760</v>
      </c>
      <c r="J2962" s="1" cm="1">
        <f t="array" ref="J2962">GetLongitude(D2962)</f>
        <v>105427019</v>
      </c>
      <c r="K2962" s="1">
        <f t="shared" si="139"/>
        <v>55.800775999999999</v>
      </c>
      <c r="L2962" s="1">
        <f t="shared" si="140"/>
        <v>10.542701900000001</v>
      </c>
    </row>
    <row r="2963" spans="1:12" ht="16" x14ac:dyDescent="0.2">
      <c r="A2963" s="1">
        <v>2962</v>
      </c>
      <c r="B2963" s="1" t="s">
        <v>8799</v>
      </c>
      <c r="C2963" s="1" t="s">
        <v>8830</v>
      </c>
      <c r="D2963" s="1" t="str">
        <f t="shared" si="138"/>
        <v>Samsø KommuneLisegyden 3</v>
      </c>
      <c r="E2963" s="1" t="s">
        <v>8831</v>
      </c>
      <c r="F2963" s="1" t="s">
        <v>8832</v>
      </c>
      <c r="G2963" s="1">
        <v>1988</v>
      </c>
      <c r="H2963" s="1" t="s">
        <v>11</v>
      </c>
      <c r="I2963" s="6" cm="1">
        <f t="array" ref="I2963">GetLatitude(D2963)</f>
        <v>559646713</v>
      </c>
      <c r="J2963" s="1" cm="1">
        <f t="array" ref="J2963">GetLongitude(D2963)</f>
        <v>105524774</v>
      </c>
      <c r="K2963" s="1">
        <f t="shared" si="139"/>
        <v>55.964671299999999</v>
      </c>
      <c r="L2963" s="1">
        <f t="shared" si="140"/>
        <v>10.552477400000001</v>
      </c>
    </row>
    <row r="2964" spans="1:12" ht="16" x14ac:dyDescent="0.2">
      <c r="A2964" s="1">
        <v>2963</v>
      </c>
      <c r="B2964" s="1" t="s">
        <v>8799</v>
      </c>
      <c r="C2964" s="1" t="s">
        <v>8833</v>
      </c>
      <c r="D2964" s="1" t="str">
        <f t="shared" si="138"/>
        <v>Samsø KommuneLygten 3</v>
      </c>
      <c r="E2964" s="1" t="s">
        <v>8834</v>
      </c>
      <c r="F2964" s="1" t="s">
        <v>8835</v>
      </c>
      <c r="G2964" s="1">
        <v>1965</v>
      </c>
      <c r="H2964" s="1" t="s">
        <v>11</v>
      </c>
      <c r="I2964" s="6" cm="1">
        <f t="array" ref="I2964">GetLatitude(D2964)</f>
        <v>559656274</v>
      </c>
      <c r="J2964" s="1" cm="1">
        <f t="array" ref="J2964">GetLongitude(D2964)</f>
        <v>105524920</v>
      </c>
      <c r="K2964" s="1">
        <f t="shared" si="139"/>
        <v>55.965627400000002</v>
      </c>
      <c r="L2964" s="1">
        <f t="shared" si="140"/>
        <v>10.552492000000001</v>
      </c>
    </row>
    <row r="2965" spans="1:12" ht="16" x14ac:dyDescent="0.2">
      <c r="A2965" s="1">
        <v>2964</v>
      </c>
      <c r="B2965" s="1" t="s">
        <v>8799</v>
      </c>
      <c r="C2965" s="1" t="s">
        <v>8836</v>
      </c>
      <c r="D2965" s="1" t="str">
        <f t="shared" si="138"/>
        <v>Samsø KommuneM.B. Jensensvej 1</v>
      </c>
      <c r="E2965" s="1" t="s">
        <v>8837</v>
      </c>
      <c r="F2965" s="1" t="s">
        <v>8838</v>
      </c>
      <c r="G2965" s="1">
        <v>1964</v>
      </c>
      <c r="H2965" s="1" t="s">
        <v>15</v>
      </c>
      <c r="I2965" s="6" cm="1">
        <f t="array" ref="I2965">GetLatitude(D2965)</f>
        <v>558146665</v>
      </c>
      <c r="J2965" s="1" cm="1">
        <f t="array" ref="J2965">GetLongitude(D2965)</f>
        <v>105886294</v>
      </c>
      <c r="K2965" s="1">
        <f t="shared" si="139"/>
        <v>55.814666500000001</v>
      </c>
      <c r="L2965" s="1">
        <f t="shared" si="140"/>
        <v>10.5886294</v>
      </c>
    </row>
    <row r="2966" spans="1:12" ht="16" x14ac:dyDescent="0.2">
      <c r="A2966" s="1">
        <v>2965</v>
      </c>
      <c r="B2966" s="1" t="s">
        <v>8799</v>
      </c>
      <c r="C2966" s="1" t="s">
        <v>8839</v>
      </c>
      <c r="D2966" s="1" t="str">
        <f t="shared" si="138"/>
        <v>Samsø KommuneMaren Findsgyde 8</v>
      </c>
      <c r="E2966" s="1" t="s">
        <v>8840</v>
      </c>
      <c r="F2966" s="1" t="s">
        <v>8841</v>
      </c>
      <c r="G2966" s="1">
        <v>1988</v>
      </c>
      <c r="H2966" s="1" t="s">
        <v>15</v>
      </c>
      <c r="I2966" s="6" cm="1">
        <f t="array" ref="I2966">GetLatitude(D2966)</f>
        <v>559658479</v>
      </c>
      <c r="J2966" s="1" cm="1">
        <f t="array" ref="J2966">GetLongitude(D2966)</f>
        <v>105510869</v>
      </c>
      <c r="K2966" s="1">
        <f t="shared" si="139"/>
        <v>55.9658479</v>
      </c>
      <c r="L2966" s="1">
        <f t="shared" si="140"/>
        <v>10.5510869</v>
      </c>
    </row>
    <row r="2967" spans="1:12" ht="16" x14ac:dyDescent="0.2">
      <c r="A2967" s="1">
        <v>2966</v>
      </c>
      <c r="B2967" s="1" t="s">
        <v>8799</v>
      </c>
      <c r="C2967" s="1" t="s">
        <v>8842</v>
      </c>
      <c r="D2967" s="1" t="str">
        <f t="shared" si="138"/>
        <v>Samsø KommuneMorten Madsensvej 20</v>
      </c>
      <c r="E2967" s="1" t="s">
        <v>8843</v>
      </c>
      <c r="F2967" s="1" t="s">
        <v>8844</v>
      </c>
      <c r="G2967" s="1">
        <v>1987</v>
      </c>
      <c r="H2967" s="1" t="s">
        <v>15</v>
      </c>
      <c r="I2967" s="6" cm="1">
        <f t="array" ref="I2967">GetLatitude(D2967)</f>
        <v>559648660</v>
      </c>
      <c r="J2967" s="1" cm="1">
        <f t="array" ref="J2967">GetLongitude(D2967)</f>
        <v>105553179</v>
      </c>
      <c r="K2967" s="1">
        <f t="shared" si="139"/>
        <v>55.964866000000001</v>
      </c>
      <c r="L2967" s="1">
        <f t="shared" si="140"/>
        <v>10.5553179</v>
      </c>
    </row>
    <row r="2968" spans="1:12" ht="16" x14ac:dyDescent="0.2">
      <c r="A2968" s="1">
        <v>2967</v>
      </c>
      <c r="B2968" s="1" t="s">
        <v>8799</v>
      </c>
      <c r="C2968" s="1" t="s">
        <v>8845</v>
      </c>
      <c r="D2968" s="1" t="str">
        <f t="shared" si="138"/>
        <v>Samsø KommuneMorten Madsensvej 22</v>
      </c>
      <c r="E2968" s="1" t="s">
        <v>8846</v>
      </c>
      <c r="F2968" s="1" t="s">
        <v>8847</v>
      </c>
      <c r="G2968" s="1">
        <v>1987</v>
      </c>
      <c r="H2968" s="1" t="s">
        <v>15</v>
      </c>
      <c r="I2968" s="6" cm="1">
        <f t="array" ref="I2968">GetLatitude(D2968)</f>
        <v>559650377</v>
      </c>
      <c r="J2968" s="1" cm="1">
        <f t="array" ref="J2968">GetLongitude(D2968)</f>
        <v>105551916</v>
      </c>
      <c r="K2968" s="1">
        <f t="shared" si="139"/>
        <v>55.965037700000003</v>
      </c>
      <c r="L2968" s="1">
        <f t="shared" si="140"/>
        <v>10.555191600000001</v>
      </c>
    </row>
    <row r="2969" spans="1:12" ht="16" x14ac:dyDescent="0.2">
      <c r="A2969" s="1">
        <v>2968</v>
      </c>
      <c r="B2969" s="1" t="s">
        <v>8799</v>
      </c>
      <c r="C2969" s="1" t="s">
        <v>8848</v>
      </c>
      <c r="D2969" s="1" t="str">
        <f t="shared" si="138"/>
        <v>Samsø KommuneMorten Madsensvej 26</v>
      </c>
      <c r="E2969" s="1" t="s">
        <v>8849</v>
      </c>
      <c r="F2969" s="1" t="s">
        <v>8850</v>
      </c>
      <c r="G2969" s="1">
        <v>1987</v>
      </c>
      <c r="H2969" s="1" t="s">
        <v>15</v>
      </c>
      <c r="I2969" s="6" cm="1">
        <f t="array" ref="I2969">GetLatitude(D2969)</f>
        <v>559649851</v>
      </c>
      <c r="J2969" s="1" cm="1">
        <f t="array" ref="J2969">GetLongitude(D2969)</f>
        <v>105543218</v>
      </c>
      <c r="K2969" s="1">
        <f t="shared" si="139"/>
        <v>55.9649851</v>
      </c>
      <c r="L2969" s="1">
        <f t="shared" si="140"/>
        <v>10.5543218</v>
      </c>
    </row>
    <row r="2970" spans="1:12" ht="16" x14ac:dyDescent="0.2">
      <c r="A2970" s="1">
        <v>2969</v>
      </c>
      <c r="B2970" s="1" t="s">
        <v>8799</v>
      </c>
      <c r="C2970" s="1" t="s">
        <v>8851</v>
      </c>
      <c r="D2970" s="1" t="str">
        <f t="shared" si="138"/>
        <v>Samsø KommuneMaarup Hovedgade 15</v>
      </c>
      <c r="E2970" s="1" t="s">
        <v>8852</v>
      </c>
      <c r="F2970" s="1" t="s">
        <v>8853</v>
      </c>
      <c r="G2970" s="1">
        <v>1973</v>
      </c>
      <c r="H2970" s="1" t="s">
        <v>11</v>
      </c>
      <c r="I2970" s="6" cm="1">
        <f t="array" ref="I2970">GetLatitude(D2970)</f>
        <v>559449488</v>
      </c>
      <c r="J2970" s="1" cm="1">
        <f t="array" ref="J2970">GetLongitude(D2970)</f>
        <v>105674438</v>
      </c>
      <c r="K2970" s="1">
        <f t="shared" si="139"/>
        <v>55.944948799999999</v>
      </c>
      <c r="L2970" s="1">
        <f t="shared" si="140"/>
        <v>10.567443799999999</v>
      </c>
    </row>
    <row r="2971" spans="1:12" ht="16" x14ac:dyDescent="0.2">
      <c r="A2971" s="1">
        <v>2970</v>
      </c>
      <c r="B2971" s="1" t="s">
        <v>8799</v>
      </c>
      <c r="C2971" s="1" t="s">
        <v>8854</v>
      </c>
      <c r="D2971" s="1" t="str">
        <f t="shared" si="138"/>
        <v>Samsø KommuneMaarup Hovedgade 22</v>
      </c>
      <c r="E2971" s="1" t="s">
        <v>8855</v>
      </c>
      <c r="F2971" s="1" t="s">
        <v>8856</v>
      </c>
      <c r="G2971" s="1">
        <v>1991</v>
      </c>
      <c r="H2971" s="1" t="s">
        <v>11</v>
      </c>
      <c r="I2971" s="6" cm="1">
        <f t="array" ref="I2971">GetLatitude(D2971)</f>
        <v>559458781</v>
      </c>
      <c r="J2971" s="1" cm="1">
        <f t="array" ref="J2971">GetLongitude(D2971)</f>
        <v>105669872</v>
      </c>
      <c r="K2971" s="1">
        <f t="shared" si="139"/>
        <v>55.945878100000002</v>
      </c>
      <c r="L2971" s="1">
        <f t="shared" si="140"/>
        <v>10.5669872</v>
      </c>
    </row>
    <row r="2972" spans="1:12" ht="16" x14ac:dyDescent="0.2">
      <c r="A2972" s="1">
        <v>2971</v>
      </c>
      <c r="B2972" s="1" t="s">
        <v>8799</v>
      </c>
      <c r="C2972" s="1" t="s">
        <v>8857</v>
      </c>
      <c r="D2972" s="1" t="str">
        <f t="shared" si="138"/>
        <v>Samsø KommuneNordby Hovedgade 27</v>
      </c>
      <c r="E2972" s="1" t="s">
        <v>8858</v>
      </c>
      <c r="F2972" s="1" t="s">
        <v>8859</v>
      </c>
      <c r="G2972" s="1">
        <v>1971</v>
      </c>
      <c r="H2972" s="1" t="s">
        <v>15</v>
      </c>
      <c r="I2972" s="6" cm="1">
        <f t="array" ref="I2972">GetLatitude(D2972)</f>
        <v>559654329</v>
      </c>
      <c r="J2972" s="1" cm="1">
        <f t="array" ref="J2972">GetLongitude(D2972)</f>
        <v>105516363</v>
      </c>
      <c r="K2972" s="1">
        <f t="shared" si="139"/>
        <v>55.965432900000003</v>
      </c>
      <c r="L2972" s="1">
        <f t="shared" si="140"/>
        <v>10.5516363</v>
      </c>
    </row>
    <row r="2973" spans="1:12" ht="16" x14ac:dyDescent="0.2">
      <c r="A2973" s="1">
        <v>2972</v>
      </c>
      <c r="B2973" s="1" t="s">
        <v>8799</v>
      </c>
      <c r="C2973" s="1" t="s">
        <v>8860</v>
      </c>
      <c r="D2973" s="1" t="str">
        <f t="shared" si="138"/>
        <v>Samsø KommuneNordby Hovedgade 36 (tidl 32)</v>
      </c>
      <c r="E2973" s="1" t="s">
        <v>2062</v>
      </c>
      <c r="F2973" s="1" t="s">
        <v>8861</v>
      </c>
      <c r="G2973" s="1">
        <v>1971</v>
      </c>
      <c r="H2973" s="1" t="s">
        <v>15</v>
      </c>
      <c r="I2973" s="6" cm="1">
        <f t="array" ref="I2973">GetLatitude(D2973)</f>
        <v>559652144</v>
      </c>
      <c r="J2973" s="1" cm="1">
        <f t="array" ref="J2973">GetLongitude(D2973)</f>
        <v>105517724</v>
      </c>
      <c r="K2973" s="1">
        <f t="shared" si="139"/>
        <v>55.965214400000001</v>
      </c>
      <c r="L2973" s="1">
        <f t="shared" si="140"/>
        <v>10.551772400000001</v>
      </c>
    </row>
    <row r="2974" spans="1:12" ht="16" x14ac:dyDescent="0.2">
      <c r="A2974" s="1">
        <v>2973</v>
      </c>
      <c r="B2974" s="1" t="s">
        <v>8799</v>
      </c>
      <c r="C2974" s="1" t="s">
        <v>8862</v>
      </c>
      <c r="D2974" s="1" t="str">
        <f t="shared" si="138"/>
        <v>Samsø KommunePer Poulsensvej 8 A</v>
      </c>
      <c r="E2974" s="1" t="s">
        <v>8863</v>
      </c>
      <c r="F2974" s="1" t="s">
        <v>8864</v>
      </c>
      <c r="G2974" s="1">
        <v>1964</v>
      </c>
      <c r="H2974" s="1" t="s">
        <v>11</v>
      </c>
      <c r="I2974" s="6" cm="1">
        <f t="array" ref="I2974">GetLatitude(D2974)</f>
        <v>559645367</v>
      </c>
      <c r="J2974" s="1" cm="1">
        <f t="array" ref="J2974">GetLongitude(D2974)</f>
        <v>105528890</v>
      </c>
      <c r="K2974" s="1">
        <f t="shared" si="139"/>
        <v>55.964536699999996</v>
      </c>
      <c r="L2974" s="1">
        <f t="shared" si="140"/>
        <v>10.552889</v>
      </c>
    </row>
    <row r="2975" spans="1:12" ht="16" x14ac:dyDescent="0.2">
      <c r="A2975" s="1">
        <v>2974</v>
      </c>
      <c r="B2975" s="1" t="s">
        <v>8799</v>
      </c>
      <c r="C2975" s="1" t="s">
        <v>8865</v>
      </c>
      <c r="D2975" s="1" t="str">
        <f t="shared" si="138"/>
        <v>Samsø KommuneSlagterivej 5, Strandgården</v>
      </c>
      <c r="E2975" s="1" t="s">
        <v>8866</v>
      </c>
      <c r="F2975" s="1" t="s">
        <v>8867</v>
      </c>
      <c r="G2975" s="1">
        <v>1997</v>
      </c>
      <c r="H2975" s="1" t="s">
        <v>15</v>
      </c>
      <c r="I2975" s="6" cm="1">
        <f t="array" ref="I2975">GetLatitude(D2975)</f>
        <v>558145150</v>
      </c>
      <c r="J2975" s="1" cm="1">
        <f t="array" ref="J2975">GetLongitude(D2975)</f>
        <v>106377696</v>
      </c>
      <c r="K2975" s="1">
        <f t="shared" si="139"/>
        <v>55.814515</v>
      </c>
      <c r="L2975" s="1">
        <f t="shared" si="140"/>
        <v>10.6377696</v>
      </c>
    </row>
    <row r="2976" spans="1:12" ht="16" x14ac:dyDescent="0.2">
      <c r="A2976" s="1">
        <v>2975</v>
      </c>
      <c r="B2976" s="1" t="s">
        <v>8799</v>
      </c>
      <c r="C2976" s="1" t="s">
        <v>8868</v>
      </c>
      <c r="D2976" s="1" t="str">
        <f t="shared" si="138"/>
        <v>Samsø KommuneStoregade 49</v>
      </c>
      <c r="E2976" s="1" t="s">
        <v>8869</v>
      </c>
      <c r="F2976" s="1" t="s">
        <v>1276</v>
      </c>
      <c r="G2976" s="1">
        <v>1964</v>
      </c>
      <c r="H2976" s="1" t="s">
        <v>11</v>
      </c>
      <c r="I2976" s="6" cm="1">
        <f t="array" ref="I2976">GetLatitude(D2976)</f>
        <v>558233270</v>
      </c>
      <c r="J2976" s="1" cm="1">
        <f t="array" ref="J2976">GetLongitude(D2976)</f>
        <v>105588336</v>
      </c>
      <c r="K2976" s="1">
        <f t="shared" si="139"/>
        <v>55.823326999999999</v>
      </c>
      <c r="L2976" s="1">
        <f t="shared" si="140"/>
        <v>10.5588336</v>
      </c>
    </row>
    <row r="2977" spans="1:12" ht="16" x14ac:dyDescent="0.2">
      <c r="A2977" s="1">
        <v>2976</v>
      </c>
      <c r="B2977" s="1" t="s">
        <v>8799</v>
      </c>
      <c r="C2977" s="1" t="s">
        <v>8870</v>
      </c>
      <c r="D2977" s="1" t="str">
        <f t="shared" si="138"/>
        <v>Samsø KommuneTingvej 2 (tidl Langgade)</v>
      </c>
      <c r="E2977" s="1" t="s">
        <v>8871</v>
      </c>
      <c r="F2977" s="1" t="s">
        <v>2764</v>
      </c>
      <c r="G2977" s="1">
        <v>1964</v>
      </c>
      <c r="H2977" s="1" t="s">
        <v>99</v>
      </c>
      <c r="I2977" s="6" cm="1">
        <f t="array" ref="I2977">GetLatitude(D2977)</f>
        <v>558344364</v>
      </c>
      <c r="J2977" s="1" cm="1">
        <f t="array" ref="J2977">GetLongitude(D2977)</f>
        <v>105864396</v>
      </c>
      <c r="K2977" s="1">
        <f t="shared" si="139"/>
        <v>55.834436400000001</v>
      </c>
      <c r="L2977" s="1">
        <f t="shared" si="140"/>
        <v>10.5864396</v>
      </c>
    </row>
    <row r="2978" spans="1:12" ht="16" x14ac:dyDescent="0.2">
      <c r="A2978" s="1">
        <v>2977</v>
      </c>
      <c r="B2978" s="1" t="s">
        <v>8799</v>
      </c>
      <c r="C2978" s="1" t="s">
        <v>8872</v>
      </c>
      <c r="D2978" s="1" t="str">
        <f t="shared" si="138"/>
        <v>Samsø KommuneTorup 18 A</v>
      </c>
      <c r="E2978" s="1" t="s">
        <v>8873</v>
      </c>
      <c r="F2978" s="1" t="s">
        <v>8874</v>
      </c>
      <c r="G2978" s="1">
        <v>1987</v>
      </c>
      <c r="H2978" s="1" t="s">
        <v>11</v>
      </c>
      <c r="I2978" s="6" cm="1">
        <f t="array" ref="I2978">GetLatitude(D2978)</f>
        <v>558468790</v>
      </c>
      <c r="J2978" s="1" cm="1">
        <f t="array" ref="J2978">GetLongitude(D2978)</f>
        <v>106167446</v>
      </c>
      <c r="K2978" s="1">
        <f t="shared" si="139"/>
        <v>55.846879000000001</v>
      </c>
      <c r="L2978" s="1">
        <f t="shared" si="140"/>
        <v>10.616744600000001</v>
      </c>
    </row>
    <row r="2979" spans="1:12" ht="16" x14ac:dyDescent="0.2">
      <c r="A2979" s="1">
        <v>2978</v>
      </c>
      <c r="B2979" s="1" t="s">
        <v>8799</v>
      </c>
      <c r="C2979" s="1" t="s">
        <v>8875</v>
      </c>
      <c r="D2979" s="1" t="str">
        <f t="shared" si="138"/>
        <v>Samsø KommuneVed Kæret 12</v>
      </c>
      <c r="E2979" s="1" t="s">
        <v>8876</v>
      </c>
      <c r="F2979" s="1" t="s">
        <v>8877</v>
      </c>
      <c r="G2979" s="1">
        <v>1964</v>
      </c>
      <c r="H2979" s="1" t="s">
        <v>15</v>
      </c>
      <c r="I2979" s="6" cm="1">
        <f t="array" ref="I2979">GetLatitude(D2979)</f>
        <v>559654172</v>
      </c>
      <c r="J2979" s="1" cm="1">
        <f t="array" ref="J2979">GetLongitude(D2979)</f>
        <v>105526324</v>
      </c>
      <c r="K2979" s="1">
        <f t="shared" si="139"/>
        <v>55.965417199999997</v>
      </c>
      <c r="L2979" s="1">
        <f t="shared" si="140"/>
        <v>10.5526324</v>
      </c>
    </row>
    <row r="2980" spans="1:12" ht="16" x14ac:dyDescent="0.2">
      <c r="A2980" s="1">
        <v>2979</v>
      </c>
      <c r="B2980" s="1" t="s">
        <v>8799</v>
      </c>
      <c r="C2980" s="1" t="s">
        <v>8878</v>
      </c>
      <c r="D2980" s="1" t="str">
        <f t="shared" si="138"/>
        <v>Samsø KommuneVed Kæret 14</v>
      </c>
      <c r="E2980" s="1" t="s">
        <v>8879</v>
      </c>
      <c r="F2980" s="1" t="s">
        <v>8880</v>
      </c>
      <c r="G2980" s="1">
        <v>1964</v>
      </c>
      <c r="H2980" s="1" t="s">
        <v>11</v>
      </c>
      <c r="I2980" s="6" cm="1">
        <f t="array" ref="I2980">GetLatitude(D2980)</f>
        <v>559653404</v>
      </c>
      <c r="J2980" s="1" cm="1">
        <f t="array" ref="J2980">GetLongitude(D2980)</f>
        <v>105522482</v>
      </c>
      <c r="K2980" s="1">
        <f t="shared" si="139"/>
        <v>55.965340400000002</v>
      </c>
      <c r="L2980" s="1">
        <f t="shared" si="140"/>
        <v>10.552248199999999</v>
      </c>
    </row>
    <row r="2981" spans="1:12" ht="16" x14ac:dyDescent="0.2">
      <c r="A2981" s="1">
        <v>2980</v>
      </c>
      <c r="B2981" s="1" t="s">
        <v>8799</v>
      </c>
      <c r="C2981" s="1" t="s">
        <v>8881</v>
      </c>
      <c r="D2981" s="1" t="str">
        <f t="shared" si="138"/>
        <v>Samsø KommuneVed Kæret 6</v>
      </c>
      <c r="E2981" s="1" t="s">
        <v>8882</v>
      </c>
      <c r="F2981" s="1" t="s">
        <v>8883</v>
      </c>
      <c r="G2981" s="1">
        <v>1964</v>
      </c>
      <c r="H2981" s="1" t="s">
        <v>15</v>
      </c>
      <c r="I2981" s="6" cm="1">
        <f t="array" ref="I2981">GetLatitude(D2981)</f>
        <v>559654811</v>
      </c>
      <c r="J2981" s="1" cm="1">
        <f t="array" ref="J2981">GetLongitude(D2981)</f>
        <v>105531312</v>
      </c>
      <c r="K2981" s="1">
        <f t="shared" si="139"/>
        <v>55.965481099999998</v>
      </c>
      <c r="L2981" s="1">
        <f t="shared" si="140"/>
        <v>10.553131199999999</v>
      </c>
    </row>
    <row r="2982" spans="1:12" ht="16" x14ac:dyDescent="0.2">
      <c r="A2982" s="1">
        <v>2981</v>
      </c>
      <c r="B2982" s="1" t="s">
        <v>8799</v>
      </c>
      <c r="C2982" s="1" t="s">
        <v>8884</v>
      </c>
      <c r="D2982" s="1" t="str">
        <f t="shared" si="138"/>
        <v>Samsø KommuneVed Kæret 8</v>
      </c>
      <c r="E2982" s="1" t="s">
        <v>8885</v>
      </c>
      <c r="F2982" s="1" t="s">
        <v>8886</v>
      </c>
      <c r="G2982" s="1">
        <v>1964</v>
      </c>
      <c r="H2982" s="1" t="s">
        <v>15</v>
      </c>
      <c r="I2982" s="6" cm="1">
        <f t="array" ref="I2982">GetLatitude(D2982)</f>
        <v>559654309</v>
      </c>
      <c r="J2982" s="1" cm="1">
        <f t="array" ref="J2982">GetLongitude(D2982)</f>
        <v>105529856</v>
      </c>
      <c r="K2982" s="1">
        <f t="shared" si="139"/>
        <v>55.965430900000001</v>
      </c>
      <c r="L2982" s="1">
        <f t="shared" si="140"/>
        <v>10.5529856</v>
      </c>
    </row>
    <row r="2983" spans="1:12" ht="16" x14ac:dyDescent="0.2">
      <c r="A2983" s="1">
        <v>2982</v>
      </c>
      <c r="B2983" s="1" t="s">
        <v>8799</v>
      </c>
      <c r="C2983" s="1" t="s">
        <v>8887</v>
      </c>
      <c r="D2983" s="1" t="str">
        <f t="shared" si="138"/>
        <v>Samsø KommuneVestergyde 3</v>
      </c>
      <c r="E2983" s="1" t="s">
        <v>8888</v>
      </c>
      <c r="F2983" s="1" t="s">
        <v>8889</v>
      </c>
      <c r="G2983" s="1">
        <v>1998</v>
      </c>
      <c r="H2983" s="1" t="s">
        <v>15</v>
      </c>
      <c r="I2983" s="6" cm="1">
        <f t="array" ref="I2983">GetLatitude(D2983)</f>
        <v>559630495</v>
      </c>
      <c r="J2983" s="1" cm="1">
        <f t="array" ref="J2983">GetLongitude(D2983)</f>
        <v>105518902</v>
      </c>
      <c r="K2983" s="1">
        <f t="shared" si="139"/>
        <v>55.963049499999997</v>
      </c>
      <c r="L2983" s="1">
        <f t="shared" si="140"/>
        <v>10.551890200000001</v>
      </c>
    </row>
    <row r="2984" spans="1:12" ht="16" x14ac:dyDescent="0.2">
      <c r="A2984" s="1">
        <v>2983</v>
      </c>
      <c r="B2984" s="1" t="s">
        <v>8799</v>
      </c>
      <c r="C2984" s="1" t="s">
        <v>8890</v>
      </c>
      <c r="D2984" s="1" t="str">
        <f t="shared" si="138"/>
        <v>Samsø KommuneØrby Hovedgade 19</v>
      </c>
      <c r="E2984" s="1" t="s">
        <v>8891</v>
      </c>
      <c r="F2984" s="1" t="s">
        <v>8892</v>
      </c>
      <c r="G2984" s="1">
        <v>1984</v>
      </c>
      <c r="H2984" s="1" t="s">
        <v>11</v>
      </c>
      <c r="I2984" s="6" cm="1">
        <f t="array" ref="I2984">GetLatitude(D2984)</f>
        <v>557958233</v>
      </c>
      <c r="J2984" s="1" cm="1">
        <f t="array" ref="J2984">GetLongitude(D2984)</f>
        <v>105973875</v>
      </c>
      <c r="K2984" s="1">
        <f t="shared" si="139"/>
        <v>55.795823300000002</v>
      </c>
      <c r="L2984" s="1">
        <f t="shared" si="140"/>
        <v>10.5973875</v>
      </c>
    </row>
    <row r="2985" spans="1:12" ht="16" x14ac:dyDescent="0.2">
      <c r="A2985" s="1">
        <v>2984</v>
      </c>
      <c r="B2985" s="1" t="s">
        <v>8893</v>
      </c>
      <c r="C2985" s="1" t="s">
        <v>8894</v>
      </c>
      <c r="D2985" s="1" t="str">
        <f t="shared" si="138"/>
        <v>Silkeborg KommuneAmaliegade 49</v>
      </c>
      <c r="E2985" s="1" t="s">
        <v>8895</v>
      </c>
      <c r="F2985" s="1" t="s">
        <v>8896</v>
      </c>
      <c r="G2985" s="1">
        <v>1986</v>
      </c>
      <c r="H2985" s="1" t="s">
        <v>15</v>
      </c>
      <c r="I2985" s="6" cm="1">
        <f t="array" ref="I2985">GetLatitude(D2985)</f>
        <v>561652676</v>
      </c>
      <c r="J2985" s="1" cm="1">
        <f t="array" ref="J2985">GetLongitude(D2985)</f>
        <v>95496258</v>
      </c>
      <c r="K2985" s="1">
        <f t="shared" si="139"/>
        <v>56.1652676</v>
      </c>
      <c r="L2985" s="1">
        <f t="shared" si="140"/>
        <v>9.5496257999999994</v>
      </c>
    </row>
    <row r="2986" spans="1:12" ht="16" x14ac:dyDescent="0.2">
      <c r="A2986" s="1">
        <v>2985</v>
      </c>
      <c r="B2986" s="1" t="s">
        <v>8893</v>
      </c>
      <c r="C2986" s="1" t="s">
        <v>8897</v>
      </c>
      <c r="D2986" s="1" t="str">
        <f t="shared" si="138"/>
        <v>Silkeborg KommuneAunsbjergvej 2 A</v>
      </c>
      <c r="E2986" s="1" t="s">
        <v>8898</v>
      </c>
      <c r="F2986" s="1" t="s">
        <v>8899</v>
      </c>
      <c r="G2986" s="1">
        <v>1945</v>
      </c>
      <c r="H2986" s="1" t="s">
        <v>15</v>
      </c>
      <c r="I2986" s="6" cm="1">
        <f t="array" ref="I2986">GetLatitude(D2986)</f>
        <v>563222824</v>
      </c>
      <c r="J2986" s="1" cm="1">
        <f t="array" ref="J2986">GetLongitude(D2986)</f>
        <v>94154552</v>
      </c>
      <c r="K2986" s="1">
        <f t="shared" si="139"/>
        <v>56.322282399999999</v>
      </c>
      <c r="L2986" s="1">
        <f t="shared" si="140"/>
        <v>9.4154552000000002</v>
      </c>
    </row>
    <row r="2987" spans="1:12" ht="16" x14ac:dyDescent="0.2">
      <c r="A2987" s="1">
        <v>2986</v>
      </c>
      <c r="B2987" s="1" t="s">
        <v>8893</v>
      </c>
      <c r="C2987" s="1" t="s">
        <v>8900</v>
      </c>
      <c r="D2987" s="1" t="str">
        <f t="shared" si="138"/>
        <v>Silkeborg KommuneAunsbjergvej 6</v>
      </c>
      <c r="E2987" s="1" t="s">
        <v>8901</v>
      </c>
      <c r="F2987" s="1" t="s">
        <v>8902</v>
      </c>
      <c r="G2987" s="1">
        <v>1945</v>
      </c>
      <c r="H2987" s="1" t="s">
        <v>15</v>
      </c>
      <c r="I2987" s="6" cm="1">
        <f t="array" ref="I2987">GetLatitude(D2987)</f>
        <v>563199714</v>
      </c>
      <c r="J2987" s="1" cm="1">
        <f t="array" ref="J2987">GetLongitude(D2987)</f>
        <v>93888750</v>
      </c>
      <c r="K2987" s="1">
        <f t="shared" si="139"/>
        <v>56.3199714</v>
      </c>
      <c r="L2987" s="1">
        <f t="shared" si="140"/>
        <v>9.3888750000000005</v>
      </c>
    </row>
    <row r="2988" spans="1:12" ht="16" x14ac:dyDescent="0.2">
      <c r="A2988" s="1">
        <v>2987</v>
      </c>
      <c r="B2988" s="1" t="s">
        <v>8893</v>
      </c>
      <c r="C2988" s="1" t="s">
        <v>8903</v>
      </c>
      <c r="D2988" s="1" t="str">
        <f t="shared" si="138"/>
        <v>Silkeborg KommuneErik Glippingsvej 1</v>
      </c>
      <c r="E2988" s="1" t="s">
        <v>8904</v>
      </c>
      <c r="F2988" s="1" t="s">
        <v>8905</v>
      </c>
      <c r="G2988" s="1">
        <v>1946</v>
      </c>
      <c r="H2988" s="1" t="s">
        <v>11</v>
      </c>
      <c r="I2988" s="6" cm="1">
        <f t="array" ref="I2988">GetLatitude(D2988)</f>
        <v>562762820</v>
      </c>
      <c r="J2988" s="1" cm="1">
        <f t="array" ref="J2988">GetLongitude(D2988)</f>
        <v>96191021</v>
      </c>
      <c r="K2988" s="1">
        <f t="shared" si="139"/>
        <v>56.276282000000002</v>
      </c>
      <c r="L2988" s="1">
        <f t="shared" si="140"/>
        <v>9.6191020999999992</v>
      </c>
    </row>
    <row r="2989" spans="1:12" ht="16" x14ac:dyDescent="0.2">
      <c r="A2989" s="1">
        <v>2988</v>
      </c>
      <c r="B2989" s="1" t="s">
        <v>8893</v>
      </c>
      <c r="C2989" s="1" t="s">
        <v>8906</v>
      </c>
      <c r="D2989" s="1" t="str">
        <f t="shared" si="138"/>
        <v>Silkeborg KommuneHovedgårdsvej 7</v>
      </c>
      <c r="E2989" s="1" t="s">
        <v>8907</v>
      </c>
      <c r="F2989" s="1" t="s">
        <v>8908</v>
      </c>
      <c r="G2989" s="1">
        <v>1945</v>
      </c>
      <c r="H2989" s="1" t="s">
        <v>15</v>
      </c>
      <c r="I2989" s="6" cm="1">
        <f t="array" ref="I2989">GetLatitude(D2989)</f>
        <v>561690494</v>
      </c>
      <c r="J2989" s="1" cm="1">
        <f t="array" ref="J2989">GetLongitude(D2989)</f>
        <v>95531112</v>
      </c>
      <c r="K2989" s="1">
        <f t="shared" si="139"/>
        <v>56.169049399999999</v>
      </c>
      <c r="L2989" s="1">
        <f t="shared" si="140"/>
        <v>9.5531112</v>
      </c>
    </row>
    <row r="2990" spans="1:12" ht="16" x14ac:dyDescent="0.2">
      <c r="A2990" s="1">
        <v>2989</v>
      </c>
      <c r="B2990" s="1" t="s">
        <v>8893</v>
      </c>
      <c r="C2990" s="1" t="s">
        <v>8909</v>
      </c>
      <c r="D2990" s="1" t="str">
        <f t="shared" si="138"/>
        <v>Silkeborg KommuneMarsvinslundvej 10 A</v>
      </c>
      <c r="E2990" s="1" t="s">
        <v>8910</v>
      </c>
      <c r="F2990" s="1" t="s">
        <v>8911</v>
      </c>
      <c r="G2990" s="1">
        <v>1918</v>
      </c>
      <c r="H2990" s="1" t="s">
        <v>11</v>
      </c>
      <c r="I2990" s="6" cm="1">
        <f t="array" ref="I2990">GetLatitude(D2990)</f>
        <v>563438792</v>
      </c>
      <c r="J2990" s="1" cm="1">
        <f t="array" ref="J2990">GetLongitude(D2990)</f>
        <v>93878364</v>
      </c>
      <c r="K2990" s="1">
        <f t="shared" si="139"/>
        <v>56.343879200000003</v>
      </c>
      <c r="L2990" s="1">
        <f t="shared" si="140"/>
        <v>9.3878363999999994</v>
      </c>
    </row>
    <row r="2991" spans="1:12" ht="16" x14ac:dyDescent="0.2">
      <c r="A2991" s="1">
        <v>2990</v>
      </c>
      <c r="B2991" s="1" t="s">
        <v>8893</v>
      </c>
      <c r="C2991" s="1" t="s">
        <v>8912</v>
      </c>
      <c r="D2991" s="1" t="str">
        <f t="shared" si="138"/>
        <v>Silkeborg KommunePræstevangen 39</v>
      </c>
      <c r="E2991" s="1" t="s">
        <v>8913</v>
      </c>
      <c r="F2991" s="1" t="s">
        <v>8914</v>
      </c>
      <c r="G2991" s="1">
        <v>1945</v>
      </c>
      <c r="H2991" s="1" t="s">
        <v>15</v>
      </c>
      <c r="I2991" s="6" cm="1">
        <f t="array" ref="I2991">GetLatitude(D2991)</f>
        <v>562751230</v>
      </c>
      <c r="J2991" s="1" cm="1">
        <f t="array" ref="J2991">GetLongitude(D2991)</f>
        <v>96196780</v>
      </c>
      <c r="K2991" s="1">
        <f t="shared" si="139"/>
        <v>56.275123000000001</v>
      </c>
      <c r="L2991" s="1">
        <f t="shared" si="140"/>
        <v>9.6196780000000004</v>
      </c>
    </row>
    <row r="2992" spans="1:12" ht="16" x14ac:dyDescent="0.2">
      <c r="A2992" s="1">
        <v>2991</v>
      </c>
      <c r="B2992" s="1" t="s">
        <v>8893</v>
      </c>
      <c r="C2992" s="1" t="s">
        <v>8915</v>
      </c>
      <c r="D2992" s="1" t="str">
        <f t="shared" si="138"/>
        <v>Silkeborg Kommune Remstrup Å ved Sejsvej</v>
      </c>
      <c r="E2992" s="1" t="s">
        <v>8916</v>
      </c>
      <c r="F2992" s="1" t="s">
        <v>8917</v>
      </c>
      <c r="G2992" s="1">
        <v>2010</v>
      </c>
      <c r="H2992" s="1" t="s">
        <v>15</v>
      </c>
      <c r="I2992" s="6" cm="1">
        <f t="array" ref="I2992">GetLatitude(D2992)</f>
        <v>561576323</v>
      </c>
      <c r="J2992" s="1" cm="1">
        <f t="array" ref="J2992">GetLongitude(D2992)</f>
        <v>95685074</v>
      </c>
      <c r="K2992" s="1">
        <f t="shared" si="139"/>
        <v>56.157632300000003</v>
      </c>
      <c r="L2992" s="1">
        <f t="shared" si="140"/>
        <v>9.5685073999999997</v>
      </c>
    </row>
    <row r="2993" spans="1:12" ht="16" x14ac:dyDescent="0.2">
      <c r="A2993" s="1">
        <v>2992</v>
      </c>
      <c r="B2993" s="1" t="s">
        <v>8893</v>
      </c>
      <c r="C2993" s="1" t="s">
        <v>8918</v>
      </c>
      <c r="D2993" s="1" t="str">
        <f t="shared" si="138"/>
        <v>Silkeborg KommuneTorvet 2 A</v>
      </c>
      <c r="E2993" s="1" t="s">
        <v>8919</v>
      </c>
      <c r="F2993" s="1" t="s">
        <v>8920</v>
      </c>
      <c r="G2993" s="1">
        <v>1978</v>
      </c>
      <c r="H2993" s="1" t="s">
        <v>15</v>
      </c>
      <c r="I2993" s="6" cm="1">
        <f t="array" ref="I2993">GetLatitude(D2993)</f>
        <v>561692560</v>
      </c>
      <c r="J2993" s="1" cm="1">
        <f t="array" ref="J2993">GetLongitude(D2993)</f>
        <v>95485785</v>
      </c>
      <c r="K2993" s="1">
        <f t="shared" si="139"/>
        <v>56.169255999999997</v>
      </c>
      <c r="L2993" s="1">
        <f t="shared" si="140"/>
        <v>9.5485784999999996</v>
      </c>
    </row>
    <row r="2994" spans="1:12" ht="16" x14ac:dyDescent="0.2">
      <c r="A2994" s="1">
        <v>2993</v>
      </c>
      <c r="B2994" s="1" t="s">
        <v>8893</v>
      </c>
      <c r="C2994" s="1" t="s">
        <v>8921</v>
      </c>
      <c r="D2994" s="1" t="str">
        <f t="shared" si="138"/>
        <v>Silkeborg KommuneVinderslevholmvej 56 A-B</v>
      </c>
      <c r="E2994" s="1" t="s">
        <v>8922</v>
      </c>
      <c r="F2994" s="1" t="s">
        <v>8923</v>
      </c>
      <c r="G2994" s="1">
        <v>1985</v>
      </c>
      <c r="H2994" s="1" t="s">
        <v>15</v>
      </c>
      <c r="I2994" s="6" cm="1">
        <f t="array" ref="I2994">GetLatitude(D2994)</f>
        <v>562538816</v>
      </c>
      <c r="J2994" s="1" cm="1">
        <f t="array" ref="J2994">GetLongitude(D2994)</f>
        <v>94831748</v>
      </c>
      <c r="K2994" s="1">
        <f t="shared" si="139"/>
        <v>56.2538816</v>
      </c>
      <c r="L2994" s="1">
        <f t="shared" si="140"/>
        <v>9.4831748000000005</v>
      </c>
    </row>
    <row r="2995" spans="1:12" ht="16" x14ac:dyDescent="0.2">
      <c r="A2995" s="1">
        <v>2994</v>
      </c>
      <c r="B2995" s="1" t="s">
        <v>8924</v>
      </c>
      <c r="C2995" s="1" t="s">
        <v>3632</v>
      </c>
      <c r="D2995" s="1" t="str">
        <f t="shared" si="138"/>
        <v>Skanderborg KommuneAdelgade 13</v>
      </c>
      <c r="E2995" s="1" t="s">
        <v>8925</v>
      </c>
      <c r="F2995" s="1" t="s">
        <v>8926</v>
      </c>
      <c r="G2995" s="1">
        <v>1919</v>
      </c>
      <c r="H2995" s="1" t="s">
        <v>15</v>
      </c>
      <c r="I2995" s="6" cm="1">
        <f t="array" ref="I2995">GetLatitude(D2995)</f>
        <v>560334898</v>
      </c>
      <c r="J2995" s="1" cm="1">
        <f t="array" ref="J2995">GetLongitude(D2995)</f>
        <v>99320237</v>
      </c>
      <c r="K2995" s="1">
        <f t="shared" si="139"/>
        <v>56.033489799999998</v>
      </c>
      <c r="L2995" s="1">
        <f t="shared" si="140"/>
        <v>9.9320237000000002</v>
      </c>
    </row>
    <row r="2996" spans="1:12" ht="16" x14ac:dyDescent="0.2">
      <c r="A2996" s="1">
        <v>2995</v>
      </c>
      <c r="B2996" s="1" t="s">
        <v>8924</v>
      </c>
      <c r="C2996" s="1" t="s">
        <v>3644</v>
      </c>
      <c r="D2996" s="1" t="str">
        <f t="shared" si="138"/>
        <v>Skanderborg KommuneAdelgade 19</v>
      </c>
      <c r="E2996" s="1" t="s">
        <v>8927</v>
      </c>
      <c r="F2996" s="1" t="s">
        <v>8928</v>
      </c>
      <c r="G2996" s="1">
        <v>1919</v>
      </c>
      <c r="H2996" s="1" t="s">
        <v>701</v>
      </c>
      <c r="I2996" s="6" cm="1">
        <f t="array" ref="I2996">GetLatitude(D2996)</f>
        <v>560303905</v>
      </c>
      <c r="J2996" s="1" cm="1">
        <f t="array" ref="J2996">GetLongitude(D2996)</f>
        <v>99340078</v>
      </c>
      <c r="K2996" s="1">
        <f t="shared" si="139"/>
        <v>56.030390500000003</v>
      </c>
      <c r="L2996" s="1">
        <f t="shared" si="140"/>
        <v>9.9340077999999998</v>
      </c>
    </row>
    <row r="2997" spans="1:12" ht="16" x14ac:dyDescent="0.2">
      <c r="A2997" s="1">
        <v>2996</v>
      </c>
      <c r="B2997" s="1" t="s">
        <v>8924</v>
      </c>
      <c r="C2997" s="1" t="s">
        <v>8929</v>
      </c>
      <c r="D2997" s="1" t="str">
        <f t="shared" si="138"/>
        <v>Skanderborg KommuneAdelgade 38</v>
      </c>
      <c r="E2997" s="1" t="s">
        <v>8930</v>
      </c>
      <c r="F2997" s="1" t="s">
        <v>8931</v>
      </c>
      <c r="G2997" s="1">
        <v>1978</v>
      </c>
      <c r="H2997" s="1" t="s">
        <v>701</v>
      </c>
      <c r="I2997" s="6" cm="1">
        <f t="array" ref="I2997">GetLatitude(D2997)</f>
        <v>560312567</v>
      </c>
      <c r="J2997" s="1" cm="1">
        <f t="array" ref="J2997">GetLongitude(D2997)</f>
        <v>99336339</v>
      </c>
      <c r="K2997" s="1">
        <f t="shared" si="139"/>
        <v>56.0312567</v>
      </c>
      <c r="L2997" s="1">
        <f t="shared" si="140"/>
        <v>9.9336339000000002</v>
      </c>
    </row>
    <row r="2998" spans="1:12" ht="16" x14ac:dyDescent="0.2">
      <c r="A2998" s="1">
        <v>2997</v>
      </c>
      <c r="B2998" s="1" t="s">
        <v>8924</v>
      </c>
      <c r="C2998" s="1" t="s">
        <v>8932</v>
      </c>
      <c r="D2998" s="1" t="str">
        <f t="shared" si="138"/>
        <v>Skanderborg KommuneKlostervej 3</v>
      </c>
      <c r="E2998" s="1" t="s">
        <v>8933</v>
      </c>
      <c r="F2998" s="1" t="s">
        <v>8934</v>
      </c>
      <c r="G2998" s="1">
        <v>1992</v>
      </c>
      <c r="H2998" s="1" t="s">
        <v>15</v>
      </c>
      <c r="I2998" s="6" cm="1">
        <f t="array" ref="I2998">GetLatitude(D2998)</f>
        <v>561016425</v>
      </c>
      <c r="J2998" s="1" cm="1">
        <f t="array" ref="J2998">GetLongitude(D2998)</f>
        <v>98497007</v>
      </c>
      <c r="K2998" s="1">
        <f t="shared" si="139"/>
        <v>56.101642499999997</v>
      </c>
      <c r="L2998" s="1">
        <f t="shared" si="140"/>
        <v>9.8497006999999996</v>
      </c>
    </row>
    <row r="2999" spans="1:12" ht="16" x14ac:dyDescent="0.2">
      <c r="A2999" s="1">
        <v>2998</v>
      </c>
      <c r="B2999" s="1" t="s">
        <v>8924</v>
      </c>
      <c r="C2999" s="1" t="s">
        <v>8935</v>
      </c>
      <c r="D2999" s="1" t="str">
        <f t="shared" si="138"/>
        <v>Skanderborg KommuneOddervej 80</v>
      </c>
      <c r="E2999" s="1" t="s">
        <v>8936</v>
      </c>
      <c r="F2999" s="1" t="s">
        <v>8936</v>
      </c>
      <c r="G2999" s="1">
        <v>2004</v>
      </c>
      <c r="H2999" s="1" t="s">
        <v>15</v>
      </c>
      <c r="I2999" s="6" cm="1">
        <f t="array" ref="I2999">GetLatitude(D2999)</f>
        <v>560285985</v>
      </c>
      <c r="J2999" s="1" cm="1">
        <f t="array" ref="J2999">GetLongitude(D2999)</f>
        <v>99576848</v>
      </c>
      <c r="K2999" s="1">
        <f t="shared" si="139"/>
        <v>56.028598500000001</v>
      </c>
      <c r="L2999" s="1">
        <f t="shared" si="140"/>
        <v>9.9576847999999991</v>
      </c>
    </row>
    <row r="3000" spans="1:12" ht="16" x14ac:dyDescent="0.2">
      <c r="A3000" s="1">
        <v>2999</v>
      </c>
      <c r="B3000" s="1" t="s">
        <v>8924</v>
      </c>
      <c r="C3000" s="1" t="s">
        <v>8937</v>
      </c>
      <c r="D3000" s="1" t="str">
        <f t="shared" si="138"/>
        <v>Skanderborg KommunePræstegaardsvej 1-3</v>
      </c>
      <c r="E3000" s="1" t="s">
        <v>8938</v>
      </c>
      <c r="F3000" s="1" t="s">
        <v>8939</v>
      </c>
      <c r="G3000" s="1">
        <v>1980</v>
      </c>
      <c r="H3000" s="1" t="s">
        <v>11</v>
      </c>
      <c r="I3000" s="6" cm="1">
        <f t="array" ref="I3000">GetLatitude(D3000)</f>
        <v>561826978</v>
      </c>
      <c r="J3000" s="1" cm="1">
        <f t="array" ref="J3000">GetLongitude(D3000)</f>
        <v>99310444</v>
      </c>
      <c r="K3000" s="1">
        <f t="shared" si="139"/>
        <v>56.1826978</v>
      </c>
      <c r="L3000" s="1">
        <f t="shared" si="140"/>
        <v>9.9310443999999993</v>
      </c>
    </row>
    <row r="3001" spans="1:12" ht="16" x14ac:dyDescent="0.2">
      <c r="A3001" s="1">
        <v>3000</v>
      </c>
      <c r="B3001" s="1" t="s">
        <v>8924</v>
      </c>
      <c r="C3001" s="1" t="s">
        <v>8940</v>
      </c>
      <c r="D3001" s="1" t="str">
        <f t="shared" si="138"/>
        <v>Skanderborg KommuneRingklostervej 18</v>
      </c>
      <c r="E3001" s="1" t="s">
        <v>8941</v>
      </c>
      <c r="F3001" s="1" t="s">
        <v>8942</v>
      </c>
      <c r="G3001" s="1">
        <v>1981</v>
      </c>
      <c r="H3001" s="1" t="s">
        <v>11</v>
      </c>
      <c r="I3001" s="6" cm="1">
        <f t="array" ref="I3001">GetLatitude(D3001)</f>
        <v>560129377</v>
      </c>
      <c r="J3001" s="1" cm="1">
        <f t="array" ref="J3001">GetLongitude(D3001)</f>
        <v>99652658</v>
      </c>
      <c r="K3001" s="1">
        <f t="shared" si="139"/>
        <v>56.012937700000002</v>
      </c>
      <c r="L3001" s="1">
        <f t="shared" si="140"/>
        <v>9.9652657999999992</v>
      </c>
    </row>
    <row r="3002" spans="1:12" ht="16" x14ac:dyDescent="0.2">
      <c r="A3002" s="1">
        <v>3001</v>
      </c>
      <c r="B3002" s="1" t="s">
        <v>8924</v>
      </c>
      <c r="C3002" s="1" t="s">
        <v>8943</v>
      </c>
      <c r="D3002" s="1" t="str">
        <f t="shared" si="138"/>
        <v>Skanderborg KommuneSlotsholmen 4, Slotsbanken</v>
      </c>
      <c r="E3002" s="1" t="s">
        <v>8944</v>
      </c>
      <c r="F3002" s="1" t="s">
        <v>8945</v>
      </c>
      <c r="G3002" s="1">
        <v>1971</v>
      </c>
      <c r="H3002" s="1" t="s">
        <v>15</v>
      </c>
      <c r="I3002" s="6" cm="1">
        <f t="array" ref="I3002">GetLatitude(D3002)</f>
        <v>560270180</v>
      </c>
      <c r="J3002" s="1" cm="1">
        <f t="array" ref="J3002">GetLongitude(D3002)</f>
        <v>99331920</v>
      </c>
      <c r="K3002" s="1">
        <f t="shared" si="139"/>
        <v>56.027017999999998</v>
      </c>
      <c r="L3002" s="1">
        <f t="shared" si="140"/>
        <v>9.933192</v>
      </c>
    </row>
    <row r="3003" spans="1:12" ht="16" x14ac:dyDescent="0.2">
      <c r="A3003" s="1">
        <v>3002</v>
      </c>
      <c r="B3003" s="1" t="s">
        <v>8924</v>
      </c>
      <c r="C3003" s="1" t="s">
        <v>8946</v>
      </c>
      <c r="D3003" s="1" t="str">
        <f t="shared" si="138"/>
        <v>Skanderborg KommuneWedelslundvej 2</v>
      </c>
      <c r="E3003" s="1" t="s">
        <v>8947</v>
      </c>
      <c r="F3003" s="1" t="s">
        <v>8948</v>
      </c>
      <c r="G3003" s="1">
        <v>1945</v>
      </c>
      <c r="H3003" s="1" t="s">
        <v>15</v>
      </c>
      <c r="I3003" s="6" cm="1">
        <f t="array" ref="I3003">GetLatitude(D3003)</f>
        <v>561749531</v>
      </c>
      <c r="J3003" s="1" cm="1">
        <f t="array" ref="J3003">GetLongitude(D3003)</f>
        <v>99164895</v>
      </c>
      <c r="K3003" s="1">
        <f t="shared" si="139"/>
        <v>56.174953100000003</v>
      </c>
      <c r="L3003" s="1">
        <f t="shared" si="140"/>
        <v>9.9164895000000008</v>
      </c>
    </row>
    <row r="3004" spans="1:12" ht="16" x14ac:dyDescent="0.2">
      <c r="A3004" s="1">
        <v>3003</v>
      </c>
      <c r="B3004" s="1" t="s">
        <v>8949</v>
      </c>
      <c r="C3004" s="1" t="s">
        <v>8950</v>
      </c>
      <c r="D3004" s="1" t="str">
        <f t="shared" si="138"/>
        <v>Skive KommuneAstrup Allé 1</v>
      </c>
      <c r="E3004" s="1" t="s">
        <v>8951</v>
      </c>
      <c r="F3004" s="1" t="s">
        <v>8952</v>
      </c>
      <c r="G3004" s="1">
        <v>1918</v>
      </c>
      <c r="H3004" s="1" t="s">
        <v>1283</v>
      </c>
      <c r="I3004" s="6" cm="1">
        <f t="array" ref="I3004">GetLatitude(D3004)</f>
        <v>566748663</v>
      </c>
      <c r="J3004" s="1" cm="1">
        <f t="array" ref="J3004">GetLongitude(D3004)</f>
        <v>90949010</v>
      </c>
      <c r="K3004" s="1">
        <f t="shared" si="139"/>
        <v>56.674866299999998</v>
      </c>
      <c r="L3004" s="1">
        <f t="shared" si="140"/>
        <v>9.0949010000000001</v>
      </c>
    </row>
    <row r="3005" spans="1:12" ht="16" x14ac:dyDescent="0.2">
      <c r="A3005" s="1">
        <v>3004</v>
      </c>
      <c r="B3005" s="1" t="s">
        <v>8949</v>
      </c>
      <c r="C3005" s="1" t="s">
        <v>8953</v>
      </c>
      <c r="D3005" s="1" t="str">
        <f t="shared" si="138"/>
        <v>Skive KommuneBorgen 6 A</v>
      </c>
      <c r="E3005" s="1" t="s">
        <v>8954</v>
      </c>
      <c r="F3005" s="1" t="s">
        <v>8955</v>
      </c>
      <c r="G3005" s="1">
        <v>1918</v>
      </c>
      <c r="H3005" s="1" t="s">
        <v>11</v>
      </c>
      <c r="I3005" s="6" cm="1">
        <f t="array" ref="I3005">GetLatitude(D3005)</f>
        <v>566435344</v>
      </c>
      <c r="J3005" s="1" cm="1">
        <f t="array" ref="J3005">GetLongitude(D3005)</f>
        <v>89641687</v>
      </c>
      <c r="K3005" s="1">
        <f t="shared" si="139"/>
        <v>56.6435344</v>
      </c>
      <c r="L3005" s="1">
        <f t="shared" si="140"/>
        <v>8.9641687000000001</v>
      </c>
    </row>
    <row r="3006" spans="1:12" ht="16" x14ac:dyDescent="0.2">
      <c r="A3006" s="1">
        <v>3005</v>
      </c>
      <c r="B3006" s="1" t="s">
        <v>8949</v>
      </c>
      <c r="C3006" s="1" t="s">
        <v>8956</v>
      </c>
      <c r="D3006" s="1" t="str">
        <f t="shared" si="138"/>
        <v>Skive KommuneEskjærvej 21</v>
      </c>
      <c r="E3006" s="1" t="s">
        <v>8957</v>
      </c>
      <c r="F3006" s="1" t="s">
        <v>11393</v>
      </c>
      <c r="G3006" s="1">
        <v>1918</v>
      </c>
      <c r="H3006" s="1" t="s">
        <v>11</v>
      </c>
      <c r="I3006" s="6" cm="1">
        <f t="array" ref="I3006">GetLatitude(D3006)</f>
        <v>566940270</v>
      </c>
      <c r="J3006" s="1" cm="1">
        <f t="array" ref="J3006">GetLongitude(D3006)</f>
        <v>91143889</v>
      </c>
      <c r="K3006" s="1">
        <f t="shared" si="139"/>
        <v>56.694026999999998</v>
      </c>
      <c r="L3006" s="1">
        <f t="shared" si="140"/>
        <v>9.1143888999999998</v>
      </c>
    </row>
    <row r="3007" spans="1:12" ht="16" x14ac:dyDescent="0.2">
      <c r="A3007" s="1">
        <v>3006</v>
      </c>
      <c r="B3007" s="1" t="s">
        <v>8949</v>
      </c>
      <c r="C3007" s="1" t="s">
        <v>8958</v>
      </c>
      <c r="D3007" s="1" t="str">
        <f t="shared" si="138"/>
        <v>Skive KommuneHeden 19</v>
      </c>
      <c r="E3007" s="1" t="s">
        <v>8959</v>
      </c>
      <c r="F3007" s="1" t="s">
        <v>8960</v>
      </c>
      <c r="G3007" s="1">
        <v>2011</v>
      </c>
      <c r="H3007" s="1" t="s">
        <v>15</v>
      </c>
      <c r="I3007" s="6" cm="1">
        <f t="array" ref="I3007">GetLatitude(D3007)</f>
        <v>566435344</v>
      </c>
      <c r="J3007" s="1" cm="1">
        <f t="array" ref="J3007">GetLongitude(D3007)</f>
        <v>89641687</v>
      </c>
      <c r="K3007" s="1">
        <f t="shared" si="139"/>
        <v>56.6435344</v>
      </c>
      <c r="L3007" s="1">
        <f t="shared" si="140"/>
        <v>8.9641687000000001</v>
      </c>
    </row>
    <row r="3008" spans="1:12" ht="16" x14ac:dyDescent="0.2">
      <c r="A3008" s="1">
        <v>3007</v>
      </c>
      <c r="B3008" s="1" t="s">
        <v>8949</v>
      </c>
      <c r="C3008" s="1" t="s">
        <v>8961</v>
      </c>
      <c r="D3008" s="1" t="str">
        <f t="shared" si="138"/>
        <v>Skive KommuneHejlskovvej 15</v>
      </c>
      <c r="E3008" s="1" t="s">
        <v>8962</v>
      </c>
      <c r="F3008" s="1" t="s">
        <v>8963</v>
      </c>
      <c r="G3008" s="1">
        <v>1918</v>
      </c>
      <c r="H3008" s="1" t="s">
        <v>2888</v>
      </c>
      <c r="I3008" s="6" cm="1">
        <f t="array" ref="I3008">GetLatitude(D3008)</f>
        <v>565975083</v>
      </c>
      <c r="J3008" s="1" cm="1">
        <f t="array" ref="J3008">GetLongitude(D3008)</f>
        <v>92173214</v>
      </c>
      <c r="K3008" s="1">
        <f t="shared" si="139"/>
        <v>56.597508300000001</v>
      </c>
      <c r="L3008" s="1">
        <f t="shared" si="140"/>
        <v>9.2173213999999994</v>
      </c>
    </row>
    <row r="3009" spans="1:12" ht="16" x14ac:dyDescent="0.2">
      <c r="A3009" s="1">
        <v>3008</v>
      </c>
      <c r="B3009" s="1" t="s">
        <v>8949</v>
      </c>
      <c r="C3009" s="1" t="s">
        <v>8964</v>
      </c>
      <c r="D3009" s="1" t="str">
        <f t="shared" si="138"/>
        <v>Skive KommuneJenlevej 6</v>
      </c>
      <c r="E3009" s="1" t="s">
        <v>8965</v>
      </c>
      <c r="F3009" s="1" t="s">
        <v>8966</v>
      </c>
      <c r="G3009" s="1">
        <v>1982</v>
      </c>
      <c r="H3009" s="1" t="s">
        <v>8967</v>
      </c>
      <c r="I3009" s="6" cm="1">
        <f t="array" ref="I3009">GetLatitude(D3009)</f>
        <v>566652088</v>
      </c>
      <c r="J3009" s="1" cm="1">
        <f t="array" ref="J3009">GetLongitude(D3009)</f>
        <v>90872371</v>
      </c>
      <c r="K3009" s="1">
        <f t="shared" si="139"/>
        <v>56.665208800000002</v>
      </c>
      <c r="L3009" s="1">
        <f t="shared" si="140"/>
        <v>9.0872370999999994</v>
      </c>
    </row>
    <row r="3010" spans="1:12" ht="16" x14ac:dyDescent="0.2">
      <c r="A3010" s="1">
        <v>3009</v>
      </c>
      <c r="B3010" s="1" t="s">
        <v>8949</v>
      </c>
      <c r="C3010" s="1" t="s">
        <v>8968</v>
      </c>
      <c r="D3010" s="1" t="str">
        <f t="shared" si="138"/>
        <v>Skive KommuneJungetgårdvej 26</v>
      </c>
      <c r="E3010" s="1" t="s">
        <v>8969</v>
      </c>
      <c r="F3010" s="1" t="s">
        <v>8970</v>
      </c>
      <c r="G3010" s="1">
        <v>1918</v>
      </c>
      <c r="H3010" s="1" t="s">
        <v>855</v>
      </c>
      <c r="I3010" s="6" cm="1">
        <f t="array" ref="I3010">GetLatitude(D3010)</f>
        <v>567656900</v>
      </c>
      <c r="J3010" s="1" cm="1">
        <f t="array" ref="J3010">GetLongitude(D3010)</f>
        <v>91076295</v>
      </c>
      <c r="K3010" s="1">
        <f t="shared" si="139"/>
        <v>56.765689999999999</v>
      </c>
      <c r="L3010" s="1">
        <f t="shared" si="140"/>
        <v>9.1076294999999998</v>
      </c>
    </row>
    <row r="3011" spans="1:12" ht="16" x14ac:dyDescent="0.2">
      <c r="A3011" s="1">
        <v>3010</v>
      </c>
      <c r="B3011" s="1" t="s">
        <v>8949</v>
      </c>
      <c r="C3011" s="1" t="s">
        <v>8971</v>
      </c>
      <c r="D3011" s="1" t="str">
        <f t="shared" ref="D3011:D3074" si="141">B3011&amp;C3011</f>
        <v>Skive KommuneKrabbesholm Allé 15</v>
      </c>
      <c r="E3011" s="1" t="s">
        <v>8972</v>
      </c>
      <c r="F3011" s="1" t="s">
        <v>8973</v>
      </c>
      <c r="G3011" s="1">
        <v>1918</v>
      </c>
      <c r="H3011" s="1" t="s">
        <v>2888</v>
      </c>
      <c r="I3011" s="6" cm="1">
        <f t="array" ref="I3011">GetLatitude(D3011)</f>
        <v>565729112</v>
      </c>
      <c r="J3011" s="1" cm="1">
        <f t="array" ref="J3011">GetLongitude(D3011)</f>
        <v>90511559</v>
      </c>
      <c r="K3011" s="1">
        <f t="shared" si="139"/>
        <v>56.5729112</v>
      </c>
      <c r="L3011" s="1">
        <f t="shared" si="140"/>
        <v>9.0511558999999995</v>
      </c>
    </row>
    <row r="3012" spans="1:12" ht="16" x14ac:dyDescent="0.2">
      <c r="A3012" s="1">
        <v>3011</v>
      </c>
      <c r="B3012" s="1" t="s">
        <v>8949</v>
      </c>
      <c r="C3012" s="1" t="s">
        <v>8974</v>
      </c>
      <c r="D3012" s="1" t="str">
        <f t="shared" si="141"/>
        <v>Skive KommuneKåsvej 44</v>
      </c>
      <c r="E3012" s="1" t="s">
        <v>8975</v>
      </c>
      <c r="F3012" s="1" t="s">
        <v>8976</v>
      </c>
      <c r="G3012" s="1">
        <v>1918</v>
      </c>
      <c r="H3012" s="1" t="s">
        <v>15</v>
      </c>
      <c r="I3012" s="6" cm="1">
        <f t="array" ref="I3012">GetLatitude(D3012)</f>
        <v>566078470</v>
      </c>
      <c r="J3012" s="1" cm="1">
        <f t="array" ref="J3012">GetLongitude(D3012)</f>
        <v>86991289</v>
      </c>
      <c r="K3012" s="1">
        <f t="shared" ref="K3012:K3075" si="142">I3012/10000000</f>
        <v>56.607847</v>
      </c>
      <c r="L3012" s="1">
        <f t="shared" ref="L3012:L3075" si="143">J3012/10000000</f>
        <v>8.6991288999999998</v>
      </c>
    </row>
    <row r="3013" spans="1:12" ht="16" x14ac:dyDescent="0.2">
      <c r="A3013" s="1">
        <v>3012</v>
      </c>
      <c r="B3013" s="1" t="s">
        <v>8949</v>
      </c>
      <c r="C3013" s="1" t="s">
        <v>8977</v>
      </c>
      <c r="D3013" s="1" t="str">
        <f t="shared" si="141"/>
        <v>Skive KommuneLangesgaardvej 3</v>
      </c>
      <c r="E3013" s="1" t="s">
        <v>8978</v>
      </c>
      <c r="F3013" s="1" t="s">
        <v>8979</v>
      </c>
      <c r="G3013" s="1">
        <v>2005</v>
      </c>
      <c r="H3013" s="1" t="s">
        <v>15</v>
      </c>
      <c r="I3013" s="6" cm="1">
        <f t="array" ref="I3013">GetLatitude(D3013)</f>
        <v>566941215</v>
      </c>
      <c r="J3013" s="1" cm="1">
        <f t="array" ref="J3013">GetLongitude(D3013)</f>
        <v>90931630</v>
      </c>
      <c r="K3013" s="1">
        <f t="shared" si="142"/>
        <v>56.694121500000001</v>
      </c>
      <c r="L3013" s="1">
        <f t="shared" si="143"/>
        <v>9.0931630000000006</v>
      </c>
    </row>
    <row r="3014" spans="1:12" ht="16" x14ac:dyDescent="0.2">
      <c r="A3014" s="1">
        <v>3013</v>
      </c>
      <c r="B3014" s="1" t="s">
        <v>8949</v>
      </c>
      <c r="C3014" s="1" t="s">
        <v>11404</v>
      </c>
      <c r="D3014" s="1" t="str">
        <f t="shared" si="141"/>
        <v>Skive KommuneSdr. Boulevard 1</v>
      </c>
      <c r="E3014" s="1" t="s">
        <v>8980</v>
      </c>
      <c r="F3014" s="1" t="s">
        <v>8981</v>
      </c>
      <c r="G3014" s="1">
        <v>2017</v>
      </c>
      <c r="H3014" s="1" t="s">
        <v>11</v>
      </c>
      <c r="I3014" s="6" cm="1">
        <f t="array" ref="I3014">GetLatitude(D3014)</f>
        <v>566435344</v>
      </c>
      <c r="J3014" s="1" cm="1">
        <f t="array" ref="J3014">GetLongitude(D3014)</f>
        <v>89641687</v>
      </c>
      <c r="K3014" s="1">
        <f t="shared" si="142"/>
        <v>56.6435344</v>
      </c>
      <c r="L3014" s="1">
        <f t="shared" si="143"/>
        <v>8.9641687000000001</v>
      </c>
    </row>
    <row r="3015" spans="1:12" ht="16" x14ac:dyDescent="0.2">
      <c r="A3015" s="1">
        <v>3014</v>
      </c>
      <c r="B3015" s="1" t="s">
        <v>8949</v>
      </c>
      <c r="C3015" s="1" t="s">
        <v>11405</v>
      </c>
      <c r="D3015" s="1" t="str">
        <f t="shared" si="141"/>
        <v>Skive KommuneStrandetvej 49</v>
      </c>
      <c r="E3015" s="1" t="s">
        <v>8982</v>
      </c>
      <c r="F3015" s="1" t="s">
        <v>8983</v>
      </c>
      <c r="G3015" s="1">
        <v>1918</v>
      </c>
      <c r="H3015" s="1" t="s">
        <v>15</v>
      </c>
      <c r="I3015" s="6" cm="1">
        <f t="array" ref="I3015">GetLatitude(D3015)</f>
        <v>565734794</v>
      </c>
      <c r="J3015" s="1" cm="1">
        <f t="array" ref="J3015">GetLongitude(D3015)</f>
        <v>92371964</v>
      </c>
      <c r="K3015" s="1">
        <f t="shared" si="142"/>
        <v>56.573479399999997</v>
      </c>
      <c r="L3015" s="1">
        <f t="shared" si="143"/>
        <v>9.2371964000000002</v>
      </c>
    </row>
    <row r="3016" spans="1:12" ht="16" x14ac:dyDescent="0.2">
      <c r="A3016" s="1">
        <v>3015</v>
      </c>
      <c r="B3016" s="1" t="s">
        <v>8949</v>
      </c>
      <c r="C3016" s="1" t="s">
        <v>8984</v>
      </c>
      <c r="D3016" s="1" t="str">
        <f t="shared" si="141"/>
        <v>Skive KommuneStårupgårdvej 10</v>
      </c>
      <c r="E3016" s="1" t="s">
        <v>8985</v>
      </c>
      <c r="F3016" s="1" t="s">
        <v>8986</v>
      </c>
      <c r="G3016" s="1">
        <v>1918</v>
      </c>
      <c r="H3016" s="1" t="s">
        <v>11</v>
      </c>
      <c r="I3016" s="6" cm="1">
        <f t="array" ref="I3016">GetLatitude(D3016)</f>
        <v>565863655</v>
      </c>
      <c r="J3016" s="1" cm="1">
        <f t="array" ref="J3016">GetLongitude(D3016)</f>
        <v>91118412</v>
      </c>
      <c r="K3016" s="1">
        <f t="shared" si="142"/>
        <v>56.586365499999999</v>
      </c>
      <c r="L3016" s="1">
        <f t="shared" si="143"/>
        <v>9.1118412000000006</v>
      </c>
    </row>
    <row r="3017" spans="1:12" ht="16" x14ac:dyDescent="0.2">
      <c r="A3017" s="1">
        <v>3016</v>
      </c>
      <c r="B3017" s="1" t="s">
        <v>8949</v>
      </c>
      <c r="C3017" s="1" t="s">
        <v>8987</v>
      </c>
      <c r="D3017" s="1" t="str">
        <f t="shared" si="141"/>
        <v>Skive KommuneSøndre Boulevard 1</v>
      </c>
      <c r="E3017" s="1" t="s">
        <v>8980</v>
      </c>
      <c r="F3017" s="1" t="s">
        <v>8988</v>
      </c>
      <c r="G3017" s="1">
        <v>1918</v>
      </c>
      <c r="H3017" s="1" t="s">
        <v>8989</v>
      </c>
      <c r="I3017" s="6" cm="1">
        <f t="array" ref="I3017">GetLatitude(D3017)</f>
        <v>565646669</v>
      </c>
      <c r="J3017" s="1" cm="1">
        <f t="array" ref="J3017">GetLongitude(D3017)</f>
        <v>90310279</v>
      </c>
      <c r="K3017" s="1">
        <f t="shared" si="142"/>
        <v>56.564666899999999</v>
      </c>
      <c r="L3017" s="1">
        <f t="shared" si="143"/>
        <v>9.0310278999999998</v>
      </c>
    </row>
    <row r="3018" spans="1:12" ht="16" x14ac:dyDescent="0.2">
      <c r="A3018" s="1">
        <v>3017</v>
      </c>
      <c r="B3018" s="1" t="s">
        <v>8949</v>
      </c>
      <c r="C3018" s="1" t="s">
        <v>8990</v>
      </c>
      <c r="D3018" s="1" t="str">
        <f t="shared" si="141"/>
        <v>Skive KommuneØstergårdsvej 1</v>
      </c>
      <c r="E3018" s="1" t="s">
        <v>8991</v>
      </c>
      <c r="F3018" s="1" t="s">
        <v>8992</v>
      </c>
      <c r="G3018" s="1">
        <v>1918</v>
      </c>
      <c r="H3018" s="1" t="s">
        <v>15</v>
      </c>
      <c r="I3018" s="6" cm="1">
        <f t="array" ref="I3018">GetLatitude(D3018)</f>
        <v>567635059</v>
      </c>
      <c r="J3018" s="1" cm="1">
        <f t="array" ref="J3018">GetLongitude(D3018)</f>
        <v>89887122</v>
      </c>
      <c r="K3018" s="1">
        <f t="shared" si="142"/>
        <v>56.763505899999998</v>
      </c>
      <c r="L3018" s="1">
        <f t="shared" si="143"/>
        <v>8.9887122000000002</v>
      </c>
    </row>
    <row r="3019" spans="1:12" ht="16" x14ac:dyDescent="0.2">
      <c r="A3019" s="1">
        <v>3018</v>
      </c>
      <c r="B3019" s="1" t="s">
        <v>8993</v>
      </c>
      <c r="C3019" s="1" t="s">
        <v>8994</v>
      </c>
      <c r="D3019" s="1" t="str">
        <f t="shared" si="141"/>
        <v>Slagelse KommuneAlgade 11</v>
      </c>
      <c r="E3019" s="1" t="s">
        <v>8995</v>
      </c>
      <c r="F3019" s="1" t="s">
        <v>8996</v>
      </c>
      <c r="G3019" s="1">
        <v>1981</v>
      </c>
      <c r="H3019" s="1" t="s">
        <v>11</v>
      </c>
      <c r="I3019" s="6" cm="1">
        <f t="array" ref="I3019">GetLatitude(D3019)</f>
        <v>552536759</v>
      </c>
      <c r="J3019" s="1" cm="1">
        <f t="array" ref="J3019">GetLongitude(D3019)</f>
        <v>112927384</v>
      </c>
      <c r="K3019" s="1">
        <f t="shared" si="142"/>
        <v>55.253675899999998</v>
      </c>
      <c r="L3019" s="1">
        <f t="shared" si="143"/>
        <v>11.292738399999999</v>
      </c>
    </row>
    <row r="3020" spans="1:12" ht="16" x14ac:dyDescent="0.2">
      <c r="A3020" s="1">
        <v>3019</v>
      </c>
      <c r="B3020" s="1" t="s">
        <v>8993</v>
      </c>
      <c r="C3020" s="1" t="s">
        <v>7609</v>
      </c>
      <c r="D3020" s="1" t="str">
        <f t="shared" si="141"/>
        <v>Slagelse KommuneAlgade 18</v>
      </c>
      <c r="E3020" s="1" t="s">
        <v>8997</v>
      </c>
      <c r="F3020" s="1" t="s">
        <v>8998</v>
      </c>
      <c r="G3020" s="1">
        <v>1982</v>
      </c>
      <c r="H3020" s="1" t="s">
        <v>11</v>
      </c>
      <c r="I3020" s="6" cm="1">
        <f t="array" ref="I3020">GetLatitude(D3020)</f>
        <v>553281552</v>
      </c>
      <c r="J3020" s="1" cm="1">
        <f t="array" ref="J3020">GetLongitude(D3020)</f>
        <v>111398605</v>
      </c>
      <c r="K3020" s="1">
        <f t="shared" si="142"/>
        <v>55.328155199999998</v>
      </c>
      <c r="L3020" s="1">
        <f t="shared" si="143"/>
        <v>11.139860499999999</v>
      </c>
    </row>
    <row r="3021" spans="1:12" ht="16" x14ac:dyDescent="0.2">
      <c r="A3021" s="1">
        <v>3020</v>
      </c>
      <c r="B3021" s="1" t="s">
        <v>8993</v>
      </c>
      <c r="C3021" s="1" t="s">
        <v>8999</v>
      </c>
      <c r="D3021" s="1" t="str">
        <f t="shared" si="141"/>
        <v>Slagelse KommuneAlgade 2</v>
      </c>
      <c r="E3021" s="1" t="s">
        <v>9000</v>
      </c>
      <c r="F3021" s="1" t="s">
        <v>9001</v>
      </c>
      <c r="G3021" s="1">
        <v>1918</v>
      </c>
      <c r="H3021" s="1" t="s">
        <v>3204</v>
      </c>
      <c r="I3021" s="6" cm="1">
        <f t="array" ref="I3021">GetLatitude(D3021)</f>
        <v>553640187</v>
      </c>
      <c r="J3021" s="1" cm="1">
        <f t="array" ref="J3021">GetLongitude(D3021)</f>
        <v>113499146</v>
      </c>
      <c r="K3021" s="1">
        <f t="shared" si="142"/>
        <v>55.364018700000003</v>
      </c>
      <c r="L3021" s="1">
        <f t="shared" si="143"/>
        <v>11.3499146</v>
      </c>
    </row>
    <row r="3022" spans="1:12" ht="16" x14ac:dyDescent="0.2">
      <c r="A3022" s="1">
        <v>3021</v>
      </c>
      <c r="B3022" s="1" t="s">
        <v>8993</v>
      </c>
      <c r="C3022" s="1" t="s">
        <v>9002</v>
      </c>
      <c r="D3022" s="1" t="str">
        <f t="shared" si="141"/>
        <v>Slagelse KommuneAlgade 22</v>
      </c>
      <c r="E3022" s="1" t="s">
        <v>9003</v>
      </c>
      <c r="F3022" s="1" t="s">
        <v>9004</v>
      </c>
      <c r="G3022" s="1">
        <v>1949</v>
      </c>
      <c r="H3022" s="1" t="s">
        <v>11</v>
      </c>
      <c r="I3022" s="6" cm="1">
        <f t="array" ref="I3022">GetLatitude(D3022)</f>
        <v>553640187</v>
      </c>
      <c r="J3022" s="1" cm="1">
        <f t="array" ref="J3022">GetLongitude(D3022)</f>
        <v>113499146</v>
      </c>
      <c r="K3022" s="1">
        <f t="shared" si="142"/>
        <v>55.364018700000003</v>
      </c>
      <c r="L3022" s="1">
        <f t="shared" si="143"/>
        <v>11.3499146</v>
      </c>
    </row>
    <row r="3023" spans="1:12" ht="16" x14ac:dyDescent="0.2">
      <c r="A3023" s="1">
        <v>3022</v>
      </c>
      <c r="B3023" s="1" t="s">
        <v>8993</v>
      </c>
      <c r="C3023" s="1" t="s">
        <v>9005</v>
      </c>
      <c r="D3023" s="1" t="str">
        <f t="shared" si="141"/>
        <v>Slagelse KommuneAlgade 25 A</v>
      </c>
      <c r="E3023" s="1" t="s">
        <v>9006</v>
      </c>
      <c r="F3023" s="1" t="s">
        <v>9007</v>
      </c>
      <c r="G3023" s="1">
        <v>1918</v>
      </c>
      <c r="H3023" s="1" t="s">
        <v>11</v>
      </c>
      <c r="I3023" s="6" cm="1">
        <f t="array" ref="I3023">GetLatitude(D3023)</f>
        <v>553640187</v>
      </c>
      <c r="J3023" s="1" cm="1">
        <f t="array" ref="J3023">GetLongitude(D3023)</f>
        <v>113499146</v>
      </c>
      <c r="K3023" s="1">
        <f t="shared" si="142"/>
        <v>55.364018700000003</v>
      </c>
      <c r="L3023" s="1">
        <f t="shared" si="143"/>
        <v>11.3499146</v>
      </c>
    </row>
    <row r="3024" spans="1:12" ht="16" x14ac:dyDescent="0.2">
      <c r="A3024" s="1">
        <v>3023</v>
      </c>
      <c r="B3024" s="1" t="s">
        <v>8993</v>
      </c>
      <c r="C3024" s="1" t="s">
        <v>9008</v>
      </c>
      <c r="D3024" s="1" t="str">
        <f t="shared" si="141"/>
        <v>Slagelse KommuneAlgade 27</v>
      </c>
      <c r="E3024" s="1" t="s">
        <v>9009</v>
      </c>
      <c r="F3024" s="1" t="s">
        <v>3532</v>
      </c>
      <c r="G3024" s="1">
        <v>1948</v>
      </c>
      <c r="H3024" s="1" t="s">
        <v>11</v>
      </c>
      <c r="I3024" s="6" cm="1">
        <f t="array" ref="I3024">GetLatitude(D3024)</f>
        <v>552539100</v>
      </c>
      <c r="J3024" s="1" cm="1">
        <f t="array" ref="J3024">GetLongitude(D3024)</f>
        <v>112948369</v>
      </c>
      <c r="K3024" s="1">
        <f t="shared" si="142"/>
        <v>55.253909999999998</v>
      </c>
      <c r="L3024" s="1">
        <f t="shared" si="143"/>
        <v>11.2948369</v>
      </c>
    </row>
    <row r="3025" spans="1:12" ht="16" x14ac:dyDescent="0.2">
      <c r="A3025" s="1">
        <v>3024</v>
      </c>
      <c r="B3025" s="1" t="s">
        <v>8993</v>
      </c>
      <c r="C3025" s="1" t="s">
        <v>9010</v>
      </c>
      <c r="D3025" s="1" t="str">
        <f t="shared" si="141"/>
        <v>Slagelse KommuneAlgade 31</v>
      </c>
      <c r="E3025" s="1" t="s">
        <v>9011</v>
      </c>
      <c r="F3025" s="1" t="s">
        <v>9012</v>
      </c>
      <c r="G3025" s="1">
        <v>1918</v>
      </c>
      <c r="H3025" s="1" t="s">
        <v>9013</v>
      </c>
      <c r="I3025" s="6" cm="1">
        <f t="array" ref="I3025">GetLatitude(D3025)</f>
        <v>553285930</v>
      </c>
      <c r="J3025" s="1" cm="1">
        <f t="array" ref="J3025">GetLongitude(D3025)</f>
        <v>111386365</v>
      </c>
      <c r="K3025" s="1">
        <f t="shared" si="142"/>
        <v>55.328592999999998</v>
      </c>
      <c r="L3025" s="1">
        <f t="shared" si="143"/>
        <v>11.1386365</v>
      </c>
    </row>
    <row r="3026" spans="1:12" ht="16" x14ac:dyDescent="0.2">
      <c r="A3026" s="1">
        <v>3025</v>
      </c>
      <c r="B3026" s="1" t="s">
        <v>8993</v>
      </c>
      <c r="C3026" s="1" t="s">
        <v>9014</v>
      </c>
      <c r="D3026" s="1" t="str">
        <f t="shared" si="141"/>
        <v>Slagelse KommuneBjergbygade 11</v>
      </c>
      <c r="E3026" s="1" t="s">
        <v>9015</v>
      </c>
      <c r="F3026" s="1" t="s">
        <v>9016</v>
      </c>
      <c r="G3026" s="1">
        <v>1918</v>
      </c>
      <c r="H3026" s="1" t="s">
        <v>15</v>
      </c>
      <c r="I3026" s="6" cm="1">
        <f t="array" ref="I3026">GetLatitude(D3026)</f>
        <v>554000250</v>
      </c>
      <c r="J3026" s="1" cm="1">
        <f t="array" ref="J3026">GetLongitude(D3026)</f>
        <v>113528437</v>
      </c>
      <c r="K3026" s="1">
        <f t="shared" si="142"/>
        <v>55.400024999999999</v>
      </c>
      <c r="L3026" s="1">
        <f t="shared" si="143"/>
        <v>11.352843699999999</v>
      </c>
    </row>
    <row r="3027" spans="1:12" ht="16" x14ac:dyDescent="0.2">
      <c r="A3027" s="1">
        <v>3026</v>
      </c>
      <c r="B3027" s="1" t="s">
        <v>8993</v>
      </c>
      <c r="C3027" s="1" t="s">
        <v>9017</v>
      </c>
      <c r="D3027" s="1" t="str">
        <f t="shared" si="141"/>
        <v>Slagelse KommuneBorrebyvej 45-49</v>
      </c>
      <c r="E3027" s="1" t="s">
        <v>9018</v>
      </c>
      <c r="F3027" s="1" t="s">
        <v>9019</v>
      </c>
      <c r="G3027" s="1">
        <v>1918</v>
      </c>
      <c r="H3027" s="1" t="s">
        <v>9020</v>
      </c>
      <c r="I3027" s="6" cm="1">
        <f t="array" ref="I3027">GetLatitude(D3027)</f>
        <v>552325390</v>
      </c>
      <c r="J3027" s="1" cm="1">
        <f t="array" ref="J3027">GetLongitude(D3027)</f>
        <v>112976770</v>
      </c>
      <c r="K3027" s="1">
        <f t="shared" si="142"/>
        <v>55.232539000000003</v>
      </c>
      <c r="L3027" s="1">
        <f t="shared" si="143"/>
        <v>11.297677</v>
      </c>
    </row>
    <row r="3028" spans="1:12" ht="16" x14ac:dyDescent="0.2">
      <c r="A3028" s="1">
        <v>3027</v>
      </c>
      <c r="B3028" s="1" t="s">
        <v>8993</v>
      </c>
      <c r="C3028" s="1" t="s">
        <v>9021</v>
      </c>
      <c r="D3028" s="1" t="str">
        <f t="shared" si="141"/>
        <v>Slagelse KommuneBredegade 7 A-D</v>
      </c>
      <c r="E3028" s="1" t="s">
        <v>9022</v>
      </c>
      <c r="F3028" s="1" t="s">
        <v>9023</v>
      </c>
      <c r="G3028" s="1">
        <v>1924</v>
      </c>
      <c r="H3028" s="1" t="s">
        <v>9024</v>
      </c>
      <c r="I3028" s="6" cm="1">
        <f t="array" ref="I3028">GetLatitude(D3028)</f>
        <v>554017478</v>
      </c>
      <c r="J3028" s="1" cm="1">
        <f t="array" ref="J3028">GetLongitude(D3028)</f>
        <v>113522655</v>
      </c>
      <c r="K3028" s="1">
        <f t="shared" si="142"/>
        <v>55.401747800000003</v>
      </c>
      <c r="L3028" s="1">
        <f t="shared" si="143"/>
        <v>11.3522655</v>
      </c>
    </row>
    <row r="3029" spans="1:12" ht="16" x14ac:dyDescent="0.2">
      <c r="A3029" s="1">
        <v>3028</v>
      </c>
      <c r="B3029" s="1" t="s">
        <v>8993</v>
      </c>
      <c r="C3029" s="1" t="s">
        <v>9025</v>
      </c>
      <c r="D3029" s="1" t="str">
        <f t="shared" si="141"/>
        <v>Slagelse KommuneEsholtevej 102 A</v>
      </c>
      <c r="E3029" s="1" t="s">
        <v>9026</v>
      </c>
      <c r="F3029" s="1" t="s">
        <v>9027</v>
      </c>
      <c r="G3029" s="1">
        <v>1964</v>
      </c>
      <c r="H3029" s="1" t="s">
        <v>15</v>
      </c>
      <c r="I3029" s="6" cm="1">
        <f t="array" ref="I3029">GetLatitude(D3029)</f>
        <v>561381898</v>
      </c>
      <c r="J3029" s="1" cm="1">
        <f t="array" ref="J3029">GetLongitude(D3029)</f>
        <v>101986585</v>
      </c>
      <c r="K3029" s="1">
        <f t="shared" si="142"/>
        <v>56.138189799999999</v>
      </c>
      <c r="L3029" s="1">
        <f t="shared" si="143"/>
        <v>10.198658500000001</v>
      </c>
    </row>
    <row r="3030" spans="1:12" ht="16" x14ac:dyDescent="0.2">
      <c r="A3030" s="1">
        <v>3029</v>
      </c>
      <c r="B3030" s="1" t="s">
        <v>8993</v>
      </c>
      <c r="C3030" s="1" t="s">
        <v>9028</v>
      </c>
      <c r="D3030" s="1" t="str">
        <f t="shared" si="141"/>
        <v>Slagelse KommuneEspevej 56</v>
      </c>
      <c r="E3030" s="1" t="s">
        <v>9029</v>
      </c>
      <c r="F3030" s="1" t="s">
        <v>9030</v>
      </c>
      <c r="G3030" s="1">
        <v>1949</v>
      </c>
      <c r="H3030" s="1" t="s">
        <v>11</v>
      </c>
      <c r="I3030" s="6" cm="1">
        <f t="array" ref="I3030">GetLatitude(D3030)</f>
        <v>552919060</v>
      </c>
      <c r="J3030" s="1" cm="1">
        <f t="array" ref="J3030">GetLongitude(D3030)</f>
        <v>112441660</v>
      </c>
      <c r="K3030" s="1">
        <f t="shared" si="142"/>
        <v>55.291905999999997</v>
      </c>
      <c r="L3030" s="1">
        <f t="shared" si="143"/>
        <v>11.244166</v>
      </c>
    </row>
    <row r="3031" spans="1:12" ht="16" x14ac:dyDescent="0.2">
      <c r="A3031" s="1">
        <v>3030</v>
      </c>
      <c r="B3031" s="1" t="s">
        <v>8993</v>
      </c>
      <c r="C3031" s="1" t="s">
        <v>9031</v>
      </c>
      <c r="D3031" s="1" t="str">
        <f t="shared" si="141"/>
        <v>Slagelse KommuneFalkensteenvej 20</v>
      </c>
      <c r="E3031" s="1" t="s">
        <v>9032</v>
      </c>
      <c r="F3031" s="1" t="s">
        <v>9033</v>
      </c>
      <c r="G3031" s="1">
        <v>1950</v>
      </c>
      <c r="H3031" s="1" t="s">
        <v>1283</v>
      </c>
      <c r="I3031" s="6" cm="1">
        <f t="array" ref="I3031">GetLatitude(D3031)</f>
        <v>554036920</v>
      </c>
      <c r="J3031" s="1" cm="1">
        <f t="array" ref="J3031">GetLongitude(D3031)</f>
        <v>113552570</v>
      </c>
      <c r="K3031" s="1">
        <f t="shared" si="142"/>
        <v>55.403691999999999</v>
      </c>
      <c r="L3031" s="1">
        <f t="shared" si="143"/>
        <v>11.355257</v>
      </c>
    </row>
    <row r="3032" spans="1:12" ht="16" x14ac:dyDescent="0.2">
      <c r="A3032" s="1">
        <v>3031</v>
      </c>
      <c r="B3032" s="1" t="s">
        <v>8993</v>
      </c>
      <c r="C3032" s="1" t="s">
        <v>9034</v>
      </c>
      <c r="D3032" s="1" t="str">
        <f t="shared" si="141"/>
        <v>Slagelse KommuneFladholtevej 6</v>
      </c>
      <c r="E3032" s="1" t="s">
        <v>9035</v>
      </c>
      <c r="F3032" s="1" t="s">
        <v>9036</v>
      </c>
      <c r="G3032" s="1">
        <v>1964</v>
      </c>
      <c r="H3032" s="1" t="s">
        <v>15</v>
      </c>
      <c r="I3032" s="6" cm="1">
        <f t="array" ref="I3032">GetLatitude(D3032)</f>
        <v>553429517</v>
      </c>
      <c r="J3032" s="1" cm="1">
        <f t="array" ref="J3032">GetLongitude(D3032)</f>
        <v>114841650</v>
      </c>
      <c r="K3032" s="1">
        <f t="shared" si="142"/>
        <v>55.3429517</v>
      </c>
      <c r="L3032" s="1">
        <f t="shared" si="143"/>
        <v>11.484165000000001</v>
      </c>
    </row>
    <row r="3033" spans="1:12" ht="16" x14ac:dyDescent="0.2">
      <c r="A3033" s="1">
        <v>3032</v>
      </c>
      <c r="B3033" s="1" t="s">
        <v>8993</v>
      </c>
      <c r="C3033" s="1" t="s">
        <v>9037</v>
      </c>
      <c r="D3033" s="1" t="str">
        <f t="shared" si="141"/>
        <v>Slagelse KommuneGammelgade 4</v>
      </c>
      <c r="E3033" s="1" t="s">
        <v>9038</v>
      </c>
      <c r="F3033" s="1" t="s">
        <v>9039</v>
      </c>
      <c r="G3033" s="1">
        <v>1918</v>
      </c>
      <c r="H3033" s="1" t="s">
        <v>15</v>
      </c>
      <c r="I3033" s="6" cm="1">
        <f t="array" ref="I3033">GetLatitude(D3033)</f>
        <v>552536058</v>
      </c>
      <c r="J3033" s="1" cm="1">
        <f t="array" ref="J3033">GetLongitude(D3033)</f>
        <v>112862169</v>
      </c>
      <c r="K3033" s="1">
        <f t="shared" si="142"/>
        <v>55.253605800000003</v>
      </c>
      <c r="L3033" s="1">
        <f t="shared" si="143"/>
        <v>11.286216899999999</v>
      </c>
    </row>
    <row r="3034" spans="1:12" ht="16" x14ac:dyDescent="0.2">
      <c r="A3034" s="1">
        <v>3033</v>
      </c>
      <c r="B3034" s="1" t="s">
        <v>8993</v>
      </c>
      <c r="C3034" s="1" t="s">
        <v>9040</v>
      </c>
      <c r="D3034" s="1" t="str">
        <f t="shared" si="141"/>
        <v>Slagelse KommuneGammeltorv 13</v>
      </c>
      <c r="E3034" s="1" t="s">
        <v>9041</v>
      </c>
      <c r="F3034" s="1" t="s">
        <v>9042</v>
      </c>
      <c r="G3034" s="1">
        <v>2001</v>
      </c>
      <c r="H3034" s="1" t="s">
        <v>15</v>
      </c>
      <c r="I3034" s="6" cm="1">
        <f t="array" ref="I3034">GetLatitude(D3034)</f>
        <v>552542652</v>
      </c>
      <c r="J3034" s="1" cm="1">
        <f t="array" ref="J3034">GetLongitude(D3034)</f>
        <v>112874668</v>
      </c>
      <c r="K3034" s="1">
        <f t="shared" si="142"/>
        <v>55.254265199999999</v>
      </c>
      <c r="L3034" s="1">
        <f t="shared" si="143"/>
        <v>11.287466800000001</v>
      </c>
    </row>
    <row r="3035" spans="1:12" ht="16" x14ac:dyDescent="0.2">
      <c r="A3035" s="1">
        <v>3034</v>
      </c>
      <c r="B3035" s="1" t="s">
        <v>8993</v>
      </c>
      <c r="C3035" s="1" t="s">
        <v>9043</v>
      </c>
      <c r="D3035" s="1" t="str">
        <f t="shared" si="141"/>
        <v>Slagelse KommuneGl. Banegårdsplads 8-10 (tidl Banegårdspladsen 8-10)</v>
      </c>
      <c r="E3035" s="1" t="s">
        <v>9044</v>
      </c>
      <c r="F3035" s="1" t="s">
        <v>9045</v>
      </c>
      <c r="G3035" s="1">
        <v>1992</v>
      </c>
      <c r="H3035" s="1" t="s">
        <v>11</v>
      </c>
      <c r="I3035" s="6" cm="1">
        <f t="array" ref="I3035">GetLatitude(D3035)</f>
        <v>553365032</v>
      </c>
      <c r="J3035" s="1" cm="1">
        <f t="array" ref="J3035">GetLongitude(D3035)</f>
        <v>111375919</v>
      </c>
      <c r="K3035" s="1">
        <f t="shared" si="142"/>
        <v>55.336503200000003</v>
      </c>
      <c r="L3035" s="1">
        <f t="shared" si="143"/>
        <v>11.1375919</v>
      </c>
    </row>
    <row r="3036" spans="1:12" ht="16" x14ac:dyDescent="0.2">
      <c r="A3036" s="1">
        <v>3035</v>
      </c>
      <c r="B3036" s="1" t="s">
        <v>8993</v>
      </c>
      <c r="C3036" s="1" t="s">
        <v>9046</v>
      </c>
      <c r="D3036" s="1" t="str">
        <f t="shared" si="141"/>
        <v>Slagelse KommuneGyldenholmvej 8</v>
      </c>
      <c r="E3036" s="1" t="s">
        <v>9047</v>
      </c>
      <c r="F3036" s="1" t="s">
        <v>9048</v>
      </c>
      <c r="G3036" s="1">
        <v>1978</v>
      </c>
      <c r="H3036" s="1" t="s">
        <v>15</v>
      </c>
      <c r="I3036" s="6" cm="1">
        <f t="array" ref="I3036">GetLatitude(D3036)</f>
        <v>553404641</v>
      </c>
      <c r="J3036" s="1" cm="1">
        <f t="array" ref="J3036">GetLongitude(D3036)</f>
        <v>114627411</v>
      </c>
      <c r="K3036" s="1">
        <f t="shared" si="142"/>
        <v>55.340464099999998</v>
      </c>
      <c r="L3036" s="1">
        <f t="shared" si="143"/>
        <v>11.462741100000001</v>
      </c>
    </row>
    <row r="3037" spans="1:12" ht="16" x14ac:dyDescent="0.2">
      <c r="A3037" s="1">
        <v>3036</v>
      </c>
      <c r="B3037" s="1" t="s">
        <v>8993</v>
      </c>
      <c r="C3037" s="1" t="s">
        <v>9049</v>
      </c>
      <c r="D3037" s="1" t="str">
        <f t="shared" si="141"/>
        <v>Slagelse Kommune Havnevej 1-3</v>
      </c>
      <c r="E3037" s="1" t="s">
        <v>9050</v>
      </c>
      <c r="F3037" s="1" t="s">
        <v>9051</v>
      </c>
      <c r="G3037" s="1">
        <v>1978</v>
      </c>
      <c r="H3037" s="1" t="s">
        <v>11</v>
      </c>
      <c r="I3037" s="6" cm="1">
        <f t="array" ref="I3037">GetLatitude(D3037)</f>
        <v>553640187</v>
      </c>
      <c r="J3037" s="1" cm="1">
        <f t="array" ref="J3037">GetLongitude(D3037)</f>
        <v>113499146</v>
      </c>
      <c r="K3037" s="1">
        <f t="shared" si="142"/>
        <v>55.364018700000003</v>
      </c>
      <c r="L3037" s="1">
        <f t="shared" si="143"/>
        <v>11.3499146</v>
      </c>
    </row>
    <row r="3038" spans="1:12" ht="16" x14ac:dyDescent="0.2">
      <c r="A3038" s="1">
        <v>3037</v>
      </c>
      <c r="B3038" s="1" t="s">
        <v>8993</v>
      </c>
      <c r="C3038" s="1" t="s">
        <v>9052</v>
      </c>
      <c r="D3038" s="1" t="str">
        <f t="shared" si="141"/>
        <v>Slagelse KommuneHavnevej 5</v>
      </c>
      <c r="E3038" s="1" t="s">
        <v>9053</v>
      </c>
      <c r="F3038" s="1" t="s">
        <v>9054</v>
      </c>
      <c r="G3038" s="1">
        <v>1988</v>
      </c>
      <c r="H3038" s="1" t="s">
        <v>701</v>
      </c>
      <c r="I3038" s="6" cm="1">
        <f t="array" ref="I3038">GetLatitude(D3038)</f>
        <v>552540050</v>
      </c>
      <c r="J3038" s="1" cm="1">
        <f t="array" ref="J3038">GetLongitude(D3038)</f>
        <v>112921209</v>
      </c>
      <c r="K3038" s="1">
        <f t="shared" si="142"/>
        <v>55.254004999999999</v>
      </c>
      <c r="L3038" s="1">
        <f t="shared" si="143"/>
        <v>11.2921209</v>
      </c>
    </row>
    <row r="3039" spans="1:12" ht="16" x14ac:dyDescent="0.2">
      <c r="A3039" s="1">
        <v>3038</v>
      </c>
      <c r="B3039" s="1" t="s">
        <v>8993</v>
      </c>
      <c r="C3039" s="1" t="s">
        <v>9055</v>
      </c>
      <c r="D3039" s="1" t="str">
        <f t="shared" si="141"/>
        <v>Slagelse KommuneHolsteinborgvej 130</v>
      </c>
      <c r="E3039" s="1" t="s">
        <v>9056</v>
      </c>
      <c r="F3039" s="1" t="s">
        <v>9057</v>
      </c>
      <c r="G3039" s="1">
        <v>1918</v>
      </c>
      <c r="H3039" s="1" t="s">
        <v>9058</v>
      </c>
      <c r="I3039" s="6" cm="1">
        <f t="array" ref="I3039">GetLatitude(D3039)</f>
        <v>552206053</v>
      </c>
      <c r="J3039" s="1" cm="1">
        <f t="array" ref="J3039">GetLongitude(D3039)</f>
        <v>114709586</v>
      </c>
      <c r="K3039" s="1">
        <f t="shared" si="142"/>
        <v>55.220605300000003</v>
      </c>
      <c r="L3039" s="1">
        <f t="shared" si="143"/>
        <v>11.470958599999999</v>
      </c>
    </row>
    <row r="3040" spans="1:12" ht="16" x14ac:dyDescent="0.2">
      <c r="A3040" s="1">
        <v>3039</v>
      </c>
      <c r="B3040" s="1" t="s">
        <v>8993</v>
      </c>
      <c r="C3040" s="1" t="s">
        <v>9059</v>
      </c>
      <c r="D3040" s="1" t="str">
        <f t="shared" si="141"/>
        <v>Slagelse KommuneKanehøj-Møllevej 53</v>
      </c>
      <c r="E3040" s="1" t="s">
        <v>9060</v>
      </c>
      <c r="F3040" s="1" t="s">
        <v>9061</v>
      </c>
      <c r="G3040" s="1">
        <v>2016</v>
      </c>
      <c r="H3040" s="1" t="s">
        <v>15</v>
      </c>
      <c r="I3040" s="6" cm="1">
        <f t="array" ref="I3040">GetLatitude(D3040)</f>
        <v>552696683</v>
      </c>
      <c r="J3040" s="1" cm="1">
        <f t="array" ref="J3040">GetLongitude(D3040)</f>
        <v>113256997</v>
      </c>
      <c r="K3040" s="1">
        <f t="shared" si="142"/>
        <v>55.269668299999999</v>
      </c>
      <c r="L3040" s="1">
        <f t="shared" si="143"/>
        <v>11.325699699999999</v>
      </c>
    </row>
    <row r="3041" spans="1:12" ht="16" x14ac:dyDescent="0.2">
      <c r="A3041" s="1">
        <v>3040</v>
      </c>
      <c r="B3041" s="1" t="s">
        <v>8993</v>
      </c>
      <c r="C3041" s="1" t="s">
        <v>9062</v>
      </c>
      <c r="D3041" s="1" t="str">
        <f t="shared" si="141"/>
        <v>Slagelse KommuneLygtebakken 19</v>
      </c>
      <c r="E3041" s="1" t="s">
        <v>9063</v>
      </c>
      <c r="F3041" s="1" t="s">
        <v>9064</v>
      </c>
      <c r="G3041" s="1">
        <v>1959</v>
      </c>
      <c r="H3041" s="1" t="s">
        <v>15</v>
      </c>
      <c r="I3041" s="6" cm="1">
        <f t="array" ref="I3041">GetLatitude(D3041)</f>
        <v>553376590</v>
      </c>
      <c r="J3041" s="1" cm="1">
        <f t="array" ref="J3041">GetLongitude(D3041)</f>
        <v>111249190</v>
      </c>
      <c r="K3041" s="1">
        <f t="shared" si="142"/>
        <v>55.337659000000002</v>
      </c>
      <c r="L3041" s="1">
        <f t="shared" si="143"/>
        <v>11.124919</v>
      </c>
    </row>
    <row r="3042" spans="1:12" ht="16" x14ac:dyDescent="0.2">
      <c r="A3042" s="1">
        <v>3041</v>
      </c>
      <c r="B3042" s="1" t="s">
        <v>8993</v>
      </c>
      <c r="C3042" s="1" t="s">
        <v>9065</v>
      </c>
      <c r="D3042" s="1" t="str">
        <f t="shared" si="141"/>
        <v>Slagelse KommuneMarsk Stigsvej 150 A og 150</v>
      </c>
      <c r="E3042" s="1" t="s">
        <v>9066</v>
      </c>
      <c r="F3042" s="1" t="s">
        <v>9067</v>
      </c>
      <c r="G3042" s="1">
        <v>1949</v>
      </c>
      <c r="H3042" s="1" t="s">
        <v>15</v>
      </c>
      <c r="I3042" s="6" cm="1">
        <f t="array" ref="I3042">GetLatitude(D3042)</f>
        <v>553432102</v>
      </c>
      <c r="J3042" s="1" cm="1">
        <f t="array" ref="J3042">GetLongitude(D3042)</f>
        <v>112141896</v>
      </c>
      <c r="K3042" s="1">
        <f t="shared" si="142"/>
        <v>55.343210200000001</v>
      </c>
      <c r="L3042" s="1">
        <f t="shared" si="143"/>
        <v>11.214189599999999</v>
      </c>
    </row>
    <row r="3043" spans="1:12" ht="16" x14ac:dyDescent="0.2">
      <c r="A3043" s="1">
        <v>3042</v>
      </c>
      <c r="B3043" s="1" t="s">
        <v>8993</v>
      </c>
      <c r="C3043" s="1" t="s">
        <v>9068</v>
      </c>
      <c r="D3043" s="1" t="str">
        <f t="shared" si="141"/>
        <v>Slagelse KommuneNytorv 3</v>
      </c>
      <c r="E3043" s="1" t="s">
        <v>9069</v>
      </c>
      <c r="F3043" s="1" t="s">
        <v>9070</v>
      </c>
      <c r="G3043" s="1">
        <v>1979</v>
      </c>
      <c r="H3043" s="1" t="s">
        <v>11</v>
      </c>
      <c r="I3043" s="6" cm="1">
        <f t="array" ref="I3043">GetLatitude(D3043)</f>
        <v>554036920</v>
      </c>
      <c r="J3043" s="1" cm="1">
        <f t="array" ref="J3043">GetLongitude(D3043)</f>
        <v>113552570</v>
      </c>
      <c r="K3043" s="1">
        <f t="shared" si="142"/>
        <v>55.403691999999999</v>
      </c>
      <c r="L3043" s="1">
        <f t="shared" si="143"/>
        <v>11.355257</v>
      </c>
    </row>
    <row r="3044" spans="1:12" ht="16" x14ac:dyDescent="0.2">
      <c r="A3044" s="1">
        <v>3043</v>
      </c>
      <c r="B3044" s="1" t="s">
        <v>8993</v>
      </c>
      <c r="C3044" s="1" t="s">
        <v>9071</v>
      </c>
      <c r="D3044" s="1" t="str">
        <f t="shared" si="141"/>
        <v>Slagelse KommuneNæsbyvej 24</v>
      </c>
      <c r="E3044" s="1" t="s">
        <v>9072</v>
      </c>
      <c r="F3044" s="1" t="s">
        <v>9073</v>
      </c>
      <c r="G3044" s="1">
        <v>1987</v>
      </c>
      <c r="H3044" s="1" t="s">
        <v>11</v>
      </c>
      <c r="I3044" s="6" cm="1">
        <f t="array" ref="I3044">GetLatitude(D3044)</f>
        <v>554006866</v>
      </c>
      <c r="J3044" s="1" cm="1">
        <f t="array" ref="J3044">GetLongitude(D3044)</f>
        <v>112586811</v>
      </c>
      <c r="K3044" s="1">
        <f t="shared" si="142"/>
        <v>55.4006866</v>
      </c>
      <c r="L3044" s="1">
        <f t="shared" si="143"/>
        <v>11.2586811</v>
      </c>
    </row>
    <row r="3045" spans="1:12" ht="16" x14ac:dyDescent="0.2">
      <c r="A3045" s="1">
        <v>3044</v>
      </c>
      <c r="B3045" s="1" t="s">
        <v>8993</v>
      </c>
      <c r="C3045" s="1" t="s">
        <v>9074</v>
      </c>
      <c r="D3045" s="1" t="str">
        <f t="shared" si="141"/>
        <v>Slagelse KommuneRosengade 4 B</v>
      </c>
      <c r="E3045" s="1" t="s">
        <v>9075</v>
      </c>
      <c r="F3045" s="1" t="s">
        <v>9076</v>
      </c>
      <c r="G3045" s="1">
        <v>1918</v>
      </c>
      <c r="H3045" s="1" t="s">
        <v>11</v>
      </c>
      <c r="I3045" s="6" cm="1">
        <f t="array" ref="I3045">GetLatitude(D3045)</f>
        <v>554036572</v>
      </c>
      <c r="J3045" s="1" cm="1">
        <f t="array" ref="J3045">GetLongitude(D3045)</f>
        <v>113539408</v>
      </c>
      <c r="K3045" s="1">
        <f t="shared" si="142"/>
        <v>55.403657199999998</v>
      </c>
      <c r="L3045" s="1">
        <f t="shared" si="143"/>
        <v>11.3539408</v>
      </c>
    </row>
    <row r="3046" spans="1:12" ht="16" x14ac:dyDescent="0.2">
      <c r="A3046" s="1">
        <v>3045</v>
      </c>
      <c r="B3046" s="1" t="s">
        <v>8993</v>
      </c>
      <c r="C3046" s="1" t="s">
        <v>9077</v>
      </c>
      <c r="D3046" s="1" t="str">
        <f t="shared" si="141"/>
        <v>Slagelse KommuneSkovvej 2 A</v>
      </c>
      <c r="E3046" s="1" t="s">
        <v>9078</v>
      </c>
      <c r="F3046" s="1" t="s">
        <v>9079</v>
      </c>
      <c r="G3046" s="1">
        <v>1918</v>
      </c>
      <c r="H3046" s="1" t="s">
        <v>15</v>
      </c>
      <c r="I3046" s="6" cm="1">
        <f t="array" ref="I3046">GetLatitude(D3046)</f>
        <v>554036920</v>
      </c>
      <c r="J3046" s="1" cm="1">
        <f t="array" ref="J3046">GetLongitude(D3046)</f>
        <v>113552570</v>
      </c>
      <c r="K3046" s="1">
        <f t="shared" si="142"/>
        <v>55.403691999999999</v>
      </c>
      <c r="L3046" s="1">
        <f t="shared" si="143"/>
        <v>11.355257</v>
      </c>
    </row>
    <row r="3047" spans="1:12" ht="16" x14ac:dyDescent="0.2">
      <c r="A3047" s="1">
        <v>3046</v>
      </c>
      <c r="B3047" s="1" t="s">
        <v>8993</v>
      </c>
      <c r="C3047" s="1" t="s">
        <v>9080</v>
      </c>
      <c r="D3047" s="1" t="str">
        <f t="shared" si="141"/>
        <v>Slagelse KommuneSkovvej 6</v>
      </c>
      <c r="E3047" s="1" t="s">
        <v>9081</v>
      </c>
      <c r="F3047" s="1" t="s">
        <v>9082</v>
      </c>
      <c r="G3047" s="1">
        <v>1992</v>
      </c>
      <c r="H3047" s="1" t="s">
        <v>701</v>
      </c>
      <c r="I3047" s="6" cm="1">
        <f t="array" ref="I3047">GetLatitude(D3047)</f>
        <v>553640187</v>
      </c>
      <c r="J3047" s="1" cm="1">
        <f t="array" ref="J3047">GetLongitude(D3047)</f>
        <v>113499146</v>
      </c>
      <c r="K3047" s="1">
        <f t="shared" si="142"/>
        <v>55.364018700000003</v>
      </c>
      <c r="L3047" s="1">
        <f t="shared" si="143"/>
        <v>11.3499146</v>
      </c>
    </row>
    <row r="3048" spans="1:12" ht="16" x14ac:dyDescent="0.2">
      <c r="A3048" s="1">
        <v>3047</v>
      </c>
      <c r="B3048" s="1" t="s">
        <v>8993</v>
      </c>
      <c r="C3048" s="1" t="s">
        <v>9083</v>
      </c>
      <c r="D3048" s="1" t="str">
        <f t="shared" si="141"/>
        <v>Slagelse KommuneSlagelse-Hejninge vejstrækning</v>
      </c>
      <c r="E3048" s="1" t="s">
        <v>9084</v>
      </c>
      <c r="F3048" s="1" t="s">
        <v>9085</v>
      </c>
      <c r="G3048" s="1">
        <v>1981</v>
      </c>
      <c r="H3048" s="1" t="s">
        <v>15</v>
      </c>
      <c r="I3048" s="6" cm="1">
        <f t="array" ref="I3048">GetLatitude(D3048)</f>
        <v>554026735</v>
      </c>
      <c r="J3048" s="1" cm="1">
        <f t="array" ref="J3048">GetLongitude(D3048)</f>
        <v>112828394</v>
      </c>
      <c r="K3048" s="1">
        <f t="shared" si="142"/>
        <v>55.402673499999999</v>
      </c>
      <c r="L3048" s="1">
        <f t="shared" si="143"/>
        <v>11.2828394</v>
      </c>
    </row>
    <row r="3049" spans="1:12" ht="16" x14ac:dyDescent="0.2">
      <c r="A3049" s="1">
        <v>3048</v>
      </c>
      <c r="B3049" s="1" t="s">
        <v>8993</v>
      </c>
      <c r="C3049" s="1" t="s">
        <v>9086</v>
      </c>
      <c r="D3049" s="1" t="str">
        <f t="shared" si="141"/>
        <v>Slagelse KommuneSlotsgade 53</v>
      </c>
      <c r="E3049" s="1" t="s">
        <v>3491</v>
      </c>
      <c r="F3049" s="1" t="s">
        <v>9087</v>
      </c>
      <c r="G3049" s="1">
        <v>1918</v>
      </c>
      <c r="H3049" s="1" t="s">
        <v>11</v>
      </c>
      <c r="I3049" s="6" cm="1">
        <f t="array" ref="I3049">GetLatitude(D3049)</f>
        <v>553991425</v>
      </c>
      <c r="J3049" s="1" cm="1">
        <f t="array" ref="J3049">GetLongitude(D3049)</f>
        <v>113590938</v>
      </c>
      <c r="K3049" s="1">
        <f t="shared" si="142"/>
        <v>55.399142500000004</v>
      </c>
      <c r="L3049" s="1">
        <f t="shared" si="143"/>
        <v>11.3590938</v>
      </c>
    </row>
    <row r="3050" spans="1:12" ht="16" x14ac:dyDescent="0.2">
      <c r="A3050" s="1">
        <v>3049</v>
      </c>
      <c r="B3050" s="1" t="s">
        <v>8993</v>
      </c>
      <c r="C3050" s="1" t="s">
        <v>9088</v>
      </c>
      <c r="D3050" s="1" t="str">
        <f t="shared" si="141"/>
        <v>Slagelse KommuneSnedinge Møllevej 5</v>
      </c>
      <c r="E3050" s="1" t="s">
        <v>9089</v>
      </c>
      <c r="F3050" s="1" t="s">
        <v>9090</v>
      </c>
      <c r="G3050" s="1">
        <v>1992</v>
      </c>
      <c r="H3050" s="1" t="s">
        <v>11</v>
      </c>
      <c r="I3050" s="6" cm="1">
        <f t="array" ref="I3050">GetLatitude(D3050)</f>
        <v>552382557</v>
      </c>
      <c r="J3050" s="1" cm="1">
        <f t="array" ref="J3050">GetLongitude(D3050)</f>
        <v>114255772</v>
      </c>
      <c r="K3050" s="1">
        <f t="shared" si="142"/>
        <v>55.238255700000003</v>
      </c>
      <c r="L3050" s="1">
        <f t="shared" si="143"/>
        <v>11.425577199999999</v>
      </c>
    </row>
    <row r="3051" spans="1:12" ht="16" x14ac:dyDescent="0.2">
      <c r="A3051" s="1">
        <v>3050</v>
      </c>
      <c r="B3051" s="1" t="s">
        <v>8993</v>
      </c>
      <c r="C3051" s="1" t="s">
        <v>9091</v>
      </c>
      <c r="D3051" s="1" t="str">
        <f t="shared" si="141"/>
        <v>Slagelse KommuneSorterup Kirkevej 2 B</v>
      </c>
      <c r="E3051" s="1" t="s">
        <v>9092</v>
      </c>
      <c r="F3051" s="1" t="s">
        <v>9093</v>
      </c>
      <c r="G3051" s="1">
        <v>1979</v>
      </c>
      <c r="H3051" s="1" t="s">
        <v>15</v>
      </c>
      <c r="I3051" s="6" cm="1">
        <f t="array" ref="I3051">GetLatitude(D3051)</f>
        <v>554492397</v>
      </c>
      <c r="J3051" s="1" cm="1">
        <f t="array" ref="J3051">GetLongitude(D3051)</f>
        <v>114401759</v>
      </c>
      <c r="K3051" s="1">
        <f t="shared" si="142"/>
        <v>55.4492397</v>
      </c>
      <c r="L3051" s="1">
        <f t="shared" si="143"/>
        <v>11.4401759</v>
      </c>
    </row>
    <row r="3052" spans="1:12" ht="16" x14ac:dyDescent="0.2">
      <c r="A3052" s="1">
        <v>3051</v>
      </c>
      <c r="B3052" s="1" t="s">
        <v>8993</v>
      </c>
      <c r="C3052" s="1" t="s">
        <v>9094</v>
      </c>
      <c r="D3052" s="1" t="str">
        <f t="shared" si="141"/>
        <v>Slagelse KommuneSprogø 3</v>
      </c>
      <c r="E3052" s="1" t="s">
        <v>9095</v>
      </c>
      <c r="F3052" s="1" t="s">
        <v>9096</v>
      </c>
      <c r="G3052" s="1">
        <v>1987</v>
      </c>
      <c r="H3052" s="1" t="s">
        <v>15</v>
      </c>
      <c r="I3052" s="6" cm="1">
        <f t="array" ref="I3052">GetLatitude(D3052)</f>
        <v>553330136</v>
      </c>
      <c r="J3052" s="1" cm="1">
        <f t="array" ref="J3052">GetLongitude(D3052)</f>
        <v>109725756</v>
      </c>
      <c r="K3052" s="1">
        <f t="shared" si="142"/>
        <v>55.333013600000001</v>
      </c>
      <c r="L3052" s="1">
        <f t="shared" si="143"/>
        <v>10.972575600000001</v>
      </c>
    </row>
    <row r="3053" spans="1:12" ht="16" x14ac:dyDescent="0.2">
      <c r="A3053" s="1">
        <v>3052</v>
      </c>
      <c r="B3053" s="1" t="s">
        <v>8993</v>
      </c>
      <c r="C3053" s="1" t="s">
        <v>9097</v>
      </c>
      <c r="D3053" s="1" t="str">
        <f t="shared" si="141"/>
        <v>Slagelse KommuneStorebæltsvej 40</v>
      </c>
      <c r="E3053" s="1" t="s">
        <v>9098</v>
      </c>
      <c r="F3053" s="1" t="s">
        <v>9099</v>
      </c>
      <c r="G3053" s="1">
        <v>1968</v>
      </c>
      <c r="H3053" s="1" t="s">
        <v>9100</v>
      </c>
      <c r="I3053" s="6" cm="1">
        <f t="array" ref="I3053">GetLatitude(D3053)</f>
        <v>554036920</v>
      </c>
      <c r="J3053" s="1" cm="1">
        <f t="array" ref="J3053">GetLongitude(D3053)</f>
        <v>113552570</v>
      </c>
      <c r="K3053" s="1">
        <f t="shared" si="142"/>
        <v>55.403691999999999</v>
      </c>
      <c r="L3053" s="1">
        <f t="shared" si="143"/>
        <v>11.355257</v>
      </c>
    </row>
    <row r="3054" spans="1:12" ht="16" x14ac:dyDescent="0.2">
      <c r="A3054" s="1">
        <v>3053</v>
      </c>
      <c r="B3054" s="1" t="s">
        <v>8993</v>
      </c>
      <c r="C3054" s="1" t="s">
        <v>9101</v>
      </c>
      <c r="D3054" s="1" t="str">
        <f t="shared" si="141"/>
        <v>Slagelse KommuneStore Frederikslund 1</v>
      </c>
      <c r="E3054" s="1" t="s">
        <v>9102</v>
      </c>
      <c r="F3054" s="1" t="s">
        <v>9103</v>
      </c>
      <c r="G3054" s="1">
        <v>1918</v>
      </c>
      <c r="H3054" s="1" t="s">
        <v>15</v>
      </c>
      <c r="I3054" s="6" cm="1">
        <f t="array" ref="I3054">GetLatitude(D3054)</f>
        <v>554421780</v>
      </c>
      <c r="J3054" s="1" cm="1">
        <f t="array" ref="J3054">GetLongitude(D3054)</f>
        <v>114629220</v>
      </c>
      <c r="K3054" s="1">
        <f t="shared" si="142"/>
        <v>55.442177999999998</v>
      </c>
      <c r="L3054" s="1">
        <f t="shared" si="143"/>
        <v>11.462922000000001</v>
      </c>
    </row>
    <row r="3055" spans="1:12" ht="16" x14ac:dyDescent="0.2">
      <c r="A3055" s="1">
        <v>3054</v>
      </c>
      <c r="B3055" s="1" t="s">
        <v>8993</v>
      </c>
      <c r="C3055" s="1" t="s">
        <v>9104</v>
      </c>
      <c r="D3055" s="1" t="str">
        <f t="shared" si="141"/>
        <v>Slagelse KommuneSøbatteriet 7-15</v>
      </c>
      <c r="E3055" s="1" t="s">
        <v>9105</v>
      </c>
      <c r="F3055" s="1" t="s">
        <v>9106</v>
      </c>
      <c r="G3055" s="1">
        <v>1918</v>
      </c>
      <c r="H3055" s="1" t="s">
        <v>15</v>
      </c>
      <c r="I3055" s="6" cm="1">
        <f t="array" ref="I3055">GetLatitude(D3055)</f>
        <v>553340060</v>
      </c>
      <c r="J3055" s="1" cm="1">
        <f t="array" ref="J3055">GetLongitude(D3055)</f>
        <v>111369750</v>
      </c>
      <c r="K3055" s="1">
        <f t="shared" si="142"/>
        <v>55.334006000000002</v>
      </c>
      <c r="L3055" s="1">
        <f t="shared" si="143"/>
        <v>11.136975</v>
      </c>
    </row>
    <row r="3056" spans="1:12" ht="16" x14ac:dyDescent="0.2">
      <c r="A3056" s="1">
        <v>3055</v>
      </c>
      <c r="B3056" s="1" t="s">
        <v>8993</v>
      </c>
      <c r="C3056" s="1" t="s">
        <v>9107</v>
      </c>
      <c r="D3056" s="1" t="str">
        <f t="shared" si="141"/>
        <v>Slagelse KommuneSøndre Stationsvej 28 A</v>
      </c>
      <c r="E3056" s="1" t="s">
        <v>9108</v>
      </c>
      <c r="F3056" s="1" t="s">
        <v>9109</v>
      </c>
      <c r="G3056" s="1">
        <v>1992</v>
      </c>
      <c r="H3056" s="1" t="s">
        <v>15</v>
      </c>
      <c r="I3056" s="6" cm="1">
        <f t="array" ref="I3056">GetLatitude(D3056)</f>
        <v>554072653</v>
      </c>
      <c r="J3056" s="1" cm="1">
        <f t="array" ref="J3056">GetLongitude(D3056)</f>
        <v>113488765</v>
      </c>
      <c r="K3056" s="1">
        <f t="shared" si="142"/>
        <v>55.407265299999999</v>
      </c>
      <c r="L3056" s="1">
        <f t="shared" si="143"/>
        <v>11.348876499999999</v>
      </c>
    </row>
    <row r="3057" spans="1:12" ht="16" x14ac:dyDescent="0.2">
      <c r="A3057" s="1">
        <v>3056</v>
      </c>
      <c r="B3057" s="1" t="s">
        <v>8993</v>
      </c>
      <c r="C3057" s="1" t="s">
        <v>9110</v>
      </c>
      <c r="D3057" s="1" t="str">
        <f t="shared" si="141"/>
        <v>Slagelse KommuneSørby Hovedgade 24</v>
      </c>
      <c r="E3057" s="1" t="s">
        <v>9111</v>
      </c>
      <c r="F3057" s="1" t="s">
        <v>9112</v>
      </c>
      <c r="G3057" s="1">
        <v>1997</v>
      </c>
      <c r="H3057" s="1" t="s">
        <v>15</v>
      </c>
      <c r="I3057" s="6" cm="1">
        <f t="array" ref="I3057">GetLatitude(D3057)</f>
        <v>553595824</v>
      </c>
      <c r="J3057" s="1" cm="1">
        <f t="array" ref="J3057">GetLongitude(D3057)</f>
        <v>114396864</v>
      </c>
      <c r="K3057" s="1">
        <f t="shared" si="142"/>
        <v>55.359582400000001</v>
      </c>
      <c r="L3057" s="1">
        <f t="shared" si="143"/>
        <v>11.439686399999999</v>
      </c>
    </row>
    <row r="3058" spans="1:12" ht="16" x14ac:dyDescent="0.2">
      <c r="A3058" s="1">
        <v>3057</v>
      </c>
      <c r="B3058" s="1" t="s">
        <v>8993</v>
      </c>
      <c r="C3058" s="1" t="s">
        <v>965</v>
      </c>
      <c r="D3058" s="1" t="str">
        <f t="shared" si="141"/>
        <v>Slagelse KommuneTorvet 1</v>
      </c>
      <c r="E3058" s="1" t="s">
        <v>9113</v>
      </c>
      <c r="F3058" s="1" t="s">
        <v>9114</v>
      </c>
      <c r="G3058" s="1">
        <v>1982</v>
      </c>
      <c r="H3058" s="1" t="s">
        <v>701</v>
      </c>
      <c r="I3058" s="6" cm="1">
        <f t="array" ref="I3058">GetLatitude(D3058)</f>
        <v>553640187</v>
      </c>
      <c r="J3058" s="1" cm="1">
        <f t="array" ref="J3058">GetLongitude(D3058)</f>
        <v>113499146</v>
      </c>
      <c r="K3058" s="1">
        <f t="shared" si="142"/>
        <v>55.364018700000003</v>
      </c>
      <c r="L3058" s="1">
        <f t="shared" si="143"/>
        <v>11.3499146</v>
      </c>
    </row>
    <row r="3059" spans="1:12" ht="16" x14ac:dyDescent="0.2">
      <c r="A3059" s="1">
        <v>3058</v>
      </c>
      <c r="B3059" s="1" t="s">
        <v>8993</v>
      </c>
      <c r="C3059" s="1" t="s">
        <v>9115</v>
      </c>
      <c r="D3059" s="1" t="str">
        <f t="shared" si="141"/>
        <v>Slagelse KommuneTårnborgvej 152-154 og Ørnumvej 4</v>
      </c>
      <c r="E3059" s="1" t="s">
        <v>9116</v>
      </c>
      <c r="F3059" s="1" t="s">
        <v>9117</v>
      </c>
      <c r="G3059" s="1">
        <v>1950</v>
      </c>
      <c r="H3059" s="1" t="s">
        <v>794</v>
      </c>
      <c r="I3059" s="6" cm="1">
        <f t="array" ref="I3059">GetLatitude(D3059)</f>
        <v>553458386</v>
      </c>
      <c r="J3059" s="1" cm="1">
        <f t="array" ref="J3059">GetLongitude(D3059)</f>
        <v>111426659</v>
      </c>
      <c r="K3059" s="1">
        <f t="shared" si="142"/>
        <v>55.3458386</v>
      </c>
      <c r="L3059" s="1">
        <f t="shared" si="143"/>
        <v>11.142665900000001</v>
      </c>
    </row>
    <row r="3060" spans="1:12" ht="16" x14ac:dyDescent="0.2">
      <c r="A3060" s="1">
        <v>3059</v>
      </c>
      <c r="B3060" s="1" t="s">
        <v>8993</v>
      </c>
      <c r="C3060" s="1" t="s">
        <v>9118</v>
      </c>
      <c r="D3060" s="1" t="str">
        <f t="shared" si="141"/>
        <v>Slagelse KommuneValbygårdsvej 94, tidl Valbygårdsvej 88B</v>
      </c>
      <c r="E3060" s="1" t="s">
        <v>9119</v>
      </c>
      <c r="F3060" s="1" t="s">
        <v>9120</v>
      </c>
      <c r="G3060" s="1">
        <v>1996</v>
      </c>
      <c r="H3060" s="1" t="s">
        <v>15</v>
      </c>
      <c r="I3060" s="6" cm="1">
        <f t="array" ref="I3060">GetLatitude(D3060)</f>
        <v>554247452</v>
      </c>
      <c r="J3060" s="1" cm="1">
        <f t="array" ref="J3060">GetLongitude(D3060)</f>
        <v>113079642</v>
      </c>
      <c r="K3060" s="1">
        <f t="shared" si="142"/>
        <v>55.424745199999997</v>
      </c>
      <c r="L3060" s="1">
        <f t="shared" si="143"/>
        <v>11.307964200000001</v>
      </c>
    </row>
    <row r="3061" spans="1:12" ht="16" x14ac:dyDescent="0.2">
      <c r="A3061" s="1">
        <v>3060</v>
      </c>
      <c r="B3061" s="1" t="s">
        <v>8993</v>
      </c>
      <c r="C3061" s="1" t="s">
        <v>9121</v>
      </c>
      <c r="D3061" s="1" t="str">
        <f t="shared" si="141"/>
        <v>Slagelse KommuneVedbysøndervej 1</v>
      </c>
      <c r="E3061" s="1" t="s">
        <v>9122</v>
      </c>
      <c r="F3061" s="1" t="s">
        <v>9123</v>
      </c>
      <c r="G3061" s="1">
        <v>1982</v>
      </c>
      <c r="H3061" s="1" t="s">
        <v>11</v>
      </c>
      <c r="I3061" s="6" cm="1">
        <f t="array" ref="I3061">GetLatitude(D3061)</f>
        <v>554180215</v>
      </c>
      <c r="J3061" s="1" cm="1">
        <f t="array" ref="J3061">GetLongitude(D3061)</f>
        <v>114396411</v>
      </c>
      <c r="K3061" s="1">
        <f t="shared" si="142"/>
        <v>55.418021500000002</v>
      </c>
      <c r="L3061" s="1">
        <f t="shared" si="143"/>
        <v>11.439641099999999</v>
      </c>
    </row>
    <row r="3062" spans="1:12" ht="16" x14ac:dyDescent="0.2">
      <c r="A3062" s="1">
        <v>3061</v>
      </c>
      <c r="B3062" s="1" t="s">
        <v>8993</v>
      </c>
      <c r="C3062" s="1" t="s">
        <v>9124</v>
      </c>
      <c r="D3062" s="1" t="str">
        <f t="shared" si="141"/>
        <v>Slagelse KommuneVedskøllevej 4</v>
      </c>
      <c r="E3062" s="1" t="s">
        <v>9125</v>
      </c>
      <c r="F3062" s="1" t="s">
        <v>9126</v>
      </c>
      <c r="G3062" s="1">
        <v>1959</v>
      </c>
      <c r="H3062" s="1" t="s">
        <v>11</v>
      </c>
      <c r="I3062" s="6" cm="1">
        <f t="array" ref="I3062">GetLatitude(D3062)</f>
        <v>552328095</v>
      </c>
      <c r="J3062" s="1" cm="1">
        <f t="array" ref="J3062">GetLongitude(D3062)</f>
        <v>113203388</v>
      </c>
      <c r="K3062" s="1">
        <f t="shared" si="142"/>
        <v>55.232809500000002</v>
      </c>
      <c r="L3062" s="1">
        <f t="shared" si="143"/>
        <v>11.3203388</v>
      </c>
    </row>
    <row r="3063" spans="1:12" ht="16" x14ac:dyDescent="0.2">
      <c r="A3063" s="1">
        <v>3062</v>
      </c>
      <c r="B3063" s="1" t="s">
        <v>8993</v>
      </c>
      <c r="C3063" s="1" t="s">
        <v>362</v>
      </c>
      <c r="D3063" s="1" t="str">
        <f t="shared" si="141"/>
        <v>Slagelse KommuneVestergade 1</v>
      </c>
      <c r="E3063" s="1" t="s">
        <v>9127</v>
      </c>
      <c r="F3063" s="1" t="s">
        <v>9128</v>
      </c>
      <c r="G3063" s="1">
        <v>1978</v>
      </c>
      <c r="H3063" s="1" t="s">
        <v>5158</v>
      </c>
      <c r="I3063" s="6" cm="1">
        <f t="array" ref="I3063">GetLatitude(D3063)</f>
        <v>553640187</v>
      </c>
      <c r="J3063" s="1" cm="1">
        <f t="array" ref="J3063">GetLongitude(D3063)</f>
        <v>113499146</v>
      </c>
      <c r="K3063" s="1">
        <f t="shared" si="142"/>
        <v>55.364018700000003</v>
      </c>
      <c r="L3063" s="1">
        <f t="shared" si="143"/>
        <v>11.3499146</v>
      </c>
    </row>
    <row r="3064" spans="1:12" ht="16" x14ac:dyDescent="0.2">
      <c r="A3064" s="1">
        <v>3063</v>
      </c>
      <c r="B3064" s="1" t="s">
        <v>8993</v>
      </c>
      <c r="C3064" s="1" t="s">
        <v>9129</v>
      </c>
      <c r="D3064" s="1" t="str">
        <f t="shared" si="141"/>
        <v>Slagelse KommuneVestergade 10</v>
      </c>
      <c r="E3064" s="1" t="s">
        <v>9130</v>
      </c>
      <c r="F3064" s="1" t="s">
        <v>9131</v>
      </c>
      <c r="G3064" s="1">
        <v>1918</v>
      </c>
      <c r="H3064" s="1" t="s">
        <v>11</v>
      </c>
      <c r="I3064" s="6" cm="1">
        <f t="array" ref="I3064">GetLatitude(D3064)</f>
        <v>554008993</v>
      </c>
      <c r="J3064" s="1" cm="1">
        <f t="array" ref="J3064">GetLongitude(D3064)</f>
        <v>113431723</v>
      </c>
      <c r="K3064" s="1">
        <f t="shared" si="142"/>
        <v>55.400899299999999</v>
      </c>
      <c r="L3064" s="1">
        <f t="shared" si="143"/>
        <v>11.343172300000001</v>
      </c>
    </row>
    <row r="3065" spans="1:12" ht="16" x14ac:dyDescent="0.2">
      <c r="A3065" s="1">
        <v>3064</v>
      </c>
      <c r="B3065" s="1" t="s">
        <v>8993</v>
      </c>
      <c r="C3065" s="1" t="s">
        <v>9132</v>
      </c>
      <c r="D3065" s="1" t="str">
        <f t="shared" si="141"/>
        <v>Slagelse KommuneØrslevvej 230</v>
      </c>
      <c r="E3065" s="1" t="s">
        <v>9133</v>
      </c>
      <c r="F3065" s="1" t="s">
        <v>9134</v>
      </c>
      <c r="G3065" s="1">
        <v>1918</v>
      </c>
      <c r="H3065" s="1" t="s">
        <v>855</v>
      </c>
      <c r="I3065" s="6" cm="1">
        <f t="array" ref="I3065">GetLatitude(D3065)</f>
        <v>552250014</v>
      </c>
      <c r="J3065" s="1" cm="1">
        <f t="array" ref="J3065">GetLongitude(D3065)</f>
        <v>114264809</v>
      </c>
      <c r="K3065" s="1">
        <f t="shared" si="142"/>
        <v>55.225001399999996</v>
      </c>
      <c r="L3065" s="1">
        <f t="shared" si="143"/>
        <v>11.4264809</v>
      </c>
    </row>
    <row r="3066" spans="1:12" ht="16" x14ac:dyDescent="0.2">
      <c r="A3066" s="1">
        <v>3065</v>
      </c>
      <c r="B3066" s="1" t="s">
        <v>8993</v>
      </c>
      <c r="C3066" s="1" t="s">
        <v>9135</v>
      </c>
      <c r="D3066" s="1" t="str">
        <f t="shared" si="141"/>
        <v>Slagelse KommuneØrslevvej 240</v>
      </c>
      <c r="E3066" s="1" t="s">
        <v>9136</v>
      </c>
      <c r="F3066" s="1" t="s">
        <v>9137</v>
      </c>
      <c r="G3066" s="1">
        <v>1949</v>
      </c>
      <c r="H3066" s="1" t="s">
        <v>15</v>
      </c>
      <c r="I3066" s="6" cm="1">
        <f t="array" ref="I3066">GetLatitude(D3066)</f>
        <v>552245299</v>
      </c>
      <c r="J3066" s="1" cm="1">
        <f t="array" ref="J3066">GetLongitude(D3066)</f>
        <v>114310438</v>
      </c>
      <c r="K3066" s="1">
        <f t="shared" si="142"/>
        <v>55.2245299</v>
      </c>
      <c r="L3066" s="1">
        <f t="shared" si="143"/>
        <v>11.431043799999999</v>
      </c>
    </row>
    <row r="3067" spans="1:12" ht="16" x14ac:dyDescent="0.2">
      <c r="A3067" s="1">
        <v>3066</v>
      </c>
      <c r="B3067" s="1" t="s">
        <v>9138</v>
      </c>
      <c r="C3067" s="1" t="s">
        <v>9139</v>
      </c>
      <c r="D3067" s="1" t="str">
        <f t="shared" si="141"/>
        <v>Solrød KommuneTingsryds Allé 25</v>
      </c>
      <c r="E3067" s="1" t="s">
        <v>9140</v>
      </c>
      <c r="F3067" s="1" t="s">
        <v>9141</v>
      </c>
      <c r="G3067" s="1">
        <v>2015</v>
      </c>
      <c r="H3067" s="1" t="s">
        <v>15</v>
      </c>
      <c r="I3067" s="6" cm="1">
        <f t="array" ref="I3067">GetLatitude(D3067)</f>
        <v>555282060</v>
      </c>
      <c r="J3067" s="1" cm="1">
        <f t="array" ref="J3067">GetLongitude(D3067)</f>
        <v>122106220</v>
      </c>
      <c r="K3067" s="1">
        <f t="shared" si="142"/>
        <v>55.528205999999997</v>
      </c>
      <c r="L3067" s="1">
        <f t="shared" si="143"/>
        <v>12.210622000000001</v>
      </c>
    </row>
    <row r="3068" spans="1:12" ht="16" x14ac:dyDescent="0.2">
      <c r="A3068" s="1">
        <v>3067</v>
      </c>
      <c r="B3068" s="1" t="s">
        <v>9142</v>
      </c>
      <c r="C3068" s="1" t="s">
        <v>9143</v>
      </c>
      <c r="D3068" s="1" t="str">
        <f t="shared" si="141"/>
        <v>Sorø KommuneAkademigrunden 1</v>
      </c>
      <c r="E3068" s="1" t="s">
        <v>9144</v>
      </c>
      <c r="F3068" s="1" t="s">
        <v>9145</v>
      </c>
      <c r="G3068" s="1">
        <v>1918</v>
      </c>
      <c r="H3068" s="1" t="s">
        <v>11</v>
      </c>
      <c r="I3068" s="6" cm="1">
        <f t="array" ref="I3068">GetLatitude(D3068)</f>
        <v>554313356</v>
      </c>
      <c r="J3068" s="1" cm="1">
        <f t="array" ref="J3068">GetLongitude(D3068)</f>
        <v>115556062</v>
      </c>
      <c r="K3068" s="1">
        <f t="shared" si="142"/>
        <v>55.431335599999997</v>
      </c>
      <c r="L3068" s="1">
        <f t="shared" si="143"/>
        <v>11.5556062</v>
      </c>
    </row>
    <row r="3069" spans="1:12" ht="16" x14ac:dyDescent="0.2">
      <c r="A3069" s="1">
        <v>3068</v>
      </c>
      <c r="B3069" s="1" t="s">
        <v>9142</v>
      </c>
      <c r="C3069" s="1" t="s">
        <v>9146</v>
      </c>
      <c r="D3069" s="1" t="str">
        <f t="shared" si="141"/>
        <v>Sorø KommuneAkademigrunden 10</v>
      </c>
      <c r="E3069" s="1" t="s">
        <v>9147</v>
      </c>
      <c r="F3069" s="1" t="s">
        <v>9148</v>
      </c>
      <c r="G3069" s="1">
        <v>1939</v>
      </c>
      <c r="H3069" s="1" t="s">
        <v>11</v>
      </c>
      <c r="I3069" s="6" cm="1">
        <f t="array" ref="I3069">GetLatitude(D3069)</f>
        <v>554297867</v>
      </c>
      <c r="J3069" s="1" cm="1">
        <f t="array" ref="J3069">GetLongitude(D3069)</f>
        <v>115554821</v>
      </c>
      <c r="K3069" s="1">
        <f t="shared" si="142"/>
        <v>55.429786700000001</v>
      </c>
      <c r="L3069" s="1">
        <f t="shared" si="143"/>
        <v>11.555482100000001</v>
      </c>
    </row>
    <row r="3070" spans="1:12" ht="16" x14ac:dyDescent="0.2">
      <c r="A3070" s="1">
        <v>3069</v>
      </c>
      <c r="B3070" s="1" t="s">
        <v>9142</v>
      </c>
      <c r="C3070" s="1" t="s">
        <v>9149</v>
      </c>
      <c r="D3070" s="1" t="str">
        <f t="shared" si="141"/>
        <v>Sorø KommuneAkademigrunden 7</v>
      </c>
      <c r="E3070" s="1" t="s">
        <v>9150</v>
      </c>
      <c r="F3070" s="1" t="s">
        <v>9151</v>
      </c>
      <c r="G3070" s="1">
        <v>1932</v>
      </c>
      <c r="H3070" s="1" t="s">
        <v>11</v>
      </c>
      <c r="I3070" s="6" cm="1">
        <f t="array" ref="I3070">GetLatitude(D3070)</f>
        <v>554295966</v>
      </c>
      <c r="J3070" s="1" cm="1">
        <f t="array" ref="J3070">GetLongitude(D3070)</f>
        <v>115565539</v>
      </c>
      <c r="K3070" s="1">
        <f t="shared" si="142"/>
        <v>55.429596600000004</v>
      </c>
      <c r="L3070" s="1">
        <f t="shared" si="143"/>
        <v>11.556553900000001</v>
      </c>
    </row>
    <row r="3071" spans="1:12" ht="16" x14ac:dyDescent="0.2">
      <c r="A3071" s="1">
        <v>3070</v>
      </c>
      <c r="B3071" s="1" t="s">
        <v>9142</v>
      </c>
      <c r="C3071" s="1" t="s">
        <v>9152</v>
      </c>
      <c r="D3071" s="1" t="str">
        <f t="shared" si="141"/>
        <v>Sorø KommuneAkademigrunden 8</v>
      </c>
      <c r="E3071" s="1" t="s">
        <v>9153</v>
      </c>
      <c r="F3071" s="1" t="s">
        <v>9154</v>
      </c>
      <c r="G3071" s="1">
        <v>1918</v>
      </c>
      <c r="H3071" s="1" t="s">
        <v>11</v>
      </c>
      <c r="I3071" s="6" cm="1">
        <f t="array" ref="I3071">GetLatitude(D3071)</f>
        <v>554294540</v>
      </c>
      <c r="J3071" s="1" cm="1">
        <f t="array" ref="J3071">GetLongitude(D3071)</f>
        <v>115573577</v>
      </c>
      <c r="K3071" s="1">
        <f t="shared" si="142"/>
        <v>55.429454</v>
      </c>
      <c r="L3071" s="1">
        <f t="shared" si="143"/>
        <v>11.557357700000001</v>
      </c>
    </row>
    <row r="3072" spans="1:12" ht="16" x14ac:dyDescent="0.2">
      <c r="A3072" s="1">
        <v>3071</v>
      </c>
      <c r="B3072" s="1" t="s">
        <v>9142</v>
      </c>
      <c r="C3072" s="1" t="s">
        <v>9155</v>
      </c>
      <c r="D3072" s="1" t="str">
        <f t="shared" si="141"/>
        <v>Sorø KommuneAkademigrunden 9</v>
      </c>
      <c r="E3072" s="1" t="s">
        <v>9156</v>
      </c>
      <c r="F3072" s="1" t="s">
        <v>9154</v>
      </c>
      <c r="G3072" s="1">
        <v>1918</v>
      </c>
      <c r="H3072" s="1" t="s">
        <v>11</v>
      </c>
      <c r="I3072" s="6" cm="1">
        <f t="array" ref="I3072">GetLatitude(D3072)</f>
        <v>554293789</v>
      </c>
      <c r="J3072" s="1" cm="1">
        <f t="array" ref="J3072">GetLongitude(D3072)</f>
        <v>115558491</v>
      </c>
      <c r="K3072" s="1">
        <f t="shared" si="142"/>
        <v>55.429378900000003</v>
      </c>
      <c r="L3072" s="1">
        <f t="shared" si="143"/>
        <v>11.5558491</v>
      </c>
    </row>
    <row r="3073" spans="1:12" ht="16" x14ac:dyDescent="0.2">
      <c r="A3073" s="1">
        <v>3072</v>
      </c>
      <c r="B3073" s="1" t="s">
        <v>9142</v>
      </c>
      <c r="C3073" s="1" t="s">
        <v>9157</v>
      </c>
      <c r="D3073" s="1" t="str">
        <f t="shared" si="141"/>
        <v>Sorø KommuneAlstedvej 30</v>
      </c>
      <c r="E3073" s="1" t="s">
        <v>9158</v>
      </c>
      <c r="F3073" s="1" t="s">
        <v>3721</v>
      </c>
      <c r="G3073" s="1">
        <v>1977</v>
      </c>
      <c r="H3073" s="1" t="s">
        <v>15</v>
      </c>
      <c r="I3073" s="6" cm="1">
        <f t="array" ref="I3073">GetLatitude(D3073)</f>
        <v>554045444</v>
      </c>
      <c r="J3073" s="1" cm="1">
        <f t="array" ref="J3073">GetLongitude(D3073)</f>
        <v>116651124</v>
      </c>
      <c r="K3073" s="1">
        <f t="shared" si="142"/>
        <v>55.404544399999999</v>
      </c>
      <c r="L3073" s="1">
        <f t="shared" si="143"/>
        <v>11.6651124</v>
      </c>
    </row>
    <row r="3074" spans="1:12" ht="16" x14ac:dyDescent="0.2">
      <c r="A3074" s="1">
        <v>3073</v>
      </c>
      <c r="B3074" s="1" t="s">
        <v>9142</v>
      </c>
      <c r="C3074" s="1" t="s">
        <v>9159</v>
      </c>
      <c r="D3074" s="1" t="str">
        <f t="shared" si="141"/>
        <v>Sorø KommuneAlstedvej 32</v>
      </c>
      <c r="E3074" s="1" t="s">
        <v>9160</v>
      </c>
      <c r="F3074" s="1" t="s">
        <v>9161</v>
      </c>
      <c r="G3074" s="1">
        <v>1978</v>
      </c>
      <c r="H3074" s="1" t="s">
        <v>11</v>
      </c>
      <c r="I3074" s="6" cm="1">
        <f t="array" ref="I3074">GetLatitude(D3074)</f>
        <v>554046471</v>
      </c>
      <c r="J3074" s="1" cm="1">
        <f t="array" ref="J3074">GetLongitude(D3074)</f>
        <v>116659183</v>
      </c>
      <c r="K3074" s="1">
        <f t="shared" si="142"/>
        <v>55.404647099999998</v>
      </c>
      <c r="L3074" s="1">
        <f t="shared" si="143"/>
        <v>11.6659183</v>
      </c>
    </row>
    <row r="3075" spans="1:12" ht="16" x14ac:dyDescent="0.2">
      <c r="A3075" s="1">
        <v>3074</v>
      </c>
      <c r="B3075" s="1" t="s">
        <v>9142</v>
      </c>
      <c r="C3075" s="1" t="s">
        <v>9162</v>
      </c>
      <c r="D3075" s="1" t="str">
        <f t="shared" ref="D3075:D3138" si="144">B3075&amp;C3075</f>
        <v>Sorø KommuneHolbergsvej 101</v>
      </c>
      <c r="E3075" s="1" t="s">
        <v>9163</v>
      </c>
      <c r="F3075" s="1" t="s">
        <v>9164</v>
      </c>
      <c r="G3075" s="1">
        <v>1918</v>
      </c>
      <c r="H3075" s="1" t="s">
        <v>11</v>
      </c>
      <c r="I3075" s="6" cm="1">
        <f t="array" ref="I3075">GetLatitude(D3075)</f>
        <v>555109978</v>
      </c>
      <c r="J3075" s="1" cm="1">
        <f t="array" ref="J3075">GetLongitude(D3075)</f>
        <v>114906031</v>
      </c>
      <c r="K3075" s="1">
        <f t="shared" si="142"/>
        <v>55.510997799999998</v>
      </c>
      <c r="L3075" s="1">
        <f t="shared" si="143"/>
        <v>11.4906031</v>
      </c>
    </row>
    <row r="3076" spans="1:12" ht="16" x14ac:dyDescent="0.2">
      <c r="A3076" s="1">
        <v>3075</v>
      </c>
      <c r="B3076" s="1" t="s">
        <v>9142</v>
      </c>
      <c r="C3076" s="1" t="s">
        <v>9165</v>
      </c>
      <c r="D3076" s="1" t="str">
        <f t="shared" si="144"/>
        <v>Sorø KommuneHovsøvej 5</v>
      </c>
      <c r="E3076" s="1" t="s">
        <v>9166</v>
      </c>
      <c r="F3076" s="1" t="s">
        <v>9167</v>
      </c>
      <c r="G3076" s="1">
        <v>1918</v>
      </c>
      <c r="H3076" s="1" t="s">
        <v>11</v>
      </c>
      <c r="I3076" s="6" cm="1">
        <f t="array" ref="I3076">GetLatitude(D3076)</f>
        <v>555438970</v>
      </c>
      <c r="J3076" s="1" cm="1">
        <f t="array" ref="J3076">GetLongitude(D3076)</f>
        <v>113749090</v>
      </c>
      <c r="K3076" s="1">
        <f t="shared" ref="K3076:K3139" si="145">I3076/10000000</f>
        <v>55.543897000000001</v>
      </c>
      <c r="L3076" s="1">
        <f t="shared" ref="L3076:L3139" si="146">J3076/10000000</f>
        <v>11.374909000000001</v>
      </c>
    </row>
    <row r="3077" spans="1:12" ht="16" x14ac:dyDescent="0.2">
      <c r="A3077" s="1">
        <v>3076</v>
      </c>
      <c r="B3077" s="1" t="s">
        <v>9142</v>
      </c>
      <c r="C3077" s="1" t="s">
        <v>9168</v>
      </c>
      <c r="D3077" s="1" t="str">
        <f t="shared" si="144"/>
        <v>Sorø KommuneLyngevej 8</v>
      </c>
      <c r="E3077" s="1" t="s">
        <v>9169</v>
      </c>
      <c r="F3077" s="1" t="s">
        <v>9170</v>
      </c>
      <c r="G3077" s="1">
        <v>1918</v>
      </c>
      <c r="H3077" s="1" t="s">
        <v>15</v>
      </c>
      <c r="I3077" s="6" cm="1">
        <f t="array" ref="I3077">GetLatitude(D3077)</f>
        <v>553992734</v>
      </c>
      <c r="J3077" s="1" cm="1">
        <f t="array" ref="J3077">GetLongitude(D3077)</f>
        <v>115644145</v>
      </c>
      <c r="K3077" s="1">
        <f t="shared" si="145"/>
        <v>55.399273399999998</v>
      </c>
      <c r="L3077" s="1">
        <f t="shared" si="146"/>
        <v>11.5644145</v>
      </c>
    </row>
    <row r="3078" spans="1:12" ht="16" x14ac:dyDescent="0.2">
      <c r="A3078" s="1">
        <v>3077</v>
      </c>
      <c r="B3078" s="1" t="s">
        <v>9142</v>
      </c>
      <c r="C3078" s="1" t="s">
        <v>9171</v>
      </c>
      <c r="D3078" s="1" t="str">
        <f t="shared" si="144"/>
        <v>Sorø KommuneStationspladsen 2 A</v>
      </c>
      <c r="E3078" s="1" t="s">
        <v>9172</v>
      </c>
      <c r="F3078" s="1" t="s">
        <v>9173</v>
      </c>
      <c r="G3078" s="1">
        <v>1993</v>
      </c>
      <c r="H3078" s="1" t="s">
        <v>7630</v>
      </c>
      <c r="I3078" s="6" cm="1">
        <f t="array" ref="I3078">GetLatitude(D3078)</f>
        <v>554192256</v>
      </c>
      <c r="J3078" s="1" cm="1">
        <f t="array" ref="J3078">GetLongitude(D3078)</f>
        <v>115689151</v>
      </c>
      <c r="K3078" s="1">
        <f t="shared" si="145"/>
        <v>55.419225599999997</v>
      </c>
      <c r="L3078" s="1">
        <f t="shared" si="146"/>
        <v>11.5689151</v>
      </c>
    </row>
    <row r="3079" spans="1:12" ht="16" x14ac:dyDescent="0.2">
      <c r="A3079" s="1">
        <v>3078</v>
      </c>
      <c r="B3079" s="1" t="s">
        <v>9142</v>
      </c>
      <c r="C3079" s="1" t="s">
        <v>9174</v>
      </c>
      <c r="D3079" s="1" t="str">
        <f t="shared" si="144"/>
        <v>Sorø KommuneStorgade 17 A</v>
      </c>
      <c r="E3079" s="1" t="s">
        <v>9175</v>
      </c>
      <c r="F3079" s="1" t="s">
        <v>9176</v>
      </c>
      <c r="G3079" s="1">
        <v>1918</v>
      </c>
      <c r="H3079" s="1" t="s">
        <v>6205</v>
      </c>
      <c r="I3079" s="6" cm="1">
        <f t="array" ref="I3079">GetLatitude(D3079)</f>
        <v>554332730</v>
      </c>
      <c r="J3079" s="1" cm="1">
        <f t="array" ref="J3079">GetLongitude(D3079)</f>
        <v>115563982</v>
      </c>
      <c r="K3079" s="1">
        <f t="shared" si="145"/>
        <v>55.433273</v>
      </c>
      <c r="L3079" s="1">
        <f t="shared" si="146"/>
        <v>11.5563982</v>
      </c>
    </row>
    <row r="3080" spans="1:12" ht="16" x14ac:dyDescent="0.2">
      <c r="A3080" s="1">
        <v>3079</v>
      </c>
      <c r="B3080" s="1" t="s">
        <v>9142</v>
      </c>
      <c r="C3080" s="1" t="s">
        <v>9177</v>
      </c>
      <c r="D3080" s="1" t="str">
        <f t="shared" si="144"/>
        <v>Sorø KommuneStorgade 19 A</v>
      </c>
      <c r="E3080" s="1" t="s">
        <v>180</v>
      </c>
      <c r="F3080" s="1" t="s">
        <v>9178</v>
      </c>
      <c r="G3080" s="1">
        <v>1944</v>
      </c>
      <c r="H3080" s="1" t="s">
        <v>11</v>
      </c>
      <c r="I3080" s="6" cm="1">
        <f t="array" ref="I3080">GetLatitude(D3080)</f>
        <v>555000175</v>
      </c>
      <c r="J3080" s="1" cm="1">
        <f t="array" ref="J3080">GetLongitude(D3080)</f>
        <v>115729550</v>
      </c>
      <c r="K3080" s="1">
        <f t="shared" si="145"/>
        <v>55.500017499999998</v>
      </c>
      <c r="L3080" s="1">
        <f t="shared" si="146"/>
        <v>11.572955</v>
      </c>
    </row>
    <row r="3081" spans="1:12" ht="16" x14ac:dyDescent="0.2">
      <c r="A3081" s="1">
        <v>3080</v>
      </c>
      <c r="B3081" s="1" t="s">
        <v>9142</v>
      </c>
      <c r="C3081" s="1" t="s">
        <v>9179</v>
      </c>
      <c r="D3081" s="1" t="str">
        <f t="shared" si="144"/>
        <v>Sorø KommuneStorgade 7 A</v>
      </c>
      <c r="E3081" s="1" t="s">
        <v>9180</v>
      </c>
      <c r="F3081" s="1" t="s">
        <v>9181</v>
      </c>
      <c r="G3081" s="1">
        <v>1918</v>
      </c>
      <c r="H3081" s="1" t="s">
        <v>11</v>
      </c>
      <c r="I3081" s="6" cm="1">
        <f t="array" ref="I3081">GetLatitude(D3081)</f>
        <v>554323715</v>
      </c>
      <c r="J3081" s="1" cm="1">
        <f t="array" ref="J3081">GetLongitude(D3081)</f>
        <v>115558592</v>
      </c>
      <c r="K3081" s="1">
        <f t="shared" si="145"/>
        <v>55.432371500000002</v>
      </c>
      <c r="L3081" s="1">
        <f t="shared" si="146"/>
        <v>11.5558592</v>
      </c>
    </row>
    <row r="3082" spans="1:12" ht="16" x14ac:dyDescent="0.2">
      <c r="A3082" s="1">
        <v>3081</v>
      </c>
      <c r="B3082" s="1" t="s">
        <v>9142</v>
      </c>
      <c r="C3082" s="1" t="s">
        <v>9182</v>
      </c>
      <c r="D3082" s="1" t="str">
        <f t="shared" si="144"/>
        <v>Sorø KommuneStorgade 9</v>
      </c>
      <c r="E3082" s="1" t="s">
        <v>9183</v>
      </c>
      <c r="F3082" s="1" t="s">
        <v>9184</v>
      </c>
      <c r="G3082" s="1">
        <v>1981</v>
      </c>
      <c r="H3082" s="1" t="s">
        <v>11</v>
      </c>
      <c r="I3082" s="6" cm="1">
        <f t="array" ref="I3082">GetLatitude(D3082)</f>
        <v>554327376</v>
      </c>
      <c r="J3082" s="1" cm="1">
        <f t="array" ref="J3082">GetLongitude(D3082)</f>
        <v>115560356</v>
      </c>
      <c r="K3082" s="1">
        <f t="shared" si="145"/>
        <v>55.432737600000003</v>
      </c>
      <c r="L3082" s="1">
        <f t="shared" si="146"/>
        <v>11.5560356</v>
      </c>
    </row>
    <row r="3083" spans="1:12" ht="16" x14ac:dyDescent="0.2">
      <c r="A3083" s="1">
        <v>3082</v>
      </c>
      <c r="B3083" s="1" t="s">
        <v>9142</v>
      </c>
      <c r="C3083" s="1" t="s">
        <v>9185</v>
      </c>
      <c r="D3083" s="1" t="str">
        <f t="shared" si="144"/>
        <v>Sorø KommuneSøgade 10 A</v>
      </c>
      <c r="E3083" s="1" t="s">
        <v>9186</v>
      </c>
      <c r="F3083" s="1" t="s">
        <v>9187</v>
      </c>
      <c r="G3083" s="1">
        <v>1989</v>
      </c>
      <c r="H3083" s="1" t="s">
        <v>11</v>
      </c>
      <c r="I3083" s="6" cm="1">
        <f t="array" ref="I3083">GetLatitude(D3083)</f>
        <v>554321859</v>
      </c>
      <c r="J3083" s="1" cm="1">
        <f t="array" ref="J3083">GetLongitude(D3083)</f>
        <v>115535482</v>
      </c>
      <c r="K3083" s="1">
        <f t="shared" si="145"/>
        <v>55.4321859</v>
      </c>
      <c r="L3083" s="1">
        <f t="shared" si="146"/>
        <v>11.5535482</v>
      </c>
    </row>
    <row r="3084" spans="1:12" ht="16" x14ac:dyDescent="0.2">
      <c r="A3084" s="1">
        <v>3083</v>
      </c>
      <c r="B3084" s="1" t="s">
        <v>9142</v>
      </c>
      <c r="C3084" s="1" t="s">
        <v>9188</v>
      </c>
      <c r="D3084" s="1" t="str">
        <f t="shared" si="144"/>
        <v>Sorø KommuneSøgade 3</v>
      </c>
      <c r="E3084" s="1" t="s">
        <v>9189</v>
      </c>
      <c r="F3084" s="1" t="s">
        <v>9190</v>
      </c>
      <c r="G3084" s="1">
        <v>1982</v>
      </c>
      <c r="H3084" s="1" t="s">
        <v>11</v>
      </c>
      <c r="I3084" s="6" cm="1">
        <f t="array" ref="I3084">GetLatitude(D3084)</f>
        <v>554318933</v>
      </c>
      <c r="J3084" s="1" cm="1">
        <f t="array" ref="J3084">GetLongitude(D3084)</f>
        <v>115544308</v>
      </c>
      <c r="K3084" s="1">
        <f t="shared" si="145"/>
        <v>55.431893299999999</v>
      </c>
      <c r="L3084" s="1">
        <f t="shared" si="146"/>
        <v>11.5544308</v>
      </c>
    </row>
    <row r="3085" spans="1:12" ht="16" x14ac:dyDescent="0.2">
      <c r="A3085" s="1">
        <v>3084</v>
      </c>
      <c r="B3085" s="1" t="s">
        <v>9142</v>
      </c>
      <c r="C3085" s="1" t="s">
        <v>9191</v>
      </c>
      <c r="D3085" s="1" t="str">
        <f t="shared" si="144"/>
        <v>Sorø KommuneSøgade 7 A</v>
      </c>
      <c r="E3085" s="1" t="s">
        <v>9192</v>
      </c>
      <c r="F3085" s="1" t="s">
        <v>9193</v>
      </c>
      <c r="G3085" s="1">
        <v>1982</v>
      </c>
      <c r="H3085" s="1" t="s">
        <v>11</v>
      </c>
      <c r="I3085" s="6" cm="1">
        <f t="array" ref="I3085">GetLatitude(D3085)</f>
        <v>554319763</v>
      </c>
      <c r="J3085" s="1" cm="1">
        <f t="array" ref="J3085">GetLongitude(D3085)</f>
        <v>115539057</v>
      </c>
      <c r="K3085" s="1">
        <f t="shared" si="145"/>
        <v>55.431976300000002</v>
      </c>
      <c r="L3085" s="1">
        <f t="shared" si="146"/>
        <v>11.5539057</v>
      </c>
    </row>
    <row r="3086" spans="1:12" ht="16" x14ac:dyDescent="0.2">
      <c r="A3086" s="1">
        <v>3085</v>
      </c>
      <c r="B3086" s="1" t="s">
        <v>9142</v>
      </c>
      <c r="C3086" s="1" t="s">
        <v>9194</v>
      </c>
      <c r="D3086" s="1" t="str">
        <f t="shared" si="144"/>
        <v>Sorø KommuneSøgade 9-11</v>
      </c>
      <c r="E3086" s="1" t="s">
        <v>9195</v>
      </c>
      <c r="F3086" s="1" t="s">
        <v>9196</v>
      </c>
      <c r="G3086" s="1">
        <v>1918</v>
      </c>
      <c r="H3086" s="1" t="s">
        <v>11</v>
      </c>
      <c r="I3086" s="6" cm="1">
        <f t="array" ref="I3086">GetLatitude(D3086)</f>
        <v>554320234</v>
      </c>
      <c r="J3086" s="1" cm="1">
        <f t="array" ref="J3086">GetLongitude(D3086)</f>
        <v>115534130</v>
      </c>
      <c r="K3086" s="1">
        <f t="shared" si="145"/>
        <v>55.432023399999999</v>
      </c>
      <c r="L3086" s="1">
        <f t="shared" si="146"/>
        <v>11.553413000000001</v>
      </c>
    </row>
    <row r="3087" spans="1:12" ht="16" x14ac:dyDescent="0.2">
      <c r="A3087" s="1">
        <v>3086</v>
      </c>
      <c r="B3087" s="1" t="s">
        <v>9142</v>
      </c>
      <c r="C3087" s="1" t="s">
        <v>978</v>
      </c>
      <c r="D3087" s="1" t="str">
        <f t="shared" si="144"/>
        <v>Sorø KommuneTorvet 2</v>
      </c>
      <c r="E3087" s="1" t="s">
        <v>9197</v>
      </c>
      <c r="F3087" s="1" t="s">
        <v>9198</v>
      </c>
      <c r="G3087" s="1">
        <v>2009</v>
      </c>
      <c r="H3087" s="1" t="s">
        <v>701</v>
      </c>
      <c r="I3087" s="6" cm="1">
        <f t="array" ref="I3087">GetLatitude(D3087)</f>
        <v>554426450</v>
      </c>
      <c r="J3087" s="1" cm="1">
        <f t="array" ref="J3087">GetLongitude(D3087)</f>
        <v>115609369</v>
      </c>
      <c r="K3087" s="1">
        <f t="shared" si="145"/>
        <v>55.442644999999999</v>
      </c>
      <c r="L3087" s="1">
        <f t="shared" si="146"/>
        <v>11.5609369</v>
      </c>
    </row>
    <row r="3088" spans="1:12" ht="16" x14ac:dyDescent="0.2">
      <c r="A3088" s="1">
        <v>3087</v>
      </c>
      <c r="B3088" s="1" t="s">
        <v>9142</v>
      </c>
      <c r="C3088" s="1" t="s">
        <v>7348</v>
      </c>
      <c r="D3088" s="1" t="str">
        <f t="shared" si="144"/>
        <v>Sorø KommuneTorvet 3</v>
      </c>
      <c r="E3088" s="1" t="s">
        <v>9199</v>
      </c>
      <c r="F3088" s="1" t="s">
        <v>6766</v>
      </c>
      <c r="G3088" s="1">
        <v>1981</v>
      </c>
      <c r="H3088" s="1" t="s">
        <v>11</v>
      </c>
      <c r="I3088" s="6" cm="1">
        <f t="array" ref="I3088">GetLatitude(D3088)</f>
        <v>555000175</v>
      </c>
      <c r="J3088" s="1" cm="1">
        <f t="array" ref="J3088">GetLongitude(D3088)</f>
        <v>115729550</v>
      </c>
      <c r="K3088" s="1">
        <f t="shared" si="145"/>
        <v>55.500017499999998</v>
      </c>
      <c r="L3088" s="1">
        <f t="shared" si="146"/>
        <v>11.572955</v>
      </c>
    </row>
    <row r="3089" spans="1:12" ht="16" x14ac:dyDescent="0.2">
      <c r="A3089" s="1">
        <v>3088</v>
      </c>
      <c r="B3089" s="1" t="s">
        <v>9142</v>
      </c>
      <c r="C3089" s="1" t="s">
        <v>2706</v>
      </c>
      <c r="D3089" s="1" t="str">
        <f t="shared" si="144"/>
        <v>Sorø KommuneTorvet 7</v>
      </c>
      <c r="E3089" s="1" t="s">
        <v>6315</v>
      </c>
      <c r="F3089" s="1" t="s">
        <v>9200</v>
      </c>
      <c r="G3089" s="1">
        <v>1918</v>
      </c>
      <c r="H3089" s="1" t="s">
        <v>9201</v>
      </c>
      <c r="I3089" s="6" cm="1">
        <f t="array" ref="I3089">GetLatitude(D3089)</f>
        <v>555000175</v>
      </c>
      <c r="J3089" s="1" cm="1">
        <f t="array" ref="J3089">GetLongitude(D3089)</f>
        <v>115729550</v>
      </c>
      <c r="K3089" s="1">
        <f t="shared" si="145"/>
        <v>55.500017499999998</v>
      </c>
      <c r="L3089" s="1">
        <f t="shared" si="146"/>
        <v>11.572955</v>
      </c>
    </row>
    <row r="3090" spans="1:12" ht="16" x14ac:dyDescent="0.2">
      <c r="A3090" s="1">
        <v>3089</v>
      </c>
      <c r="B3090" s="1" t="s">
        <v>9142</v>
      </c>
      <c r="C3090" s="1" t="s">
        <v>9202</v>
      </c>
      <c r="D3090" s="1" t="str">
        <f t="shared" si="144"/>
        <v>Sorø KommuneTorvet 8 og Søgade 2</v>
      </c>
      <c r="E3090" s="1" t="s">
        <v>9203</v>
      </c>
      <c r="F3090" s="1" t="s">
        <v>9204</v>
      </c>
      <c r="G3090" s="1">
        <v>1918</v>
      </c>
      <c r="H3090" s="1" t="s">
        <v>11</v>
      </c>
      <c r="I3090" s="6" cm="1">
        <f t="array" ref="I3090">GetLatitude(D3090)</f>
        <v>554321581</v>
      </c>
      <c r="J3090" s="1" cm="1">
        <f t="array" ref="J3090">GetLongitude(D3090)</f>
        <v>115539628</v>
      </c>
      <c r="K3090" s="1">
        <f t="shared" si="145"/>
        <v>55.432158100000002</v>
      </c>
      <c r="L3090" s="1">
        <f t="shared" si="146"/>
        <v>11.553962800000001</v>
      </c>
    </row>
    <row r="3091" spans="1:12" ht="16" x14ac:dyDescent="0.2">
      <c r="A3091" s="1">
        <v>3090</v>
      </c>
      <c r="B3091" s="1" t="s">
        <v>9205</v>
      </c>
      <c r="C3091" s="1" t="s">
        <v>8994</v>
      </c>
      <c r="D3091" s="1" t="str">
        <f t="shared" si="144"/>
        <v>Stevns KommuneAlgade 11</v>
      </c>
      <c r="E3091" s="1" t="s">
        <v>9206</v>
      </c>
      <c r="F3091" s="1" t="s">
        <v>9207</v>
      </c>
      <c r="G3091" s="1">
        <v>2003</v>
      </c>
      <c r="H3091" s="1" t="s">
        <v>15</v>
      </c>
      <c r="I3091" s="6" cm="1">
        <f t="array" ref="I3091">GetLatitude(D3091)</f>
        <v>553103416</v>
      </c>
      <c r="J3091" s="1" cm="1">
        <f t="array" ref="J3091">GetLongitude(D3091)</f>
        <v>123891586</v>
      </c>
      <c r="K3091" s="1">
        <f t="shared" si="145"/>
        <v>55.310341600000001</v>
      </c>
      <c r="L3091" s="1">
        <f t="shared" si="146"/>
        <v>12.3891586</v>
      </c>
    </row>
    <row r="3092" spans="1:12" ht="16" x14ac:dyDescent="0.2">
      <c r="A3092" s="1">
        <v>3091</v>
      </c>
      <c r="B3092" s="1" t="s">
        <v>9205</v>
      </c>
      <c r="C3092" s="1" t="s">
        <v>9208</v>
      </c>
      <c r="D3092" s="1" t="str">
        <f t="shared" si="144"/>
        <v>Stevns KommuneAlgade 8</v>
      </c>
      <c r="E3092" s="1" t="s">
        <v>1468</v>
      </c>
      <c r="F3092" s="1" t="s">
        <v>9209</v>
      </c>
      <c r="G3092" s="1">
        <v>1977</v>
      </c>
      <c r="H3092" s="1" t="s">
        <v>701</v>
      </c>
      <c r="I3092" s="6" cm="1">
        <f t="array" ref="I3092">GetLatitude(D3092)</f>
        <v>553390187</v>
      </c>
      <c r="J3092" s="1" cm="1">
        <f t="array" ref="J3092">GetLongitude(D3092)</f>
        <v>122931299</v>
      </c>
      <c r="K3092" s="1">
        <f t="shared" si="145"/>
        <v>55.339018699999997</v>
      </c>
      <c r="L3092" s="1">
        <f t="shared" si="146"/>
        <v>12.2931299</v>
      </c>
    </row>
    <row r="3093" spans="1:12" ht="16" x14ac:dyDescent="0.2">
      <c r="A3093" s="1">
        <v>3092</v>
      </c>
      <c r="B3093" s="1" t="s">
        <v>9205</v>
      </c>
      <c r="C3093" s="1" t="s">
        <v>9210</v>
      </c>
      <c r="D3093" s="1" t="str">
        <f t="shared" si="144"/>
        <v>Stevns KommuneBorgergade 11-13</v>
      </c>
      <c r="E3093" s="1" t="s">
        <v>9211</v>
      </c>
      <c r="F3093" s="1" t="s">
        <v>9212</v>
      </c>
      <c r="G3093" s="1">
        <v>1991</v>
      </c>
      <c r="H3093" s="1" t="s">
        <v>15</v>
      </c>
      <c r="I3093" s="6" cm="1">
        <f t="array" ref="I3093">GetLatitude(D3093)</f>
        <v>553390187</v>
      </c>
      <c r="J3093" s="1" cm="1">
        <f t="array" ref="J3093">GetLongitude(D3093)</f>
        <v>122931299</v>
      </c>
      <c r="K3093" s="1">
        <f t="shared" si="145"/>
        <v>55.339018699999997</v>
      </c>
      <c r="L3093" s="1">
        <f t="shared" si="146"/>
        <v>12.2931299</v>
      </c>
    </row>
    <row r="3094" spans="1:12" ht="16" x14ac:dyDescent="0.2">
      <c r="A3094" s="1">
        <v>3093</v>
      </c>
      <c r="B3094" s="1" t="s">
        <v>9205</v>
      </c>
      <c r="C3094" s="1" t="s">
        <v>9213</v>
      </c>
      <c r="D3094" s="1" t="str">
        <f t="shared" si="144"/>
        <v>Stevns KommuneBranddamsvej 1</v>
      </c>
      <c r="E3094" s="1" t="s">
        <v>9214</v>
      </c>
      <c r="F3094" s="1" t="s">
        <v>9215</v>
      </c>
      <c r="G3094" s="1">
        <v>1950</v>
      </c>
      <c r="H3094" s="1" t="s">
        <v>11</v>
      </c>
      <c r="I3094" s="6" cm="1">
        <f t="array" ref="I3094">GetLatitude(D3094)</f>
        <v>553987624</v>
      </c>
      <c r="J3094" s="1" cm="1">
        <f t="array" ref="J3094">GetLongitude(D3094)</f>
        <v>122358889</v>
      </c>
      <c r="K3094" s="1">
        <f t="shared" si="145"/>
        <v>55.398762400000003</v>
      </c>
      <c r="L3094" s="1">
        <f t="shared" si="146"/>
        <v>12.235888900000001</v>
      </c>
    </row>
    <row r="3095" spans="1:12" ht="16" x14ac:dyDescent="0.2">
      <c r="A3095" s="1">
        <v>3094</v>
      </c>
      <c r="B3095" s="1" t="s">
        <v>9205</v>
      </c>
      <c r="C3095" s="1" t="s">
        <v>9216</v>
      </c>
      <c r="D3095" s="1" t="str">
        <f t="shared" si="144"/>
        <v>Stevns KommuneBroveshøjvej 19</v>
      </c>
      <c r="E3095" s="1" t="s">
        <v>9217</v>
      </c>
      <c r="F3095" s="1" t="s">
        <v>9218</v>
      </c>
      <c r="G3095" s="1">
        <v>1982</v>
      </c>
      <c r="H3095" s="1" t="s">
        <v>15</v>
      </c>
      <c r="I3095" s="6" cm="1">
        <f t="array" ref="I3095">GetLatitude(D3095)</f>
        <v>552731580</v>
      </c>
      <c r="J3095" s="1" cm="1">
        <f t="array" ref="J3095">GetLongitude(D3095)</f>
        <v>123941300</v>
      </c>
      <c r="K3095" s="1">
        <f t="shared" si="145"/>
        <v>55.273158000000002</v>
      </c>
      <c r="L3095" s="1">
        <f t="shared" si="146"/>
        <v>12.394130000000001</v>
      </c>
    </row>
    <row r="3096" spans="1:12" ht="16" x14ac:dyDescent="0.2">
      <c r="A3096" s="1">
        <v>3095</v>
      </c>
      <c r="B3096" s="1" t="s">
        <v>9205</v>
      </c>
      <c r="C3096" s="1" t="s">
        <v>9219</v>
      </c>
      <c r="D3096" s="1" t="str">
        <f t="shared" si="144"/>
        <v>Stevns KommuneFyrvej 2, Stevns</v>
      </c>
      <c r="E3096" s="1" t="s">
        <v>9220</v>
      </c>
      <c r="F3096" s="1" t="s">
        <v>9221</v>
      </c>
      <c r="G3096" s="1">
        <v>1932</v>
      </c>
      <c r="H3096" s="1" t="s">
        <v>9222</v>
      </c>
      <c r="I3096" s="6" cm="1">
        <f t="array" ref="I3096">GetLatitude(D3096)</f>
        <v>552903571</v>
      </c>
      <c r="J3096" s="1" cm="1">
        <f t="array" ref="J3096">GetLongitude(D3096)</f>
        <v>124521424</v>
      </c>
      <c r="K3096" s="1">
        <f t="shared" si="145"/>
        <v>55.290357100000001</v>
      </c>
      <c r="L3096" s="1">
        <f t="shared" si="146"/>
        <v>12.4521424</v>
      </c>
    </row>
    <row r="3097" spans="1:12" ht="16" x14ac:dyDescent="0.2">
      <c r="A3097" s="1">
        <v>3096</v>
      </c>
      <c r="B3097" s="1" t="s">
        <v>9205</v>
      </c>
      <c r="C3097" s="1" t="s">
        <v>9223</v>
      </c>
      <c r="D3097" s="1" t="str">
        <f t="shared" si="144"/>
        <v>Stevns KommuneGjorslevvej 20</v>
      </c>
      <c r="E3097" s="1" t="s">
        <v>9224</v>
      </c>
      <c r="F3097" s="1" t="s">
        <v>9225</v>
      </c>
      <c r="G3097" s="1">
        <v>1918</v>
      </c>
      <c r="H3097" s="1" t="s">
        <v>1493</v>
      </c>
      <c r="I3097" s="6" cm="1">
        <f t="array" ref="I3097">GetLatitude(D3097)</f>
        <v>553529324</v>
      </c>
      <c r="J3097" s="1" cm="1">
        <f t="array" ref="J3097">GetLongitude(D3097)</f>
        <v>123783627</v>
      </c>
      <c r="K3097" s="1">
        <f t="shared" si="145"/>
        <v>55.3529324</v>
      </c>
      <c r="L3097" s="1">
        <f t="shared" si="146"/>
        <v>12.3783627</v>
      </c>
    </row>
    <row r="3098" spans="1:12" ht="16" x14ac:dyDescent="0.2">
      <c r="A3098" s="1">
        <v>3097</v>
      </c>
      <c r="B3098" s="1" t="s">
        <v>9205</v>
      </c>
      <c r="C3098" s="1" t="s">
        <v>9226</v>
      </c>
      <c r="D3098" s="1" t="str">
        <f t="shared" si="144"/>
        <v>Stevns KommuneJuellingevej 2</v>
      </c>
      <c r="E3098" s="1" t="s">
        <v>9227</v>
      </c>
      <c r="F3098" s="1" t="s">
        <v>9228</v>
      </c>
      <c r="G3098" s="1">
        <v>1918</v>
      </c>
      <c r="H3098" s="1" t="s">
        <v>391</v>
      </c>
      <c r="I3098" s="6" cm="1">
        <f t="array" ref="I3098">GetLatitude(D3098)</f>
        <v>553019124</v>
      </c>
      <c r="J3098" s="1" cm="1">
        <f t="array" ref="J3098">GetLongitude(D3098)</f>
        <v>122348232</v>
      </c>
      <c r="K3098" s="1">
        <f t="shared" si="145"/>
        <v>55.301912399999999</v>
      </c>
      <c r="L3098" s="1">
        <f t="shared" si="146"/>
        <v>12.234823199999999</v>
      </c>
    </row>
    <row r="3099" spans="1:12" ht="16" x14ac:dyDescent="0.2">
      <c r="A3099" s="1">
        <v>3098</v>
      </c>
      <c r="B3099" s="1" t="s">
        <v>9205</v>
      </c>
      <c r="C3099" s="1" t="s">
        <v>9229</v>
      </c>
      <c r="D3099" s="1" t="str">
        <f t="shared" si="144"/>
        <v>Stevns KommuneKirketorvet 7</v>
      </c>
      <c r="E3099" s="1" t="s">
        <v>9230</v>
      </c>
      <c r="F3099" s="1" t="s">
        <v>9231</v>
      </c>
      <c r="G3099" s="1">
        <v>1919</v>
      </c>
      <c r="H3099" s="1" t="s">
        <v>15</v>
      </c>
      <c r="I3099" s="6" cm="1">
        <f t="array" ref="I3099">GetLatitude(D3099)</f>
        <v>553390187</v>
      </c>
      <c r="J3099" s="1" cm="1">
        <f t="array" ref="J3099">GetLongitude(D3099)</f>
        <v>122931299</v>
      </c>
      <c r="K3099" s="1">
        <f t="shared" si="145"/>
        <v>55.339018699999997</v>
      </c>
      <c r="L3099" s="1">
        <f t="shared" si="146"/>
        <v>12.2931299</v>
      </c>
    </row>
    <row r="3100" spans="1:12" ht="16" x14ac:dyDescent="0.2">
      <c r="A3100" s="1">
        <v>3099</v>
      </c>
      <c r="B3100" s="1" t="s">
        <v>9205</v>
      </c>
      <c r="C3100" s="1" t="s">
        <v>9232</v>
      </c>
      <c r="D3100" s="1" t="str">
        <f t="shared" si="144"/>
        <v>Stevns KommuneKirkevænget 2</v>
      </c>
      <c r="E3100" s="1" t="s">
        <v>9233</v>
      </c>
      <c r="F3100" s="1" t="s">
        <v>9234</v>
      </c>
      <c r="G3100" s="1">
        <v>1945</v>
      </c>
      <c r="H3100" s="1" t="s">
        <v>15</v>
      </c>
      <c r="I3100" s="6" cm="1">
        <f t="array" ref="I3100">GetLatitude(D3100)</f>
        <v>553390187</v>
      </c>
      <c r="J3100" s="1" cm="1">
        <f t="array" ref="J3100">GetLongitude(D3100)</f>
        <v>122931299</v>
      </c>
      <c r="K3100" s="1">
        <f t="shared" si="145"/>
        <v>55.339018699999997</v>
      </c>
      <c r="L3100" s="1">
        <f t="shared" si="146"/>
        <v>12.2931299</v>
      </c>
    </row>
    <row r="3101" spans="1:12" ht="16" x14ac:dyDescent="0.2">
      <c r="A3101" s="1">
        <v>3100</v>
      </c>
      <c r="B3101" s="1" t="s">
        <v>9205</v>
      </c>
      <c r="C3101" s="1" t="s">
        <v>9235</v>
      </c>
      <c r="D3101" s="1" t="str">
        <f t="shared" si="144"/>
        <v>Stevns KommuneKorsnæbsvej 60</v>
      </c>
      <c r="E3101" s="1" t="s">
        <v>9236</v>
      </c>
      <c r="F3101" s="1" t="s">
        <v>9237</v>
      </c>
      <c r="G3101" s="1">
        <v>2012</v>
      </c>
      <c r="H3101" s="1" t="s">
        <v>15</v>
      </c>
      <c r="I3101" s="6" cm="1">
        <f t="array" ref="I3101">GetLatitude(D3101)</f>
        <v>552645275</v>
      </c>
      <c r="J3101" s="1" cm="1">
        <f t="array" ref="J3101">GetLongitude(D3101)</f>
        <v>124097704</v>
      </c>
      <c r="K3101" s="1">
        <f t="shared" si="145"/>
        <v>55.2645275</v>
      </c>
      <c r="L3101" s="1">
        <f t="shared" si="146"/>
        <v>12.409770399999999</v>
      </c>
    </row>
    <row r="3102" spans="1:12" ht="16" x14ac:dyDescent="0.2">
      <c r="A3102" s="1">
        <v>3101</v>
      </c>
      <c r="B3102" s="1" t="s">
        <v>9205</v>
      </c>
      <c r="C3102" s="1" t="s">
        <v>9238</v>
      </c>
      <c r="D3102" s="1" t="str">
        <f t="shared" si="144"/>
        <v>Stevns KommuneSlotsgade 10</v>
      </c>
      <c r="E3102" s="1" t="s">
        <v>9239</v>
      </c>
      <c r="F3102" s="1" t="s">
        <v>9240</v>
      </c>
      <c r="G3102" s="1">
        <v>1939</v>
      </c>
      <c r="H3102" s="1" t="s">
        <v>15</v>
      </c>
      <c r="I3102" s="6" cm="1">
        <f t="array" ref="I3102">GetLatitude(D3102)</f>
        <v>553390187</v>
      </c>
      <c r="J3102" s="1" cm="1">
        <f t="array" ref="J3102">GetLongitude(D3102)</f>
        <v>122931299</v>
      </c>
      <c r="K3102" s="1">
        <f t="shared" si="145"/>
        <v>55.339018699999997</v>
      </c>
      <c r="L3102" s="1">
        <f t="shared" si="146"/>
        <v>12.2931299</v>
      </c>
    </row>
    <row r="3103" spans="1:12" ht="16" x14ac:dyDescent="0.2">
      <c r="A3103" s="1">
        <v>3102</v>
      </c>
      <c r="B3103" s="1" t="s">
        <v>9205</v>
      </c>
      <c r="C3103" s="1" t="s">
        <v>9241</v>
      </c>
      <c r="D3103" s="1" t="str">
        <f t="shared" si="144"/>
        <v>Stevns KommuneSlotsgade 12</v>
      </c>
      <c r="E3103" s="1" t="s">
        <v>9242</v>
      </c>
      <c r="F3103" s="1" t="s">
        <v>9243</v>
      </c>
      <c r="G3103" s="1">
        <v>1939</v>
      </c>
      <c r="H3103" s="1" t="s">
        <v>15</v>
      </c>
      <c r="I3103" s="6" cm="1">
        <f t="array" ref="I3103">GetLatitude(D3103)</f>
        <v>554008229</v>
      </c>
      <c r="J3103" s="1" cm="1">
        <f t="array" ref="J3103">GetLongitude(D3103)</f>
        <v>122104366</v>
      </c>
      <c r="K3103" s="1">
        <f t="shared" si="145"/>
        <v>55.400822900000001</v>
      </c>
      <c r="L3103" s="1">
        <f t="shared" si="146"/>
        <v>12.2104366</v>
      </c>
    </row>
    <row r="3104" spans="1:12" ht="16" x14ac:dyDescent="0.2">
      <c r="A3104" s="1">
        <v>3103</v>
      </c>
      <c r="B3104" s="1" t="s">
        <v>9205</v>
      </c>
      <c r="C3104" s="1" t="s">
        <v>9244</v>
      </c>
      <c r="D3104" s="1" t="str">
        <f t="shared" si="144"/>
        <v>Stevns KommuneSlotsgade 3-5</v>
      </c>
      <c r="E3104" s="1" t="s">
        <v>9245</v>
      </c>
      <c r="F3104" s="1" t="s">
        <v>9246</v>
      </c>
      <c r="G3104" s="1">
        <v>1939</v>
      </c>
      <c r="H3104" s="1" t="s">
        <v>15</v>
      </c>
      <c r="I3104" s="6" cm="1">
        <f t="array" ref="I3104">GetLatitude(D3104)</f>
        <v>553390187</v>
      </c>
      <c r="J3104" s="1" cm="1">
        <f t="array" ref="J3104">GetLongitude(D3104)</f>
        <v>122931299</v>
      </c>
      <c r="K3104" s="1">
        <f t="shared" si="145"/>
        <v>55.339018699999997</v>
      </c>
      <c r="L3104" s="1">
        <f t="shared" si="146"/>
        <v>12.2931299</v>
      </c>
    </row>
    <row r="3105" spans="1:12" ht="16" x14ac:dyDescent="0.2">
      <c r="A3105" s="1">
        <v>3104</v>
      </c>
      <c r="B3105" s="1" t="s">
        <v>9205</v>
      </c>
      <c r="C3105" s="1" t="s">
        <v>9247</v>
      </c>
      <c r="D3105" s="1" t="str">
        <f t="shared" si="144"/>
        <v>Stevns KommuneSlotsgade 4</v>
      </c>
      <c r="E3105" s="1" t="s">
        <v>9248</v>
      </c>
      <c r="F3105" s="1" t="s">
        <v>9249</v>
      </c>
      <c r="G3105" s="1">
        <v>1918</v>
      </c>
      <c r="H3105" s="1" t="s">
        <v>11</v>
      </c>
      <c r="I3105" s="6" cm="1">
        <f t="array" ref="I3105">GetLatitude(D3105)</f>
        <v>553390187</v>
      </c>
      <c r="J3105" s="1" cm="1">
        <f t="array" ref="J3105">GetLongitude(D3105)</f>
        <v>122931299</v>
      </c>
      <c r="K3105" s="1">
        <f t="shared" si="145"/>
        <v>55.339018699999997</v>
      </c>
      <c r="L3105" s="1">
        <f t="shared" si="146"/>
        <v>12.2931299</v>
      </c>
    </row>
    <row r="3106" spans="1:12" ht="16" x14ac:dyDescent="0.2">
      <c r="A3106" s="1">
        <v>3105</v>
      </c>
      <c r="B3106" s="1" t="s">
        <v>9205</v>
      </c>
      <c r="C3106" s="1" t="s">
        <v>1394</v>
      </c>
      <c r="D3106" s="1" t="str">
        <f t="shared" si="144"/>
        <v>Stevns KommuneSlotsgade 9</v>
      </c>
      <c r="E3106" s="1" t="s">
        <v>9250</v>
      </c>
      <c r="F3106" s="1" t="s">
        <v>9251</v>
      </c>
      <c r="G3106" s="1">
        <v>1939</v>
      </c>
      <c r="H3106" s="1" t="s">
        <v>15</v>
      </c>
      <c r="I3106" s="6" cm="1">
        <f t="array" ref="I3106">GetLatitude(D3106)</f>
        <v>553998923</v>
      </c>
      <c r="J3106" s="1" cm="1">
        <f t="array" ref="J3106">GetLongitude(D3106)</f>
        <v>122102038</v>
      </c>
      <c r="K3106" s="1">
        <f t="shared" si="145"/>
        <v>55.399892299999998</v>
      </c>
      <c r="L3106" s="1">
        <f t="shared" si="146"/>
        <v>12.2102038</v>
      </c>
    </row>
    <row r="3107" spans="1:12" ht="16" x14ac:dyDescent="0.2">
      <c r="A3107" s="1">
        <v>3106</v>
      </c>
      <c r="B3107" s="1" t="s">
        <v>9205</v>
      </c>
      <c r="C3107" s="1" t="s">
        <v>9252</v>
      </c>
      <c r="D3107" s="1" t="str">
        <f t="shared" si="144"/>
        <v>Stevns KommuneStormarksvej 2</v>
      </c>
      <c r="E3107" s="1" t="s">
        <v>9253</v>
      </c>
      <c r="F3107" s="1" t="s">
        <v>9254</v>
      </c>
      <c r="G3107" s="1">
        <v>1918</v>
      </c>
      <c r="H3107" s="1" t="s">
        <v>99</v>
      </c>
      <c r="I3107" s="6" cm="1">
        <f t="array" ref="I3107">GetLatitude(D3107)</f>
        <v>552775545</v>
      </c>
      <c r="J3107" s="1" cm="1">
        <f t="array" ref="J3107">GetLongitude(D3107)</f>
        <v>123783644</v>
      </c>
      <c r="K3107" s="1">
        <f t="shared" si="145"/>
        <v>55.277554500000001</v>
      </c>
      <c r="L3107" s="1">
        <f t="shared" si="146"/>
        <v>12.378364400000001</v>
      </c>
    </row>
    <row r="3108" spans="1:12" ht="16" x14ac:dyDescent="0.2">
      <c r="A3108" s="1">
        <v>3107</v>
      </c>
      <c r="B3108" s="1" t="s">
        <v>9205</v>
      </c>
      <c r="C3108" s="1" t="s">
        <v>9255</v>
      </c>
      <c r="D3108" s="1" t="str">
        <f t="shared" si="144"/>
        <v>Stevns KommuneTåstrupvej 31</v>
      </c>
      <c r="E3108" s="1" t="s">
        <v>9256</v>
      </c>
      <c r="F3108" s="1" t="s">
        <v>9257</v>
      </c>
      <c r="G3108" s="1">
        <v>1995</v>
      </c>
      <c r="H3108" s="1" t="s">
        <v>15</v>
      </c>
      <c r="I3108" s="6" cm="1">
        <f t="array" ref="I3108">GetLatitude(D3108)</f>
        <v>553359136</v>
      </c>
      <c r="J3108" s="1" cm="1">
        <f t="array" ref="J3108">GetLongitude(D3108)</f>
        <v>122852752</v>
      </c>
      <c r="K3108" s="1">
        <f t="shared" si="145"/>
        <v>55.335913599999998</v>
      </c>
      <c r="L3108" s="1">
        <f t="shared" si="146"/>
        <v>12.285275199999999</v>
      </c>
    </row>
    <row r="3109" spans="1:12" ht="16" x14ac:dyDescent="0.2">
      <c r="A3109" s="1">
        <v>3108</v>
      </c>
      <c r="B3109" s="1" t="s">
        <v>9205</v>
      </c>
      <c r="C3109" s="1" t="s">
        <v>9258</v>
      </c>
      <c r="D3109" s="1" t="str">
        <f t="shared" si="144"/>
        <v>Stevns KommuneTåstrupvej 33</v>
      </c>
      <c r="E3109" s="1" t="s">
        <v>9259</v>
      </c>
      <c r="F3109" s="1" t="s">
        <v>9260</v>
      </c>
      <c r="G3109" s="1">
        <v>1983</v>
      </c>
      <c r="H3109" s="1" t="s">
        <v>11</v>
      </c>
      <c r="I3109" s="6" cm="1">
        <f t="array" ref="I3109">GetLatitude(D3109)</f>
        <v>553358010</v>
      </c>
      <c r="J3109" s="1" cm="1">
        <f t="array" ref="J3109">GetLongitude(D3109)</f>
        <v>122856273</v>
      </c>
      <c r="K3109" s="1">
        <f t="shared" si="145"/>
        <v>55.335800999999996</v>
      </c>
      <c r="L3109" s="1">
        <f t="shared" si="146"/>
        <v>12.2856273</v>
      </c>
    </row>
    <row r="3110" spans="1:12" ht="16" x14ac:dyDescent="0.2">
      <c r="A3110" s="1">
        <v>3109</v>
      </c>
      <c r="B3110" s="1" t="s">
        <v>9261</v>
      </c>
      <c r="C3110" s="1" t="s">
        <v>9262</v>
      </c>
      <c r="D3110" s="1" t="str">
        <f t="shared" si="144"/>
        <v>Struer KommuneGammel Færgevej</v>
      </c>
      <c r="E3110" s="1" t="s">
        <v>9263</v>
      </c>
      <c r="F3110" s="1" t="s">
        <v>9264</v>
      </c>
      <c r="G3110" s="1">
        <v>2002</v>
      </c>
      <c r="H3110" s="1" t="s">
        <v>15</v>
      </c>
      <c r="I3110" s="6" cm="1">
        <f t="array" ref="I3110">GetLatitude(D3110)</f>
        <v>565753765</v>
      </c>
      <c r="J3110" s="1" cm="1">
        <f t="array" ref="J3110">GetLongitude(D3110)</f>
        <v>85647299</v>
      </c>
      <c r="K3110" s="1">
        <f t="shared" si="145"/>
        <v>56.575376499999997</v>
      </c>
      <c r="L3110" s="1">
        <f t="shared" si="146"/>
        <v>8.5647298999999997</v>
      </c>
    </row>
    <row r="3111" spans="1:12" ht="16" x14ac:dyDescent="0.2">
      <c r="A3111" s="1">
        <v>3110</v>
      </c>
      <c r="B3111" s="1" t="s">
        <v>9261</v>
      </c>
      <c r="C3111" s="1" t="s">
        <v>9265</v>
      </c>
      <c r="D3111" s="1" t="str">
        <f t="shared" si="144"/>
        <v>Struer KommuneHindselsvej 24</v>
      </c>
      <c r="E3111" s="1" t="s">
        <v>9266</v>
      </c>
      <c r="F3111" s="1" t="s">
        <v>9267</v>
      </c>
      <c r="G3111" s="1">
        <v>1991</v>
      </c>
      <c r="H3111" s="1" t="s">
        <v>15</v>
      </c>
      <c r="I3111" s="6" cm="1">
        <f t="array" ref="I3111">GetLatitude(D3111)</f>
        <v>566741549</v>
      </c>
      <c r="J3111" s="1" cm="1">
        <f t="array" ref="J3111">GetLongitude(D3111)</f>
        <v>85790665</v>
      </c>
      <c r="K3111" s="1">
        <f t="shared" si="145"/>
        <v>56.674154899999998</v>
      </c>
      <c r="L3111" s="1">
        <f t="shared" si="146"/>
        <v>8.5790664999999997</v>
      </c>
    </row>
    <row r="3112" spans="1:12" ht="16" x14ac:dyDescent="0.2">
      <c r="A3112" s="1">
        <v>3111</v>
      </c>
      <c r="B3112" s="1" t="s">
        <v>9261</v>
      </c>
      <c r="C3112" s="1" t="s">
        <v>9268</v>
      </c>
      <c r="D3112" s="1" t="str">
        <f t="shared" si="144"/>
        <v>Struer KommuneHjermvej 59</v>
      </c>
      <c r="E3112" s="1" t="s">
        <v>9269</v>
      </c>
      <c r="F3112" s="1" t="s">
        <v>9270</v>
      </c>
      <c r="G3112" s="1">
        <v>1950</v>
      </c>
      <c r="H3112" s="1" t="s">
        <v>11</v>
      </c>
      <c r="I3112" s="6" cm="1">
        <f t="array" ref="I3112">GetLatitude(D3112)</f>
        <v>564639160</v>
      </c>
      <c r="J3112" s="1" cm="1">
        <f t="array" ref="J3112">GetLongitude(D3112)</f>
        <v>86132650</v>
      </c>
      <c r="K3112" s="1">
        <f t="shared" si="145"/>
        <v>56.463915999999998</v>
      </c>
      <c r="L3112" s="1">
        <f t="shared" si="146"/>
        <v>8.6132650000000002</v>
      </c>
    </row>
    <row r="3113" spans="1:12" ht="16" x14ac:dyDescent="0.2">
      <c r="A3113" s="1">
        <v>3112</v>
      </c>
      <c r="B3113" s="1" t="s">
        <v>9261</v>
      </c>
      <c r="C3113" s="1" t="s">
        <v>9271</v>
      </c>
      <c r="D3113" s="1" t="str">
        <f t="shared" si="144"/>
        <v>Struer KommuneHolstebrovej 101</v>
      </c>
      <c r="E3113" s="1" t="s">
        <v>9272</v>
      </c>
      <c r="F3113" s="1" t="s">
        <v>9273</v>
      </c>
      <c r="G3113" s="1">
        <v>1918</v>
      </c>
      <c r="H3113" s="1" t="s">
        <v>15</v>
      </c>
      <c r="I3113" s="6" cm="1">
        <f t="array" ref="I3113">GetLatitude(D3113)</f>
        <v>564291380</v>
      </c>
      <c r="J3113" s="1" cm="1">
        <f t="array" ref="J3113">GetLongitude(D3113)</f>
        <v>86019110</v>
      </c>
      <c r="K3113" s="1">
        <f t="shared" si="145"/>
        <v>56.429138000000002</v>
      </c>
      <c r="L3113" s="1">
        <f t="shared" si="146"/>
        <v>8.6019109999999994</v>
      </c>
    </row>
    <row r="3114" spans="1:12" ht="16" x14ac:dyDescent="0.2">
      <c r="A3114" s="1">
        <v>3113</v>
      </c>
      <c r="B3114" s="1" t="s">
        <v>9274</v>
      </c>
      <c r="C3114" s="1" t="s">
        <v>9275</v>
      </c>
      <c r="D3114" s="1" t="str">
        <f t="shared" si="144"/>
        <v>Svendborg KommuneAssensvej 233</v>
      </c>
      <c r="E3114" s="1" t="s">
        <v>9276</v>
      </c>
      <c r="F3114" s="1" t="s">
        <v>9277</v>
      </c>
      <c r="G3114" s="1">
        <v>1950</v>
      </c>
      <c r="H3114" s="1" t="s">
        <v>11</v>
      </c>
      <c r="I3114" s="6" cm="1">
        <f t="array" ref="I3114">GetLatitude(D3114)</f>
        <v>551316578</v>
      </c>
      <c r="J3114" s="1" cm="1">
        <f t="array" ref="J3114">GetLongitude(D3114)</f>
        <v>104984163</v>
      </c>
      <c r="K3114" s="1">
        <f t="shared" si="145"/>
        <v>55.131657799999999</v>
      </c>
      <c r="L3114" s="1">
        <f t="shared" si="146"/>
        <v>10.498416300000001</v>
      </c>
    </row>
    <row r="3115" spans="1:12" ht="16" x14ac:dyDescent="0.2">
      <c r="A3115" s="1">
        <v>3114</v>
      </c>
      <c r="B3115" s="1" t="s">
        <v>9274</v>
      </c>
      <c r="C3115" s="1" t="s">
        <v>9278</v>
      </c>
      <c r="D3115" s="1" t="str">
        <f t="shared" si="144"/>
        <v>Svendborg KommuneBadstuen 2</v>
      </c>
      <c r="E3115" s="1" t="s">
        <v>9279</v>
      </c>
      <c r="F3115" s="1" t="s">
        <v>1871</v>
      </c>
      <c r="G3115" s="1">
        <v>1945</v>
      </c>
      <c r="H3115" s="1" t="s">
        <v>11</v>
      </c>
      <c r="I3115" s="6" cm="1">
        <f t="array" ref="I3115">GetLatitude(D3115)</f>
        <v>550346229</v>
      </c>
      <c r="J3115" s="1" cm="1">
        <f t="array" ref="J3115">GetLongitude(D3115)</f>
        <v>106413248</v>
      </c>
      <c r="K3115" s="1">
        <f t="shared" si="145"/>
        <v>55.034622900000002</v>
      </c>
      <c r="L3115" s="1">
        <f t="shared" si="146"/>
        <v>10.6413248</v>
      </c>
    </row>
    <row r="3116" spans="1:12" ht="16" x14ac:dyDescent="0.2">
      <c r="A3116" s="1">
        <v>3115</v>
      </c>
      <c r="B3116" s="1" t="s">
        <v>9274</v>
      </c>
      <c r="C3116" s="1" t="s">
        <v>9280</v>
      </c>
      <c r="D3116" s="1" t="str">
        <f t="shared" si="144"/>
        <v>Svendborg KommuneBadstuen 4</v>
      </c>
      <c r="E3116" s="1" t="s">
        <v>9281</v>
      </c>
      <c r="F3116" s="1" t="s">
        <v>9282</v>
      </c>
      <c r="G3116" s="1">
        <v>1945</v>
      </c>
      <c r="H3116" s="1" t="s">
        <v>11</v>
      </c>
      <c r="I3116" s="6" cm="1">
        <f t="array" ref="I3116">GetLatitude(D3116)</f>
        <v>550344746</v>
      </c>
      <c r="J3116" s="1" cm="1">
        <f t="array" ref="J3116">GetLongitude(D3116)</f>
        <v>106412851</v>
      </c>
      <c r="K3116" s="1">
        <f t="shared" si="145"/>
        <v>55.034474600000003</v>
      </c>
      <c r="L3116" s="1">
        <f t="shared" si="146"/>
        <v>10.641285099999999</v>
      </c>
    </row>
    <row r="3117" spans="1:12" ht="16" x14ac:dyDescent="0.2">
      <c r="A3117" s="1">
        <v>3116</v>
      </c>
      <c r="B3117" s="1" t="s">
        <v>9274</v>
      </c>
      <c r="C3117" s="1" t="s">
        <v>9283</v>
      </c>
      <c r="D3117" s="1" t="str">
        <f t="shared" si="144"/>
        <v>Svendborg KommuneBagergade 1</v>
      </c>
      <c r="E3117" s="1" t="s">
        <v>9284</v>
      </c>
      <c r="F3117" s="1" t="s">
        <v>9285</v>
      </c>
      <c r="G3117" s="1">
        <v>1919</v>
      </c>
      <c r="H3117" s="1" t="s">
        <v>11</v>
      </c>
      <c r="I3117" s="6" cm="1">
        <f t="array" ref="I3117">GetLatitude(D3117)</f>
        <v>550612028</v>
      </c>
      <c r="J3117" s="1" cm="1">
        <f t="array" ref="J3117">GetLongitude(D3117)</f>
        <v>106094715</v>
      </c>
      <c r="K3117" s="1">
        <f t="shared" si="145"/>
        <v>55.061202799999997</v>
      </c>
      <c r="L3117" s="1">
        <f t="shared" si="146"/>
        <v>10.6094715</v>
      </c>
    </row>
    <row r="3118" spans="1:12" ht="16" x14ac:dyDescent="0.2">
      <c r="A3118" s="1">
        <v>3117</v>
      </c>
      <c r="B3118" s="1" t="s">
        <v>9274</v>
      </c>
      <c r="C3118" s="1" t="s">
        <v>9286</v>
      </c>
      <c r="D3118" s="1" t="str">
        <f t="shared" si="144"/>
        <v>Svendborg KommuneBagergade 3</v>
      </c>
      <c r="E3118" s="1" t="s">
        <v>9287</v>
      </c>
      <c r="F3118" s="1" t="s">
        <v>9288</v>
      </c>
      <c r="G3118" s="1">
        <v>1919</v>
      </c>
      <c r="H3118" s="1" t="s">
        <v>11</v>
      </c>
      <c r="I3118" s="6" cm="1">
        <f t="array" ref="I3118">GetLatitude(D3118)</f>
        <v>550612762</v>
      </c>
      <c r="J3118" s="1" cm="1">
        <f t="array" ref="J3118">GetLongitude(D3118)</f>
        <v>106094615</v>
      </c>
      <c r="K3118" s="1">
        <f t="shared" si="145"/>
        <v>55.061276200000002</v>
      </c>
      <c r="L3118" s="1">
        <f t="shared" si="146"/>
        <v>10.6094615</v>
      </c>
    </row>
    <row r="3119" spans="1:12" ht="16" x14ac:dyDescent="0.2">
      <c r="A3119" s="1">
        <v>3118</v>
      </c>
      <c r="B3119" s="1" t="s">
        <v>9274</v>
      </c>
      <c r="C3119" s="1" t="s">
        <v>9289</v>
      </c>
      <c r="D3119" s="1" t="str">
        <f t="shared" si="144"/>
        <v>Svendborg KommuneBagergade 40</v>
      </c>
      <c r="E3119" s="1" t="s">
        <v>9290</v>
      </c>
      <c r="F3119" s="1" t="s">
        <v>9291</v>
      </c>
      <c r="G3119" s="1">
        <v>1945</v>
      </c>
      <c r="H3119" s="1" t="s">
        <v>15</v>
      </c>
      <c r="I3119" s="6" cm="1">
        <f t="array" ref="I3119">GetLatitude(D3119)</f>
        <v>550615887</v>
      </c>
      <c r="J3119" s="1" cm="1">
        <f t="array" ref="J3119">GetLongitude(D3119)</f>
        <v>106071238</v>
      </c>
      <c r="K3119" s="1">
        <f t="shared" si="145"/>
        <v>55.061588700000001</v>
      </c>
      <c r="L3119" s="1">
        <f t="shared" si="146"/>
        <v>10.6071238</v>
      </c>
    </row>
    <row r="3120" spans="1:12" ht="16" x14ac:dyDescent="0.2">
      <c r="A3120" s="1">
        <v>3119</v>
      </c>
      <c r="B3120" s="1" t="s">
        <v>9274</v>
      </c>
      <c r="C3120" s="1" t="s">
        <v>9292</v>
      </c>
      <c r="D3120" s="1" t="str">
        <f t="shared" si="144"/>
        <v>Svendborg KommuneBagergade 5</v>
      </c>
      <c r="E3120" s="1" t="s">
        <v>9293</v>
      </c>
      <c r="F3120" s="1" t="s">
        <v>9294</v>
      </c>
      <c r="G3120" s="1">
        <v>1919</v>
      </c>
      <c r="H3120" s="1" t="s">
        <v>11</v>
      </c>
      <c r="I3120" s="6" cm="1">
        <f t="array" ref="I3120">GetLatitude(D3120)</f>
        <v>550613409</v>
      </c>
      <c r="J3120" s="1" cm="1">
        <f t="array" ref="J3120">GetLongitude(D3120)</f>
        <v>106092638</v>
      </c>
      <c r="K3120" s="1">
        <f t="shared" si="145"/>
        <v>55.061340899999998</v>
      </c>
      <c r="L3120" s="1">
        <f t="shared" si="146"/>
        <v>10.609263800000001</v>
      </c>
    </row>
    <row r="3121" spans="1:12" ht="16" x14ac:dyDescent="0.2">
      <c r="A3121" s="1">
        <v>3120</v>
      </c>
      <c r="B3121" s="1" t="s">
        <v>9274</v>
      </c>
      <c r="C3121" s="1" t="s">
        <v>9295</v>
      </c>
      <c r="D3121" s="1" t="str">
        <f t="shared" si="144"/>
        <v>Svendborg KommuneBoelsmosevej 29</v>
      </c>
      <c r="E3121" s="1" t="s">
        <v>9296</v>
      </c>
      <c r="F3121" s="1" t="s">
        <v>9297</v>
      </c>
      <c r="G3121" s="1">
        <v>1990</v>
      </c>
      <c r="H3121" s="1" t="s">
        <v>15</v>
      </c>
      <c r="I3121" s="6" cm="1">
        <f t="array" ref="I3121">GetLatitude(D3121)</f>
        <v>551352430</v>
      </c>
      <c r="J3121" s="1" cm="1">
        <f t="array" ref="J3121">GetLongitude(D3121)</f>
        <v>107528740</v>
      </c>
      <c r="K3121" s="1">
        <f t="shared" si="145"/>
        <v>55.135243000000003</v>
      </c>
      <c r="L3121" s="1">
        <f t="shared" si="146"/>
        <v>10.752874</v>
      </c>
    </row>
    <row r="3122" spans="1:12" ht="16" x14ac:dyDescent="0.2">
      <c r="A3122" s="1">
        <v>3121</v>
      </c>
      <c r="B3122" s="1" t="s">
        <v>9274</v>
      </c>
      <c r="C3122" s="1" t="s">
        <v>9298</v>
      </c>
      <c r="D3122" s="1" t="str">
        <f t="shared" si="144"/>
        <v>Svendborg KommuneBroholmsvej 32</v>
      </c>
      <c r="E3122" s="1" t="s">
        <v>9299</v>
      </c>
      <c r="F3122" s="1" t="s">
        <v>9300</v>
      </c>
      <c r="G3122" s="1">
        <v>1918</v>
      </c>
      <c r="H3122" s="1" t="s">
        <v>11</v>
      </c>
      <c r="I3122" s="6" cm="1">
        <f t="array" ref="I3122">GetLatitude(D3122)</f>
        <v>551371770</v>
      </c>
      <c r="J3122" s="1" cm="1">
        <f t="array" ref="J3122">GetLongitude(D3122)</f>
        <v>107281549</v>
      </c>
      <c r="K3122" s="1">
        <f t="shared" si="145"/>
        <v>55.137177000000001</v>
      </c>
      <c r="L3122" s="1">
        <f t="shared" si="146"/>
        <v>10.7281549</v>
      </c>
    </row>
    <row r="3123" spans="1:12" ht="16" x14ac:dyDescent="0.2">
      <c r="A3123" s="1">
        <v>3122</v>
      </c>
      <c r="B3123" s="1" t="s">
        <v>9274</v>
      </c>
      <c r="C3123" s="1" t="s">
        <v>9301</v>
      </c>
      <c r="D3123" s="1" t="str">
        <f t="shared" si="144"/>
        <v>Svendborg KommuneBrydegårdsvej 15 A-D</v>
      </c>
      <c r="E3123" s="1" t="s">
        <v>3863</v>
      </c>
      <c r="F3123" s="1" t="s">
        <v>9302</v>
      </c>
      <c r="G3123" s="1">
        <v>1964</v>
      </c>
      <c r="H3123" s="1" t="s">
        <v>11</v>
      </c>
      <c r="I3123" s="6" cm="1">
        <f t="array" ref="I3123">GetLatitude(D3123)</f>
        <v>550486956</v>
      </c>
      <c r="J3123" s="1" cm="1">
        <f t="array" ref="J3123">GetLongitude(D3123)</f>
        <v>105976765</v>
      </c>
      <c r="K3123" s="1">
        <f t="shared" si="145"/>
        <v>55.048695600000002</v>
      </c>
      <c r="L3123" s="1">
        <f t="shared" si="146"/>
        <v>10.5976765</v>
      </c>
    </row>
    <row r="3124" spans="1:12" ht="16" x14ac:dyDescent="0.2">
      <c r="A3124" s="1">
        <v>3123</v>
      </c>
      <c r="B3124" s="1" t="s">
        <v>9274</v>
      </c>
      <c r="C3124" s="1" t="s">
        <v>9303</v>
      </c>
      <c r="D3124" s="1" t="str">
        <f t="shared" si="144"/>
        <v>Svendborg KommuneDrejø Skov 16</v>
      </c>
      <c r="E3124" s="1" t="s">
        <v>8282</v>
      </c>
      <c r="F3124" s="1" t="s">
        <v>9304</v>
      </c>
      <c r="G3124" s="1">
        <v>1996</v>
      </c>
      <c r="H3124" s="1" t="s">
        <v>15</v>
      </c>
      <c r="I3124" s="6" cm="1">
        <f t="array" ref="I3124">GetLatitude(D3124)</f>
        <v>549758257</v>
      </c>
      <c r="J3124" s="1" cm="1">
        <f t="array" ref="J3124">GetLongitude(D3124)</f>
        <v>103659326</v>
      </c>
      <c r="K3124" s="1">
        <f t="shared" si="145"/>
        <v>54.975825700000001</v>
      </c>
      <c r="L3124" s="1">
        <f t="shared" si="146"/>
        <v>10.365932600000001</v>
      </c>
    </row>
    <row r="3125" spans="1:12" ht="16" x14ac:dyDescent="0.2">
      <c r="A3125" s="1">
        <v>3124</v>
      </c>
      <c r="B3125" s="1" t="s">
        <v>9274</v>
      </c>
      <c r="C3125" s="1" t="s">
        <v>9305</v>
      </c>
      <c r="D3125" s="1" t="str">
        <f t="shared" si="144"/>
        <v>Svendborg KommuneDronningholmsvej 72</v>
      </c>
      <c r="E3125" s="1" t="s">
        <v>9306</v>
      </c>
      <c r="F3125" s="1" t="s">
        <v>9307</v>
      </c>
      <c r="G3125" s="1">
        <v>1991</v>
      </c>
      <c r="H3125" s="1" t="s">
        <v>15</v>
      </c>
      <c r="I3125" s="6" cm="1">
        <f t="array" ref="I3125">GetLatitude(D3125)</f>
        <v>550650455</v>
      </c>
      <c r="J3125" s="1" cm="1">
        <f t="array" ref="J3125">GetLongitude(D3125)</f>
        <v>106132741</v>
      </c>
      <c r="K3125" s="1">
        <f t="shared" si="145"/>
        <v>55.065045499999997</v>
      </c>
      <c r="L3125" s="1">
        <f t="shared" si="146"/>
        <v>10.6132741</v>
      </c>
    </row>
    <row r="3126" spans="1:12" ht="16" x14ac:dyDescent="0.2">
      <c r="A3126" s="1">
        <v>3125</v>
      </c>
      <c r="B3126" s="1" t="s">
        <v>9274</v>
      </c>
      <c r="C3126" s="1" t="s">
        <v>9308</v>
      </c>
      <c r="D3126" s="1" t="str">
        <f t="shared" si="144"/>
        <v>Svendborg KommuneFilippavej 57</v>
      </c>
      <c r="E3126" s="1" t="s">
        <v>9309</v>
      </c>
      <c r="F3126" s="1" t="s">
        <v>9310</v>
      </c>
      <c r="G3126" s="1">
        <v>1950</v>
      </c>
      <c r="H3126" s="1" t="s">
        <v>15</v>
      </c>
      <c r="I3126" s="6" cm="1">
        <f t="array" ref="I3126">GetLatitude(D3126)</f>
        <v>551108058</v>
      </c>
      <c r="J3126" s="1" cm="1">
        <f t="array" ref="J3126">GetLongitude(D3126)</f>
        <v>104288063</v>
      </c>
      <c r="K3126" s="1">
        <f t="shared" si="145"/>
        <v>55.110805800000001</v>
      </c>
      <c r="L3126" s="1">
        <f t="shared" si="146"/>
        <v>10.4288063</v>
      </c>
    </row>
    <row r="3127" spans="1:12" ht="16" x14ac:dyDescent="0.2">
      <c r="A3127" s="1">
        <v>3126</v>
      </c>
      <c r="B3127" s="1" t="s">
        <v>9274</v>
      </c>
      <c r="C3127" s="1" t="s">
        <v>9311</v>
      </c>
      <c r="D3127" s="1" t="str">
        <f t="shared" si="144"/>
        <v>Svendborg KommuneFlyvervej 2</v>
      </c>
      <c r="E3127" s="1" t="s">
        <v>9312</v>
      </c>
      <c r="F3127" s="1" t="s">
        <v>9313</v>
      </c>
      <c r="G3127" s="1">
        <v>1995</v>
      </c>
      <c r="H3127" s="1" t="s">
        <v>15</v>
      </c>
      <c r="I3127" s="6" cm="1">
        <f t="array" ref="I3127">GetLatitude(D3127)</f>
        <v>550111023</v>
      </c>
      <c r="J3127" s="1" cm="1">
        <f t="array" ref="J3127">GetLongitude(D3127)</f>
        <v>105708941</v>
      </c>
      <c r="K3127" s="1">
        <f t="shared" si="145"/>
        <v>55.011102299999997</v>
      </c>
      <c r="L3127" s="1">
        <f t="shared" si="146"/>
        <v>10.5708941</v>
      </c>
    </row>
    <row r="3128" spans="1:12" ht="16" x14ac:dyDescent="0.2">
      <c r="A3128" s="1">
        <v>3127</v>
      </c>
      <c r="B3128" s="1" t="s">
        <v>9274</v>
      </c>
      <c r="C3128" s="1" t="s">
        <v>9314</v>
      </c>
      <c r="D3128" s="1" t="str">
        <f t="shared" si="144"/>
        <v>Svendborg KommuneFruestræde 3</v>
      </c>
      <c r="E3128" s="1" t="s">
        <v>9315</v>
      </c>
      <c r="F3128" s="1" t="s">
        <v>9316</v>
      </c>
      <c r="G3128" s="1">
        <v>1918</v>
      </c>
      <c r="H3128" s="1" t="s">
        <v>11</v>
      </c>
      <c r="I3128" s="6" cm="1">
        <f t="array" ref="I3128">GetLatitude(D3128)</f>
        <v>550602277</v>
      </c>
      <c r="J3128" s="1" cm="1">
        <f t="array" ref="J3128">GetLongitude(D3128)</f>
        <v>106091031</v>
      </c>
      <c r="K3128" s="1">
        <f t="shared" si="145"/>
        <v>55.060227699999999</v>
      </c>
      <c r="L3128" s="1">
        <f t="shared" si="146"/>
        <v>10.6091031</v>
      </c>
    </row>
    <row r="3129" spans="1:12" ht="16" x14ac:dyDescent="0.2">
      <c r="A3129" s="1">
        <v>3128</v>
      </c>
      <c r="B3129" s="1" t="s">
        <v>9274</v>
      </c>
      <c r="C3129" s="1" t="s">
        <v>9317</v>
      </c>
      <c r="D3129" s="1" t="str">
        <f t="shared" si="144"/>
        <v>Svendborg KommuneFåborgvej 20</v>
      </c>
      <c r="E3129" s="1" t="s">
        <v>9318</v>
      </c>
      <c r="F3129" s="1" t="s">
        <v>9319</v>
      </c>
      <c r="G3129" s="1">
        <v>1944</v>
      </c>
      <c r="H3129" s="1" t="s">
        <v>11</v>
      </c>
      <c r="I3129" s="6" cm="1">
        <f t="array" ref="I3129">GetLatitude(D3129)</f>
        <v>550729570</v>
      </c>
      <c r="J3129" s="1" cm="1">
        <f t="array" ref="J3129">GetLongitude(D3129)</f>
        <v>105597048</v>
      </c>
      <c r="K3129" s="1">
        <f t="shared" si="145"/>
        <v>55.072957000000002</v>
      </c>
      <c r="L3129" s="1">
        <f t="shared" si="146"/>
        <v>10.5597048</v>
      </c>
    </row>
    <row r="3130" spans="1:12" ht="16" x14ac:dyDescent="0.2">
      <c r="A3130" s="1">
        <v>3129</v>
      </c>
      <c r="B3130" s="1" t="s">
        <v>9274</v>
      </c>
      <c r="C3130" s="1" t="s">
        <v>9320</v>
      </c>
      <c r="D3130" s="1" t="str">
        <f t="shared" si="144"/>
        <v>Svendborg KommuneFåborgvej 201</v>
      </c>
      <c r="E3130" s="1" t="s">
        <v>9321</v>
      </c>
      <c r="F3130" s="1" t="s">
        <v>9322</v>
      </c>
      <c r="G3130" s="1">
        <v>1924</v>
      </c>
      <c r="H3130" s="1" t="s">
        <v>15</v>
      </c>
      <c r="I3130" s="6" cm="1">
        <f t="array" ref="I3130">GetLatitude(D3130)</f>
        <v>550733600</v>
      </c>
      <c r="J3130" s="1" cm="1">
        <f t="array" ref="J3130">GetLongitude(D3130)</f>
        <v>105538260</v>
      </c>
      <c r="K3130" s="1">
        <f t="shared" si="145"/>
        <v>55.073360000000001</v>
      </c>
      <c r="L3130" s="1">
        <f t="shared" si="146"/>
        <v>10.553826000000001</v>
      </c>
    </row>
    <row r="3131" spans="1:12" ht="16" x14ac:dyDescent="0.2">
      <c r="A3131" s="1">
        <v>3130</v>
      </c>
      <c r="B3131" s="1" t="s">
        <v>9274</v>
      </c>
      <c r="C3131" s="1" t="s">
        <v>9323</v>
      </c>
      <c r="D3131" s="1" t="str">
        <f t="shared" si="144"/>
        <v>Svendborg KommuneFåborgvej 260</v>
      </c>
      <c r="E3131" s="1" t="s">
        <v>9324</v>
      </c>
      <c r="F3131" s="1" t="s">
        <v>9325</v>
      </c>
      <c r="G3131" s="1">
        <v>1918</v>
      </c>
      <c r="H3131" s="1" t="s">
        <v>11</v>
      </c>
      <c r="I3131" s="6" cm="1">
        <f t="array" ref="I3131">GetLatitude(D3131)</f>
        <v>550727760</v>
      </c>
      <c r="J3131" s="1" cm="1">
        <f t="array" ref="J3131">GetLongitude(D3131)</f>
        <v>105340050</v>
      </c>
      <c r="K3131" s="1">
        <f t="shared" si="145"/>
        <v>55.072775999999998</v>
      </c>
      <c r="L3131" s="1">
        <f t="shared" si="146"/>
        <v>10.534005000000001</v>
      </c>
    </row>
    <row r="3132" spans="1:12" ht="16" x14ac:dyDescent="0.2">
      <c r="A3132" s="1">
        <v>3131</v>
      </c>
      <c r="B3132" s="1" t="s">
        <v>9274</v>
      </c>
      <c r="C3132" s="1" t="s">
        <v>9326</v>
      </c>
      <c r="D3132" s="1" t="str">
        <f t="shared" si="144"/>
        <v>Svendborg KommuneGrubbemøllevej 13</v>
      </c>
      <c r="E3132" s="1" t="s">
        <v>9327</v>
      </c>
      <c r="F3132" s="1" t="s">
        <v>9328</v>
      </c>
      <c r="G3132" s="1">
        <v>1981</v>
      </c>
      <c r="H3132" s="1" t="s">
        <v>11</v>
      </c>
      <c r="I3132" s="6" cm="1">
        <f t="array" ref="I3132">GetLatitude(D3132)</f>
        <v>550623155</v>
      </c>
      <c r="J3132" s="1" cm="1">
        <f t="array" ref="J3132">GetLongitude(D3132)</f>
        <v>106036910</v>
      </c>
      <c r="K3132" s="1">
        <f t="shared" si="145"/>
        <v>55.062315499999997</v>
      </c>
      <c r="L3132" s="1">
        <f t="shared" si="146"/>
        <v>10.603691</v>
      </c>
    </row>
    <row r="3133" spans="1:12" ht="16" x14ac:dyDescent="0.2">
      <c r="A3133" s="1">
        <v>3132</v>
      </c>
      <c r="B3133" s="1" t="s">
        <v>9274</v>
      </c>
      <c r="C3133" s="1" t="s">
        <v>9329</v>
      </c>
      <c r="D3133" s="1" t="str">
        <f t="shared" si="144"/>
        <v>Svendborg KommuneGrønnegade 10</v>
      </c>
      <c r="E3133" s="1" t="s">
        <v>9330</v>
      </c>
      <c r="F3133" s="1" t="s">
        <v>9331</v>
      </c>
      <c r="G3133" s="1">
        <v>1945</v>
      </c>
      <c r="H3133" s="1" t="s">
        <v>11</v>
      </c>
      <c r="I3133" s="6" cm="1">
        <f t="array" ref="I3133">GetLatitude(D3133)</f>
        <v>550321661</v>
      </c>
      <c r="J3133" s="1" cm="1">
        <f t="array" ref="J3133">GetLongitude(D3133)</f>
        <v>106457810</v>
      </c>
      <c r="K3133" s="1">
        <f t="shared" si="145"/>
        <v>55.032166099999998</v>
      </c>
      <c r="L3133" s="1">
        <f t="shared" si="146"/>
        <v>10.645780999999999</v>
      </c>
    </row>
    <row r="3134" spans="1:12" ht="16" x14ac:dyDescent="0.2">
      <c r="A3134" s="1">
        <v>3133</v>
      </c>
      <c r="B3134" s="1" t="s">
        <v>9274</v>
      </c>
      <c r="C3134" s="1" t="s">
        <v>9332</v>
      </c>
      <c r="D3134" s="1" t="str">
        <f t="shared" si="144"/>
        <v>Svendborg KommuneGrønnegade 13</v>
      </c>
      <c r="E3134" s="1" t="s">
        <v>9333</v>
      </c>
      <c r="F3134" s="1" t="s">
        <v>9334</v>
      </c>
      <c r="G3134" s="1">
        <v>1950</v>
      </c>
      <c r="H3134" s="1" t="s">
        <v>99</v>
      </c>
      <c r="I3134" s="6" cm="1">
        <f t="array" ref="I3134">GetLatitude(D3134)</f>
        <v>550674340</v>
      </c>
      <c r="J3134" s="1" cm="1">
        <f t="array" ref="J3134">GetLongitude(D3134)</f>
        <v>106072820</v>
      </c>
      <c r="K3134" s="1">
        <f t="shared" si="145"/>
        <v>55.067433999999999</v>
      </c>
      <c r="L3134" s="1">
        <f t="shared" si="146"/>
        <v>10.607282</v>
      </c>
    </row>
    <row r="3135" spans="1:12" ht="16" x14ac:dyDescent="0.2">
      <c r="A3135" s="1">
        <v>3134</v>
      </c>
      <c r="B3135" s="1" t="s">
        <v>9274</v>
      </c>
      <c r="C3135" s="1" t="s">
        <v>9335</v>
      </c>
      <c r="D3135" s="1" t="str">
        <f t="shared" si="144"/>
        <v>Svendborg KommuneGrønnegade 14</v>
      </c>
      <c r="E3135" s="1" t="s">
        <v>9336</v>
      </c>
      <c r="F3135" s="1" t="s">
        <v>9337</v>
      </c>
      <c r="G3135" s="1">
        <v>1945</v>
      </c>
      <c r="H3135" s="1" t="s">
        <v>15</v>
      </c>
      <c r="I3135" s="6" cm="1">
        <f t="array" ref="I3135">GetLatitude(D3135)</f>
        <v>550318349</v>
      </c>
      <c r="J3135" s="1" cm="1">
        <f t="array" ref="J3135">GetLongitude(D3135)</f>
        <v>106455860</v>
      </c>
      <c r="K3135" s="1">
        <f t="shared" si="145"/>
        <v>55.0318349</v>
      </c>
      <c r="L3135" s="1">
        <f t="shared" si="146"/>
        <v>10.645586</v>
      </c>
    </row>
    <row r="3136" spans="1:12" ht="16" x14ac:dyDescent="0.2">
      <c r="A3136" s="1">
        <v>3135</v>
      </c>
      <c r="B3136" s="1" t="s">
        <v>9274</v>
      </c>
      <c r="C3136" s="1" t="s">
        <v>4745</v>
      </c>
      <c r="D3136" s="1" t="str">
        <f t="shared" si="144"/>
        <v>Svendborg KommuneGrønnegade 16</v>
      </c>
      <c r="E3136" s="1" t="s">
        <v>4745</v>
      </c>
      <c r="F3136" s="1" t="s">
        <v>9338</v>
      </c>
      <c r="G3136" s="1">
        <v>1945</v>
      </c>
      <c r="H3136" s="1" t="s">
        <v>11</v>
      </c>
      <c r="I3136" s="6" cm="1">
        <f t="array" ref="I3136">GetLatitude(D3136)</f>
        <v>550316613</v>
      </c>
      <c r="J3136" s="1" cm="1">
        <f t="array" ref="J3136">GetLongitude(D3136)</f>
        <v>106455789</v>
      </c>
      <c r="K3136" s="1">
        <f t="shared" si="145"/>
        <v>55.031661300000003</v>
      </c>
      <c r="L3136" s="1">
        <f t="shared" si="146"/>
        <v>10.6455789</v>
      </c>
    </row>
    <row r="3137" spans="1:12" ht="16" x14ac:dyDescent="0.2">
      <c r="A3137" s="1">
        <v>3136</v>
      </c>
      <c r="B3137" s="1" t="s">
        <v>9274</v>
      </c>
      <c r="C3137" s="1" t="s">
        <v>9339</v>
      </c>
      <c r="D3137" s="1" t="str">
        <f t="shared" si="144"/>
        <v>Svendborg KommuneGrønnegade 17</v>
      </c>
      <c r="E3137" s="1" t="s">
        <v>9339</v>
      </c>
      <c r="F3137" s="1" t="s">
        <v>9340</v>
      </c>
      <c r="G3137" s="1">
        <v>1945</v>
      </c>
      <c r="H3137" s="1" t="s">
        <v>15</v>
      </c>
      <c r="I3137" s="6" cm="1">
        <f t="array" ref="I3137">GetLatitude(D3137)</f>
        <v>550674340</v>
      </c>
      <c r="J3137" s="1" cm="1">
        <f t="array" ref="J3137">GetLongitude(D3137)</f>
        <v>106072820</v>
      </c>
      <c r="K3137" s="1">
        <f t="shared" si="145"/>
        <v>55.067433999999999</v>
      </c>
      <c r="L3137" s="1">
        <f t="shared" si="146"/>
        <v>10.607282</v>
      </c>
    </row>
    <row r="3138" spans="1:12" ht="16" x14ac:dyDescent="0.2">
      <c r="A3138" s="1">
        <v>3137</v>
      </c>
      <c r="B3138" s="1" t="s">
        <v>9274</v>
      </c>
      <c r="C3138" s="1" t="s">
        <v>4748</v>
      </c>
      <c r="D3138" s="1" t="str">
        <f t="shared" si="144"/>
        <v>Svendborg KommuneGrønnegade 18</v>
      </c>
      <c r="E3138" s="1" t="s">
        <v>4749</v>
      </c>
      <c r="F3138" s="1" t="s">
        <v>9341</v>
      </c>
      <c r="G3138" s="1">
        <v>1945</v>
      </c>
      <c r="H3138" s="1" t="s">
        <v>15</v>
      </c>
      <c r="I3138" s="6" cm="1">
        <f t="array" ref="I3138">GetLatitude(D3138)</f>
        <v>550314292</v>
      </c>
      <c r="J3138" s="1" cm="1">
        <f t="array" ref="J3138">GetLongitude(D3138)</f>
        <v>106454375</v>
      </c>
      <c r="K3138" s="1">
        <f t="shared" si="145"/>
        <v>55.031429199999998</v>
      </c>
      <c r="L3138" s="1">
        <f t="shared" si="146"/>
        <v>10.6454375</v>
      </c>
    </row>
    <row r="3139" spans="1:12" ht="16" x14ac:dyDescent="0.2">
      <c r="A3139" s="1">
        <v>3138</v>
      </c>
      <c r="B3139" s="1" t="s">
        <v>9274</v>
      </c>
      <c r="C3139" s="1" t="s">
        <v>671</v>
      </c>
      <c r="D3139" s="1" t="str">
        <f t="shared" ref="D3139:D3202" si="147">B3139&amp;C3139</f>
        <v>Svendborg KommuneGrønnegade 20</v>
      </c>
      <c r="E3139" s="1" t="s">
        <v>9342</v>
      </c>
      <c r="F3139" s="1" t="s">
        <v>9343</v>
      </c>
      <c r="G3139" s="1">
        <v>1945</v>
      </c>
      <c r="H3139" s="1" t="s">
        <v>11</v>
      </c>
      <c r="I3139" s="6" cm="1">
        <f t="array" ref="I3139">GetLatitude(D3139)</f>
        <v>550674340</v>
      </c>
      <c r="J3139" s="1" cm="1">
        <f t="array" ref="J3139">GetLongitude(D3139)</f>
        <v>106072820</v>
      </c>
      <c r="K3139" s="1">
        <f t="shared" si="145"/>
        <v>55.067433999999999</v>
      </c>
      <c r="L3139" s="1">
        <f t="shared" si="146"/>
        <v>10.607282</v>
      </c>
    </row>
    <row r="3140" spans="1:12" ht="16" x14ac:dyDescent="0.2">
      <c r="A3140" s="1">
        <v>3139</v>
      </c>
      <c r="B3140" s="1" t="s">
        <v>9274</v>
      </c>
      <c r="C3140" s="1" t="s">
        <v>674</v>
      </c>
      <c r="D3140" s="1" t="str">
        <f t="shared" si="147"/>
        <v>Svendborg KommuneGrønnegade 21</v>
      </c>
      <c r="E3140" s="1" t="s">
        <v>9344</v>
      </c>
      <c r="F3140" s="1" t="s">
        <v>1871</v>
      </c>
      <c r="G3140" s="1">
        <v>1945</v>
      </c>
      <c r="H3140" s="1" t="s">
        <v>11</v>
      </c>
      <c r="I3140" s="6" cm="1">
        <f t="array" ref="I3140">GetLatitude(D3140)</f>
        <v>550674340</v>
      </c>
      <c r="J3140" s="1" cm="1">
        <f t="array" ref="J3140">GetLongitude(D3140)</f>
        <v>106072820</v>
      </c>
      <c r="K3140" s="1">
        <f t="shared" ref="K3140:K3203" si="148">I3140/10000000</f>
        <v>55.067433999999999</v>
      </c>
      <c r="L3140" s="1">
        <f t="shared" ref="L3140:L3203" si="149">J3140/10000000</f>
        <v>10.607282</v>
      </c>
    </row>
    <row r="3141" spans="1:12" ht="16" x14ac:dyDescent="0.2">
      <c r="A3141" s="1">
        <v>3140</v>
      </c>
      <c r="B3141" s="1" t="s">
        <v>9274</v>
      </c>
      <c r="C3141" s="1" t="s">
        <v>9345</v>
      </c>
      <c r="D3141" s="1" t="str">
        <f t="shared" si="147"/>
        <v>Svendborg KommuneGrønnegade 23</v>
      </c>
      <c r="E3141" s="1" t="s">
        <v>9346</v>
      </c>
      <c r="F3141" s="1" t="s">
        <v>2756</v>
      </c>
      <c r="G3141" s="1">
        <v>1945</v>
      </c>
      <c r="H3141" s="1" t="s">
        <v>11</v>
      </c>
      <c r="I3141" s="6" cm="1">
        <f t="array" ref="I3141">GetLatitude(D3141)</f>
        <v>550306778</v>
      </c>
      <c r="J3141" s="1" cm="1">
        <f t="array" ref="J3141">GetLongitude(D3141)</f>
        <v>106453726</v>
      </c>
      <c r="K3141" s="1">
        <f t="shared" si="148"/>
        <v>55.030677799999999</v>
      </c>
      <c r="L3141" s="1">
        <f t="shared" si="149"/>
        <v>10.6453726</v>
      </c>
    </row>
    <row r="3142" spans="1:12" ht="16" x14ac:dyDescent="0.2">
      <c r="A3142" s="1">
        <v>3141</v>
      </c>
      <c r="B3142" s="1" t="s">
        <v>9274</v>
      </c>
      <c r="C3142" s="1" t="s">
        <v>9347</v>
      </c>
      <c r="D3142" s="1" t="str">
        <f t="shared" si="147"/>
        <v>Svendborg KommuneGrønnegade 24</v>
      </c>
      <c r="E3142" s="1" t="s">
        <v>9348</v>
      </c>
      <c r="F3142" s="1" t="s">
        <v>9349</v>
      </c>
      <c r="G3142" s="1">
        <v>1945</v>
      </c>
      <c r="H3142" s="1" t="s">
        <v>15</v>
      </c>
      <c r="I3142" s="6" cm="1">
        <f t="array" ref="I3142">GetLatitude(D3142)</f>
        <v>550945231</v>
      </c>
      <c r="J3142" s="1" cm="1">
        <f t="array" ref="J3142">GetLongitude(D3142)</f>
        <v>106237046</v>
      </c>
      <c r="K3142" s="1">
        <f t="shared" si="148"/>
        <v>55.094523100000004</v>
      </c>
      <c r="L3142" s="1">
        <f t="shared" si="149"/>
        <v>10.6237046</v>
      </c>
    </row>
    <row r="3143" spans="1:12" ht="16" x14ac:dyDescent="0.2">
      <c r="A3143" s="1">
        <v>3142</v>
      </c>
      <c r="B3143" s="1" t="s">
        <v>9274</v>
      </c>
      <c r="C3143" s="1" t="s">
        <v>9350</v>
      </c>
      <c r="D3143" s="1" t="str">
        <f t="shared" si="147"/>
        <v>Svendborg KommuneGrønnegade 7</v>
      </c>
      <c r="E3143" s="1" t="s">
        <v>9351</v>
      </c>
      <c r="F3143" s="1" t="s">
        <v>9352</v>
      </c>
      <c r="G3143" s="1">
        <v>1945</v>
      </c>
      <c r="H3143" s="1" t="s">
        <v>11</v>
      </c>
      <c r="I3143" s="6" cm="1">
        <f t="array" ref="I3143">GetLatitude(D3143)</f>
        <v>550945231</v>
      </c>
      <c r="J3143" s="1" cm="1">
        <f t="array" ref="J3143">GetLongitude(D3143)</f>
        <v>106237046</v>
      </c>
      <c r="K3143" s="1">
        <f t="shared" si="148"/>
        <v>55.094523100000004</v>
      </c>
      <c r="L3143" s="1">
        <f t="shared" si="149"/>
        <v>10.6237046</v>
      </c>
    </row>
    <row r="3144" spans="1:12" ht="16" x14ac:dyDescent="0.2">
      <c r="A3144" s="1">
        <v>3143</v>
      </c>
      <c r="B3144" s="1" t="s">
        <v>9274</v>
      </c>
      <c r="C3144" s="1" t="s">
        <v>9353</v>
      </c>
      <c r="D3144" s="1" t="str">
        <f t="shared" si="147"/>
        <v>Svendborg KommuneGrønnegade 8</v>
      </c>
      <c r="E3144" s="1" t="s">
        <v>9354</v>
      </c>
      <c r="F3144" s="1" t="s">
        <v>9355</v>
      </c>
      <c r="G3144" s="1">
        <v>1945</v>
      </c>
      <c r="H3144" s="1" t="s">
        <v>11</v>
      </c>
      <c r="I3144" s="6" cm="1">
        <f t="array" ref="I3144">GetLatitude(D3144)</f>
        <v>550674340</v>
      </c>
      <c r="J3144" s="1" cm="1">
        <f t="array" ref="J3144">GetLongitude(D3144)</f>
        <v>106072820</v>
      </c>
      <c r="K3144" s="1">
        <f t="shared" si="148"/>
        <v>55.067433999999999</v>
      </c>
      <c r="L3144" s="1">
        <f t="shared" si="149"/>
        <v>10.607282</v>
      </c>
    </row>
    <row r="3145" spans="1:12" ht="16" x14ac:dyDescent="0.2">
      <c r="A3145" s="1">
        <v>3144</v>
      </c>
      <c r="B3145" s="1" t="s">
        <v>9274</v>
      </c>
      <c r="C3145" s="1" t="s">
        <v>9356</v>
      </c>
      <c r="D3145" s="1" t="str">
        <f t="shared" si="147"/>
        <v>Svendborg KommuneHallindskovvej 2 og 2 A</v>
      </c>
      <c r="E3145" s="1" t="s">
        <v>9357</v>
      </c>
      <c r="F3145" s="1" t="s">
        <v>9358</v>
      </c>
      <c r="G3145" s="1">
        <v>1982</v>
      </c>
      <c r="H3145" s="1" t="s">
        <v>11</v>
      </c>
      <c r="I3145" s="6" cm="1">
        <f t="array" ref="I3145">GetLatitude(D3145)</f>
        <v>550638339</v>
      </c>
      <c r="J3145" s="1" cm="1">
        <f t="array" ref="J3145">GetLongitude(D3145)</f>
        <v>106438411</v>
      </c>
      <c r="K3145" s="1">
        <f t="shared" si="148"/>
        <v>55.063833899999999</v>
      </c>
      <c r="L3145" s="1">
        <f t="shared" si="149"/>
        <v>10.643841099999999</v>
      </c>
    </row>
    <row r="3146" spans="1:12" ht="16" x14ac:dyDescent="0.2">
      <c r="A3146" s="1">
        <v>3145</v>
      </c>
      <c r="B3146" s="1" t="s">
        <v>9274</v>
      </c>
      <c r="C3146" s="1" t="s">
        <v>9359</v>
      </c>
      <c r="D3146" s="1" t="str">
        <f t="shared" si="147"/>
        <v>Svendborg KommuneHavnepladsen 7</v>
      </c>
      <c r="E3146" s="1" t="s">
        <v>9360</v>
      </c>
      <c r="F3146" s="1" t="s">
        <v>9361</v>
      </c>
      <c r="G3146" s="1">
        <v>1945</v>
      </c>
      <c r="H3146" s="1" t="s">
        <v>15</v>
      </c>
      <c r="I3146" s="6" cm="1">
        <f t="array" ref="I3146">GetLatitude(D3146)</f>
        <v>550616952</v>
      </c>
      <c r="J3146" s="1" cm="1">
        <f t="array" ref="J3146">GetLongitude(D3146)</f>
        <v>106123668</v>
      </c>
      <c r="K3146" s="1">
        <f t="shared" si="148"/>
        <v>55.061695200000003</v>
      </c>
      <c r="L3146" s="1">
        <f t="shared" si="149"/>
        <v>10.6123668</v>
      </c>
    </row>
    <row r="3147" spans="1:12" ht="16" x14ac:dyDescent="0.2">
      <c r="A3147" s="1">
        <v>3146</v>
      </c>
      <c r="B3147" s="1" t="s">
        <v>9274</v>
      </c>
      <c r="C3147" s="1" t="s">
        <v>9362</v>
      </c>
      <c r="D3147" s="1" t="str">
        <f t="shared" si="147"/>
        <v>Svendborg KommuneHavnevej 3</v>
      </c>
      <c r="E3147" s="1" t="s">
        <v>9363</v>
      </c>
      <c r="F3147" s="1" t="s">
        <v>9364</v>
      </c>
      <c r="G3147" s="1">
        <v>1964</v>
      </c>
      <c r="H3147" s="1" t="s">
        <v>11</v>
      </c>
      <c r="I3147" s="6" cm="1">
        <f t="array" ref="I3147">GetLatitude(D3147)</f>
        <v>550945231</v>
      </c>
      <c r="J3147" s="1" cm="1">
        <f t="array" ref="J3147">GetLongitude(D3147)</f>
        <v>106237046</v>
      </c>
      <c r="K3147" s="1">
        <f t="shared" si="148"/>
        <v>55.094523100000004</v>
      </c>
      <c r="L3147" s="1">
        <f t="shared" si="149"/>
        <v>10.6237046</v>
      </c>
    </row>
    <row r="3148" spans="1:12" ht="16" x14ac:dyDescent="0.2">
      <c r="A3148" s="1">
        <v>3147</v>
      </c>
      <c r="B3148" s="1" t="s">
        <v>9274</v>
      </c>
      <c r="C3148" s="1" t="s">
        <v>9365</v>
      </c>
      <c r="D3148" s="1" t="str">
        <f t="shared" si="147"/>
        <v>Svendborg KommuneHesselagergårdsvej 20 A</v>
      </c>
      <c r="E3148" s="1" t="s">
        <v>9366</v>
      </c>
      <c r="F3148" s="1" t="s">
        <v>9367</v>
      </c>
      <c r="G3148" s="1">
        <v>1918</v>
      </c>
      <c r="H3148" s="1" t="s">
        <v>11</v>
      </c>
      <c r="I3148" s="6" cm="1">
        <f t="array" ref="I3148">GetLatitude(D3148)</f>
        <v>551579161</v>
      </c>
      <c r="J3148" s="1" cm="1">
        <f t="array" ref="J3148">GetLongitude(D3148)</f>
        <v>107622099</v>
      </c>
      <c r="K3148" s="1">
        <f t="shared" si="148"/>
        <v>55.157916100000001</v>
      </c>
      <c r="L3148" s="1">
        <f t="shared" si="149"/>
        <v>10.7622099</v>
      </c>
    </row>
    <row r="3149" spans="1:12" ht="16" x14ac:dyDescent="0.2">
      <c r="A3149" s="1">
        <v>3148</v>
      </c>
      <c r="B3149" s="1" t="s">
        <v>9274</v>
      </c>
      <c r="C3149" s="1" t="s">
        <v>9368</v>
      </c>
      <c r="D3149" s="1" t="str">
        <f t="shared" si="147"/>
        <v>Svendborg KommuneHestmaevej 1</v>
      </c>
      <c r="E3149" s="1" t="s">
        <v>9369</v>
      </c>
      <c r="F3149" s="1" t="s">
        <v>9370</v>
      </c>
      <c r="G3149" s="1">
        <v>1995</v>
      </c>
      <c r="H3149" s="1" t="s">
        <v>15</v>
      </c>
      <c r="I3149" s="6" cm="1">
        <f t="array" ref="I3149">GetLatitude(D3149)</f>
        <v>549704726</v>
      </c>
      <c r="J3149" s="1" cm="1">
        <f t="array" ref="J3149">GetLongitude(D3149)</f>
        <v>104212156</v>
      </c>
      <c r="K3149" s="1">
        <f t="shared" si="148"/>
        <v>54.970472600000001</v>
      </c>
      <c r="L3149" s="1">
        <f t="shared" si="149"/>
        <v>10.4212156</v>
      </c>
    </row>
    <row r="3150" spans="1:12" ht="16" x14ac:dyDescent="0.2">
      <c r="A3150" s="1">
        <v>3149</v>
      </c>
      <c r="B3150" s="1" t="s">
        <v>9274</v>
      </c>
      <c r="C3150" s="1" t="s">
        <v>9371</v>
      </c>
      <c r="D3150" s="1" t="str">
        <f t="shared" si="147"/>
        <v>Svendborg KommuneHundstrupvej 29 A</v>
      </c>
      <c r="E3150" s="1" t="s">
        <v>9372</v>
      </c>
      <c r="F3150" s="1" t="s">
        <v>9373</v>
      </c>
      <c r="G3150" s="1">
        <v>1945</v>
      </c>
      <c r="H3150" s="1" t="s">
        <v>11</v>
      </c>
      <c r="I3150" s="6" cm="1">
        <f t="array" ref="I3150">GetLatitude(D3150)</f>
        <v>551218658</v>
      </c>
      <c r="J3150" s="1" cm="1">
        <f t="array" ref="J3150">GetLongitude(D3150)</f>
        <v>104726304</v>
      </c>
      <c r="K3150" s="1">
        <f t="shared" si="148"/>
        <v>55.121865800000002</v>
      </c>
      <c r="L3150" s="1">
        <f t="shared" si="149"/>
        <v>10.4726304</v>
      </c>
    </row>
    <row r="3151" spans="1:12" ht="16" x14ac:dyDescent="0.2">
      <c r="A3151" s="1">
        <v>3150</v>
      </c>
      <c r="B3151" s="1" t="s">
        <v>9274</v>
      </c>
      <c r="C3151" s="1" t="s">
        <v>9374</v>
      </c>
      <c r="D3151" s="1" t="str">
        <f t="shared" si="147"/>
        <v>Svendborg KommuneHøjensvej 199</v>
      </c>
      <c r="E3151" s="1" t="s">
        <v>9375</v>
      </c>
      <c r="F3151" s="1" t="s">
        <v>9376</v>
      </c>
      <c r="G3151" s="1">
        <v>1999</v>
      </c>
      <c r="H3151" s="1" t="s">
        <v>11</v>
      </c>
      <c r="I3151" s="6" cm="1">
        <f t="array" ref="I3151">GetLatitude(D3151)</f>
        <v>550556361</v>
      </c>
      <c r="J3151" s="1" cm="1">
        <f t="array" ref="J3151">GetLongitude(D3151)</f>
        <v>105250017</v>
      </c>
      <c r="K3151" s="1">
        <f t="shared" si="148"/>
        <v>55.055636100000001</v>
      </c>
      <c r="L3151" s="1">
        <f t="shared" si="149"/>
        <v>10.525001700000001</v>
      </c>
    </row>
    <row r="3152" spans="1:12" ht="16" x14ac:dyDescent="0.2">
      <c r="A3152" s="1">
        <v>3151</v>
      </c>
      <c r="B3152" s="1" t="s">
        <v>9274</v>
      </c>
      <c r="C3152" s="1" t="s">
        <v>9377</v>
      </c>
      <c r="D3152" s="1" t="str">
        <f t="shared" si="147"/>
        <v>Svendborg KommuneHøjgårdsvej 27 (tidl Sterrebyvej 47)</v>
      </c>
      <c r="E3152" s="1" t="s">
        <v>9378</v>
      </c>
      <c r="F3152" s="1" t="s">
        <v>9379</v>
      </c>
      <c r="G3152" s="1">
        <v>1992</v>
      </c>
      <c r="H3152" s="1" t="s">
        <v>15</v>
      </c>
      <c r="I3152" s="6" cm="1">
        <f t="array" ref="I3152">GetLatitude(D3152)</f>
        <v>550971752</v>
      </c>
      <c r="J3152" s="1" cm="1">
        <f t="array" ref="J3152">GetLongitude(D3152)</f>
        <v>104294862</v>
      </c>
      <c r="K3152" s="1">
        <f t="shared" si="148"/>
        <v>55.097175200000002</v>
      </c>
      <c r="L3152" s="1">
        <f t="shared" si="149"/>
        <v>10.429486199999999</v>
      </c>
    </row>
    <row r="3153" spans="1:12" ht="16" x14ac:dyDescent="0.2">
      <c r="A3153" s="1">
        <v>3152</v>
      </c>
      <c r="B3153" s="1" t="s">
        <v>9274</v>
      </c>
      <c r="C3153" s="1" t="s">
        <v>9380</v>
      </c>
      <c r="D3153" s="1" t="str">
        <f t="shared" si="147"/>
        <v>Svendborg KommuneKorsgade 14</v>
      </c>
      <c r="E3153" s="1" t="s">
        <v>9381</v>
      </c>
      <c r="F3153" s="1" t="s">
        <v>9382</v>
      </c>
      <c r="G3153" s="1">
        <v>1945</v>
      </c>
      <c r="H3153" s="1" t="s">
        <v>11</v>
      </c>
      <c r="I3153" s="6" cm="1">
        <f t="array" ref="I3153">GetLatitude(D3153)</f>
        <v>550579011</v>
      </c>
      <c r="J3153" s="1" cm="1">
        <f t="array" ref="J3153">GetLongitude(D3153)</f>
        <v>106097985</v>
      </c>
      <c r="K3153" s="1">
        <f t="shared" si="148"/>
        <v>55.057901100000002</v>
      </c>
      <c r="L3153" s="1">
        <f t="shared" si="149"/>
        <v>10.6097985</v>
      </c>
    </row>
    <row r="3154" spans="1:12" ht="16" x14ac:dyDescent="0.2">
      <c r="A3154" s="1">
        <v>3153</v>
      </c>
      <c r="B3154" s="1" t="s">
        <v>9274</v>
      </c>
      <c r="C3154" s="1" t="s">
        <v>9383</v>
      </c>
      <c r="D3154" s="1" t="str">
        <f t="shared" si="147"/>
        <v>Svendborg KommuneKrovej 11</v>
      </c>
      <c r="E3154" s="1" t="s">
        <v>9384</v>
      </c>
      <c r="F3154" s="1" t="s">
        <v>9385</v>
      </c>
      <c r="G3154" s="1">
        <v>1944</v>
      </c>
      <c r="H3154" s="1" t="s">
        <v>15</v>
      </c>
      <c r="I3154" s="6" cm="1">
        <f t="array" ref="I3154">GetLatitude(D3154)</f>
        <v>550741462</v>
      </c>
      <c r="J3154" s="1" cm="1">
        <f t="array" ref="J3154">GetLongitude(D3154)</f>
        <v>104596465</v>
      </c>
      <c r="K3154" s="1">
        <f t="shared" si="148"/>
        <v>55.074146200000001</v>
      </c>
      <c r="L3154" s="1">
        <f t="shared" si="149"/>
        <v>10.4596465</v>
      </c>
    </row>
    <row r="3155" spans="1:12" ht="16" x14ac:dyDescent="0.2">
      <c r="A3155" s="1">
        <v>3154</v>
      </c>
      <c r="B3155" s="1" t="s">
        <v>9274</v>
      </c>
      <c r="C3155" s="1" t="s">
        <v>9386</v>
      </c>
      <c r="D3155" s="1" t="str">
        <f t="shared" si="147"/>
        <v>Svendborg KommuneKrovej 13</v>
      </c>
      <c r="E3155" s="1" t="s">
        <v>9387</v>
      </c>
      <c r="F3155" s="1" t="s">
        <v>1871</v>
      </c>
      <c r="G3155" s="1">
        <v>1944</v>
      </c>
      <c r="H3155" s="1" t="s">
        <v>11</v>
      </c>
      <c r="I3155" s="6" cm="1">
        <f t="array" ref="I3155">GetLatitude(D3155)</f>
        <v>550741723</v>
      </c>
      <c r="J3155" s="1" cm="1">
        <f t="array" ref="J3155">GetLongitude(D3155)</f>
        <v>104593451</v>
      </c>
      <c r="K3155" s="1">
        <f t="shared" si="148"/>
        <v>55.074172300000001</v>
      </c>
      <c r="L3155" s="1">
        <f t="shared" si="149"/>
        <v>10.4593451</v>
      </c>
    </row>
    <row r="3156" spans="1:12" ht="16" x14ac:dyDescent="0.2">
      <c r="A3156" s="1">
        <v>3155</v>
      </c>
      <c r="B3156" s="1" t="s">
        <v>9274</v>
      </c>
      <c r="C3156" s="1" t="s">
        <v>9388</v>
      </c>
      <c r="D3156" s="1" t="str">
        <f t="shared" si="147"/>
        <v>Svendborg KommuneKrovej 15</v>
      </c>
      <c r="E3156" s="1" t="s">
        <v>9389</v>
      </c>
      <c r="F3156" s="1" t="s">
        <v>1871</v>
      </c>
      <c r="G3156" s="1">
        <v>1944</v>
      </c>
      <c r="H3156" s="1" t="s">
        <v>11</v>
      </c>
      <c r="I3156" s="6" cm="1">
        <f t="array" ref="I3156">GetLatitude(D3156)</f>
        <v>550741876</v>
      </c>
      <c r="J3156" s="1" cm="1">
        <f t="array" ref="J3156">GetLongitude(D3156)</f>
        <v>104586656</v>
      </c>
      <c r="K3156" s="1">
        <f t="shared" si="148"/>
        <v>55.074187600000002</v>
      </c>
      <c r="L3156" s="1">
        <f t="shared" si="149"/>
        <v>10.4586656</v>
      </c>
    </row>
    <row r="3157" spans="1:12" ht="16" x14ac:dyDescent="0.2">
      <c r="A3157" s="1">
        <v>3156</v>
      </c>
      <c r="B3157" s="1" t="s">
        <v>9274</v>
      </c>
      <c r="C3157" s="1" t="s">
        <v>9390</v>
      </c>
      <c r="D3157" s="1" t="str">
        <f t="shared" si="147"/>
        <v>Svendborg KommuneKrovej 4 og 9</v>
      </c>
      <c r="E3157" s="1" t="s">
        <v>9391</v>
      </c>
      <c r="F3157" s="1" t="s">
        <v>9392</v>
      </c>
      <c r="G3157" s="1">
        <v>1918</v>
      </c>
      <c r="H3157" s="1" t="s">
        <v>15</v>
      </c>
      <c r="I3157" s="6" cm="1">
        <f t="array" ref="I3157">GetLatitude(D3157)</f>
        <v>550674340</v>
      </c>
      <c r="J3157" s="1" cm="1">
        <f t="array" ref="J3157">GetLongitude(D3157)</f>
        <v>106072820</v>
      </c>
      <c r="K3157" s="1">
        <f t="shared" si="148"/>
        <v>55.067433999999999</v>
      </c>
      <c r="L3157" s="1">
        <f t="shared" si="149"/>
        <v>10.607282</v>
      </c>
    </row>
    <row r="3158" spans="1:12" ht="16" x14ac:dyDescent="0.2">
      <c r="A3158" s="1">
        <v>3157</v>
      </c>
      <c r="B3158" s="1" t="s">
        <v>9274</v>
      </c>
      <c r="C3158" s="1" t="s">
        <v>9393</v>
      </c>
      <c r="D3158" s="1" t="str">
        <f t="shared" si="147"/>
        <v>Svendborg KommuneKullinggade 2</v>
      </c>
      <c r="E3158" s="1" t="s">
        <v>9394</v>
      </c>
      <c r="F3158" s="1" t="s">
        <v>9395</v>
      </c>
      <c r="G3158" s="1">
        <v>1990</v>
      </c>
      <c r="H3158" s="1" t="s">
        <v>11</v>
      </c>
      <c r="I3158" s="6" cm="1">
        <f t="array" ref="I3158">GetLatitude(D3158)</f>
        <v>550580984</v>
      </c>
      <c r="J3158" s="1" cm="1">
        <f t="array" ref="J3158">GetLongitude(D3158)</f>
        <v>106122373</v>
      </c>
      <c r="K3158" s="1">
        <f t="shared" si="148"/>
        <v>55.058098399999999</v>
      </c>
      <c r="L3158" s="1">
        <f t="shared" si="149"/>
        <v>10.6122373</v>
      </c>
    </row>
    <row r="3159" spans="1:12" ht="16" x14ac:dyDescent="0.2">
      <c r="A3159" s="1">
        <v>3158</v>
      </c>
      <c r="B3159" s="1" t="s">
        <v>9274</v>
      </c>
      <c r="C3159" s="1" t="s">
        <v>9396</v>
      </c>
      <c r="D3159" s="1" t="str">
        <f t="shared" si="147"/>
        <v>Svendborg KommuneKullinggade 29A-B</v>
      </c>
      <c r="E3159" s="1" t="s">
        <v>9397</v>
      </c>
      <c r="F3159" s="1" t="s">
        <v>9398</v>
      </c>
      <c r="G3159" s="1">
        <v>2018</v>
      </c>
      <c r="H3159" s="1" t="s">
        <v>15</v>
      </c>
      <c r="I3159" s="6" cm="1">
        <f t="array" ref="I3159">GetLatitude(D3159)</f>
        <v>550565225</v>
      </c>
      <c r="J3159" s="1" cm="1">
        <f t="array" ref="J3159">GetLongitude(D3159)</f>
        <v>106127271</v>
      </c>
      <c r="K3159" s="1">
        <f t="shared" si="148"/>
        <v>55.0565225</v>
      </c>
      <c r="L3159" s="1">
        <f t="shared" si="149"/>
        <v>10.612727100000001</v>
      </c>
    </row>
    <row r="3160" spans="1:12" ht="16" x14ac:dyDescent="0.2">
      <c r="A3160" s="1">
        <v>3159</v>
      </c>
      <c r="B3160" s="1" t="s">
        <v>9274</v>
      </c>
      <c r="C3160" s="1" t="s">
        <v>9399</v>
      </c>
      <c r="D3160" s="1" t="str">
        <f t="shared" si="147"/>
        <v>Svendborg KommuneKullinggade 6A</v>
      </c>
      <c r="E3160" s="1" t="s">
        <v>9400</v>
      </c>
      <c r="F3160" s="1" t="s">
        <v>9401</v>
      </c>
      <c r="G3160" s="1">
        <v>1995</v>
      </c>
      <c r="H3160" s="1" t="s">
        <v>11</v>
      </c>
      <c r="I3160" s="6" cm="1">
        <f t="array" ref="I3160">GetLatitude(D3160)</f>
        <v>550575348</v>
      </c>
      <c r="J3160" s="1" cm="1">
        <f t="array" ref="J3160">GetLongitude(D3160)</f>
        <v>106123531</v>
      </c>
      <c r="K3160" s="1">
        <f t="shared" si="148"/>
        <v>55.057534799999999</v>
      </c>
      <c r="L3160" s="1">
        <f t="shared" si="149"/>
        <v>10.6123531</v>
      </c>
    </row>
    <row r="3161" spans="1:12" ht="16" x14ac:dyDescent="0.2">
      <c r="A3161" s="1">
        <v>3160</v>
      </c>
      <c r="B3161" s="1" t="s">
        <v>9274</v>
      </c>
      <c r="C3161" s="1" t="s">
        <v>9402</v>
      </c>
      <c r="D3161" s="1" t="str">
        <f t="shared" si="147"/>
        <v>Svendborg KommuneKyseborgstræde 2</v>
      </c>
      <c r="E3161" s="1" t="s">
        <v>9403</v>
      </c>
      <c r="F3161" s="1" t="s">
        <v>416</v>
      </c>
      <c r="G3161" s="1">
        <v>1977</v>
      </c>
      <c r="H3161" s="1" t="s">
        <v>15</v>
      </c>
      <c r="I3161" s="6" cm="1">
        <f t="array" ref="I3161">GetLatitude(D3161)</f>
        <v>550583684</v>
      </c>
      <c r="J3161" s="1" cm="1">
        <f t="array" ref="J3161">GetLongitude(D3161)</f>
        <v>106093909</v>
      </c>
      <c r="K3161" s="1">
        <f t="shared" si="148"/>
        <v>55.058368399999999</v>
      </c>
      <c r="L3161" s="1">
        <f t="shared" si="149"/>
        <v>10.609390899999999</v>
      </c>
    </row>
    <row r="3162" spans="1:12" ht="16" x14ac:dyDescent="0.2">
      <c r="A3162" s="1">
        <v>3161</v>
      </c>
      <c r="B3162" s="1" t="s">
        <v>9274</v>
      </c>
      <c r="C3162" s="1" t="s">
        <v>9404</v>
      </c>
      <c r="D3162" s="1" t="str">
        <f t="shared" si="147"/>
        <v>Svendborg KommuneKyseborgstræde 20</v>
      </c>
      <c r="E3162" s="1" t="s">
        <v>9405</v>
      </c>
      <c r="F3162" s="1" t="s">
        <v>9406</v>
      </c>
      <c r="G3162" s="1">
        <v>1920</v>
      </c>
      <c r="H3162" s="1" t="s">
        <v>15</v>
      </c>
      <c r="I3162" s="6" cm="1">
        <f t="array" ref="I3162">GetLatitude(D3162)</f>
        <v>550586391</v>
      </c>
      <c r="J3162" s="1" cm="1">
        <f t="array" ref="J3162">GetLongitude(D3162)</f>
        <v>106075442</v>
      </c>
      <c r="K3162" s="1">
        <f t="shared" si="148"/>
        <v>55.058639100000001</v>
      </c>
      <c r="L3162" s="1">
        <f t="shared" si="149"/>
        <v>10.6075442</v>
      </c>
    </row>
    <row r="3163" spans="1:12" ht="16" x14ac:dyDescent="0.2">
      <c r="A3163" s="1">
        <v>3162</v>
      </c>
      <c r="B3163" s="1" t="s">
        <v>9274</v>
      </c>
      <c r="C3163" s="1" t="s">
        <v>9407</v>
      </c>
      <c r="D3163" s="1" t="str">
        <f t="shared" si="147"/>
        <v>Svendborg KommuneKyseborgstræde 4</v>
      </c>
      <c r="E3163" s="1" t="s">
        <v>9408</v>
      </c>
      <c r="F3163" s="1" t="s">
        <v>416</v>
      </c>
      <c r="G3163" s="1">
        <v>1977</v>
      </c>
      <c r="H3163" s="1" t="s">
        <v>15</v>
      </c>
      <c r="I3163" s="6" cm="1">
        <f t="array" ref="I3163">GetLatitude(D3163)</f>
        <v>550583067</v>
      </c>
      <c r="J3163" s="1" cm="1">
        <f t="array" ref="J3163">GetLongitude(D3163)</f>
        <v>106092921</v>
      </c>
      <c r="K3163" s="1">
        <f t="shared" si="148"/>
        <v>55.058306700000003</v>
      </c>
      <c r="L3163" s="1">
        <f t="shared" si="149"/>
        <v>10.609292099999999</v>
      </c>
    </row>
    <row r="3164" spans="1:12" ht="16" x14ac:dyDescent="0.2">
      <c r="A3164" s="1">
        <v>3163</v>
      </c>
      <c r="B3164" s="1" t="s">
        <v>9274</v>
      </c>
      <c r="C3164" s="1" t="s">
        <v>9409</v>
      </c>
      <c r="D3164" s="1" t="str">
        <f t="shared" si="147"/>
        <v>Svendborg Kommune Kyseborgstræde 6</v>
      </c>
      <c r="E3164" s="1" t="s">
        <v>9409</v>
      </c>
      <c r="F3164" s="1" t="s">
        <v>416</v>
      </c>
      <c r="G3164" s="1">
        <v>1977</v>
      </c>
      <c r="H3164" s="1" t="s">
        <v>11</v>
      </c>
      <c r="I3164" s="6" cm="1">
        <f t="array" ref="I3164">GetLatitude(D3164)</f>
        <v>550582686</v>
      </c>
      <c r="J3164" s="1" cm="1">
        <f t="array" ref="J3164">GetLongitude(D3164)</f>
        <v>106092114</v>
      </c>
      <c r="K3164" s="1">
        <f t="shared" si="148"/>
        <v>55.058268599999998</v>
      </c>
      <c r="L3164" s="1">
        <f t="shared" si="149"/>
        <v>10.6092114</v>
      </c>
    </row>
    <row r="3165" spans="1:12" ht="16" x14ac:dyDescent="0.2">
      <c r="A3165" s="1">
        <v>3164</v>
      </c>
      <c r="B3165" s="1" t="s">
        <v>9274</v>
      </c>
      <c r="C3165" s="1" t="s">
        <v>9410</v>
      </c>
      <c r="D3165" s="1" t="str">
        <f t="shared" si="147"/>
        <v>Svendborg KommuneMøllergade 24 og Krøyersstræde 3</v>
      </c>
      <c r="E3165" s="1" t="s">
        <v>9411</v>
      </c>
      <c r="F3165" s="1" t="s">
        <v>9412</v>
      </c>
      <c r="G3165" s="1">
        <v>1924</v>
      </c>
      <c r="H3165" s="1" t="s">
        <v>701</v>
      </c>
      <c r="I3165" s="6" cm="1">
        <f t="array" ref="I3165">GetLatitude(D3165)</f>
        <v>550597599</v>
      </c>
      <c r="J3165" s="1" cm="1">
        <f t="array" ref="J3165">GetLongitude(D3165)</f>
        <v>106117096</v>
      </c>
      <c r="K3165" s="1">
        <f t="shared" si="148"/>
        <v>55.059759900000003</v>
      </c>
      <c r="L3165" s="1">
        <f t="shared" si="149"/>
        <v>10.611709599999999</v>
      </c>
    </row>
    <row r="3166" spans="1:12" ht="16" x14ac:dyDescent="0.2">
      <c r="A3166" s="1">
        <v>3165</v>
      </c>
      <c r="B3166" s="1" t="s">
        <v>9274</v>
      </c>
      <c r="C3166" s="1" t="s">
        <v>9413</v>
      </c>
      <c r="D3166" s="1" t="str">
        <f t="shared" si="147"/>
        <v>Svendborg KommuneMøllergade 35 A</v>
      </c>
      <c r="E3166" s="1" t="s">
        <v>9414</v>
      </c>
      <c r="F3166" s="1" t="s">
        <v>9415</v>
      </c>
      <c r="G3166" s="1">
        <v>1973</v>
      </c>
      <c r="H3166" s="1" t="s">
        <v>11</v>
      </c>
      <c r="I3166" s="6" cm="1">
        <f t="array" ref="I3166">GetLatitude(D3166)</f>
        <v>550608942</v>
      </c>
      <c r="J3166" s="1" cm="1">
        <f t="array" ref="J3166">GetLongitude(D3166)</f>
        <v>106101227</v>
      </c>
      <c r="K3166" s="1">
        <f t="shared" si="148"/>
        <v>55.0608942</v>
      </c>
      <c r="L3166" s="1">
        <f t="shared" si="149"/>
        <v>10.6101227</v>
      </c>
    </row>
    <row r="3167" spans="1:12" ht="16" x14ac:dyDescent="0.2">
      <c r="A3167" s="1">
        <v>3166</v>
      </c>
      <c r="B3167" s="1" t="s">
        <v>9274</v>
      </c>
      <c r="C3167" s="1" t="s">
        <v>9416</v>
      </c>
      <c r="D3167" s="1" t="str">
        <f t="shared" si="147"/>
        <v>Svendborg KommuneMøllergade 43</v>
      </c>
      <c r="E3167" s="1" t="s">
        <v>9417</v>
      </c>
      <c r="F3167" s="1" t="s">
        <v>9418</v>
      </c>
      <c r="G3167" s="1">
        <v>1974</v>
      </c>
      <c r="H3167" s="1" t="s">
        <v>11</v>
      </c>
      <c r="I3167" s="6" cm="1">
        <f t="array" ref="I3167">GetLatitude(D3167)</f>
        <v>550615046</v>
      </c>
      <c r="J3167" s="1" cm="1">
        <f t="array" ref="J3167">GetLongitude(D3167)</f>
        <v>106100653</v>
      </c>
      <c r="K3167" s="1">
        <f t="shared" si="148"/>
        <v>55.061504599999999</v>
      </c>
      <c r="L3167" s="1">
        <f t="shared" si="149"/>
        <v>10.6100653</v>
      </c>
    </row>
    <row r="3168" spans="1:12" ht="16" x14ac:dyDescent="0.2">
      <c r="A3168" s="1">
        <v>3167</v>
      </c>
      <c r="B3168" s="1" t="s">
        <v>9274</v>
      </c>
      <c r="C3168" s="1" t="s">
        <v>9419</v>
      </c>
      <c r="D3168" s="1" t="str">
        <f t="shared" si="147"/>
        <v>Svendborg KommuneMøllergade 86</v>
      </c>
      <c r="E3168" s="1" t="s">
        <v>9420</v>
      </c>
      <c r="F3168" s="1" t="s">
        <v>9421</v>
      </c>
      <c r="G3168" s="1">
        <v>1919</v>
      </c>
      <c r="H3168" s="1" t="s">
        <v>11</v>
      </c>
      <c r="I3168" s="6" cm="1">
        <f t="array" ref="I3168">GetLatitude(D3168)</f>
        <v>550633446</v>
      </c>
      <c r="J3168" s="1" cm="1">
        <f t="array" ref="J3168">GetLongitude(D3168)</f>
        <v>106128706</v>
      </c>
      <c r="K3168" s="1">
        <f t="shared" si="148"/>
        <v>55.063344600000001</v>
      </c>
      <c r="L3168" s="1">
        <f t="shared" si="149"/>
        <v>10.612870600000001</v>
      </c>
    </row>
    <row r="3169" spans="1:12" ht="16" x14ac:dyDescent="0.2">
      <c r="A3169" s="1">
        <v>3168</v>
      </c>
      <c r="B3169" s="1" t="s">
        <v>9274</v>
      </c>
      <c r="C3169" s="1" t="s">
        <v>9422</v>
      </c>
      <c r="D3169" s="1" t="str">
        <f t="shared" si="147"/>
        <v>Svendborg KommuneMøllevej 21</v>
      </c>
      <c r="E3169" s="1" t="s">
        <v>9423</v>
      </c>
      <c r="F3169" s="1" t="s">
        <v>9424</v>
      </c>
      <c r="G3169" s="1">
        <v>1985</v>
      </c>
      <c r="H3169" s="1" t="s">
        <v>11</v>
      </c>
      <c r="I3169" s="6" cm="1">
        <f t="array" ref="I3169">GetLatitude(D3169)</f>
        <v>550674340</v>
      </c>
      <c r="J3169" s="1" cm="1">
        <f t="array" ref="J3169">GetLongitude(D3169)</f>
        <v>106072820</v>
      </c>
      <c r="K3169" s="1">
        <f t="shared" si="148"/>
        <v>55.067433999999999</v>
      </c>
      <c r="L3169" s="1">
        <f t="shared" si="149"/>
        <v>10.607282</v>
      </c>
    </row>
    <row r="3170" spans="1:12" ht="16" x14ac:dyDescent="0.2">
      <c r="A3170" s="1">
        <v>3169</v>
      </c>
      <c r="B3170" s="1" t="s">
        <v>9274</v>
      </c>
      <c r="C3170" s="1" t="s">
        <v>9425</v>
      </c>
      <c r="D3170" s="1" t="str">
        <f t="shared" si="147"/>
        <v>Svendborg KommuneMøllevænget 11 (tidl Porthusvej 5 A)</v>
      </c>
      <c r="E3170" s="1" t="s">
        <v>9426</v>
      </c>
      <c r="F3170" s="1" t="s">
        <v>123</v>
      </c>
      <c r="G3170" s="1">
        <v>1959</v>
      </c>
      <c r="H3170" s="1" t="s">
        <v>15</v>
      </c>
      <c r="I3170" s="6" cm="1">
        <f t="array" ref="I3170">GetLatitude(D3170)</f>
        <v>550673560</v>
      </c>
      <c r="J3170" s="1" cm="1">
        <f t="array" ref="J3170">GetLongitude(D3170)</f>
        <v>106132594</v>
      </c>
      <c r="K3170" s="1">
        <f t="shared" si="148"/>
        <v>55.067355999999997</v>
      </c>
      <c r="L3170" s="1">
        <f t="shared" si="149"/>
        <v>10.6132594</v>
      </c>
    </row>
    <row r="3171" spans="1:12" ht="16" x14ac:dyDescent="0.2">
      <c r="A3171" s="1">
        <v>3170</v>
      </c>
      <c r="B3171" s="1" t="s">
        <v>9274</v>
      </c>
      <c r="C3171" s="1" t="s">
        <v>9427</v>
      </c>
      <c r="D3171" s="1" t="str">
        <f t="shared" si="147"/>
        <v>Svendborg KommuneNielstrupvej 25</v>
      </c>
      <c r="E3171" s="1" t="s">
        <v>9428</v>
      </c>
      <c r="F3171" s="1" t="s">
        <v>9429</v>
      </c>
      <c r="G3171" s="1">
        <v>1945</v>
      </c>
      <c r="H3171" s="1" t="s">
        <v>15</v>
      </c>
      <c r="I3171" s="6" cm="1">
        <f t="array" ref="I3171">GetLatitude(D3171)</f>
        <v>550779871</v>
      </c>
      <c r="J3171" s="1" cm="1">
        <f t="array" ref="J3171">GetLongitude(D3171)</f>
        <v>105227124</v>
      </c>
      <c r="K3171" s="1">
        <f t="shared" si="148"/>
        <v>55.077987100000001</v>
      </c>
      <c r="L3171" s="1">
        <f t="shared" si="149"/>
        <v>10.5227124</v>
      </c>
    </row>
    <row r="3172" spans="1:12" ht="16" x14ac:dyDescent="0.2">
      <c r="A3172" s="1">
        <v>3171</v>
      </c>
      <c r="B3172" s="1" t="s">
        <v>9274</v>
      </c>
      <c r="C3172" s="1" t="s">
        <v>9430</v>
      </c>
      <c r="D3172" s="1" t="str">
        <f t="shared" si="147"/>
        <v>Svendborg KommunePilekrogen 26</v>
      </c>
      <c r="E3172" s="1" t="s">
        <v>9431</v>
      </c>
      <c r="F3172" s="1" t="s">
        <v>9432</v>
      </c>
      <c r="G3172" s="1">
        <v>1959</v>
      </c>
      <c r="H3172" s="1" t="s">
        <v>11</v>
      </c>
      <c r="I3172" s="6" cm="1">
        <f t="array" ref="I3172">GetLatitude(D3172)</f>
        <v>550440559</v>
      </c>
      <c r="J3172" s="1" cm="1">
        <f t="array" ref="J3172">GetLongitude(D3172)</f>
        <v>106424689</v>
      </c>
      <c r="K3172" s="1">
        <f t="shared" si="148"/>
        <v>55.044055899999996</v>
      </c>
      <c r="L3172" s="1">
        <f t="shared" si="149"/>
        <v>10.642468900000001</v>
      </c>
    </row>
    <row r="3173" spans="1:12" ht="16" x14ac:dyDescent="0.2">
      <c r="A3173" s="1">
        <v>3172</v>
      </c>
      <c r="B3173" s="1" t="s">
        <v>9274</v>
      </c>
      <c r="C3173" s="1" t="s">
        <v>9433</v>
      </c>
      <c r="D3173" s="1" t="str">
        <f t="shared" si="147"/>
        <v>Svendborg KommuneRødkildevej 15</v>
      </c>
      <c r="E3173" s="1" t="s">
        <v>9434</v>
      </c>
      <c r="F3173" s="1" t="s">
        <v>9435</v>
      </c>
      <c r="G3173" s="1">
        <v>1959</v>
      </c>
      <c r="H3173" s="1" t="s">
        <v>9436</v>
      </c>
      <c r="I3173" s="6" cm="1">
        <f t="array" ref="I3173">GetLatitude(D3173)</f>
        <v>550718500</v>
      </c>
      <c r="J3173" s="1" cm="1">
        <f t="array" ref="J3173">GetLongitude(D3173)</f>
        <v>103949820</v>
      </c>
      <c r="K3173" s="1">
        <f t="shared" si="148"/>
        <v>55.071849999999998</v>
      </c>
      <c r="L3173" s="1">
        <f t="shared" si="149"/>
        <v>10.394982000000001</v>
      </c>
    </row>
    <row r="3174" spans="1:12" ht="16" x14ac:dyDescent="0.2">
      <c r="A3174" s="1">
        <v>3173</v>
      </c>
      <c r="B3174" s="1" t="s">
        <v>9274</v>
      </c>
      <c r="C3174" s="1" t="s">
        <v>9437</v>
      </c>
      <c r="D3174" s="1" t="str">
        <f t="shared" si="147"/>
        <v>Svendborg KommuneRødmevej 45</v>
      </c>
      <c r="E3174" s="1" t="s">
        <v>9438</v>
      </c>
      <c r="F3174" s="1" t="s">
        <v>9439</v>
      </c>
      <c r="G3174" s="1">
        <v>1918</v>
      </c>
      <c r="H3174" s="1" t="s">
        <v>15</v>
      </c>
      <c r="I3174" s="6" cm="1">
        <f t="array" ref="I3174">GetLatitude(D3174)</f>
        <v>551028450</v>
      </c>
      <c r="J3174" s="1" cm="1">
        <f t="array" ref="J3174">GetLongitude(D3174)</f>
        <v>104759540</v>
      </c>
      <c r="K3174" s="1">
        <f t="shared" si="148"/>
        <v>55.102845000000002</v>
      </c>
      <c r="L3174" s="1">
        <f t="shared" si="149"/>
        <v>10.475954</v>
      </c>
    </row>
    <row r="3175" spans="1:12" ht="16" x14ac:dyDescent="0.2">
      <c r="A3175" s="1">
        <v>3174</v>
      </c>
      <c r="B3175" s="1" t="s">
        <v>9274</v>
      </c>
      <c r="C3175" s="1" t="s">
        <v>9440</v>
      </c>
      <c r="D3175" s="1" t="str">
        <f t="shared" si="147"/>
        <v>Svendborg KommuneSkattergade 10</v>
      </c>
      <c r="E3175" s="1" t="s">
        <v>9441</v>
      </c>
      <c r="F3175" s="1" t="s">
        <v>9442</v>
      </c>
      <c r="G3175" s="1">
        <v>1945</v>
      </c>
      <c r="H3175" s="1" t="s">
        <v>15</v>
      </c>
      <c r="I3175" s="6" cm="1">
        <f t="array" ref="I3175">GetLatitude(D3175)</f>
        <v>550576420</v>
      </c>
      <c r="J3175" s="1" cm="1">
        <f t="array" ref="J3175">GetLongitude(D3175)</f>
        <v>106103978</v>
      </c>
      <c r="K3175" s="1">
        <f t="shared" si="148"/>
        <v>55.057642000000001</v>
      </c>
      <c r="L3175" s="1">
        <f t="shared" si="149"/>
        <v>10.610397799999999</v>
      </c>
    </row>
    <row r="3176" spans="1:12" ht="16" x14ac:dyDescent="0.2">
      <c r="A3176" s="1">
        <v>3175</v>
      </c>
      <c r="B3176" s="1" t="s">
        <v>9274</v>
      </c>
      <c r="C3176" s="1" t="s">
        <v>9443</v>
      </c>
      <c r="D3176" s="1" t="str">
        <f t="shared" si="147"/>
        <v>Svendborg KommuneSkattergade 8</v>
      </c>
      <c r="E3176" s="1" t="s">
        <v>9444</v>
      </c>
      <c r="F3176" s="1" t="s">
        <v>9445</v>
      </c>
      <c r="G3176" s="1">
        <v>1945</v>
      </c>
      <c r="H3176" s="1" t="s">
        <v>11</v>
      </c>
      <c r="I3176" s="6" cm="1">
        <f t="array" ref="I3176">GetLatitude(D3176)</f>
        <v>550576683</v>
      </c>
      <c r="J3176" s="1" cm="1">
        <f t="array" ref="J3176">GetLongitude(D3176)</f>
        <v>106102825</v>
      </c>
      <c r="K3176" s="1">
        <f t="shared" si="148"/>
        <v>55.057668300000003</v>
      </c>
      <c r="L3176" s="1">
        <f t="shared" si="149"/>
        <v>10.6102825</v>
      </c>
    </row>
    <row r="3177" spans="1:12" ht="16" x14ac:dyDescent="0.2">
      <c r="A3177" s="1">
        <v>3176</v>
      </c>
      <c r="B3177" s="1" t="s">
        <v>9274</v>
      </c>
      <c r="C3177" s="1" t="s">
        <v>9446</v>
      </c>
      <c r="D3177" s="1" t="str">
        <f t="shared" si="147"/>
        <v>Svendborg KommuneSkerningegårdsvej 12</v>
      </c>
      <c r="E3177" s="1" t="s">
        <v>9447</v>
      </c>
      <c r="F3177" s="1" t="s">
        <v>9448</v>
      </c>
      <c r="G3177" s="1">
        <v>2001</v>
      </c>
      <c r="H3177" s="1" t="s">
        <v>11</v>
      </c>
      <c r="I3177" s="6" cm="1">
        <f t="array" ref="I3177">GetLatitude(D3177)</f>
        <v>550714236</v>
      </c>
      <c r="J3177" s="1" cm="1">
        <f t="array" ref="J3177">GetLongitude(D3177)</f>
        <v>104475775</v>
      </c>
      <c r="K3177" s="1">
        <f t="shared" si="148"/>
        <v>55.071423600000003</v>
      </c>
      <c r="L3177" s="1">
        <f t="shared" si="149"/>
        <v>10.4475775</v>
      </c>
    </row>
    <row r="3178" spans="1:12" ht="16" x14ac:dyDescent="0.2">
      <c r="A3178" s="1">
        <v>3177</v>
      </c>
      <c r="B3178" s="1" t="s">
        <v>9274</v>
      </c>
      <c r="C3178" s="1" t="s">
        <v>9449</v>
      </c>
      <c r="D3178" s="1" t="str">
        <f t="shared" si="147"/>
        <v>Svendborg KommuneSkovballevej 21</v>
      </c>
      <c r="E3178" s="1" t="s">
        <v>9450</v>
      </c>
      <c r="F3178" s="1" t="s">
        <v>9451</v>
      </c>
      <c r="G3178" s="1">
        <v>1990</v>
      </c>
      <c r="H3178" s="1" t="s">
        <v>15</v>
      </c>
      <c r="I3178" s="6" cm="1">
        <f t="array" ref="I3178">GetLatitude(D3178)</f>
        <v>549987778</v>
      </c>
      <c r="J3178" s="1" cm="1">
        <f t="array" ref="J3178">GetLongitude(D3178)</f>
        <v>105987070</v>
      </c>
      <c r="K3178" s="1">
        <f t="shared" si="148"/>
        <v>54.998777799999999</v>
      </c>
      <c r="L3178" s="1">
        <f t="shared" si="149"/>
        <v>10.598706999999999</v>
      </c>
    </row>
    <row r="3179" spans="1:12" ht="16" x14ac:dyDescent="0.2">
      <c r="A3179" s="1">
        <v>3178</v>
      </c>
      <c r="B3179" s="1" t="s">
        <v>9274</v>
      </c>
      <c r="C3179" s="1" t="s">
        <v>9452</v>
      </c>
      <c r="D3179" s="1" t="str">
        <f t="shared" si="147"/>
        <v>Svendborg KommuneSkårup Kirkebakke 1 A</v>
      </c>
      <c r="E3179" s="1" t="s">
        <v>9453</v>
      </c>
      <c r="F3179" s="1" t="s">
        <v>9454</v>
      </c>
      <c r="G3179" s="1">
        <v>1939</v>
      </c>
      <c r="H3179" s="1" t="s">
        <v>15</v>
      </c>
      <c r="I3179" s="6" cm="1">
        <f t="array" ref="I3179">GetLatitude(D3179)</f>
        <v>550938299</v>
      </c>
      <c r="J3179" s="1" cm="1">
        <f t="array" ref="J3179">GetLongitude(D3179)</f>
        <v>106875864</v>
      </c>
      <c r="K3179" s="1">
        <f t="shared" si="148"/>
        <v>55.093829900000003</v>
      </c>
      <c r="L3179" s="1">
        <f t="shared" si="149"/>
        <v>10.687586400000001</v>
      </c>
    </row>
    <row r="3180" spans="1:12" ht="16" x14ac:dyDescent="0.2">
      <c r="A3180" s="1">
        <v>3179</v>
      </c>
      <c r="B3180" s="1" t="s">
        <v>9274</v>
      </c>
      <c r="C3180" s="1" t="s">
        <v>9455</v>
      </c>
      <c r="D3180" s="1" t="str">
        <f t="shared" si="147"/>
        <v>Svendborg KommuneSkårup Kirkebakke 3</v>
      </c>
      <c r="E3180" s="1" t="s">
        <v>9456</v>
      </c>
      <c r="F3180" s="1" t="s">
        <v>9457</v>
      </c>
      <c r="G3180" s="1">
        <v>1993</v>
      </c>
      <c r="H3180" s="1" t="s">
        <v>11</v>
      </c>
      <c r="I3180" s="6" cm="1">
        <f t="array" ref="I3180">GetLatitude(D3180)</f>
        <v>550943457</v>
      </c>
      <c r="J3180" s="1" cm="1">
        <f t="array" ref="J3180">GetLongitude(D3180)</f>
        <v>106876686</v>
      </c>
      <c r="K3180" s="1">
        <f t="shared" si="148"/>
        <v>55.094345699999998</v>
      </c>
      <c r="L3180" s="1">
        <f t="shared" si="149"/>
        <v>10.6876686</v>
      </c>
    </row>
    <row r="3181" spans="1:12" ht="16" x14ac:dyDescent="0.2">
      <c r="A3181" s="1">
        <v>3180</v>
      </c>
      <c r="B3181" s="1" t="s">
        <v>9274</v>
      </c>
      <c r="C3181" s="1" t="s">
        <v>9458</v>
      </c>
      <c r="D3181" s="1" t="str">
        <f t="shared" si="147"/>
        <v>Svendborg KommuneSkårup Kirkebakke 4</v>
      </c>
      <c r="E3181" s="1" t="s">
        <v>9459</v>
      </c>
      <c r="F3181" s="1" t="s">
        <v>9460</v>
      </c>
      <c r="G3181" s="1">
        <v>1945</v>
      </c>
      <c r="H3181" s="1" t="s">
        <v>11</v>
      </c>
      <c r="I3181" s="6" cm="1">
        <f t="array" ref="I3181">GetLatitude(D3181)</f>
        <v>550930952</v>
      </c>
      <c r="J3181" s="1" cm="1">
        <f t="array" ref="J3181">GetLongitude(D3181)</f>
        <v>106877604</v>
      </c>
      <c r="K3181" s="1">
        <f t="shared" si="148"/>
        <v>55.0930952</v>
      </c>
      <c r="L3181" s="1">
        <f t="shared" si="149"/>
        <v>10.6877604</v>
      </c>
    </row>
    <row r="3182" spans="1:12" ht="16" x14ac:dyDescent="0.2">
      <c r="A3182" s="1">
        <v>3181</v>
      </c>
      <c r="B3182" s="1" t="s">
        <v>9274</v>
      </c>
      <c r="C3182" s="1" t="s">
        <v>9461</v>
      </c>
      <c r="D3182" s="1" t="str">
        <f t="shared" si="147"/>
        <v>Svendborg KommuneSkårupørevej 30</v>
      </c>
      <c r="E3182" s="1" t="s">
        <v>9462</v>
      </c>
      <c r="F3182" s="1" t="s">
        <v>9463</v>
      </c>
      <c r="G3182" s="1">
        <v>1990</v>
      </c>
      <c r="H3182" s="1" t="s">
        <v>11</v>
      </c>
      <c r="I3182" s="6" cm="1">
        <f t="array" ref="I3182">GetLatitude(D3182)</f>
        <v>550764972</v>
      </c>
      <c r="J3182" s="1" cm="1">
        <f t="array" ref="J3182">GetLongitude(D3182)</f>
        <v>107002016</v>
      </c>
      <c r="K3182" s="1">
        <f t="shared" si="148"/>
        <v>55.076497199999999</v>
      </c>
      <c r="L3182" s="1">
        <f t="shared" si="149"/>
        <v>10.7002016</v>
      </c>
    </row>
    <row r="3183" spans="1:12" ht="16" x14ac:dyDescent="0.2">
      <c r="A3183" s="1">
        <v>3182</v>
      </c>
      <c r="B3183" s="1" t="s">
        <v>9274</v>
      </c>
      <c r="C3183" s="1" t="s">
        <v>9464</v>
      </c>
      <c r="D3183" s="1" t="str">
        <f t="shared" si="147"/>
        <v>Svendborg KommuneSlotsalléen 100</v>
      </c>
      <c r="E3183" s="1" t="s">
        <v>9465</v>
      </c>
      <c r="F3183" s="1" t="s">
        <v>9466</v>
      </c>
      <c r="G3183" s="1">
        <v>1918</v>
      </c>
      <c r="H3183" s="1" t="s">
        <v>11</v>
      </c>
      <c r="I3183" s="6" cm="1">
        <f t="array" ref="I3183">GetLatitude(D3183)</f>
        <v>550674340</v>
      </c>
      <c r="J3183" s="1" cm="1">
        <f t="array" ref="J3183">GetLongitude(D3183)</f>
        <v>106072820</v>
      </c>
      <c r="K3183" s="1">
        <f t="shared" si="148"/>
        <v>55.067433999999999</v>
      </c>
      <c r="L3183" s="1">
        <f t="shared" si="149"/>
        <v>10.607282</v>
      </c>
    </row>
    <row r="3184" spans="1:12" ht="16" x14ac:dyDescent="0.2">
      <c r="A3184" s="1">
        <v>3183</v>
      </c>
      <c r="B3184" s="1" t="s">
        <v>9274</v>
      </c>
      <c r="C3184" s="1" t="s">
        <v>9467</v>
      </c>
      <c r="D3184" s="1" t="str">
        <f t="shared" si="147"/>
        <v>Svendborg KommuneSophie Frederikkevej 1</v>
      </c>
      <c r="E3184" s="1" t="s">
        <v>9468</v>
      </c>
      <c r="F3184" s="1" t="s">
        <v>9469</v>
      </c>
      <c r="G3184" s="1">
        <v>1979</v>
      </c>
      <c r="H3184" s="1" t="s">
        <v>11</v>
      </c>
      <c r="I3184" s="6" cm="1">
        <f t="array" ref="I3184">GetLatitude(D3184)</f>
        <v>549695862</v>
      </c>
      <c r="J3184" s="1" cm="1">
        <f t="array" ref="J3184">GetLongitude(D3184)</f>
        <v>106069497</v>
      </c>
      <c r="K3184" s="1">
        <f t="shared" si="148"/>
        <v>54.969586200000002</v>
      </c>
      <c r="L3184" s="1">
        <f t="shared" si="149"/>
        <v>10.606949699999999</v>
      </c>
    </row>
    <row r="3185" spans="1:12" ht="16" x14ac:dyDescent="0.2">
      <c r="A3185" s="1">
        <v>3184</v>
      </c>
      <c r="B3185" s="1" t="s">
        <v>9274</v>
      </c>
      <c r="C3185" s="1" t="s">
        <v>1734</v>
      </c>
      <c r="D3185" s="1" t="str">
        <f t="shared" si="147"/>
        <v>Svendborg KommuneStrandgade 1</v>
      </c>
      <c r="E3185" s="1" t="s">
        <v>9470</v>
      </c>
      <c r="F3185" s="1" t="s">
        <v>9471</v>
      </c>
      <c r="G3185" s="1">
        <v>1918</v>
      </c>
      <c r="H3185" s="1" t="s">
        <v>11</v>
      </c>
      <c r="I3185" s="6" cm="1">
        <f t="array" ref="I3185">GetLatitude(D3185)</f>
        <v>550332599</v>
      </c>
      <c r="J3185" s="1" cm="1">
        <f t="array" ref="J3185">GetLongitude(D3185)</f>
        <v>106462188</v>
      </c>
      <c r="K3185" s="1">
        <f t="shared" si="148"/>
        <v>55.033259899999997</v>
      </c>
      <c r="L3185" s="1">
        <f t="shared" si="149"/>
        <v>10.6462188</v>
      </c>
    </row>
    <row r="3186" spans="1:12" ht="16" x14ac:dyDescent="0.2">
      <c r="A3186" s="1">
        <v>3185</v>
      </c>
      <c r="B3186" s="1" t="s">
        <v>9274</v>
      </c>
      <c r="C3186" s="1" t="s">
        <v>9472</v>
      </c>
      <c r="D3186" s="1" t="str">
        <f t="shared" si="147"/>
        <v>Svendborg KommuneStrandgade 19</v>
      </c>
      <c r="E3186" s="1" t="s">
        <v>9473</v>
      </c>
      <c r="F3186" s="1" t="s">
        <v>9474</v>
      </c>
      <c r="G3186" s="1">
        <v>1945</v>
      </c>
      <c r="H3186" s="1" t="s">
        <v>15</v>
      </c>
      <c r="I3186" s="6" cm="1">
        <f t="array" ref="I3186">GetLatitude(D3186)</f>
        <v>550340135</v>
      </c>
      <c r="J3186" s="1" cm="1">
        <f t="array" ref="J3186">GetLongitude(D3186)</f>
        <v>106437265</v>
      </c>
      <c r="K3186" s="1">
        <f t="shared" si="148"/>
        <v>55.0340135</v>
      </c>
      <c r="L3186" s="1">
        <f t="shared" si="149"/>
        <v>10.6437265</v>
      </c>
    </row>
    <row r="3187" spans="1:12" ht="16" x14ac:dyDescent="0.2">
      <c r="A3187" s="1">
        <v>3186</v>
      </c>
      <c r="B3187" s="1" t="s">
        <v>9274</v>
      </c>
      <c r="C3187" s="1" t="s">
        <v>3098</v>
      </c>
      <c r="D3187" s="1" t="str">
        <f t="shared" si="147"/>
        <v>Svendborg KommuneStrandgade 43</v>
      </c>
      <c r="E3187" s="1" t="s">
        <v>9475</v>
      </c>
      <c r="F3187" s="1" t="s">
        <v>9476</v>
      </c>
      <c r="G3187" s="1">
        <v>1945</v>
      </c>
      <c r="H3187" s="1" t="s">
        <v>11</v>
      </c>
      <c r="I3187" s="6" cm="1">
        <f t="array" ref="I3187">GetLatitude(D3187)</f>
        <v>550353227</v>
      </c>
      <c r="J3187" s="1" cm="1">
        <f t="array" ref="J3187">GetLongitude(D3187)</f>
        <v>106406137</v>
      </c>
      <c r="K3187" s="1">
        <f t="shared" si="148"/>
        <v>55.035322700000002</v>
      </c>
      <c r="L3187" s="1">
        <f t="shared" si="149"/>
        <v>10.640613699999999</v>
      </c>
    </row>
    <row r="3188" spans="1:12" ht="16" x14ac:dyDescent="0.2">
      <c r="A3188" s="1">
        <v>3187</v>
      </c>
      <c r="B3188" s="1" t="s">
        <v>9274</v>
      </c>
      <c r="C3188" s="1" t="s">
        <v>9477</v>
      </c>
      <c r="D3188" s="1" t="str">
        <f t="shared" si="147"/>
        <v>Svendborg KommuneStrandgade 49</v>
      </c>
      <c r="E3188" s="1" t="s">
        <v>9478</v>
      </c>
      <c r="F3188" s="1" t="s">
        <v>8998</v>
      </c>
      <c r="G3188" s="1">
        <v>1945</v>
      </c>
      <c r="H3188" s="1" t="s">
        <v>15</v>
      </c>
      <c r="I3188" s="6" cm="1">
        <f t="array" ref="I3188">GetLatitude(D3188)</f>
        <v>550355340</v>
      </c>
      <c r="J3188" s="1" cm="1">
        <f t="array" ref="J3188">GetLongitude(D3188)</f>
        <v>106396993</v>
      </c>
      <c r="K3188" s="1">
        <f t="shared" si="148"/>
        <v>55.035533999999998</v>
      </c>
      <c r="L3188" s="1">
        <f t="shared" si="149"/>
        <v>10.6396993</v>
      </c>
    </row>
    <row r="3189" spans="1:12" ht="16" x14ac:dyDescent="0.2">
      <c r="A3189" s="1">
        <v>3188</v>
      </c>
      <c r="B3189" s="1" t="s">
        <v>9274</v>
      </c>
      <c r="C3189" s="1" t="s">
        <v>3107</v>
      </c>
      <c r="D3189" s="1" t="str">
        <f t="shared" si="147"/>
        <v>Svendborg KommuneStrandgade 53</v>
      </c>
      <c r="E3189" s="1" t="s">
        <v>3108</v>
      </c>
      <c r="F3189" s="1" t="s">
        <v>9479</v>
      </c>
      <c r="G3189" s="1">
        <v>1945</v>
      </c>
      <c r="H3189" s="1" t="s">
        <v>15</v>
      </c>
      <c r="I3189" s="6" cm="1">
        <f t="array" ref="I3189">GetLatitude(D3189)</f>
        <v>550356240</v>
      </c>
      <c r="J3189" s="1" cm="1">
        <f t="array" ref="J3189">GetLongitude(D3189)</f>
        <v>106391734</v>
      </c>
      <c r="K3189" s="1">
        <f t="shared" si="148"/>
        <v>55.035623999999999</v>
      </c>
      <c r="L3189" s="1">
        <f t="shared" si="149"/>
        <v>10.639173400000001</v>
      </c>
    </row>
    <row r="3190" spans="1:12" ht="16" x14ac:dyDescent="0.2">
      <c r="A3190" s="1">
        <v>3189</v>
      </c>
      <c r="B3190" s="1" t="s">
        <v>9274</v>
      </c>
      <c r="C3190" s="1" t="s">
        <v>9480</v>
      </c>
      <c r="D3190" s="1" t="str">
        <f t="shared" si="147"/>
        <v>Svendborg KommuneStrædet 8</v>
      </c>
      <c r="E3190" s="1" t="s">
        <v>9481</v>
      </c>
      <c r="F3190" s="1" t="s">
        <v>9482</v>
      </c>
      <c r="G3190" s="1">
        <v>1995</v>
      </c>
      <c r="H3190" s="1" t="s">
        <v>11</v>
      </c>
      <c r="I3190" s="6" cm="1">
        <f t="array" ref="I3190">GetLatitude(D3190)</f>
        <v>550674340</v>
      </c>
      <c r="J3190" s="1" cm="1">
        <f t="array" ref="J3190">GetLongitude(D3190)</f>
        <v>106072820</v>
      </c>
      <c r="K3190" s="1">
        <f t="shared" si="148"/>
        <v>55.067433999999999</v>
      </c>
      <c r="L3190" s="1">
        <f t="shared" si="149"/>
        <v>10.607282</v>
      </c>
    </row>
    <row r="3191" spans="1:12" ht="16" x14ac:dyDescent="0.2">
      <c r="A3191" s="1">
        <v>3190</v>
      </c>
      <c r="B3191" s="1" t="s">
        <v>9274</v>
      </c>
      <c r="C3191" s="1" t="s">
        <v>9483</v>
      </c>
      <c r="D3191" s="1" t="str">
        <f t="shared" si="147"/>
        <v>Svendborg KommuneSvendborgvej 104 B</v>
      </c>
      <c r="E3191" s="1" t="s">
        <v>9484</v>
      </c>
      <c r="F3191" s="1" t="s">
        <v>9485</v>
      </c>
      <c r="G3191" s="1">
        <v>1964</v>
      </c>
      <c r="H3191" s="1" t="s">
        <v>11</v>
      </c>
      <c r="I3191" s="6" cm="1">
        <f t="array" ref="I3191">GetLatitude(D3191)</f>
        <v>550723603</v>
      </c>
      <c r="J3191" s="1" cm="1">
        <f t="array" ref="J3191">GetLongitude(D3191)</f>
        <v>104852494</v>
      </c>
      <c r="K3191" s="1">
        <f t="shared" si="148"/>
        <v>55.0723603</v>
      </c>
      <c r="L3191" s="1">
        <f t="shared" si="149"/>
        <v>10.485249400000001</v>
      </c>
    </row>
    <row r="3192" spans="1:12" ht="16" x14ac:dyDescent="0.2">
      <c r="A3192" s="1">
        <v>3191</v>
      </c>
      <c r="B3192" s="1" t="s">
        <v>9274</v>
      </c>
      <c r="C3192" s="1" t="s">
        <v>9486</v>
      </c>
      <c r="D3192" s="1" t="str">
        <f t="shared" si="147"/>
        <v>Svendborg KommuneTroense Strandvej 2</v>
      </c>
      <c r="E3192" s="1" t="s">
        <v>9487</v>
      </c>
      <c r="F3192" s="1" t="s">
        <v>9488</v>
      </c>
      <c r="G3192" s="1">
        <v>1945</v>
      </c>
      <c r="H3192" s="1" t="s">
        <v>11</v>
      </c>
      <c r="I3192" s="6" cm="1">
        <f t="array" ref="I3192">GetLatitude(D3192)</f>
        <v>550333501</v>
      </c>
      <c r="J3192" s="1" cm="1">
        <f t="array" ref="J3192">GetLongitude(D3192)</f>
        <v>106468011</v>
      </c>
      <c r="K3192" s="1">
        <f t="shared" si="148"/>
        <v>55.0333501</v>
      </c>
      <c r="L3192" s="1">
        <f t="shared" si="149"/>
        <v>10.646801099999999</v>
      </c>
    </row>
    <row r="3193" spans="1:12" ht="16" x14ac:dyDescent="0.2">
      <c r="A3193" s="1">
        <v>3192</v>
      </c>
      <c r="B3193" s="1" t="s">
        <v>9274</v>
      </c>
      <c r="C3193" s="1" t="s">
        <v>9489</v>
      </c>
      <c r="D3193" s="1" t="str">
        <f t="shared" si="147"/>
        <v>Svendborg KommuneTroense Strandvej 42</v>
      </c>
      <c r="E3193" s="1" t="s">
        <v>9490</v>
      </c>
      <c r="F3193" s="1" t="s">
        <v>9491</v>
      </c>
      <c r="G3193" s="1">
        <v>1984</v>
      </c>
      <c r="H3193" s="1" t="s">
        <v>5549</v>
      </c>
      <c r="I3193" s="6" cm="1">
        <f t="array" ref="I3193">GetLatitude(D3193)</f>
        <v>550334734</v>
      </c>
      <c r="J3193" s="1" cm="1">
        <f t="array" ref="J3193">GetLongitude(D3193)</f>
        <v>106531723</v>
      </c>
      <c r="K3193" s="1">
        <f t="shared" si="148"/>
        <v>55.033473399999998</v>
      </c>
      <c r="L3193" s="1">
        <f t="shared" si="149"/>
        <v>10.6531723</v>
      </c>
    </row>
    <row r="3194" spans="1:12" ht="16" x14ac:dyDescent="0.2">
      <c r="A3194" s="1">
        <v>3193</v>
      </c>
      <c r="B3194" s="1" t="s">
        <v>9274</v>
      </c>
      <c r="C3194" s="1" t="s">
        <v>9492</v>
      </c>
      <c r="D3194" s="1" t="str">
        <f t="shared" si="147"/>
        <v>Svendborg KommuneTroense Strandvej 44</v>
      </c>
      <c r="E3194" s="1" t="s">
        <v>9493</v>
      </c>
      <c r="F3194" s="1" t="s">
        <v>9494</v>
      </c>
      <c r="G3194" s="1">
        <v>1945</v>
      </c>
      <c r="H3194" s="1" t="s">
        <v>11</v>
      </c>
      <c r="I3194" s="6" cm="1">
        <f t="array" ref="I3194">GetLatitude(D3194)</f>
        <v>550334154</v>
      </c>
      <c r="J3194" s="1" cm="1">
        <f t="array" ref="J3194">GetLongitude(D3194)</f>
        <v>106533364</v>
      </c>
      <c r="K3194" s="1">
        <f t="shared" si="148"/>
        <v>55.033415400000003</v>
      </c>
      <c r="L3194" s="1">
        <f t="shared" si="149"/>
        <v>10.653336400000001</v>
      </c>
    </row>
    <row r="3195" spans="1:12" ht="16" x14ac:dyDescent="0.2">
      <c r="A3195" s="1">
        <v>3194</v>
      </c>
      <c r="B3195" s="1" t="s">
        <v>9274</v>
      </c>
      <c r="C3195" s="1" t="s">
        <v>9495</v>
      </c>
      <c r="D3195" s="1" t="str">
        <f t="shared" si="147"/>
        <v>Svendborg KommuneTved Kirkevej 1 A</v>
      </c>
      <c r="E3195" s="1" t="s">
        <v>9496</v>
      </c>
      <c r="F3195" s="1" t="s">
        <v>9497</v>
      </c>
      <c r="G3195" s="1">
        <v>1945</v>
      </c>
      <c r="H3195" s="1" t="s">
        <v>15</v>
      </c>
      <c r="I3195" s="6" cm="1">
        <f t="array" ref="I3195">GetLatitude(D3195)</f>
        <v>550871669</v>
      </c>
      <c r="J3195" s="1" cm="1">
        <f t="array" ref="J3195">GetLongitude(D3195)</f>
        <v>106223590</v>
      </c>
      <c r="K3195" s="1">
        <f t="shared" si="148"/>
        <v>55.0871669</v>
      </c>
      <c r="L3195" s="1">
        <f t="shared" si="149"/>
        <v>10.622358999999999</v>
      </c>
    </row>
    <row r="3196" spans="1:12" ht="16" x14ac:dyDescent="0.2">
      <c r="A3196" s="1">
        <v>3195</v>
      </c>
      <c r="B3196" s="1" t="s">
        <v>9274</v>
      </c>
      <c r="C3196" s="1" t="s">
        <v>9498</v>
      </c>
      <c r="D3196" s="1" t="str">
        <f t="shared" si="147"/>
        <v>Svendborg KommuneVandværksvej 3-5</v>
      </c>
      <c r="E3196" s="1" t="s">
        <v>9499</v>
      </c>
      <c r="F3196" s="1" t="s">
        <v>9500</v>
      </c>
      <c r="G3196" s="1">
        <v>1918</v>
      </c>
      <c r="H3196" s="1" t="s">
        <v>11</v>
      </c>
      <c r="I3196" s="6" cm="1">
        <f t="array" ref="I3196">GetLatitude(D3196)</f>
        <v>550945231</v>
      </c>
      <c r="J3196" s="1" cm="1">
        <f t="array" ref="J3196">GetLongitude(D3196)</f>
        <v>106237046</v>
      </c>
      <c r="K3196" s="1">
        <f t="shared" si="148"/>
        <v>55.094523100000004</v>
      </c>
      <c r="L3196" s="1">
        <f t="shared" si="149"/>
        <v>10.6237046</v>
      </c>
    </row>
    <row r="3197" spans="1:12" ht="16" x14ac:dyDescent="0.2">
      <c r="A3197" s="1">
        <v>3196</v>
      </c>
      <c r="B3197" s="1" t="s">
        <v>9274</v>
      </c>
      <c r="C3197" s="1" t="s">
        <v>9501</v>
      </c>
      <c r="D3197" s="1" t="str">
        <f t="shared" si="147"/>
        <v>Svendborg KommuneVejstrupgårds Allé 1</v>
      </c>
      <c r="E3197" s="1" t="s">
        <v>9502</v>
      </c>
      <c r="F3197" s="1" t="s">
        <v>9503</v>
      </c>
      <c r="G3197" s="1">
        <v>1918</v>
      </c>
      <c r="H3197" s="1" t="s">
        <v>15</v>
      </c>
      <c r="I3197" s="6" cm="1">
        <f t="array" ref="I3197">GetLatitude(D3197)</f>
        <v>551039441</v>
      </c>
      <c r="J3197" s="1" cm="1">
        <f t="array" ref="J3197">GetLongitude(D3197)</f>
        <v>107060281</v>
      </c>
      <c r="K3197" s="1">
        <f t="shared" si="148"/>
        <v>55.1039441</v>
      </c>
      <c r="L3197" s="1">
        <f t="shared" si="149"/>
        <v>10.706028099999999</v>
      </c>
    </row>
    <row r="3198" spans="1:12" ht="16" x14ac:dyDescent="0.2">
      <c r="A3198" s="1">
        <v>3197</v>
      </c>
      <c r="B3198" s="1" t="s">
        <v>9274</v>
      </c>
      <c r="C3198" s="1" t="s">
        <v>9504</v>
      </c>
      <c r="D3198" s="1" t="str">
        <f t="shared" si="147"/>
        <v>Svendborg KommuneVejstrup Vandmølle 1</v>
      </c>
      <c r="E3198" s="1" t="s">
        <v>9505</v>
      </c>
      <c r="F3198" s="1" t="s">
        <v>9506</v>
      </c>
      <c r="G3198" s="1">
        <v>1959</v>
      </c>
      <c r="H3198" s="1" t="s">
        <v>145</v>
      </c>
      <c r="I3198" s="6" cm="1">
        <f t="array" ref="I3198">GetLatitude(D3198)</f>
        <v>551017522</v>
      </c>
      <c r="J3198" s="1" cm="1">
        <f t="array" ref="J3198">GetLongitude(D3198)</f>
        <v>107054268</v>
      </c>
      <c r="K3198" s="1">
        <f t="shared" si="148"/>
        <v>55.1017522</v>
      </c>
      <c r="L3198" s="1">
        <f t="shared" si="149"/>
        <v>10.7054268</v>
      </c>
    </row>
    <row r="3199" spans="1:12" ht="16" x14ac:dyDescent="0.2">
      <c r="A3199" s="1">
        <v>3198</v>
      </c>
      <c r="B3199" s="1" t="s">
        <v>9274</v>
      </c>
      <c r="C3199" s="1" t="s">
        <v>9507</v>
      </c>
      <c r="D3199" s="1" t="str">
        <f t="shared" si="147"/>
        <v>Svendborg KommuneVestergade 2 A-D og Gerritsgade 56</v>
      </c>
      <c r="E3199" s="1" t="s">
        <v>9508</v>
      </c>
      <c r="F3199" s="1" t="s">
        <v>9509</v>
      </c>
      <c r="G3199" s="1">
        <v>1945</v>
      </c>
      <c r="H3199" s="1" t="s">
        <v>4003</v>
      </c>
      <c r="I3199" s="6" cm="1">
        <f t="array" ref="I3199">GetLatitude(D3199)</f>
        <v>550587192</v>
      </c>
      <c r="J3199" s="1" cm="1">
        <f t="array" ref="J3199">GetLongitude(D3199)</f>
        <v>106064406</v>
      </c>
      <c r="K3199" s="1">
        <f t="shared" si="148"/>
        <v>55.058719199999999</v>
      </c>
      <c r="L3199" s="1">
        <f t="shared" si="149"/>
        <v>10.606440600000001</v>
      </c>
    </row>
    <row r="3200" spans="1:12" ht="16" x14ac:dyDescent="0.2">
      <c r="A3200" s="1">
        <v>3199</v>
      </c>
      <c r="B3200" s="1" t="s">
        <v>9274</v>
      </c>
      <c r="C3200" s="1" t="s">
        <v>9510</v>
      </c>
      <c r="D3200" s="1" t="str">
        <f t="shared" si="147"/>
        <v>Svendborg KommuneVestergade 45</v>
      </c>
      <c r="E3200" s="1" t="s">
        <v>9511</v>
      </c>
      <c r="F3200" s="1" t="s">
        <v>9512</v>
      </c>
      <c r="G3200" s="1">
        <v>1988</v>
      </c>
      <c r="H3200" s="1" t="s">
        <v>15</v>
      </c>
      <c r="I3200" s="6" cm="1">
        <f t="array" ref="I3200">GetLatitude(D3200)</f>
        <v>550603170</v>
      </c>
      <c r="J3200" s="1" cm="1">
        <f t="array" ref="J3200">GetLongitude(D3200)</f>
        <v>106016452</v>
      </c>
      <c r="K3200" s="1">
        <f t="shared" si="148"/>
        <v>55.060316999999998</v>
      </c>
      <c r="L3200" s="1">
        <f t="shared" si="149"/>
        <v>10.6016452</v>
      </c>
    </row>
    <row r="3201" spans="1:12" ht="16" x14ac:dyDescent="0.2">
      <c r="A3201" s="1">
        <v>3200</v>
      </c>
      <c r="B3201" s="1" t="s">
        <v>9274</v>
      </c>
      <c r="C3201" s="1" t="s">
        <v>9513</v>
      </c>
      <c r="D3201" s="1" t="str">
        <f t="shared" si="147"/>
        <v>Svendborg KommuneVornæsvej 39</v>
      </c>
      <c r="E3201" s="1" t="s">
        <v>9514</v>
      </c>
      <c r="F3201" s="1" t="s">
        <v>9515</v>
      </c>
      <c r="G3201" s="1">
        <v>1999</v>
      </c>
      <c r="H3201" s="1" t="s">
        <v>11</v>
      </c>
      <c r="I3201" s="6" cm="1">
        <f t="array" ref="I3201">GetLatitude(D3201)</f>
        <v>550083380</v>
      </c>
      <c r="J3201" s="1" cm="1">
        <f t="array" ref="J3201">GetLongitude(D3201)</f>
        <v>105626936</v>
      </c>
      <c r="K3201" s="1">
        <f t="shared" si="148"/>
        <v>55.008338000000002</v>
      </c>
      <c r="L3201" s="1">
        <f t="shared" si="149"/>
        <v>10.562693599999999</v>
      </c>
    </row>
    <row r="3202" spans="1:12" ht="16" x14ac:dyDescent="0.2">
      <c r="A3202" s="1">
        <v>3201</v>
      </c>
      <c r="B3202" s="1" t="s">
        <v>9516</v>
      </c>
      <c r="C3202" s="1" t="s">
        <v>9517</v>
      </c>
      <c r="D3202" s="1" t="str">
        <f t="shared" si="147"/>
        <v>Syddjurs KommuneAdelgade 13-15</v>
      </c>
      <c r="E3202" s="1" t="s">
        <v>9518</v>
      </c>
      <c r="F3202" s="1" t="s">
        <v>9519</v>
      </c>
      <c r="G3202" s="1">
        <v>1919</v>
      </c>
      <c r="H3202" s="1" t="s">
        <v>11</v>
      </c>
      <c r="I3202" s="6" cm="1">
        <f t="array" ref="I3202">GetLatitude(D3202)</f>
        <v>563163678</v>
      </c>
      <c r="J3202" s="1" cm="1">
        <f t="array" ref="J3202">GetLongitude(D3202)</f>
        <v>105265058</v>
      </c>
      <c r="K3202" s="1">
        <f t="shared" si="148"/>
        <v>56.316367800000002</v>
      </c>
      <c r="L3202" s="1">
        <f t="shared" si="149"/>
        <v>10.526505800000001</v>
      </c>
    </row>
    <row r="3203" spans="1:12" ht="16" x14ac:dyDescent="0.2">
      <c r="A3203" s="1">
        <v>3202</v>
      </c>
      <c r="B3203" s="1" t="s">
        <v>9516</v>
      </c>
      <c r="C3203" s="1" t="s">
        <v>9520</v>
      </c>
      <c r="D3203" s="1" t="str">
        <f t="shared" ref="D3203:D3266" si="150">B3203&amp;C3203</f>
        <v>Syddjurs KommuneAdelgade 24</v>
      </c>
      <c r="E3203" s="1" t="s">
        <v>9521</v>
      </c>
      <c r="F3203" s="1" t="s">
        <v>9522</v>
      </c>
      <c r="G3203" s="1">
        <v>1919</v>
      </c>
      <c r="H3203" s="1" t="s">
        <v>15</v>
      </c>
      <c r="I3203" s="6" cm="1">
        <f t="array" ref="I3203">GetLatitude(D3203)</f>
        <v>561991074</v>
      </c>
      <c r="J3203" s="1" cm="1">
        <f t="array" ref="J3203">GetLongitude(D3203)</f>
        <v>106786874</v>
      </c>
      <c r="K3203" s="1">
        <f t="shared" si="148"/>
        <v>56.199107400000003</v>
      </c>
      <c r="L3203" s="1">
        <f t="shared" si="149"/>
        <v>10.678687399999999</v>
      </c>
    </row>
    <row r="3204" spans="1:12" ht="16" x14ac:dyDescent="0.2">
      <c r="A3204" s="1">
        <v>3203</v>
      </c>
      <c r="B3204" s="1" t="s">
        <v>9516</v>
      </c>
      <c r="C3204" s="1" t="s">
        <v>9523</v>
      </c>
      <c r="D3204" s="1" t="str">
        <f t="shared" si="150"/>
        <v>Syddjurs KommuneAdelgade 25-29</v>
      </c>
      <c r="E3204" s="1" t="s">
        <v>9524</v>
      </c>
      <c r="F3204" s="1" t="s">
        <v>9525</v>
      </c>
      <c r="G3204" s="1">
        <v>1984</v>
      </c>
      <c r="H3204" s="1" t="s">
        <v>701</v>
      </c>
      <c r="I3204" s="6" cm="1">
        <f t="array" ref="I3204">GetLatitude(D3204)</f>
        <v>561997860</v>
      </c>
      <c r="J3204" s="1" cm="1">
        <f t="array" ref="J3204">GetLongitude(D3204)</f>
        <v>106787382</v>
      </c>
      <c r="K3204" s="1">
        <f t="shared" ref="K3204:K3267" si="151">I3204/10000000</f>
        <v>56.199786000000003</v>
      </c>
      <c r="L3204" s="1">
        <f t="shared" ref="L3204:L3267" si="152">J3204/10000000</f>
        <v>10.6787382</v>
      </c>
    </row>
    <row r="3205" spans="1:12" ht="16" x14ac:dyDescent="0.2">
      <c r="A3205" s="1">
        <v>3204</v>
      </c>
      <c r="B3205" s="1" t="s">
        <v>9516</v>
      </c>
      <c r="C3205" s="1" t="s">
        <v>9526</v>
      </c>
      <c r="D3205" s="1" t="str">
        <f t="shared" si="150"/>
        <v>Syddjurs KommuneAdelgade 28-32</v>
      </c>
      <c r="E3205" s="1" t="s">
        <v>9527</v>
      </c>
      <c r="F3205" s="1" t="s">
        <v>9528</v>
      </c>
      <c r="G3205" s="1">
        <v>1919</v>
      </c>
      <c r="H3205" s="1" t="s">
        <v>9529</v>
      </c>
      <c r="I3205" s="6" cm="1">
        <f t="array" ref="I3205">GetLatitude(D3205)</f>
        <v>563163678</v>
      </c>
      <c r="J3205" s="1" cm="1">
        <f t="array" ref="J3205">GetLongitude(D3205)</f>
        <v>105265058</v>
      </c>
      <c r="K3205" s="1">
        <f t="shared" si="151"/>
        <v>56.316367800000002</v>
      </c>
      <c r="L3205" s="1">
        <f t="shared" si="152"/>
        <v>10.526505800000001</v>
      </c>
    </row>
    <row r="3206" spans="1:12" ht="16" x14ac:dyDescent="0.2">
      <c r="A3206" s="1">
        <v>3205</v>
      </c>
      <c r="B3206" s="1" t="s">
        <v>9516</v>
      </c>
      <c r="C3206" s="1" t="s">
        <v>9530</v>
      </c>
      <c r="D3206" s="1" t="str">
        <f t="shared" si="150"/>
        <v>Syddjurs KommuneAdelgade 39-41</v>
      </c>
      <c r="E3206" s="1" t="s">
        <v>9531</v>
      </c>
      <c r="F3206" s="1" t="s">
        <v>621</v>
      </c>
      <c r="G3206" s="1">
        <v>1984</v>
      </c>
      <c r="H3206" s="1" t="s">
        <v>15</v>
      </c>
      <c r="I3206" s="6" cm="1">
        <f t="array" ref="I3206">GetLatitude(D3206)</f>
        <v>562002043</v>
      </c>
      <c r="J3206" s="1" cm="1">
        <f t="array" ref="J3206">GetLongitude(D3206)</f>
        <v>106796682</v>
      </c>
      <c r="K3206" s="1">
        <f t="shared" si="151"/>
        <v>56.200204300000003</v>
      </c>
      <c r="L3206" s="1">
        <f t="shared" si="152"/>
        <v>10.6796682</v>
      </c>
    </row>
    <row r="3207" spans="1:12" ht="16" x14ac:dyDescent="0.2">
      <c r="A3207" s="1">
        <v>3206</v>
      </c>
      <c r="B3207" s="1" t="s">
        <v>9516</v>
      </c>
      <c r="C3207" s="1" t="s">
        <v>9532</v>
      </c>
      <c r="D3207" s="1" t="str">
        <f t="shared" si="150"/>
        <v>Syddjurs KommuneBygaden 23</v>
      </c>
      <c r="E3207" s="1" t="s">
        <v>9533</v>
      </c>
      <c r="F3207" s="1" t="s">
        <v>9534</v>
      </c>
      <c r="G3207" s="1">
        <v>1971</v>
      </c>
      <c r="H3207" s="1" t="s">
        <v>701</v>
      </c>
      <c r="I3207" s="6" cm="1">
        <f t="array" ref="I3207">GetLatitude(D3207)</f>
        <v>563163678</v>
      </c>
      <c r="J3207" s="1" cm="1">
        <f t="array" ref="J3207">GetLongitude(D3207)</f>
        <v>105265058</v>
      </c>
      <c r="K3207" s="1">
        <f t="shared" si="151"/>
        <v>56.316367800000002</v>
      </c>
      <c r="L3207" s="1">
        <f t="shared" si="152"/>
        <v>10.526505800000001</v>
      </c>
    </row>
    <row r="3208" spans="1:12" ht="16" x14ac:dyDescent="0.2">
      <c r="A3208" s="1">
        <v>3207</v>
      </c>
      <c r="B3208" s="1" t="s">
        <v>9516</v>
      </c>
      <c r="C3208" s="1" t="s">
        <v>9535</v>
      </c>
      <c r="D3208" s="1" t="str">
        <f t="shared" si="150"/>
        <v>Syddjurs KommuneByleddet 2</v>
      </c>
      <c r="E3208" s="1" t="s">
        <v>9536</v>
      </c>
      <c r="F3208" s="1" t="s">
        <v>9537</v>
      </c>
      <c r="G3208" s="1">
        <v>1994</v>
      </c>
      <c r="H3208" s="1" t="s">
        <v>11</v>
      </c>
      <c r="I3208" s="6" cm="1">
        <f t="array" ref="I3208">GetLatitude(D3208)</f>
        <v>562404707</v>
      </c>
      <c r="J3208" s="1" cm="1">
        <f t="array" ref="J3208">GetLongitude(D3208)</f>
        <v>106167020</v>
      </c>
      <c r="K3208" s="1">
        <f t="shared" si="151"/>
        <v>56.240470700000003</v>
      </c>
      <c r="L3208" s="1">
        <f t="shared" si="152"/>
        <v>10.616702</v>
      </c>
    </row>
    <row r="3209" spans="1:12" ht="16" x14ac:dyDescent="0.2">
      <c r="A3209" s="1">
        <v>3208</v>
      </c>
      <c r="B3209" s="1" t="s">
        <v>9516</v>
      </c>
      <c r="C3209" s="1" t="s">
        <v>9538</v>
      </c>
      <c r="D3209" s="1" t="str">
        <f t="shared" si="150"/>
        <v>Syddjurs KommuneGrenåvej 14</v>
      </c>
      <c r="E3209" s="1" t="s">
        <v>9539</v>
      </c>
      <c r="F3209" s="1" t="s">
        <v>9540</v>
      </c>
      <c r="G3209" s="1">
        <v>1997</v>
      </c>
      <c r="H3209" s="1" t="s">
        <v>15</v>
      </c>
      <c r="I3209" s="6" cm="1">
        <f t="array" ref="I3209">GetLatitude(D3209)</f>
        <v>562988630</v>
      </c>
      <c r="J3209" s="1" cm="1">
        <f t="array" ref="J3209">GetLongitude(D3209)</f>
        <v>104987549</v>
      </c>
      <c r="K3209" s="1">
        <f t="shared" si="151"/>
        <v>56.298862999999997</v>
      </c>
      <c r="L3209" s="1">
        <f t="shared" si="152"/>
        <v>10.4987549</v>
      </c>
    </row>
    <row r="3210" spans="1:12" ht="16" x14ac:dyDescent="0.2">
      <c r="A3210" s="1">
        <v>3209</v>
      </c>
      <c r="B3210" s="1" t="s">
        <v>9516</v>
      </c>
      <c r="C3210" s="1" t="s">
        <v>9541</v>
      </c>
      <c r="D3210" s="1" t="str">
        <f t="shared" si="150"/>
        <v>Syddjurs KommuneJuulsbakke 1, tidl Overgade 2</v>
      </c>
      <c r="E3210" s="1" t="s">
        <v>9542</v>
      </c>
      <c r="F3210" s="1" t="s">
        <v>1868</v>
      </c>
      <c r="G3210" s="1">
        <v>1919</v>
      </c>
      <c r="H3210" s="1" t="s">
        <v>15</v>
      </c>
      <c r="I3210" s="6" cm="1">
        <f t="array" ref="I3210">GetLatitude(D3210)</f>
        <v>561976979</v>
      </c>
      <c r="J3210" s="1" cm="1">
        <f t="array" ref="J3210">GetLongitude(D3210)</f>
        <v>106765427</v>
      </c>
      <c r="K3210" s="1">
        <f t="shared" si="151"/>
        <v>56.197697900000001</v>
      </c>
      <c r="L3210" s="1">
        <f t="shared" si="152"/>
        <v>10.676542700000001</v>
      </c>
    </row>
    <row r="3211" spans="1:12" ht="16" x14ac:dyDescent="0.2">
      <c r="A3211" s="1">
        <v>3210</v>
      </c>
      <c r="B3211" s="1" t="s">
        <v>9516</v>
      </c>
      <c r="C3211" s="1" t="s">
        <v>9543</v>
      </c>
      <c r="D3211" s="1" t="str">
        <f t="shared" si="150"/>
        <v>Syddjurs KommuneJuulsbakke 3</v>
      </c>
      <c r="E3211" s="1" t="s">
        <v>9544</v>
      </c>
      <c r="F3211" s="1" t="s">
        <v>9545</v>
      </c>
      <c r="G3211" s="1">
        <v>1919</v>
      </c>
      <c r="H3211" s="1" t="s">
        <v>15</v>
      </c>
      <c r="I3211" s="6" cm="1">
        <f t="array" ref="I3211">GetLatitude(D3211)</f>
        <v>561975220</v>
      </c>
      <c r="J3211" s="1" cm="1">
        <f t="array" ref="J3211">GetLongitude(D3211)</f>
        <v>106765358</v>
      </c>
      <c r="K3211" s="1">
        <f t="shared" si="151"/>
        <v>56.197521999999999</v>
      </c>
      <c r="L3211" s="1">
        <f t="shared" si="152"/>
        <v>10.6765358</v>
      </c>
    </row>
    <row r="3212" spans="1:12" ht="16" x14ac:dyDescent="0.2">
      <c r="A3212" s="1">
        <v>3211</v>
      </c>
      <c r="B3212" s="1" t="s">
        <v>9516</v>
      </c>
      <c r="C3212" s="1" t="s">
        <v>9546</v>
      </c>
      <c r="D3212" s="1" t="str">
        <f t="shared" si="150"/>
        <v>Syddjurs KommuneJuulsbakke 6-6 A</v>
      </c>
      <c r="E3212" s="1" t="s">
        <v>9547</v>
      </c>
      <c r="F3212" s="1" t="s">
        <v>9548</v>
      </c>
      <c r="G3212" s="1">
        <v>1979</v>
      </c>
      <c r="H3212" s="1" t="s">
        <v>11</v>
      </c>
      <c r="I3212" s="6" cm="1">
        <f t="array" ref="I3212">GetLatitude(D3212)</f>
        <v>561978210</v>
      </c>
      <c r="J3212" s="1" cm="1">
        <f t="array" ref="J3212">GetLongitude(D3212)</f>
        <v>106763560</v>
      </c>
      <c r="K3212" s="1">
        <f t="shared" si="151"/>
        <v>56.197820999999998</v>
      </c>
      <c r="L3212" s="1">
        <f t="shared" si="152"/>
        <v>10.676356</v>
      </c>
    </row>
    <row r="3213" spans="1:12" ht="16" x14ac:dyDescent="0.2">
      <c r="A3213" s="1">
        <v>3212</v>
      </c>
      <c r="B3213" s="1" t="s">
        <v>9516</v>
      </c>
      <c r="C3213" s="1" t="s">
        <v>9549</v>
      </c>
      <c r="D3213" s="1" t="str">
        <f t="shared" si="150"/>
        <v>Syddjurs KommuneKirkevej 30 B</v>
      </c>
      <c r="E3213" s="1" t="s">
        <v>9550</v>
      </c>
      <c r="F3213" s="1" t="s">
        <v>9551</v>
      </c>
      <c r="G3213" s="1">
        <v>1977</v>
      </c>
      <c r="H3213" s="1" t="s">
        <v>11</v>
      </c>
      <c r="I3213" s="6" cm="1">
        <f t="array" ref="I3213">GetLatitude(D3213)</f>
        <v>563163678</v>
      </c>
      <c r="J3213" s="1" cm="1">
        <f t="array" ref="J3213">GetLongitude(D3213)</f>
        <v>105265058</v>
      </c>
      <c r="K3213" s="1">
        <f t="shared" si="151"/>
        <v>56.316367800000002</v>
      </c>
      <c r="L3213" s="1">
        <f t="shared" si="152"/>
        <v>10.526505800000001</v>
      </c>
    </row>
    <row r="3214" spans="1:12" ht="16" x14ac:dyDescent="0.2">
      <c r="A3214" s="1">
        <v>3213</v>
      </c>
      <c r="B3214" s="1" t="s">
        <v>9516</v>
      </c>
      <c r="C3214" s="1" t="s">
        <v>9552</v>
      </c>
      <c r="D3214" s="1" t="str">
        <f t="shared" si="150"/>
        <v>Syddjurs KommuneLufthavnsvej 10</v>
      </c>
      <c r="E3214" s="1" t="s">
        <v>9553</v>
      </c>
      <c r="F3214" s="1" t="s">
        <v>9554</v>
      </c>
      <c r="G3214" s="1">
        <v>1918</v>
      </c>
      <c r="H3214" s="1" t="s">
        <v>15</v>
      </c>
      <c r="I3214" s="6" cm="1">
        <f t="array" ref="I3214">GetLatitude(D3214)</f>
        <v>562867545</v>
      </c>
      <c r="J3214" s="1" cm="1">
        <f t="array" ref="J3214">GetLongitude(D3214)</f>
        <v>105875261</v>
      </c>
      <c r="K3214" s="1">
        <f t="shared" si="151"/>
        <v>56.286754500000001</v>
      </c>
      <c r="L3214" s="1">
        <f t="shared" si="152"/>
        <v>10.5875261</v>
      </c>
    </row>
    <row r="3215" spans="1:12" ht="16" x14ac:dyDescent="0.2">
      <c r="A3215" s="1">
        <v>3214</v>
      </c>
      <c r="B3215" s="1" t="s">
        <v>9516</v>
      </c>
      <c r="C3215" s="1" t="s">
        <v>9555</v>
      </c>
      <c r="D3215" s="1" t="str">
        <f t="shared" si="150"/>
        <v>Syddjurs KommuneLyngsbækgårdvej 8</v>
      </c>
      <c r="E3215" s="1" t="s">
        <v>9556</v>
      </c>
      <c r="F3215" s="1" t="s">
        <v>9557</v>
      </c>
      <c r="G3215" s="1">
        <v>1918</v>
      </c>
      <c r="H3215" s="1" t="s">
        <v>9558</v>
      </c>
      <c r="I3215" s="6" cm="1">
        <f t="array" ref="I3215">GetLatitude(D3215)</f>
        <v>563163678</v>
      </c>
      <c r="J3215" s="1" cm="1">
        <f t="array" ref="J3215">GetLongitude(D3215)</f>
        <v>105265058</v>
      </c>
      <c r="K3215" s="1">
        <f t="shared" si="151"/>
        <v>56.316367800000002</v>
      </c>
      <c r="L3215" s="1">
        <f t="shared" si="152"/>
        <v>10.526505800000001</v>
      </c>
    </row>
    <row r="3216" spans="1:12" ht="16" x14ac:dyDescent="0.2">
      <c r="A3216" s="1">
        <v>3215</v>
      </c>
      <c r="B3216" s="1" t="s">
        <v>9516</v>
      </c>
      <c r="C3216" s="1" t="s">
        <v>9559</v>
      </c>
      <c r="D3216" s="1" t="str">
        <f t="shared" si="150"/>
        <v>Syddjurs KommuneLøgtenvej 1</v>
      </c>
      <c r="E3216" s="1" t="s">
        <v>9560</v>
      </c>
      <c r="F3216" s="1" t="s">
        <v>9561</v>
      </c>
      <c r="G3216" s="1">
        <v>1987</v>
      </c>
      <c r="H3216" s="1" t="s">
        <v>15</v>
      </c>
      <c r="I3216" s="6" cm="1">
        <f t="array" ref="I3216">GetLatitude(D3216)</f>
        <v>563139396</v>
      </c>
      <c r="J3216" s="1" cm="1">
        <f t="array" ref="J3216">GetLongitude(D3216)</f>
        <v>103207193</v>
      </c>
      <c r="K3216" s="1">
        <f t="shared" si="151"/>
        <v>56.313939599999998</v>
      </c>
      <c r="L3216" s="1">
        <f t="shared" si="152"/>
        <v>10.3207193</v>
      </c>
    </row>
    <row r="3217" spans="1:12" ht="16" x14ac:dyDescent="0.2">
      <c r="A3217" s="1">
        <v>3216</v>
      </c>
      <c r="B3217" s="1" t="s">
        <v>9516</v>
      </c>
      <c r="C3217" s="1" t="s">
        <v>9562</v>
      </c>
      <c r="D3217" s="1" t="str">
        <f t="shared" si="150"/>
        <v>Syddjurs KommuneMøllerupvej 24</v>
      </c>
      <c r="E3217" s="1" t="s">
        <v>9563</v>
      </c>
      <c r="F3217" s="1" t="s">
        <v>9564</v>
      </c>
      <c r="G3217" s="1">
        <v>1918</v>
      </c>
      <c r="H3217" s="1" t="s">
        <v>15</v>
      </c>
      <c r="I3217" s="6" cm="1">
        <f t="array" ref="I3217">GetLatitude(D3217)</f>
        <v>562842900</v>
      </c>
      <c r="J3217" s="1" cm="1">
        <f t="array" ref="J3217">GetLongitude(D3217)</f>
        <v>105547270</v>
      </c>
      <c r="K3217" s="1">
        <f t="shared" si="151"/>
        <v>56.284289999999999</v>
      </c>
      <c r="L3217" s="1">
        <f t="shared" si="152"/>
        <v>10.554727</v>
      </c>
    </row>
    <row r="3218" spans="1:12" ht="16" x14ac:dyDescent="0.2">
      <c r="A3218" s="1">
        <v>3217</v>
      </c>
      <c r="B3218" s="1" t="s">
        <v>9516</v>
      </c>
      <c r="C3218" s="1" t="s">
        <v>9565</v>
      </c>
      <c r="D3218" s="1" t="str">
        <f t="shared" si="150"/>
        <v>Syddjurs KommuneNygade 3 (Drejergyde)</v>
      </c>
      <c r="E3218" s="1" t="s">
        <v>9566</v>
      </c>
      <c r="F3218" s="1" t="s">
        <v>9567</v>
      </c>
      <c r="G3218" s="1">
        <v>1984</v>
      </c>
      <c r="H3218" s="1" t="s">
        <v>15</v>
      </c>
      <c r="I3218" s="6" cm="1">
        <f t="array" ref="I3218">GetLatitude(D3218)</f>
        <v>563163678</v>
      </c>
      <c r="J3218" s="1" cm="1">
        <f t="array" ref="J3218">GetLongitude(D3218)</f>
        <v>105265058</v>
      </c>
      <c r="K3218" s="1">
        <f t="shared" si="151"/>
        <v>56.316367800000002</v>
      </c>
      <c r="L3218" s="1">
        <f t="shared" si="152"/>
        <v>10.526505800000001</v>
      </c>
    </row>
    <row r="3219" spans="1:12" ht="16" x14ac:dyDescent="0.2">
      <c r="A3219" s="1">
        <v>3218</v>
      </c>
      <c r="B3219" s="1" t="s">
        <v>9516</v>
      </c>
      <c r="C3219" s="1" t="s">
        <v>9568</v>
      </c>
      <c r="D3219" s="1" t="str">
        <f t="shared" si="150"/>
        <v>Syddjurs KommuneNørrebakke 10</v>
      </c>
      <c r="E3219" s="1" t="s">
        <v>9569</v>
      </c>
      <c r="F3219" s="1" t="s">
        <v>9570</v>
      </c>
      <c r="G3219" s="1">
        <v>1944</v>
      </c>
      <c r="H3219" s="1" t="s">
        <v>15</v>
      </c>
      <c r="I3219" s="6" cm="1">
        <f t="array" ref="I3219">GetLatitude(D3219)</f>
        <v>562013103</v>
      </c>
      <c r="J3219" s="1" cm="1">
        <f t="array" ref="J3219">GetLongitude(D3219)</f>
        <v>106806756</v>
      </c>
      <c r="K3219" s="1">
        <f t="shared" si="151"/>
        <v>56.201310300000003</v>
      </c>
      <c r="L3219" s="1">
        <f t="shared" si="152"/>
        <v>10.680675600000001</v>
      </c>
    </row>
    <row r="3220" spans="1:12" ht="16" x14ac:dyDescent="0.2">
      <c r="A3220" s="1">
        <v>3219</v>
      </c>
      <c r="B3220" s="1" t="s">
        <v>9516</v>
      </c>
      <c r="C3220" s="1" t="s">
        <v>9571</v>
      </c>
      <c r="D3220" s="1" t="str">
        <f t="shared" si="150"/>
        <v>Syddjurs KommuneNørrebakke 9</v>
      </c>
      <c r="E3220" s="1" t="s">
        <v>9572</v>
      </c>
      <c r="F3220" s="1" t="s">
        <v>9573</v>
      </c>
      <c r="G3220" s="1">
        <v>1944</v>
      </c>
      <c r="H3220" s="1" t="s">
        <v>15</v>
      </c>
      <c r="I3220" s="6" cm="1">
        <f t="array" ref="I3220">GetLatitude(D3220)</f>
        <v>562011191</v>
      </c>
      <c r="J3220" s="1" cm="1">
        <f t="array" ref="J3220">GetLongitude(D3220)</f>
        <v>106803381</v>
      </c>
      <c r="K3220" s="1">
        <f t="shared" si="151"/>
        <v>56.2011191</v>
      </c>
      <c r="L3220" s="1">
        <f t="shared" si="152"/>
        <v>10.6803381</v>
      </c>
    </row>
    <row r="3221" spans="1:12" ht="16" x14ac:dyDescent="0.2">
      <c r="A3221" s="1">
        <v>3220</v>
      </c>
      <c r="B3221" s="1" t="s">
        <v>9516</v>
      </c>
      <c r="C3221" s="1" t="s">
        <v>9574</v>
      </c>
      <c r="D3221" s="1" t="str">
        <f t="shared" si="150"/>
        <v>Syddjurs Kommune Overgade 23</v>
      </c>
      <c r="E3221" s="1" t="s">
        <v>9575</v>
      </c>
      <c r="F3221" s="1" t="s">
        <v>9576</v>
      </c>
      <c r="G3221" s="1">
        <v>1944</v>
      </c>
      <c r="H3221" s="1" t="s">
        <v>15</v>
      </c>
      <c r="I3221" s="6" cm="1">
        <f t="array" ref="I3221">GetLatitude(D3221)</f>
        <v>561966702</v>
      </c>
      <c r="J3221" s="1" cm="1">
        <f t="array" ref="J3221">GetLongitude(D3221)</f>
        <v>106778260</v>
      </c>
      <c r="K3221" s="1">
        <f t="shared" si="151"/>
        <v>56.1966702</v>
      </c>
      <c r="L3221" s="1">
        <f t="shared" si="152"/>
        <v>10.677826</v>
      </c>
    </row>
    <row r="3222" spans="1:12" ht="16" x14ac:dyDescent="0.2">
      <c r="A3222" s="1">
        <v>3221</v>
      </c>
      <c r="B3222" s="1" t="s">
        <v>9516</v>
      </c>
      <c r="C3222" s="1" t="s">
        <v>9577</v>
      </c>
      <c r="D3222" s="1" t="str">
        <f t="shared" si="150"/>
        <v>Syddjurs Kommune Overgade 29</v>
      </c>
      <c r="E3222" s="1" t="s">
        <v>9578</v>
      </c>
      <c r="F3222" s="1" t="s">
        <v>1868</v>
      </c>
      <c r="G3222" s="1">
        <v>1919</v>
      </c>
      <c r="H3222" s="1" t="s">
        <v>15</v>
      </c>
      <c r="I3222" s="6" cm="1">
        <f t="array" ref="I3222">GetLatitude(D3222)</f>
        <v>561964369</v>
      </c>
      <c r="J3222" s="1" cm="1">
        <f t="array" ref="J3222">GetLongitude(D3222)</f>
        <v>106778443</v>
      </c>
      <c r="K3222" s="1">
        <f t="shared" si="151"/>
        <v>56.196436900000002</v>
      </c>
      <c r="L3222" s="1">
        <f t="shared" si="152"/>
        <v>10.6778443</v>
      </c>
    </row>
    <row r="3223" spans="1:12" ht="16" x14ac:dyDescent="0.2">
      <c r="A3223" s="1">
        <v>3222</v>
      </c>
      <c r="B3223" s="1" t="s">
        <v>9516</v>
      </c>
      <c r="C3223" s="1" t="s">
        <v>9579</v>
      </c>
      <c r="D3223" s="1" t="str">
        <f t="shared" si="150"/>
        <v>Syddjurs KommuneOvergade 5</v>
      </c>
      <c r="E3223" s="1" t="s">
        <v>9580</v>
      </c>
      <c r="F3223" s="1" t="s">
        <v>9581</v>
      </c>
      <c r="G3223" s="1">
        <v>1919</v>
      </c>
      <c r="H3223" s="1" t="s">
        <v>15</v>
      </c>
      <c r="I3223" s="6" cm="1">
        <f t="array" ref="I3223">GetLatitude(D3223)</f>
        <v>561977115</v>
      </c>
      <c r="J3223" s="1" cm="1">
        <f t="array" ref="J3223">GetLongitude(D3223)</f>
        <v>106770160</v>
      </c>
      <c r="K3223" s="1">
        <f t="shared" si="151"/>
        <v>56.197711499999997</v>
      </c>
      <c r="L3223" s="1">
        <f t="shared" si="152"/>
        <v>10.677016</v>
      </c>
    </row>
    <row r="3224" spans="1:12" ht="16" x14ac:dyDescent="0.2">
      <c r="A3224" s="1">
        <v>3223</v>
      </c>
      <c r="B3224" s="1" t="s">
        <v>9516</v>
      </c>
      <c r="C3224" s="1" t="s">
        <v>9582</v>
      </c>
      <c r="D3224" s="1" t="str">
        <f t="shared" si="150"/>
        <v>Syddjurs Kommune Overgade 7-9</v>
      </c>
      <c r="E3224" s="1" t="s">
        <v>9583</v>
      </c>
      <c r="F3224" s="1" t="s">
        <v>9584</v>
      </c>
      <c r="G3224" s="1">
        <v>1918</v>
      </c>
      <c r="H3224" s="1" t="s">
        <v>11</v>
      </c>
      <c r="I3224" s="6" cm="1">
        <f t="array" ref="I3224">GetLatitude(D3224)</f>
        <v>561976217</v>
      </c>
      <c r="J3224" s="1" cm="1">
        <f t="array" ref="J3224">GetLongitude(D3224)</f>
        <v>106770117</v>
      </c>
      <c r="K3224" s="1">
        <f t="shared" si="151"/>
        <v>56.197621699999999</v>
      </c>
      <c r="L3224" s="1">
        <f t="shared" si="152"/>
        <v>10.6770117</v>
      </c>
    </row>
    <row r="3225" spans="1:12" ht="16" x14ac:dyDescent="0.2">
      <c r="A3225" s="1">
        <v>3224</v>
      </c>
      <c r="B3225" s="1" t="s">
        <v>9516</v>
      </c>
      <c r="C3225" s="1" t="s">
        <v>9585</v>
      </c>
      <c r="D3225" s="1" t="str">
        <f t="shared" si="150"/>
        <v>Syddjurs KommuneRosenholmvej 119-123</v>
      </c>
      <c r="E3225" s="1" t="s">
        <v>9586</v>
      </c>
      <c r="F3225" s="1" t="s">
        <v>9587</v>
      </c>
      <c r="G3225" s="1">
        <v>1918</v>
      </c>
      <c r="H3225" s="1" t="s">
        <v>7770</v>
      </c>
      <c r="I3225" s="6" cm="1">
        <f t="array" ref="I3225">GetLatitude(D3225)</f>
        <v>563331800</v>
      </c>
      <c r="J3225" s="1" cm="1">
        <f t="array" ref="J3225">GetLongitude(D3225)</f>
        <v>103311020</v>
      </c>
      <c r="K3225" s="1">
        <f t="shared" si="151"/>
        <v>56.333179999999999</v>
      </c>
      <c r="L3225" s="1">
        <f t="shared" si="152"/>
        <v>10.331102</v>
      </c>
    </row>
    <row r="3226" spans="1:12" ht="16" x14ac:dyDescent="0.2">
      <c r="A3226" s="1">
        <v>3225</v>
      </c>
      <c r="B3226" s="1" t="s">
        <v>9516</v>
      </c>
      <c r="C3226" s="1" t="s">
        <v>9588</v>
      </c>
      <c r="D3226" s="1" t="str">
        <f t="shared" si="150"/>
        <v>Syddjurs KommuneRugårdsvej 14</v>
      </c>
      <c r="E3226" s="1" t="s">
        <v>9589</v>
      </c>
      <c r="F3226" s="1" t="s">
        <v>9590</v>
      </c>
      <c r="G3226" s="1">
        <v>1918</v>
      </c>
      <c r="H3226" s="1" t="s">
        <v>15</v>
      </c>
      <c r="I3226" s="6" cm="1">
        <f t="array" ref="I3226">GetLatitude(D3226)</f>
        <v>562847700</v>
      </c>
      <c r="J3226" s="1" cm="1">
        <f t="array" ref="J3226">GetLongitude(D3226)</f>
        <v>108059960</v>
      </c>
      <c r="K3226" s="1">
        <f t="shared" si="151"/>
        <v>56.284770000000002</v>
      </c>
      <c r="L3226" s="1">
        <f t="shared" si="152"/>
        <v>10.805996</v>
      </c>
    </row>
    <row r="3227" spans="1:12" ht="16" x14ac:dyDescent="0.2">
      <c r="A3227" s="1">
        <v>3226</v>
      </c>
      <c r="B3227" s="1" t="s">
        <v>9516</v>
      </c>
      <c r="C3227" s="1" t="s">
        <v>9591</v>
      </c>
      <c r="D3227" s="1" t="str">
        <f t="shared" si="150"/>
        <v>Syddjurs KommuneRugårdsvej 15 og Birksigvej (på marken)</v>
      </c>
      <c r="E3227" s="1" t="s">
        <v>9592</v>
      </c>
      <c r="F3227" s="1" t="s">
        <v>9593</v>
      </c>
      <c r="G3227" s="1">
        <v>1997</v>
      </c>
      <c r="H3227" s="1" t="s">
        <v>15</v>
      </c>
      <c r="I3227" s="6" cm="1">
        <f t="array" ref="I3227">GetLatitude(D3227)</f>
        <v>563163678</v>
      </c>
      <c r="J3227" s="1" cm="1">
        <f t="array" ref="J3227">GetLongitude(D3227)</f>
        <v>105265058</v>
      </c>
      <c r="K3227" s="1">
        <f t="shared" si="151"/>
        <v>56.316367800000002</v>
      </c>
      <c r="L3227" s="1">
        <f t="shared" si="152"/>
        <v>10.526505800000001</v>
      </c>
    </row>
    <row r="3228" spans="1:12" ht="16" x14ac:dyDescent="0.2">
      <c r="A3228" s="1">
        <v>3227</v>
      </c>
      <c r="B3228" s="1" t="s">
        <v>9516</v>
      </c>
      <c r="C3228" s="1" t="s">
        <v>9594</v>
      </c>
      <c r="D3228" s="1" t="str">
        <f t="shared" si="150"/>
        <v>Syddjurs KommuneSandmarkvej 30 og 30 A-B</v>
      </c>
      <c r="E3228" s="1" t="s">
        <v>9595</v>
      </c>
      <c r="F3228" s="1" t="s">
        <v>9596</v>
      </c>
      <c r="G3228" s="1">
        <v>1918</v>
      </c>
      <c r="H3228" s="1" t="s">
        <v>9597</v>
      </c>
      <c r="I3228" s="6" cm="1">
        <f t="array" ref="I3228">GetLatitude(D3228)</f>
        <v>563701530</v>
      </c>
      <c r="J3228" s="1" cm="1">
        <f t="array" ref="J3228">GetLongitude(D3228)</f>
        <v>104082053</v>
      </c>
      <c r="K3228" s="1">
        <f t="shared" si="151"/>
        <v>56.370153000000002</v>
      </c>
      <c r="L3228" s="1">
        <f t="shared" si="152"/>
        <v>10.408205300000001</v>
      </c>
    </row>
    <row r="3229" spans="1:12" ht="16" x14ac:dyDescent="0.2">
      <c r="A3229" s="1">
        <v>3228</v>
      </c>
      <c r="B3229" s="1" t="s">
        <v>9516</v>
      </c>
      <c r="C3229" s="1" t="s">
        <v>9598</v>
      </c>
      <c r="D3229" s="1" t="str">
        <f t="shared" si="150"/>
        <v>Syddjurs KommuneSkovgårde Bygade 2 A</v>
      </c>
      <c r="E3229" s="1" t="s">
        <v>9599</v>
      </c>
      <c r="F3229" s="1" t="s">
        <v>9600</v>
      </c>
      <c r="G3229" s="1">
        <v>1964</v>
      </c>
      <c r="H3229" s="1" t="s">
        <v>15</v>
      </c>
      <c r="I3229" s="6" cm="1">
        <f t="array" ref="I3229">GetLatitude(D3229)</f>
        <v>562516030</v>
      </c>
      <c r="J3229" s="1" cm="1">
        <f t="array" ref="J3229">GetLongitude(D3229)</f>
        <v>107984940</v>
      </c>
      <c r="K3229" s="1">
        <f t="shared" si="151"/>
        <v>56.251603000000003</v>
      </c>
      <c r="L3229" s="1">
        <f t="shared" si="152"/>
        <v>10.798494</v>
      </c>
    </row>
    <row r="3230" spans="1:12" ht="16" x14ac:dyDescent="0.2">
      <c r="A3230" s="1">
        <v>3229</v>
      </c>
      <c r="B3230" s="1" t="s">
        <v>9516</v>
      </c>
      <c r="C3230" s="1" t="s">
        <v>9601</v>
      </c>
      <c r="D3230" s="1" t="str">
        <f t="shared" si="150"/>
        <v>Syddjurs KommuneStubbevej 2 C (tidl 2 A)</v>
      </c>
      <c r="E3230" s="1" t="s">
        <v>9602</v>
      </c>
      <c r="F3230" s="1" t="s">
        <v>9603</v>
      </c>
      <c r="G3230" s="1">
        <v>1990</v>
      </c>
      <c r="H3230" s="1" t="s">
        <v>15</v>
      </c>
      <c r="I3230" s="6" cm="1">
        <f t="array" ref="I3230">GetLatitude(D3230)</f>
        <v>562606178</v>
      </c>
      <c r="J3230" s="1" cm="1">
        <f t="array" ref="J3230">GetLongitude(D3230)</f>
        <v>106347451</v>
      </c>
      <c r="K3230" s="1">
        <f t="shared" si="151"/>
        <v>56.260617799999999</v>
      </c>
      <c r="L3230" s="1">
        <f t="shared" si="152"/>
        <v>10.6347451</v>
      </c>
    </row>
    <row r="3231" spans="1:12" ht="16" x14ac:dyDescent="0.2">
      <c r="A3231" s="1">
        <v>3230</v>
      </c>
      <c r="B3231" s="1" t="s">
        <v>9516</v>
      </c>
      <c r="C3231" s="1" t="s">
        <v>9604</v>
      </c>
      <c r="D3231" s="1" t="str">
        <f t="shared" si="150"/>
        <v>Syddjurs KommuneSvenstrupvej 4</v>
      </c>
      <c r="E3231" s="1" t="s">
        <v>9605</v>
      </c>
      <c r="F3231" s="1" t="s">
        <v>9606</v>
      </c>
      <c r="G3231" s="1">
        <v>1954</v>
      </c>
      <c r="H3231" s="1" t="s">
        <v>9607</v>
      </c>
      <c r="I3231" s="6" cm="1">
        <f t="array" ref="I3231">GetLatitude(D3231)</f>
        <v>564080060</v>
      </c>
      <c r="J3231" s="1" cm="1">
        <f t="array" ref="J3231">GetLongitude(D3231)</f>
        <v>105617667</v>
      </c>
      <c r="K3231" s="1">
        <f t="shared" si="151"/>
        <v>56.408006</v>
      </c>
      <c r="L3231" s="1">
        <f t="shared" si="152"/>
        <v>10.5617667</v>
      </c>
    </row>
    <row r="3232" spans="1:12" ht="16" x14ac:dyDescent="0.2">
      <c r="A3232" s="1">
        <v>3231</v>
      </c>
      <c r="B3232" s="1" t="s">
        <v>9516</v>
      </c>
      <c r="C3232" s="1" t="s">
        <v>9608</v>
      </c>
      <c r="D3232" s="1" t="str">
        <f t="shared" si="150"/>
        <v>Syddjurs KommuneSønder Molsvej 37</v>
      </c>
      <c r="E3232" s="1" t="s">
        <v>9609</v>
      </c>
      <c r="F3232" s="1" t="s">
        <v>9610</v>
      </c>
      <c r="G3232" s="1">
        <v>1954</v>
      </c>
      <c r="H3232" s="1" t="s">
        <v>11</v>
      </c>
      <c r="I3232" s="6" cm="1">
        <f t="array" ref="I3232">GetLatitude(D3232)</f>
        <v>561901954</v>
      </c>
      <c r="J3232" s="1" cm="1">
        <f t="array" ref="J3232">GetLongitude(D3232)</f>
        <v>105189043</v>
      </c>
      <c r="K3232" s="1">
        <f t="shared" si="151"/>
        <v>56.1901954</v>
      </c>
      <c r="L3232" s="1">
        <f t="shared" si="152"/>
        <v>10.518904300000001</v>
      </c>
    </row>
    <row r="3233" spans="1:12" ht="16" x14ac:dyDescent="0.2">
      <c r="A3233" s="1">
        <v>3232</v>
      </c>
      <c r="B3233" s="1" t="s">
        <v>9516</v>
      </c>
      <c r="C3233" s="1" t="s">
        <v>9611</v>
      </c>
      <c r="D3233" s="1" t="str">
        <f t="shared" si="150"/>
        <v>Syddjurs KommuneThorsagervej 3 A-B og 5</v>
      </c>
      <c r="E3233" s="1" t="s">
        <v>9612</v>
      </c>
      <c r="F3233" s="1" t="s">
        <v>9613</v>
      </c>
      <c r="G3233" s="1">
        <v>1918</v>
      </c>
      <c r="H3233" s="1" t="s">
        <v>11</v>
      </c>
      <c r="I3233" s="6" cm="1">
        <f t="array" ref="I3233">GetLatitude(D3233)</f>
        <v>563163678</v>
      </c>
      <c r="J3233" s="1" cm="1">
        <f t="array" ref="J3233">GetLongitude(D3233)</f>
        <v>105265058</v>
      </c>
      <c r="K3233" s="1">
        <f t="shared" si="151"/>
        <v>56.316367800000002</v>
      </c>
      <c r="L3233" s="1">
        <f t="shared" si="152"/>
        <v>10.526505800000001</v>
      </c>
    </row>
    <row r="3234" spans="1:12" ht="16" x14ac:dyDescent="0.2">
      <c r="A3234" s="1">
        <v>3233</v>
      </c>
      <c r="B3234" s="1" t="s">
        <v>9516</v>
      </c>
      <c r="C3234" s="1" t="s">
        <v>9614</v>
      </c>
      <c r="D3234" s="1" t="str">
        <f t="shared" si="150"/>
        <v>Syddjurs KommuneTingvej 33-35</v>
      </c>
      <c r="E3234" s="1" t="s">
        <v>9615</v>
      </c>
      <c r="F3234" s="1" t="s">
        <v>9616</v>
      </c>
      <c r="G3234" s="1">
        <v>1986</v>
      </c>
      <c r="H3234" s="1" t="s">
        <v>15</v>
      </c>
      <c r="I3234" s="6" cm="1">
        <f t="array" ref="I3234">GetLatitude(D3234)</f>
        <v>563181870</v>
      </c>
      <c r="J3234" s="1" cm="1">
        <f t="array" ref="J3234">GetLongitude(D3234)</f>
        <v>103156079</v>
      </c>
      <c r="K3234" s="1">
        <f t="shared" si="151"/>
        <v>56.318187000000002</v>
      </c>
      <c r="L3234" s="1">
        <f t="shared" si="152"/>
        <v>10.3156079</v>
      </c>
    </row>
    <row r="3235" spans="1:12" ht="16" x14ac:dyDescent="0.2">
      <c r="A3235" s="1">
        <v>3234</v>
      </c>
      <c r="B3235" s="1" t="s">
        <v>9516</v>
      </c>
      <c r="C3235" s="1" t="s">
        <v>8918</v>
      </c>
      <c r="D3235" s="1" t="str">
        <f t="shared" si="150"/>
        <v>Syddjurs KommuneTorvet 2 A</v>
      </c>
      <c r="E3235" s="1" t="s">
        <v>9617</v>
      </c>
      <c r="F3235" s="1" t="s">
        <v>9618</v>
      </c>
      <c r="G3235" s="1">
        <v>1918</v>
      </c>
      <c r="H3235" s="1" t="s">
        <v>15</v>
      </c>
      <c r="I3235" s="6" cm="1">
        <f t="array" ref="I3235">GetLatitude(D3235)</f>
        <v>561981896</v>
      </c>
      <c r="J3235" s="1" cm="1">
        <f t="array" ref="J3235">GetLongitude(D3235)</f>
        <v>106766423</v>
      </c>
      <c r="K3235" s="1">
        <f t="shared" si="151"/>
        <v>56.198189599999999</v>
      </c>
      <c r="L3235" s="1">
        <f t="shared" si="152"/>
        <v>10.676642299999999</v>
      </c>
    </row>
    <row r="3236" spans="1:12" ht="16" x14ac:dyDescent="0.2">
      <c r="A3236" s="1">
        <v>3235</v>
      </c>
      <c r="B3236" s="1" t="s">
        <v>9516</v>
      </c>
      <c r="C3236" s="1" t="s">
        <v>9619</v>
      </c>
      <c r="D3236" s="1" t="str">
        <f t="shared" si="150"/>
        <v>Syddjurs KommuneTorvet 9-11, hj af Adelgade</v>
      </c>
      <c r="E3236" s="1" t="s">
        <v>9620</v>
      </c>
      <c r="F3236" s="1" t="s">
        <v>9621</v>
      </c>
      <c r="G3236" s="1">
        <v>1932</v>
      </c>
      <c r="H3236" s="1" t="s">
        <v>11</v>
      </c>
      <c r="I3236" s="6" cm="1">
        <f t="array" ref="I3236">GetLatitude(D3236)</f>
        <v>561698829</v>
      </c>
      <c r="J3236" s="1" cm="1">
        <f t="array" ref="J3236">GetLongitude(D3236)</f>
        <v>95498568</v>
      </c>
      <c r="K3236" s="1">
        <f t="shared" si="151"/>
        <v>56.169882899999998</v>
      </c>
      <c r="L3236" s="1">
        <f t="shared" si="152"/>
        <v>9.5498568000000006</v>
      </c>
    </row>
    <row r="3237" spans="1:12" ht="16" x14ac:dyDescent="0.2">
      <c r="A3237" s="1">
        <v>3236</v>
      </c>
      <c r="B3237" s="1" t="s">
        <v>9516</v>
      </c>
      <c r="C3237" s="1" t="s">
        <v>9622</v>
      </c>
      <c r="D3237" s="1" t="str">
        <f t="shared" si="150"/>
        <v>Syddjurs KommuneTved Kirkebakke 11-14</v>
      </c>
      <c r="E3237" s="1" t="s">
        <v>9496</v>
      </c>
      <c r="F3237" s="1" t="s">
        <v>9623</v>
      </c>
      <c r="G3237" s="1">
        <v>1986</v>
      </c>
      <c r="H3237" s="1" t="s">
        <v>15</v>
      </c>
      <c r="I3237" s="6" cm="1">
        <f t="array" ref="I3237">GetLatitude(D3237)</f>
        <v>561991310</v>
      </c>
      <c r="J3237" s="1" cm="1">
        <f t="array" ref="J3237">GetLongitude(D3237)</f>
        <v>104428160</v>
      </c>
      <c r="K3237" s="1">
        <f t="shared" si="151"/>
        <v>56.199131000000001</v>
      </c>
      <c r="L3237" s="1">
        <f t="shared" si="152"/>
        <v>10.442816000000001</v>
      </c>
    </row>
    <row r="3238" spans="1:12" ht="16" x14ac:dyDescent="0.2">
      <c r="A3238" s="1">
        <v>3237</v>
      </c>
      <c r="B3238" s="1" t="s">
        <v>9516</v>
      </c>
      <c r="C3238" s="1" t="s">
        <v>9624</v>
      </c>
      <c r="D3238" s="1" t="str">
        <f t="shared" si="150"/>
        <v>Syddjurs KommuneVilladsgyde 7, hj af Nedergade</v>
      </c>
      <c r="E3238" s="1" t="s">
        <v>9625</v>
      </c>
      <c r="F3238" s="1" t="s">
        <v>9626</v>
      </c>
      <c r="G3238" s="1">
        <v>1919</v>
      </c>
      <c r="H3238" s="1" t="s">
        <v>11</v>
      </c>
      <c r="I3238" s="6" cm="1">
        <f t="array" ref="I3238">GetLatitude(D3238)</f>
        <v>561960677</v>
      </c>
      <c r="J3238" s="1" cm="1">
        <f t="array" ref="J3238">GetLongitude(D3238)</f>
        <v>106751159</v>
      </c>
      <c r="K3238" s="1">
        <f t="shared" si="151"/>
        <v>56.1960677</v>
      </c>
      <c r="L3238" s="1">
        <f t="shared" si="152"/>
        <v>10.6751159</v>
      </c>
    </row>
    <row r="3239" spans="1:12" ht="16" x14ac:dyDescent="0.2">
      <c r="A3239" s="1">
        <v>3238</v>
      </c>
      <c r="B3239" s="1" t="s">
        <v>9627</v>
      </c>
      <c r="C3239" s="1" t="s">
        <v>9628</v>
      </c>
      <c r="D3239" s="1" t="str">
        <f t="shared" si="150"/>
        <v>Sønderborg KommuneAhlefeldvej 5</v>
      </c>
      <c r="E3239" s="1" t="s">
        <v>4056</v>
      </c>
      <c r="F3239" s="1" t="s">
        <v>9629</v>
      </c>
      <c r="G3239" s="1">
        <v>1921</v>
      </c>
      <c r="H3239" s="1" t="s">
        <v>11</v>
      </c>
      <c r="I3239" s="6" cm="1">
        <f t="array" ref="I3239">GetLatitude(D3239)</f>
        <v>549200236</v>
      </c>
      <c r="J3239" s="1" cm="1">
        <f t="array" ref="J3239">GetLongitude(D3239)</f>
        <v>95920978</v>
      </c>
      <c r="K3239" s="1">
        <f t="shared" si="151"/>
        <v>54.9200236</v>
      </c>
      <c r="L3239" s="1">
        <f t="shared" si="152"/>
        <v>9.5920977999999995</v>
      </c>
    </row>
    <row r="3240" spans="1:12" ht="16" x14ac:dyDescent="0.2">
      <c r="A3240" s="1">
        <v>3239</v>
      </c>
      <c r="B3240" s="1" t="s">
        <v>9627</v>
      </c>
      <c r="C3240" s="1" t="s">
        <v>9630</v>
      </c>
      <c r="D3240" s="1" t="str">
        <f t="shared" si="150"/>
        <v>Sønderborg KommuneAsylvej 1</v>
      </c>
      <c r="E3240" s="1" t="s">
        <v>9631</v>
      </c>
      <c r="F3240" s="1" t="s">
        <v>9632</v>
      </c>
      <c r="G3240" s="1">
        <v>1983</v>
      </c>
      <c r="H3240" s="1" t="s">
        <v>15</v>
      </c>
      <c r="I3240" s="6" cm="1">
        <f t="array" ref="I3240">GetLatitude(D3240)</f>
        <v>549118690</v>
      </c>
      <c r="J3240" s="1" cm="1">
        <f t="array" ref="J3240">GetLongitude(D3240)</f>
        <v>97882165</v>
      </c>
      <c r="K3240" s="1">
        <f t="shared" si="151"/>
        <v>54.911869000000003</v>
      </c>
      <c r="L3240" s="1">
        <f t="shared" si="152"/>
        <v>9.7882165000000008</v>
      </c>
    </row>
    <row r="3241" spans="1:12" ht="16" x14ac:dyDescent="0.2">
      <c r="A3241" s="1">
        <v>3240</v>
      </c>
      <c r="B3241" s="1" t="s">
        <v>9627</v>
      </c>
      <c r="C3241" s="1" t="s">
        <v>9283</v>
      </c>
      <c r="D3241" s="1" t="str">
        <f t="shared" si="150"/>
        <v>Sønderborg KommuneBagergade 1</v>
      </c>
      <c r="E3241" s="1" t="s">
        <v>9284</v>
      </c>
      <c r="F3241" s="1" t="s">
        <v>9633</v>
      </c>
      <c r="G3241" s="1">
        <v>1990</v>
      </c>
      <c r="H3241" s="1" t="s">
        <v>15</v>
      </c>
      <c r="I3241" s="6" cm="1">
        <f t="array" ref="I3241">GetLatitude(D3241)</f>
        <v>549084602</v>
      </c>
      <c r="J3241" s="1" cm="1">
        <f t="array" ref="J3241">GetLongitude(D3241)</f>
        <v>97863531</v>
      </c>
      <c r="K3241" s="1">
        <f t="shared" si="151"/>
        <v>54.9084602</v>
      </c>
      <c r="L3241" s="1">
        <f t="shared" si="152"/>
        <v>9.7863530999999995</v>
      </c>
    </row>
    <row r="3242" spans="1:12" ht="16" x14ac:dyDescent="0.2">
      <c r="A3242" s="1">
        <v>3241</v>
      </c>
      <c r="B3242" s="1" t="s">
        <v>9627</v>
      </c>
      <c r="C3242" s="1" t="s">
        <v>9634</v>
      </c>
      <c r="D3242" s="1" t="str">
        <f t="shared" si="150"/>
        <v>Sønderborg KommuneBallebrovej 17</v>
      </c>
      <c r="E3242" s="1" t="s">
        <v>9635</v>
      </c>
      <c r="F3242" s="1" t="s">
        <v>9636</v>
      </c>
      <c r="G3242" s="1">
        <v>1950</v>
      </c>
      <c r="H3242" s="1" t="s">
        <v>15</v>
      </c>
      <c r="I3242" s="6" cm="1">
        <f t="array" ref="I3242">GetLatitude(D3242)</f>
        <v>549945077</v>
      </c>
      <c r="J3242" s="1" cm="1">
        <f t="array" ref="J3242">GetLongitude(D3242)</f>
        <v>96695529</v>
      </c>
      <c r="K3242" s="1">
        <f t="shared" si="151"/>
        <v>54.9945077</v>
      </c>
      <c r="L3242" s="1">
        <f t="shared" si="152"/>
        <v>9.6695528999999993</v>
      </c>
    </row>
    <row r="3243" spans="1:12" ht="16" x14ac:dyDescent="0.2">
      <c r="A3243" s="1">
        <v>3242</v>
      </c>
      <c r="B3243" s="1" t="s">
        <v>9627</v>
      </c>
      <c r="C3243" s="1" t="s">
        <v>9637</v>
      </c>
      <c r="D3243" s="1" t="str">
        <f t="shared" si="150"/>
        <v>Sønderborg KommuneBjerggade 15</v>
      </c>
      <c r="E3243" s="1" t="s">
        <v>9638</v>
      </c>
      <c r="F3243" s="1" t="s">
        <v>9639</v>
      </c>
      <c r="G3243" s="1">
        <v>1921</v>
      </c>
      <c r="H3243" s="1" t="s">
        <v>11</v>
      </c>
      <c r="I3243" s="6" cm="1">
        <f t="array" ref="I3243">GetLatitude(D3243)</f>
        <v>549091066</v>
      </c>
      <c r="J3243" s="1" cm="1">
        <f t="array" ref="J3243">GetLongitude(D3243)</f>
        <v>97876173</v>
      </c>
      <c r="K3243" s="1">
        <f t="shared" si="151"/>
        <v>54.909106600000001</v>
      </c>
      <c r="L3243" s="1">
        <f t="shared" si="152"/>
        <v>9.7876173000000009</v>
      </c>
    </row>
    <row r="3244" spans="1:12" ht="16" x14ac:dyDescent="0.2">
      <c r="A3244" s="1">
        <v>3243</v>
      </c>
      <c r="B3244" s="1" t="s">
        <v>9627</v>
      </c>
      <c r="C3244" s="1" t="s">
        <v>9640</v>
      </c>
      <c r="D3244" s="1" t="str">
        <f t="shared" si="150"/>
        <v>Sønderborg KommuneBjerggade 17</v>
      </c>
      <c r="E3244" s="1" t="s">
        <v>9641</v>
      </c>
      <c r="F3244" s="1" t="s">
        <v>9642</v>
      </c>
      <c r="G3244" s="1">
        <v>1921</v>
      </c>
      <c r="H3244" s="1" t="s">
        <v>15</v>
      </c>
      <c r="I3244" s="6" cm="1">
        <f t="array" ref="I3244">GetLatitude(D3244)</f>
        <v>549091650</v>
      </c>
      <c r="J3244" s="1" cm="1">
        <f t="array" ref="J3244">GetLongitude(D3244)</f>
        <v>97877000</v>
      </c>
      <c r="K3244" s="1">
        <f t="shared" si="151"/>
        <v>54.909165000000002</v>
      </c>
      <c r="L3244" s="1">
        <f t="shared" si="152"/>
        <v>9.7876999999999992</v>
      </c>
    </row>
    <row r="3245" spans="1:12" ht="16" x14ac:dyDescent="0.2">
      <c r="A3245" s="1">
        <v>3244</v>
      </c>
      <c r="B3245" s="1" t="s">
        <v>9627</v>
      </c>
      <c r="C3245" s="1" t="s">
        <v>9643</v>
      </c>
      <c r="D3245" s="1" t="str">
        <f t="shared" si="150"/>
        <v>Sønderborg KommuneBjørnemosen 1</v>
      </c>
      <c r="E3245" s="1" t="s">
        <v>9644</v>
      </c>
      <c r="F3245" s="1" t="s">
        <v>9645</v>
      </c>
      <c r="G3245" s="1">
        <v>1945</v>
      </c>
      <c r="H3245" s="1" t="s">
        <v>15</v>
      </c>
      <c r="I3245" s="6" cm="1">
        <f t="array" ref="I3245">GetLatitude(D3245)</f>
        <v>549298287</v>
      </c>
      <c r="J3245" s="1" cm="1">
        <f t="array" ref="J3245">GetLongitude(D3245)</f>
        <v>98226129</v>
      </c>
      <c r="K3245" s="1">
        <f t="shared" si="151"/>
        <v>54.929828700000002</v>
      </c>
      <c r="L3245" s="1">
        <f t="shared" si="152"/>
        <v>9.8226128999999993</v>
      </c>
    </row>
    <row r="3246" spans="1:12" ht="16" x14ac:dyDescent="0.2">
      <c r="A3246" s="1">
        <v>3245</v>
      </c>
      <c r="B3246" s="1" t="s">
        <v>9627</v>
      </c>
      <c r="C3246" s="1" t="s">
        <v>9646</v>
      </c>
      <c r="D3246" s="1" t="str">
        <f t="shared" si="150"/>
        <v>Sønderborg KommuneBygaden 11-13</v>
      </c>
      <c r="E3246" s="1" t="s">
        <v>9647</v>
      </c>
      <c r="F3246" s="1" t="s">
        <v>9648</v>
      </c>
      <c r="G3246" s="1">
        <v>1950</v>
      </c>
      <c r="H3246" s="1" t="s">
        <v>15</v>
      </c>
      <c r="I3246" s="6" cm="1">
        <f t="array" ref="I3246">GetLatitude(D3246)</f>
        <v>549124017</v>
      </c>
      <c r="J3246" s="1" cm="1">
        <f t="array" ref="J3246">GetLongitude(D3246)</f>
        <v>97946357</v>
      </c>
      <c r="K3246" s="1">
        <f t="shared" si="151"/>
        <v>54.912401699999997</v>
      </c>
      <c r="L3246" s="1">
        <f t="shared" si="152"/>
        <v>9.7946357000000006</v>
      </c>
    </row>
    <row r="3247" spans="1:12" ht="16" x14ac:dyDescent="0.2">
      <c r="A3247" s="1">
        <v>3246</v>
      </c>
      <c r="B3247" s="1" t="s">
        <v>9627</v>
      </c>
      <c r="C3247" s="1" t="s">
        <v>9649</v>
      </c>
      <c r="D3247" s="1" t="str">
        <f t="shared" si="150"/>
        <v>Sønderborg KommuneBøgevej 3</v>
      </c>
      <c r="E3247" s="1" t="s">
        <v>9650</v>
      </c>
      <c r="F3247" s="1" t="s">
        <v>9651</v>
      </c>
      <c r="G3247" s="1">
        <v>1998</v>
      </c>
      <c r="H3247" s="1" t="s">
        <v>15</v>
      </c>
      <c r="I3247" s="6" cm="1">
        <f t="array" ref="I3247">GetLatitude(D3247)</f>
        <v>549124017</v>
      </c>
      <c r="J3247" s="1" cm="1">
        <f t="array" ref="J3247">GetLongitude(D3247)</f>
        <v>97946357</v>
      </c>
      <c r="K3247" s="1">
        <f t="shared" si="151"/>
        <v>54.912401699999997</v>
      </c>
      <c r="L3247" s="1">
        <f t="shared" si="152"/>
        <v>9.7946357000000006</v>
      </c>
    </row>
    <row r="3248" spans="1:12" ht="16" x14ac:dyDescent="0.2">
      <c r="A3248" s="1">
        <v>3247</v>
      </c>
      <c r="B3248" s="1" t="s">
        <v>9627</v>
      </c>
      <c r="C3248" s="1" t="s">
        <v>9652</v>
      </c>
      <c r="D3248" s="1" t="str">
        <f t="shared" si="150"/>
        <v>Sønderborg Kommune Dalsgårdvej 22</v>
      </c>
      <c r="E3248" s="1" t="s">
        <v>9653</v>
      </c>
      <c r="F3248" s="1" t="s">
        <v>9654</v>
      </c>
      <c r="G3248" s="1">
        <v>2009</v>
      </c>
      <c r="H3248" s="1" t="s">
        <v>15</v>
      </c>
      <c r="I3248" s="6" cm="1">
        <f t="array" ref="I3248">GetLatitude(D3248)</f>
        <v>548945793</v>
      </c>
      <c r="J3248" s="1" cm="1">
        <f t="array" ref="J3248">GetLongitude(D3248)</f>
        <v>95786240</v>
      </c>
      <c r="K3248" s="1">
        <f t="shared" si="151"/>
        <v>54.894579299999997</v>
      </c>
      <c r="L3248" s="1">
        <f t="shared" si="152"/>
        <v>9.5786239999999996</v>
      </c>
    </row>
    <row r="3249" spans="1:12" ht="16" x14ac:dyDescent="0.2">
      <c r="A3249" s="1">
        <v>3248</v>
      </c>
      <c r="B3249" s="1" t="s">
        <v>9627</v>
      </c>
      <c r="C3249" s="1" t="s">
        <v>9655</v>
      </c>
      <c r="D3249" s="1" t="str">
        <f t="shared" si="150"/>
        <v>Sønderborg KommuneDybbøl Banke 7</v>
      </c>
      <c r="E3249" s="1" t="s">
        <v>9656</v>
      </c>
      <c r="F3249" s="1" t="s">
        <v>9657</v>
      </c>
      <c r="G3249" s="1">
        <v>1992</v>
      </c>
      <c r="H3249" s="1" t="s">
        <v>15</v>
      </c>
      <c r="I3249" s="6" cm="1">
        <f t="array" ref="I3249">GetLatitude(D3249)</f>
        <v>549069399</v>
      </c>
      <c r="J3249" s="1" cm="1">
        <f t="array" ref="J3249">GetLongitude(D3249)</f>
        <v>97579653</v>
      </c>
      <c r="K3249" s="1">
        <f t="shared" si="151"/>
        <v>54.906939899999998</v>
      </c>
      <c r="L3249" s="1">
        <f t="shared" si="152"/>
        <v>9.7579653000000004</v>
      </c>
    </row>
    <row r="3250" spans="1:12" ht="16" x14ac:dyDescent="0.2">
      <c r="A3250" s="1">
        <v>3249</v>
      </c>
      <c r="B3250" s="1" t="s">
        <v>9627</v>
      </c>
      <c r="C3250" s="1" t="s">
        <v>9658</v>
      </c>
      <c r="D3250" s="1" t="str">
        <f t="shared" si="150"/>
        <v>Sønderborg KommuneFynshavvej 12</v>
      </c>
      <c r="E3250" s="1" t="s">
        <v>9659</v>
      </c>
      <c r="F3250" s="1" t="s">
        <v>9660</v>
      </c>
      <c r="G3250" s="1">
        <v>1998</v>
      </c>
      <c r="H3250" s="1" t="s">
        <v>15</v>
      </c>
      <c r="I3250" s="6" cm="1">
        <f t="array" ref="I3250">GetLatitude(D3250)</f>
        <v>549920178</v>
      </c>
      <c r="J3250" s="1" cm="1">
        <f t="array" ref="J3250">GetLongitude(D3250)</f>
        <v>98920892</v>
      </c>
      <c r="K3250" s="1">
        <f t="shared" si="151"/>
        <v>54.992017799999999</v>
      </c>
      <c r="L3250" s="1">
        <f t="shared" si="152"/>
        <v>9.8920891999999991</v>
      </c>
    </row>
    <row r="3251" spans="1:12" ht="16" x14ac:dyDescent="0.2">
      <c r="A3251" s="1">
        <v>3250</v>
      </c>
      <c r="B3251" s="1" t="s">
        <v>9627</v>
      </c>
      <c r="C3251" s="1" t="s">
        <v>9661</v>
      </c>
      <c r="D3251" s="1" t="str">
        <f t="shared" si="150"/>
        <v>Sønderborg KommuneGammel Guderup 24</v>
      </c>
      <c r="E3251" s="1" t="s">
        <v>9662</v>
      </c>
      <c r="F3251" s="1" t="s">
        <v>9663</v>
      </c>
      <c r="G3251" s="1">
        <v>1945</v>
      </c>
      <c r="H3251" s="1" t="s">
        <v>11</v>
      </c>
      <c r="I3251" s="6" cm="1">
        <f t="array" ref="I3251">GetLatitude(D3251)</f>
        <v>549928344</v>
      </c>
      <c r="J3251" s="1" cm="1">
        <f t="array" ref="J3251">GetLongitude(D3251)</f>
        <v>98709622</v>
      </c>
      <c r="K3251" s="1">
        <f t="shared" si="151"/>
        <v>54.9928344</v>
      </c>
      <c r="L3251" s="1">
        <f t="shared" si="152"/>
        <v>9.8709621999999992</v>
      </c>
    </row>
    <row r="3252" spans="1:12" ht="16" x14ac:dyDescent="0.2">
      <c r="A3252" s="1">
        <v>3251</v>
      </c>
      <c r="B3252" s="1" t="s">
        <v>9627</v>
      </c>
      <c r="C3252" s="1" t="s">
        <v>9664</v>
      </c>
      <c r="D3252" s="1" t="str">
        <f t="shared" si="150"/>
        <v>Sønderborg KommuneGammel Pøl 7</v>
      </c>
      <c r="E3252" s="1" t="s">
        <v>9665</v>
      </c>
      <c r="F3252" s="1" t="s">
        <v>9666</v>
      </c>
      <c r="G3252" s="1">
        <v>2002</v>
      </c>
      <c r="H3252" s="1" t="s">
        <v>15</v>
      </c>
      <c r="I3252" s="6" cm="1">
        <f t="array" ref="I3252">GetLatitude(D3252)</f>
        <v>548814050</v>
      </c>
      <c r="J3252" s="1" cm="1">
        <f t="array" ref="J3252">GetLongitude(D3252)</f>
        <v>100693570</v>
      </c>
      <c r="K3252" s="1">
        <f t="shared" si="151"/>
        <v>54.881405000000001</v>
      </c>
      <c r="L3252" s="1">
        <f t="shared" si="152"/>
        <v>10.069357</v>
      </c>
    </row>
    <row r="3253" spans="1:12" ht="16" x14ac:dyDescent="0.2">
      <c r="A3253" s="1">
        <v>3252</v>
      </c>
      <c r="B3253" s="1" t="s">
        <v>9627</v>
      </c>
      <c r="C3253" s="1" t="s">
        <v>9667</v>
      </c>
      <c r="D3253" s="1" t="str">
        <f t="shared" si="150"/>
        <v>Sønderborg KommuneGråsten Slot 1-3</v>
      </c>
      <c r="E3253" s="1" t="s">
        <v>9668</v>
      </c>
      <c r="F3253" s="1" t="s">
        <v>9669</v>
      </c>
      <c r="G3253" s="1">
        <v>1921</v>
      </c>
      <c r="H3253" s="1" t="s">
        <v>15</v>
      </c>
      <c r="I3253" s="6" cm="1">
        <f t="array" ref="I3253">GetLatitude(D3253)</f>
        <v>549283501</v>
      </c>
      <c r="J3253" s="1" cm="1">
        <f t="array" ref="J3253">GetLongitude(D3253)</f>
        <v>95965582</v>
      </c>
      <c r="K3253" s="1">
        <f t="shared" si="151"/>
        <v>54.928350100000003</v>
      </c>
      <c r="L3253" s="1">
        <f t="shared" si="152"/>
        <v>9.5965582000000005</v>
      </c>
    </row>
    <row r="3254" spans="1:12" ht="16" x14ac:dyDescent="0.2">
      <c r="A3254" s="1">
        <v>3253</v>
      </c>
      <c r="B3254" s="1" t="s">
        <v>9627</v>
      </c>
      <c r="C3254" s="1" t="s">
        <v>9670</v>
      </c>
      <c r="D3254" s="1" t="str">
        <f t="shared" si="150"/>
        <v>Sønderborg KommuneHavbogade 47</v>
      </c>
      <c r="E3254" s="1" t="s">
        <v>9671</v>
      </c>
      <c r="F3254" s="1" t="s">
        <v>9672</v>
      </c>
      <c r="G3254" s="1">
        <v>1921</v>
      </c>
      <c r="H3254" s="1" t="s">
        <v>11</v>
      </c>
      <c r="I3254" s="6" cm="1">
        <f t="array" ref="I3254">GetLatitude(D3254)</f>
        <v>549119814</v>
      </c>
      <c r="J3254" s="1" cm="1">
        <f t="array" ref="J3254">GetLongitude(D3254)</f>
        <v>97853601</v>
      </c>
      <c r="K3254" s="1">
        <f t="shared" si="151"/>
        <v>54.911981400000002</v>
      </c>
      <c r="L3254" s="1">
        <f t="shared" si="152"/>
        <v>9.7853601000000001</v>
      </c>
    </row>
    <row r="3255" spans="1:12" ht="16" x14ac:dyDescent="0.2">
      <c r="A3255" s="1">
        <v>3254</v>
      </c>
      <c r="B3255" s="1" t="s">
        <v>9627</v>
      </c>
      <c r="C3255" s="1" t="s">
        <v>9673</v>
      </c>
      <c r="D3255" s="1" t="str">
        <f t="shared" si="150"/>
        <v>Sønderborg KommuneHavbogade 49</v>
      </c>
      <c r="E3255" s="1" t="s">
        <v>9674</v>
      </c>
      <c r="F3255" s="1" t="s">
        <v>9672</v>
      </c>
      <c r="G3255" s="1">
        <v>1921</v>
      </c>
      <c r="H3255" s="1" t="s">
        <v>15</v>
      </c>
      <c r="I3255" s="6" cm="1">
        <f t="array" ref="I3255">GetLatitude(D3255)</f>
        <v>549119555</v>
      </c>
      <c r="J3255" s="1" cm="1">
        <f t="array" ref="J3255">GetLongitude(D3255)</f>
        <v>97854119</v>
      </c>
      <c r="K3255" s="1">
        <f t="shared" si="151"/>
        <v>54.911955499999998</v>
      </c>
      <c r="L3255" s="1">
        <f t="shared" si="152"/>
        <v>9.7854118999999997</v>
      </c>
    </row>
    <row r="3256" spans="1:12" ht="16" x14ac:dyDescent="0.2">
      <c r="A3256" s="1">
        <v>3255</v>
      </c>
      <c r="B3256" s="1" t="s">
        <v>9627</v>
      </c>
      <c r="C3256" s="1" t="s">
        <v>9675</v>
      </c>
      <c r="D3256" s="1" t="str">
        <f t="shared" si="150"/>
        <v>Sønderborg KommuneHørup Bygade 12</v>
      </c>
      <c r="E3256" s="1" t="s">
        <v>9676</v>
      </c>
      <c r="F3256" s="1" t="s">
        <v>9677</v>
      </c>
      <c r="G3256" s="1">
        <v>1945</v>
      </c>
      <c r="H3256" s="1" t="s">
        <v>11</v>
      </c>
      <c r="I3256" s="6" cm="1">
        <f t="array" ref="I3256">GetLatitude(D3256)</f>
        <v>549135423</v>
      </c>
      <c r="J3256" s="1" cm="1">
        <f t="array" ref="J3256">GetLongitude(D3256)</f>
        <v>98987258</v>
      </c>
      <c r="K3256" s="1">
        <f t="shared" si="151"/>
        <v>54.913542300000003</v>
      </c>
      <c r="L3256" s="1">
        <f t="shared" si="152"/>
        <v>9.8987257999999994</v>
      </c>
    </row>
    <row r="3257" spans="1:12" ht="16" x14ac:dyDescent="0.2">
      <c r="A3257" s="1">
        <v>3256</v>
      </c>
      <c r="B3257" s="1" t="s">
        <v>9627</v>
      </c>
      <c r="C3257" s="1" t="s">
        <v>9678</v>
      </c>
      <c r="D3257" s="1" t="str">
        <f t="shared" si="150"/>
        <v>Sønderborg KommuneKalvehavevej 3</v>
      </c>
      <c r="E3257" s="1" t="s">
        <v>9679</v>
      </c>
      <c r="F3257" s="1" t="s">
        <v>9680</v>
      </c>
      <c r="G3257" s="1">
        <v>1950</v>
      </c>
      <c r="H3257" s="1" t="s">
        <v>15</v>
      </c>
      <c r="I3257" s="6" cm="1">
        <f t="array" ref="I3257">GetLatitude(D3257)</f>
        <v>550266054</v>
      </c>
      <c r="J3257" s="1" cm="1">
        <f t="array" ref="J3257">GetLongitude(D3257)</f>
        <v>98231963</v>
      </c>
      <c r="K3257" s="1">
        <f t="shared" si="151"/>
        <v>55.026605400000001</v>
      </c>
      <c r="L3257" s="1">
        <f t="shared" si="152"/>
        <v>9.8231962999999993</v>
      </c>
    </row>
    <row r="3258" spans="1:12" ht="16" x14ac:dyDescent="0.2">
      <c r="A3258" s="1">
        <v>3257</v>
      </c>
      <c r="B3258" s="1" t="s">
        <v>9627</v>
      </c>
      <c r="C3258" s="1" t="s">
        <v>9681</v>
      </c>
      <c r="D3258" s="1" t="str">
        <f t="shared" si="150"/>
        <v>Sønderborg KommuneKalvetoft 1</v>
      </c>
      <c r="E3258" s="1" t="s">
        <v>9682</v>
      </c>
      <c r="F3258" s="1" t="s">
        <v>9683</v>
      </c>
      <c r="G3258" s="1">
        <v>1984</v>
      </c>
      <c r="H3258" s="1" t="s">
        <v>11</v>
      </c>
      <c r="I3258" s="6" cm="1">
        <f t="array" ref="I3258">GetLatitude(D3258)</f>
        <v>549662151</v>
      </c>
      <c r="J3258" s="1" cm="1">
        <f t="array" ref="J3258">GetLongitude(D3258)</f>
        <v>96618451</v>
      </c>
      <c r="K3258" s="1">
        <f t="shared" si="151"/>
        <v>54.966215099999999</v>
      </c>
      <c r="L3258" s="1">
        <f t="shared" si="152"/>
        <v>9.6618451000000007</v>
      </c>
    </row>
    <row r="3259" spans="1:12" ht="16" x14ac:dyDescent="0.2">
      <c r="A3259" s="1">
        <v>3258</v>
      </c>
      <c r="B3259" s="1" t="s">
        <v>9627</v>
      </c>
      <c r="C3259" s="1" t="s">
        <v>9684</v>
      </c>
      <c r="D3259" s="1" t="str">
        <f t="shared" si="150"/>
        <v>Sønderborg KommuneKegnæsvej 5</v>
      </c>
      <c r="E3259" s="1" t="s">
        <v>9685</v>
      </c>
      <c r="F3259" s="1" t="s">
        <v>9686</v>
      </c>
      <c r="G3259" s="1">
        <v>1950</v>
      </c>
      <c r="H3259" s="1" t="s">
        <v>15</v>
      </c>
      <c r="I3259" s="6" cm="1">
        <f t="array" ref="I3259">GetLatitude(D3259)</f>
        <v>549038284</v>
      </c>
      <c r="J3259" s="1" cm="1">
        <f t="array" ref="J3259">GetLongitude(D3259)</f>
        <v>100036677</v>
      </c>
      <c r="K3259" s="1">
        <f t="shared" si="151"/>
        <v>54.903828400000002</v>
      </c>
      <c r="L3259" s="1">
        <f t="shared" si="152"/>
        <v>10.003667699999999</v>
      </c>
    </row>
    <row r="3260" spans="1:12" ht="16" x14ac:dyDescent="0.2">
      <c r="A3260" s="1">
        <v>3259</v>
      </c>
      <c r="B3260" s="1" t="s">
        <v>9627</v>
      </c>
      <c r="C3260" s="1" t="s">
        <v>9687</v>
      </c>
      <c r="D3260" s="1" t="str">
        <f t="shared" si="150"/>
        <v>Sønderborg KommuneKirkeallé 4</v>
      </c>
      <c r="E3260" s="1" t="s">
        <v>9688</v>
      </c>
      <c r="F3260" s="1" t="s">
        <v>9689</v>
      </c>
      <c r="G3260" s="1">
        <v>1921</v>
      </c>
      <c r="H3260" s="1" t="s">
        <v>15</v>
      </c>
      <c r="I3260" s="6" cm="1">
        <f t="array" ref="I3260">GetLatitude(D3260)</f>
        <v>549138110</v>
      </c>
      <c r="J3260" s="1" cm="1">
        <f t="array" ref="J3260">GetLongitude(D3260)</f>
        <v>97921780</v>
      </c>
      <c r="K3260" s="1">
        <f t="shared" si="151"/>
        <v>54.913811000000003</v>
      </c>
      <c r="L3260" s="1">
        <f t="shared" si="152"/>
        <v>9.7921779999999998</v>
      </c>
    </row>
    <row r="3261" spans="1:12" ht="16" x14ac:dyDescent="0.2">
      <c r="A3261" s="1">
        <v>3260</v>
      </c>
      <c r="B3261" s="1" t="s">
        <v>9627</v>
      </c>
      <c r="C3261" s="1" t="s">
        <v>9690</v>
      </c>
      <c r="D3261" s="1" t="str">
        <f t="shared" si="150"/>
        <v>Sønderborg KommuneKirkegade 8</v>
      </c>
      <c r="E3261" s="1" t="s">
        <v>9691</v>
      </c>
      <c r="F3261" s="1" t="s">
        <v>9692</v>
      </c>
      <c r="G3261" s="1">
        <v>1921</v>
      </c>
      <c r="H3261" s="1" t="s">
        <v>11</v>
      </c>
      <c r="I3261" s="6" cm="1">
        <f t="array" ref="I3261">GetLatitude(D3261)</f>
        <v>549138110</v>
      </c>
      <c r="J3261" s="1" cm="1">
        <f t="array" ref="J3261">GetLongitude(D3261)</f>
        <v>97921780</v>
      </c>
      <c r="K3261" s="1">
        <f t="shared" si="151"/>
        <v>54.913811000000003</v>
      </c>
      <c r="L3261" s="1">
        <f t="shared" si="152"/>
        <v>9.7921779999999998</v>
      </c>
    </row>
    <row r="3262" spans="1:12" ht="16" x14ac:dyDescent="0.2">
      <c r="A3262" s="1">
        <v>3261</v>
      </c>
      <c r="B3262" s="1" t="s">
        <v>9627</v>
      </c>
      <c r="C3262" s="1" t="s">
        <v>9693</v>
      </c>
      <c r="D3262" s="1" t="str">
        <f t="shared" si="150"/>
        <v>Sønderborg KommuneKirkevænget 1-3</v>
      </c>
      <c r="E3262" s="1" t="s">
        <v>9694</v>
      </c>
      <c r="F3262" s="1" t="s">
        <v>9695</v>
      </c>
      <c r="G3262" s="1">
        <v>1989</v>
      </c>
      <c r="H3262" s="1" t="s">
        <v>15</v>
      </c>
      <c r="I3262" s="6" cm="1">
        <f t="array" ref="I3262">GetLatitude(D3262)</f>
        <v>549666507</v>
      </c>
      <c r="J3262" s="1" cm="1">
        <f t="array" ref="J3262">GetLongitude(D3262)</f>
        <v>98977578</v>
      </c>
      <c r="K3262" s="1">
        <f t="shared" si="151"/>
        <v>54.966650700000002</v>
      </c>
      <c r="L3262" s="1">
        <f t="shared" si="152"/>
        <v>9.8977578000000008</v>
      </c>
    </row>
    <row r="3263" spans="1:12" ht="16" x14ac:dyDescent="0.2">
      <c r="A3263" s="1">
        <v>3262</v>
      </c>
      <c r="B3263" s="1" t="s">
        <v>9627</v>
      </c>
      <c r="C3263" s="1" t="s">
        <v>9696</v>
      </c>
      <c r="D3263" s="1" t="str">
        <f t="shared" si="150"/>
        <v>Sønderborg KommuneKirkevænget 5</v>
      </c>
      <c r="E3263" s="1" t="s">
        <v>9697</v>
      </c>
      <c r="F3263" s="1" t="s">
        <v>9698</v>
      </c>
      <c r="G3263" s="1">
        <v>1989</v>
      </c>
      <c r="H3263" s="1" t="s">
        <v>15</v>
      </c>
      <c r="I3263" s="6" cm="1">
        <f t="array" ref="I3263">GetLatitude(D3263)</f>
        <v>549667968</v>
      </c>
      <c r="J3263" s="1" cm="1">
        <f t="array" ref="J3263">GetLongitude(D3263)</f>
        <v>98975658</v>
      </c>
      <c r="K3263" s="1">
        <f t="shared" si="151"/>
        <v>54.966796799999997</v>
      </c>
      <c r="L3263" s="1">
        <f t="shared" si="152"/>
        <v>9.8975658000000006</v>
      </c>
    </row>
    <row r="3264" spans="1:12" ht="16" x14ac:dyDescent="0.2">
      <c r="A3264" s="1">
        <v>3263</v>
      </c>
      <c r="B3264" s="1" t="s">
        <v>9627</v>
      </c>
      <c r="C3264" s="1" t="s">
        <v>9699</v>
      </c>
      <c r="D3264" s="1" t="str">
        <f t="shared" si="150"/>
        <v>Sønderborg KommuneLambjergskovvej 14</v>
      </c>
      <c r="E3264" s="1" t="s">
        <v>9700</v>
      </c>
      <c r="F3264" s="1" t="s">
        <v>9701</v>
      </c>
      <c r="G3264" s="1">
        <v>1999</v>
      </c>
      <c r="H3264" s="1" t="s">
        <v>11</v>
      </c>
      <c r="I3264" s="6" cm="1">
        <f t="array" ref="I3264">GetLatitude(D3264)</f>
        <v>549218639</v>
      </c>
      <c r="J3264" s="1" cm="1">
        <f t="array" ref="J3264">GetLongitude(D3264)</f>
        <v>98526499</v>
      </c>
      <c r="K3264" s="1">
        <f t="shared" si="151"/>
        <v>54.921863899999998</v>
      </c>
      <c r="L3264" s="1">
        <f t="shared" si="152"/>
        <v>9.8526498999999994</v>
      </c>
    </row>
    <row r="3265" spans="1:12" ht="16" x14ac:dyDescent="0.2">
      <c r="A3265" s="1">
        <v>3264</v>
      </c>
      <c r="B3265" s="1" t="s">
        <v>9627</v>
      </c>
      <c r="C3265" s="1" t="s">
        <v>9702</v>
      </c>
      <c r="D3265" s="1" t="str">
        <f t="shared" si="150"/>
        <v>Sønderborg KommuneLiliegade 1, hj af Stengade</v>
      </c>
      <c r="E3265" s="1" t="s">
        <v>9703</v>
      </c>
      <c r="F3265" s="1" t="s">
        <v>9704</v>
      </c>
      <c r="G3265" s="1">
        <v>1950</v>
      </c>
      <c r="H3265" s="1" t="s">
        <v>701</v>
      </c>
      <c r="I3265" s="6" cm="1">
        <f t="array" ref="I3265">GetLatitude(D3265)</f>
        <v>549099760</v>
      </c>
      <c r="J3265" s="1" cm="1">
        <f t="array" ref="J3265">GetLongitude(D3265)</f>
        <v>97881740</v>
      </c>
      <c r="K3265" s="1">
        <f t="shared" si="151"/>
        <v>54.909976</v>
      </c>
      <c r="L3265" s="1">
        <f t="shared" si="152"/>
        <v>9.7881739999999997</v>
      </c>
    </row>
    <row r="3266" spans="1:12" ht="16" x14ac:dyDescent="0.2">
      <c r="A3266" s="1">
        <v>3265</v>
      </c>
      <c r="B3266" s="1" t="s">
        <v>9627</v>
      </c>
      <c r="C3266" s="1" t="s">
        <v>9705</v>
      </c>
      <c r="D3266" s="1" t="str">
        <f t="shared" si="150"/>
        <v>Sønderborg KommuneLøkken 24</v>
      </c>
      <c r="E3266" s="1" t="s">
        <v>9706</v>
      </c>
      <c r="F3266" s="1" t="s">
        <v>9707</v>
      </c>
      <c r="G3266" s="1">
        <v>1945</v>
      </c>
      <c r="H3266" s="1" t="s">
        <v>11</v>
      </c>
      <c r="I3266" s="6" cm="1">
        <f t="array" ref="I3266">GetLatitude(D3266)</f>
        <v>549124017</v>
      </c>
      <c r="J3266" s="1" cm="1">
        <f t="array" ref="J3266">GetLongitude(D3266)</f>
        <v>97946357</v>
      </c>
      <c r="K3266" s="1">
        <f t="shared" si="151"/>
        <v>54.912401699999997</v>
      </c>
      <c r="L3266" s="1">
        <f t="shared" si="152"/>
        <v>9.7946357000000006</v>
      </c>
    </row>
    <row r="3267" spans="1:12" ht="16" x14ac:dyDescent="0.2">
      <c r="A3267" s="1">
        <v>3266</v>
      </c>
      <c r="B3267" s="1" t="s">
        <v>9627</v>
      </c>
      <c r="C3267" s="1" t="s">
        <v>9708</v>
      </c>
      <c r="D3267" s="1" t="str">
        <f t="shared" ref="D3267:D3330" si="153">B3267&amp;C3267</f>
        <v>Sønderborg KommuneMariegade 2</v>
      </c>
      <c r="E3267" s="1" t="s">
        <v>9709</v>
      </c>
      <c r="F3267" s="1" t="s">
        <v>9710</v>
      </c>
      <c r="G3267" s="1">
        <v>1950</v>
      </c>
      <c r="H3267" s="1" t="s">
        <v>701</v>
      </c>
      <c r="I3267" s="6" cm="1">
        <f t="array" ref="I3267">GetLatitude(D3267)</f>
        <v>549099346</v>
      </c>
      <c r="J3267" s="1" cm="1">
        <f t="array" ref="J3267">GetLongitude(D3267)</f>
        <v>97883808</v>
      </c>
      <c r="K3267" s="1">
        <f t="shared" si="151"/>
        <v>54.9099346</v>
      </c>
      <c r="L3267" s="1">
        <f t="shared" si="152"/>
        <v>9.7883808000000005</v>
      </c>
    </row>
    <row r="3268" spans="1:12" ht="16" x14ac:dyDescent="0.2">
      <c r="A3268" s="1">
        <v>3267</v>
      </c>
      <c r="B3268" s="1" t="s">
        <v>9627</v>
      </c>
      <c r="C3268" s="1" t="s">
        <v>9711</v>
      </c>
      <c r="D3268" s="1" t="str">
        <f t="shared" si="153"/>
        <v>Sønderborg KommuneMariegade 4</v>
      </c>
      <c r="E3268" s="1" t="s">
        <v>9712</v>
      </c>
      <c r="F3268" s="1" t="s">
        <v>9713</v>
      </c>
      <c r="G3268" s="1">
        <v>1950</v>
      </c>
      <c r="H3268" s="1" t="s">
        <v>15</v>
      </c>
      <c r="I3268" s="6" cm="1">
        <f t="array" ref="I3268">GetLatitude(D3268)</f>
        <v>549100730</v>
      </c>
      <c r="J3268" s="1" cm="1">
        <f t="array" ref="J3268">GetLongitude(D3268)</f>
        <v>97883510</v>
      </c>
      <c r="K3268" s="1">
        <f t="shared" ref="K3268:K3331" si="154">I3268/10000000</f>
        <v>54.910072999999997</v>
      </c>
      <c r="L3268" s="1">
        <f t="shared" ref="L3268:L3331" si="155">J3268/10000000</f>
        <v>9.7883510000000005</v>
      </c>
    </row>
    <row r="3269" spans="1:12" ht="16" x14ac:dyDescent="0.2">
      <c r="A3269" s="1">
        <v>3268</v>
      </c>
      <c r="B3269" s="1" t="s">
        <v>9627</v>
      </c>
      <c r="C3269" s="1" t="s">
        <v>9714</v>
      </c>
      <c r="D3269" s="1" t="str">
        <f t="shared" si="153"/>
        <v>Sønderborg KommuneMariegade 6</v>
      </c>
      <c r="E3269" s="1" t="s">
        <v>9715</v>
      </c>
      <c r="F3269" s="1" t="s">
        <v>9716</v>
      </c>
      <c r="G3269" s="1">
        <v>1950</v>
      </c>
      <c r="H3269" s="1" t="s">
        <v>15</v>
      </c>
      <c r="I3269" s="6" cm="1">
        <f t="array" ref="I3269">GetLatitude(D3269)</f>
        <v>549101850</v>
      </c>
      <c r="J3269" s="1" cm="1">
        <f t="array" ref="J3269">GetLongitude(D3269)</f>
        <v>97885723</v>
      </c>
      <c r="K3269" s="1">
        <f t="shared" si="154"/>
        <v>54.910184999999998</v>
      </c>
      <c r="L3269" s="1">
        <f t="shared" si="155"/>
        <v>9.7885723000000002</v>
      </c>
    </row>
    <row r="3270" spans="1:12" ht="16" x14ac:dyDescent="0.2">
      <c r="A3270" s="1">
        <v>3269</v>
      </c>
      <c r="B3270" s="1" t="s">
        <v>9627</v>
      </c>
      <c r="C3270" s="1" t="s">
        <v>9717</v>
      </c>
      <c r="D3270" s="1" t="str">
        <f t="shared" si="153"/>
        <v>Sønderborg KommuneMøllegade 15</v>
      </c>
      <c r="E3270" s="1" t="s">
        <v>9718</v>
      </c>
      <c r="F3270" s="1" t="s">
        <v>9719</v>
      </c>
      <c r="G3270" s="1">
        <v>2002</v>
      </c>
      <c r="H3270" s="1" t="s">
        <v>15</v>
      </c>
      <c r="I3270" s="6" cm="1">
        <f t="array" ref="I3270">GetLatitude(D3270)</f>
        <v>549139394</v>
      </c>
      <c r="J3270" s="1" cm="1">
        <f t="array" ref="J3270">GetLongitude(D3270)</f>
        <v>97985443</v>
      </c>
      <c r="K3270" s="1">
        <f t="shared" si="154"/>
        <v>54.913939399999997</v>
      </c>
      <c r="L3270" s="1">
        <f t="shared" si="155"/>
        <v>9.7985442999999997</v>
      </c>
    </row>
    <row r="3271" spans="1:12" ht="16" x14ac:dyDescent="0.2">
      <c r="A3271" s="1">
        <v>3270</v>
      </c>
      <c r="B3271" s="1" t="s">
        <v>9627</v>
      </c>
      <c r="C3271" s="1" t="s">
        <v>9720</v>
      </c>
      <c r="D3271" s="1" t="str">
        <f t="shared" si="153"/>
        <v>Sønderborg KommuneNordborgvej 118 K</v>
      </c>
      <c r="E3271" s="1" t="s">
        <v>9721</v>
      </c>
      <c r="F3271" s="1" t="s">
        <v>9722</v>
      </c>
      <c r="G3271" s="1">
        <v>1945</v>
      </c>
      <c r="H3271" s="1" t="s">
        <v>15</v>
      </c>
      <c r="I3271" s="6" cm="1">
        <f t="array" ref="I3271">GetLatitude(D3271)</f>
        <v>549840680</v>
      </c>
      <c r="J3271" s="1" cm="1">
        <f t="array" ref="J3271">GetLongitude(D3271)</f>
        <v>98691820</v>
      </c>
      <c r="K3271" s="1">
        <f t="shared" si="154"/>
        <v>54.984068000000001</v>
      </c>
      <c r="L3271" s="1">
        <f t="shared" si="155"/>
        <v>9.8691820000000003</v>
      </c>
    </row>
    <row r="3272" spans="1:12" ht="16" x14ac:dyDescent="0.2">
      <c r="A3272" s="1">
        <v>3271</v>
      </c>
      <c r="B3272" s="1" t="s">
        <v>9627</v>
      </c>
      <c r="C3272" s="1" t="s">
        <v>9723</v>
      </c>
      <c r="D3272" s="1" t="str">
        <f t="shared" si="153"/>
        <v>Sønderborg KommuneNotmark 23</v>
      </c>
      <c r="E3272" s="1" t="s">
        <v>9724</v>
      </c>
      <c r="F3272" s="1" t="s">
        <v>9725</v>
      </c>
      <c r="G3272" s="1">
        <v>1945</v>
      </c>
      <c r="H3272" s="1" t="s">
        <v>11</v>
      </c>
      <c r="I3272" s="6" cm="1">
        <f t="array" ref="I3272">GetLatitude(D3272)</f>
        <v>549783666</v>
      </c>
      <c r="J3272" s="1" cm="1">
        <f t="array" ref="J3272">GetLongitude(D3272)</f>
        <v>99349967</v>
      </c>
      <c r="K3272" s="1">
        <f t="shared" si="154"/>
        <v>54.978366600000001</v>
      </c>
      <c r="L3272" s="1">
        <f t="shared" si="155"/>
        <v>9.9349966999999992</v>
      </c>
    </row>
    <row r="3273" spans="1:12" ht="16" x14ac:dyDescent="0.2">
      <c r="A3273" s="1">
        <v>3272</v>
      </c>
      <c r="B3273" s="1" t="s">
        <v>9627</v>
      </c>
      <c r="C3273" s="1" t="s">
        <v>9726</v>
      </c>
      <c r="D3273" s="1" t="str">
        <f t="shared" si="153"/>
        <v>Sønderborg KommuneNotmark 4</v>
      </c>
      <c r="E3273" s="1" t="s">
        <v>9727</v>
      </c>
      <c r="F3273" s="1" t="s">
        <v>9728</v>
      </c>
      <c r="G3273" s="1">
        <v>1932</v>
      </c>
      <c r="H3273" s="1" t="s">
        <v>15</v>
      </c>
      <c r="I3273" s="6" cm="1">
        <f t="array" ref="I3273">GetLatitude(D3273)</f>
        <v>549789839</v>
      </c>
      <c r="J3273" s="1" cm="1">
        <f t="array" ref="J3273">GetLongitude(D3273)</f>
        <v>99293436</v>
      </c>
      <c r="K3273" s="1">
        <f t="shared" si="154"/>
        <v>54.978983900000003</v>
      </c>
      <c r="L3273" s="1">
        <f t="shared" si="155"/>
        <v>9.9293435999999993</v>
      </c>
    </row>
    <row r="3274" spans="1:12" ht="16" x14ac:dyDescent="0.2">
      <c r="A3274" s="1">
        <v>3273</v>
      </c>
      <c r="B3274" s="1" t="s">
        <v>9627</v>
      </c>
      <c r="C3274" s="1" t="s">
        <v>9729</v>
      </c>
      <c r="D3274" s="1" t="str">
        <f t="shared" si="153"/>
        <v>Sønderborg KommuneOsbækvej 15</v>
      </c>
      <c r="E3274" s="1" t="s">
        <v>9730</v>
      </c>
      <c r="F3274" s="1" t="s">
        <v>9731</v>
      </c>
      <c r="G3274" s="1">
        <v>1950</v>
      </c>
      <c r="H3274" s="1" t="s">
        <v>15</v>
      </c>
      <c r="I3274" s="6" cm="1">
        <f t="array" ref="I3274">GetLatitude(D3274)</f>
        <v>549138110</v>
      </c>
      <c r="J3274" s="1" cm="1">
        <f t="array" ref="J3274">GetLongitude(D3274)</f>
        <v>97921780</v>
      </c>
      <c r="K3274" s="1">
        <f t="shared" si="154"/>
        <v>54.913811000000003</v>
      </c>
      <c r="L3274" s="1">
        <f t="shared" si="155"/>
        <v>9.7921779999999998</v>
      </c>
    </row>
    <row r="3275" spans="1:12" ht="16" x14ac:dyDescent="0.2">
      <c r="A3275" s="1">
        <v>3274</v>
      </c>
      <c r="B3275" s="1" t="s">
        <v>9627</v>
      </c>
      <c r="C3275" s="1" t="s">
        <v>9732</v>
      </c>
      <c r="D3275" s="1" t="str">
        <f t="shared" si="153"/>
        <v>Sønderborg KommunePalævej 1 (tidl Augustenborg Sygehus 1-2 og 6)</v>
      </c>
      <c r="E3275" s="1" t="s">
        <v>9733</v>
      </c>
      <c r="F3275" s="1" t="s">
        <v>9734</v>
      </c>
      <c r="G3275" s="1">
        <v>1921</v>
      </c>
      <c r="H3275" s="1" t="s">
        <v>9735</v>
      </c>
      <c r="I3275" s="6" cm="1">
        <f t="array" ref="I3275">GetLatitude(D3275)</f>
        <v>549457286</v>
      </c>
      <c r="J3275" s="1" cm="1">
        <f t="array" ref="J3275">GetLongitude(D3275)</f>
        <v>98637965</v>
      </c>
      <c r="K3275" s="1">
        <f t="shared" si="154"/>
        <v>54.945728600000002</v>
      </c>
      <c r="L3275" s="1">
        <f t="shared" si="155"/>
        <v>9.8637964999999994</v>
      </c>
    </row>
    <row r="3276" spans="1:12" ht="16" x14ac:dyDescent="0.2">
      <c r="A3276" s="1">
        <v>3275</v>
      </c>
      <c r="B3276" s="1" t="s">
        <v>9627</v>
      </c>
      <c r="C3276" s="1" t="s">
        <v>9736</v>
      </c>
      <c r="D3276" s="1" t="str">
        <f t="shared" si="153"/>
        <v>Sønderborg KommunePalævej 2</v>
      </c>
      <c r="E3276" s="1" t="s">
        <v>9737</v>
      </c>
      <c r="F3276" s="1" t="s">
        <v>9738</v>
      </c>
      <c r="G3276" s="1">
        <v>1955</v>
      </c>
      <c r="H3276" s="1" t="s">
        <v>11</v>
      </c>
      <c r="I3276" s="6" cm="1">
        <f t="array" ref="I3276">GetLatitude(D3276)</f>
        <v>549460467</v>
      </c>
      <c r="J3276" s="1" cm="1">
        <f t="array" ref="J3276">GetLongitude(D3276)</f>
        <v>98655197</v>
      </c>
      <c r="K3276" s="1">
        <f t="shared" si="154"/>
        <v>54.946046699999997</v>
      </c>
      <c r="L3276" s="1">
        <f t="shared" si="155"/>
        <v>9.8655197000000001</v>
      </c>
    </row>
    <row r="3277" spans="1:12" ht="16" x14ac:dyDescent="0.2">
      <c r="A3277" s="1">
        <v>3276</v>
      </c>
      <c r="B3277" s="1" t="s">
        <v>9627</v>
      </c>
      <c r="C3277" s="1" t="s">
        <v>9739</v>
      </c>
      <c r="D3277" s="1" t="str">
        <f t="shared" si="153"/>
        <v>Sønderborg KommunePerlegade 49 og 49 A</v>
      </c>
      <c r="E3277" s="1" t="s">
        <v>9740</v>
      </c>
      <c r="F3277" s="1" t="s">
        <v>9741</v>
      </c>
      <c r="G3277" s="1">
        <v>1950</v>
      </c>
      <c r="H3277" s="1" t="s">
        <v>1890</v>
      </c>
      <c r="I3277" s="6" cm="1">
        <f t="array" ref="I3277">GetLatitude(D3277)</f>
        <v>549119066</v>
      </c>
      <c r="J3277" s="1" cm="1">
        <f t="array" ref="J3277">GetLongitude(D3277)</f>
        <v>97920326</v>
      </c>
      <c r="K3277" s="1">
        <f t="shared" si="154"/>
        <v>54.911906600000002</v>
      </c>
      <c r="L3277" s="1">
        <f t="shared" si="155"/>
        <v>9.7920326000000006</v>
      </c>
    </row>
    <row r="3278" spans="1:12" ht="16" x14ac:dyDescent="0.2">
      <c r="A3278" s="1">
        <v>3277</v>
      </c>
      <c r="B3278" s="1" t="s">
        <v>9627</v>
      </c>
      <c r="C3278" s="1" t="s">
        <v>9742</v>
      </c>
      <c r="D3278" s="1" t="str">
        <f t="shared" si="153"/>
        <v>Sønderborg KommunePerlegade 51</v>
      </c>
      <c r="E3278" s="1" t="s">
        <v>9743</v>
      </c>
      <c r="F3278" s="1" t="s">
        <v>9744</v>
      </c>
      <c r="G3278" s="1">
        <v>1945</v>
      </c>
      <c r="H3278" s="1" t="s">
        <v>15</v>
      </c>
      <c r="I3278" s="6" cm="1">
        <f t="array" ref="I3278">GetLatitude(D3278)</f>
        <v>549120379</v>
      </c>
      <c r="J3278" s="1" cm="1">
        <f t="array" ref="J3278">GetLongitude(D3278)</f>
        <v>97920195</v>
      </c>
      <c r="K3278" s="1">
        <f t="shared" si="154"/>
        <v>54.912037900000001</v>
      </c>
      <c r="L3278" s="1">
        <f t="shared" si="155"/>
        <v>9.7920195000000003</v>
      </c>
    </row>
    <row r="3279" spans="1:12" ht="16" x14ac:dyDescent="0.2">
      <c r="A3279" s="1">
        <v>3278</v>
      </c>
      <c r="B3279" s="1" t="s">
        <v>9627</v>
      </c>
      <c r="C3279" s="1" t="s">
        <v>9745</v>
      </c>
      <c r="D3279" s="1" t="str">
        <f t="shared" si="153"/>
        <v>Sønderborg KommunePerlegade 58</v>
      </c>
      <c r="E3279" s="1" t="s">
        <v>9746</v>
      </c>
      <c r="F3279" s="1" t="s">
        <v>373</v>
      </c>
      <c r="G3279" s="1">
        <v>1945</v>
      </c>
      <c r="H3279" s="1" t="s">
        <v>11</v>
      </c>
      <c r="I3279" s="6" cm="1">
        <f t="array" ref="I3279">GetLatitude(D3279)</f>
        <v>549128784</v>
      </c>
      <c r="J3279" s="1" cm="1">
        <f t="array" ref="J3279">GetLongitude(D3279)</f>
        <v>97934319</v>
      </c>
      <c r="K3279" s="1">
        <f t="shared" si="154"/>
        <v>54.912878399999997</v>
      </c>
      <c r="L3279" s="1">
        <f t="shared" si="155"/>
        <v>9.7934318999999999</v>
      </c>
    </row>
    <row r="3280" spans="1:12" ht="16" x14ac:dyDescent="0.2">
      <c r="A3280" s="1">
        <v>3279</v>
      </c>
      <c r="B3280" s="1" t="s">
        <v>9627</v>
      </c>
      <c r="C3280" s="1" t="s">
        <v>9747</v>
      </c>
      <c r="D3280" s="1" t="str">
        <f t="shared" si="153"/>
        <v>Sønderborg KommunePerlegade 61</v>
      </c>
      <c r="E3280" s="1" t="s">
        <v>9748</v>
      </c>
      <c r="F3280" s="1" t="s">
        <v>9749</v>
      </c>
      <c r="G3280" s="1">
        <v>1921</v>
      </c>
      <c r="H3280" s="1" t="s">
        <v>11</v>
      </c>
      <c r="I3280" s="6" cm="1">
        <f t="array" ref="I3280">GetLatitude(D3280)</f>
        <v>549125619</v>
      </c>
      <c r="J3280" s="1" cm="1">
        <f t="array" ref="J3280">GetLongitude(D3280)</f>
        <v>97925184</v>
      </c>
      <c r="K3280" s="1">
        <f t="shared" si="154"/>
        <v>54.9125619</v>
      </c>
      <c r="L3280" s="1">
        <f t="shared" si="155"/>
        <v>9.7925184000000005</v>
      </c>
    </row>
    <row r="3281" spans="1:12" ht="16" x14ac:dyDescent="0.2">
      <c r="A3281" s="1">
        <v>3280</v>
      </c>
      <c r="B3281" s="1" t="s">
        <v>9627</v>
      </c>
      <c r="C3281" s="1" t="s">
        <v>9750</v>
      </c>
      <c r="D3281" s="1" t="str">
        <f t="shared" si="153"/>
        <v>Sønderborg KommunePræstevænget 3 A</v>
      </c>
      <c r="E3281" s="1" t="s">
        <v>9751</v>
      </c>
      <c r="F3281" s="1" t="s">
        <v>9752</v>
      </c>
      <c r="G3281" s="1">
        <v>1954</v>
      </c>
      <c r="H3281" s="1" t="s">
        <v>15</v>
      </c>
      <c r="I3281" s="6" cm="1">
        <f t="array" ref="I3281">GetLatitude(D3281)</f>
        <v>549124017</v>
      </c>
      <c r="J3281" s="1" cm="1">
        <f t="array" ref="J3281">GetLongitude(D3281)</f>
        <v>97946357</v>
      </c>
      <c r="K3281" s="1">
        <f t="shared" si="154"/>
        <v>54.912401699999997</v>
      </c>
      <c r="L3281" s="1">
        <f t="shared" si="155"/>
        <v>9.7946357000000006</v>
      </c>
    </row>
    <row r="3282" spans="1:12" ht="16" x14ac:dyDescent="0.2">
      <c r="A3282" s="1">
        <v>3281</v>
      </c>
      <c r="B3282" s="1" t="s">
        <v>9627</v>
      </c>
      <c r="C3282" s="1" t="s">
        <v>9753</v>
      </c>
      <c r="D3282" s="1" t="str">
        <f t="shared" si="153"/>
        <v>Sønderborg KommuneRamserl 20</v>
      </c>
      <c r="E3282" s="1" t="s">
        <v>9754</v>
      </c>
      <c r="F3282" s="1" t="s">
        <v>9755</v>
      </c>
      <c r="G3282" s="1">
        <v>1945</v>
      </c>
      <c r="H3282" s="1" t="s">
        <v>15</v>
      </c>
      <c r="I3282" s="6" cm="1">
        <f t="array" ref="I3282">GetLatitude(D3282)</f>
        <v>549691282</v>
      </c>
      <c r="J3282" s="1" cm="1">
        <f t="array" ref="J3282">GetLongitude(D3282)</f>
        <v>99056947</v>
      </c>
      <c r="K3282" s="1">
        <f t="shared" si="154"/>
        <v>54.9691282</v>
      </c>
      <c r="L3282" s="1">
        <f t="shared" si="155"/>
        <v>9.9056946999999997</v>
      </c>
    </row>
    <row r="3283" spans="1:12" ht="16" x14ac:dyDescent="0.2">
      <c r="A3283" s="1">
        <v>3282</v>
      </c>
      <c r="B3283" s="1" t="s">
        <v>9627</v>
      </c>
      <c r="C3283" s="1" t="s">
        <v>9756</v>
      </c>
      <c r="D3283" s="1" t="str">
        <f t="shared" si="153"/>
        <v>Sønderborg KommuneRosengade 18</v>
      </c>
      <c r="E3283" s="1" t="s">
        <v>3267</v>
      </c>
      <c r="F3283" s="1" t="s">
        <v>9757</v>
      </c>
      <c r="G3283" s="1">
        <v>1921</v>
      </c>
      <c r="H3283" s="1" t="s">
        <v>15</v>
      </c>
      <c r="I3283" s="6" cm="1">
        <f t="array" ref="I3283">GetLatitude(D3283)</f>
        <v>549066601</v>
      </c>
      <c r="J3283" s="1" cm="1">
        <f t="array" ref="J3283">GetLongitude(D3283)</f>
        <v>97882070</v>
      </c>
      <c r="K3283" s="1">
        <f t="shared" si="154"/>
        <v>54.906660100000003</v>
      </c>
      <c r="L3283" s="1">
        <f t="shared" si="155"/>
        <v>9.7882069999999999</v>
      </c>
    </row>
    <row r="3284" spans="1:12" ht="16" x14ac:dyDescent="0.2">
      <c r="A3284" s="1">
        <v>3283</v>
      </c>
      <c r="B3284" s="1" t="s">
        <v>9627</v>
      </c>
      <c r="C3284" s="1" t="s">
        <v>9758</v>
      </c>
      <c r="D3284" s="1" t="str">
        <f t="shared" si="153"/>
        <v>Sønderborg KommuneRosengade 7</v>
      </c>
      <c r="E3284" s="1" t="s">
        <v>9759</v>
      </c>
      <c r="F3284" s="1" t="s">
        <v>416</v>
      </c>
      <c r="G3284" s="1">
        <v>1921</v>
      </c>
      <c r="H3284" s="1" t="s">
        <v>11</v>
      </c>
      <c r="I3284" s="6" cm="1">
        <f t="array" ref="I3284">GetLatitude(D3284)</f>
        <v>549068591</v>
      </c>
      <c r="J3284" s="1" cm="1">
        <f t="array" ref="J3284">GetLongitude(D3284)</f>
        <v>97873602</v>
      </c>
      <c r="K3284" s="1">
        <f t="shared" si="154"/>
        <v>54.906859099999998</v>
      </c>
      <c r="L3284" s="1">
        <f t="shared" si="155"/>
        <v>9.7873602000000002</v>
      </c>
    </row>
    <row r="3285" spans="1:12" ht="16" x14ac:dyDescent="0.2">
      <c r="A3285" s="1">
        <v>3284</v>
      </c>
      <c r="B3285" s="1" t="s">
        <v>9627</v>
      </c>
      <c r="C3285" s="1" t="s">
        <v>9760</v>
      </c>
      <c r="D3285" s="1" t="str">
        <f t="shared" si="153"/>
        <v>Sønderborg KommuneRådhustorvet 10</v>
      </c>
      <c r="E3285" s="1" t="s">
        <v>9761</v>
      </c>
      <c r="F3285" s="1" t="s">
        <v>9762</v>
      </c>
      <c r="G3285" s="1">
        <v>1995</v>
      </c>
      <c r="H3285" s="1" t="s">
        <v>15</v>
      </c>
      <c r="I3285" s="6" cm="1">
        <f t="array" ref="I3285">GetLatitude(D3285)</f>
        <v>549086042</v>
      </c>
      <c r="J3285" s="1" cm="1">
        <f t="array" ref="J3285">GetLongitude(D3285)</f>
        <v>97888587</v>
      </c>
      <c r="K3285" s="1">
        <f t="shared" si="154"/>
        <v>54.908604199999999</v>
      </c>
      <c r="L3285" s="1">
        <f t="shared" si="155"/>
        <v>9.7888587000000005</v>
      </c>
    </row>
    <row r="3286" spans="1:12" ht="16" x14ac:dyDescent="0.2">
      <c r="A3286" s="1">
        <v>3285</v>
      </c>
      <c r="B3286" s="1" t="s">
        <v>9627</v>
      </c>
      <c r="C3286" s="1" t="s">
        <v>9763</v>
      </c>
      <c r="D3286" s="1" t="str">
        <f t="shared" si="153"/>
        <v>Sønderborg KommuneSandbjergvej 101</v>
      </c>
      <c r="E3286" s="1" t="s">
        <v>9764</v>
      </c>
      <c r="F3286" s="1" t="s">
        <v>8808</v>
      </c>
      <c r="G3286" s="1">
        <v>2008</v>
      </c>
      <c r="H3286" s="1" t="s">
        <v>15</v>
      </c>
      <c r="I3286" s="6" cm="1">
        <f t="array" ref="I3286">GetLatitude(D3286)</f>
        <v>549468476</v>
      </c>
      <c r="J3286" s="1" cm="1">
        <f t="array" ref="J3286">GetLongitude(D3286)</f>
        <v>97471640</v>
      </c>
      <c r="K3286" s="1">
        <f t="shared" si="154"/>
        <v>54.946847599999998</v>
      </c>
      <c r="L3286" s="1">
        <f t="shared" si="155"/>
        <v>9.7471639999999997</v>
      </c>
    </row>
    <row r="3287" spans="1:12" ht="16" x14ac:dyDescent="0.2">
      <c r="A3287" s="1">
        <v>3286</v>
      </c>
      <c r="B3287" s="1" t="s">
        <v>9627</v>
      </c>
      <c r="C3287" s="1" t="s">
        <v>9765</v>
      </c>
      <c r="D3287" s="1" t="str">
        <f t="shared" si="153"/>
        <v>Sønderborg KommuneSandbjergvej 102-104</v>
      </c>
      <c r="E3287" s="1" t="s">
        <v>9766</v>
      </c>
      <c r="F3287" s="1" t="s">
        <v>9767</v>
      </c>
      <c r="G3287" s="1">
        <v>1945</v>
      </c>
      <c r="H3287" s="1" t="s">
        <v>15</v>
      </c>
      <c r="I3287" s="6" cm="1">
        <f t="array" ref="I3287">GetLatitude(D3287)</f>
        <v>549498785</v>
      </c>
      <c r="J3287" s="1" cm="1">
        <f t="array" ref="J3287">GetLongitude(D3287)</f>
        <v>97491612</v>
      </c>
      <c r="K3287" s="1">
        <f t="shared" si="154"/>
        <v>54.949878499999997</v>
      </c>
      <c r="L3287" s="1">
        <f t="shared" si="155"/>
        <v>9.7491611999999996</v>
      </c>
    </row>
    <row r="3288" spans="1:12" ht="16" x14ac:dyDescent="0.2">
      <c r="A3288" s="1">
        <v>3287</v>
      </c>
      <c r="B3288" s="1" t="s">
        <v>9627</v>
      </c>
      <c r="C3288" s="1" t="s">
        <v>9768</v>
      </c>
      <c r="D3288" s="1" t="str">
        <f t="shared" si="153"/>
        <v>Sønderborg KommuneSandvej 21</v>
      </c>
      <c r="E3288" s="1" t="s">
        <v>9769</v>
      </c>
      <c r="F3288" s="1" t="s">
        <v>9770</v>
      </c>
      <c r="G3288" s="1">
        <v>1979</v>
      </c>
      <c r="H3288" s="1" t="s">
        <v>11</v>
      </c>
      <c r="I3288" s="6" cm="1">
        <f t="array" ref="I3288">GetLatitude(D3288)</f>
        <v>550275319</v>
      </c>
      <c r="J3288" s="1" cm="1">
        <f t="array" ref="J3288">GetLongitude(D3288)</f>
        <v>98282378</v>
      </c>
      <c r="K3288" s="1">
        <f t="shared" si="154"/>
        <v>55.0275319</v>
      </c>
      <c r="L3288" s="1">
        <f t="shared" si="155"/>
        <v>9.8282378000000001</v>
      </c>
    </row>
    <row r="3289" spans="1:12" ht="16" x14ac:dyDescent="0.2">
      <c r="A3289" s="1">
        <v>3288</v>
      </c>
      <c r="B3289" s="1" t="s">
        <v>9627</v>
      </c>
      <c r="C3289" s="1" t="s">
        <v>9771</v>
      </c>
      <c r="D3289" s="1" t="str">
        <f t="shared" si="153"/>
        <v>Sønderborg KommuneSandvej 7</v>
      </c>
      <c r="E3289" s="1" t="s">
        <v>6912</v>
      </c>
      <c r="F3289" s="1" t="s">
        <v>9772</v>
      </c>
      <c r="G3289" s="1">
        <v>1985</v>
      </c>
      <c r="H3289" s="1" t="s">
        <v>15</v>
      </c>
      <c r="I3289" s="6" cm="1">
        <f t="array" ref="I3289">GetLatitude(D3289)</f>
        <v>550270365</v>
      </c>
      <c r="J3289" s="1" cm="1">
        <f t="array" ref="J3289">GetLongitude(D3289)</f>
        <v>98257761</v>
      </c>
      <c r="K3289" s="1">
        <f t="shared" si="154"/>
        <v>55.027036500000001</v>
      </c>
      <c r="L3289" s="1">
        <f t="shared" si="155"/>
        <v>9.8257761000000006</v>
      </c>
    </row>
    <row r="3290" spans="1:12" ht="16" x14ac:dyDescent="0.2">
      <c r="A3290" s="1">
        <v>3289</v>
      </c>
      <c r="B3290" s="1" t="s">
        <v>9627</v>
      </c>
      <c r="C3290" s="1" t="s">
        <v>9773</v>
      </c>
      <c r="D3290" s="1" t="str">
        <f t="shared" si="153"/>
        <v>Sønderborg KommuneSankt Jørgensgade 1</v>
      </c>
      <c r="E3290" s="1" t="s">
        <v>9774</v>
      </c>
      <c r="F3290" s="1" t="s">
        <v>9775</v>
      </c>
      <c r="G3290" s="1">
        <v>1921</v>
      </c>
      <c r="H3290" s="1" t="s">
        <v>11</v>
      </c>
      <c r="I3290" s="6" cm="1">
        <f t="array" ref="I3290">GetLatitude(D3290)</f>
        <v>549106837</v>
      </c>
      <c r="J3290" s="1" cm="1">
        <f t="array" ref="J3290">GetLongitude(D3290)</f>
        <v>97878431</v>
      </c>
      <c r="K3290" s="1">
        <f t="shared" si="154"/>
        <v>54.9106837</v>
      </c>
      <c r="L3290" s="1">
        <f t="shared" si="155"/>
        <v>9.7878430999999999</v>
      </c>
    </row>
    <row r="3291" spans="1:12" ht="16" x14ac:dyDescent="0.2">
      <c r="A3291" s="1">
        <v>3290</v>
      </c>
      <c r="B3291" s="1" t="s">
        <v>9627</v>
      </c>
      <c r="C3291" s="1" t="s">
        <v>9776</v>
      </c>
      <c r="D3291" s="1" t="str">
        <f t="shared" si="153"/>
        <v>Sønderborg KommuneSejrsvej 79</v>
      </c>
      <c r="E3291" s="1" t="s">
        <v>9777</v>
      </c>
      <c r="F3291" s="1" t="s">
        <v>9778</v>
      </c>
      <c r="G3291" s="1">
        <v>1988</v>
      </c>
      <c r="H3291" s="1" t="s">
        <v>15</v>
      </c>
      <c r="I3291" s="6" cm="1">
        <f t="array" ref="I3291">GetLatitude(D3291)</f>
        <v>548909900</v>
      </c>
      <c r="J3291" s="1" cm="1">
        <f t="array" ref="J3291">GetLongitude(D3291)</f>
        <v>95492340</v>
      </c>
      <c r="K3291" s="1">
        <f t="shared" si="154"/>
        <v>54.890990000000002</v>
      </c>
      <c r="L3291" s="1">
        <f t="shared" si="155"/>
        <v>9.5492340000000002</v>
      </c>
    </row>
    <row r="3292" spans="1:12" ht="16" x14ac:dyDescent="0.2">
      <c r="A3292" s="1">
        <v>3291</v>
      </c>
      <c r="B3292" s="1" t="s">
        <v>9627</v>
      </c>
      <c r="C3292" s="1" t="s">
        <v>9779</v>
      </c>
      <c r="D3292" s="1" t="str">
        <f t="shared" si="153"/>
        <v>Sønderborg KommuneSlotsallé 10 A-E</v>
      </c>
      <c r="E3292" s="1" t="s">
        <v>9780</v>
      </c>
      <c r="F3292" s="1" t="s">
        <v>9781</v>
      </c>
      <c r="G3292" s="1">
        <v>1950</v>
      </c>
      <c r="H3292" s="1" t="s">
        <v>15</v>
      </c>
      <c r="I3292" s="6" cm="1">
        <f t="array" ref="I3292">GetLatitude(D3292)</f>
        <v>549138110</v>
      </c>
      <c r="J3292" s="1" cm="1">
        <f t="array" ref="J3292">GetLongitude(D3292)</f>
        <v>97921780</v>
      </c>
      <c r="K3292" s="1">
        <f t="shared" si="154"/>
        <v>54.913811000000003</v>
      </c>
      <c r="L3292" s="1">
        <f t="shared" si="155"/>
        <v>9.7921779999999998</v>
      </c>
    </row>
    <row r="3293" spans="1:12" ht="16" x14ac:dyDescent="0.2">
      <c r="A3293" s="1">
        <v>3292</v>
      </c>
      <c r="B3293" s="1" t="s">
        <v>9627</v>
      </c>
      <c r="C3293" s="1" t="s">
        <v>9782</v>
      </c>
      <c r="D3293" s="1" t="str">
        <f t="shared" si="153"/>
        <v>Sønderborg KommuneSmedegade 15</v>
      </c>
      <c r="E3293" s="1" t="s">
        <v>9783</v>
      </c>
      <c r="F3293" s="1" t="s">
        <v>9784</v>
      </c>
      <c r="G3293" s="1">
        <v>1993</v>
      </c>
      <c r="H3293" s="1" t="s">
        <v>15</v>
      </c>
      <c r="I3293" s="6" cm="1">
        <f t="array" ref="I3293">GetLatitude(D3293)</f>
        <v>549138110</v>
      </c>
      <c r="J3293" s="1" cm="1">
        <f t="array" ref="J3293">GetLongitude(D3293)</f>
        <v>97921780</v>
      </c>
      <c r="K3293" s="1">
        <f t="shared" si="154"/>
        <v>54.913811000000003</v>
      </c>
      <c r="L3293" s="1">
        <f t="shared" si="155"/>
        <v>9.7921779999999998</v>
      </c>
    </row>
    <row r="3294" spans="1:12" ht="16" x14ac:dyDescent="0.2">
      <c r="A3294" s="1">
        <v>3293</v>
      </c>
      <c r="B3294" s="1" t="s">
        <v>9627</v>
      </c>
      <c r="C3294" s="1" t="s">
        <v>9785</v>
      </c>
      <c r="D3294" s="1" t="str">
        <f t="shared" si="153"/>
        <v>Sønderborg KommuneSmedegade 17</v>
      </c>
      <c r="E3294" s="1" t="s">
        <v>9786</v>
      </c>
      <c r="F3294" s="1" t="s">
        <v>9787</v>
      </c>
      <c r="G3294" s="1">
        <v>1990</v>
      </c>
      <c r="H3294" s="1" t="s">
        <v>15</v>
      </c>
      <c r="I3294" s="6" cm="1">
        <f t="array" ref="I3294">GetLatitude(D3294)</f>
        <v>549650091</v>
      </c>
      <c r="J3294" s="1" cm="1">
        <f t="array" ref="J3294">GetLongitude(D3294)</f>
        <v>98976407</v>
      </c>
      <c r="K3294" s="1">
        <f t="shared" si="154"/>
        <v>54.965009100000003</v>
      </c>
      <c r="L3294" s="1">
        <f t="shared" si="155"/>
        <v>9.8976407000000002</v>
      </c>
    </row>
    <row r="3295" spans="1:12" ht="16" x14ac:dyDescent="0.2">
      <c r="A3295" s="1">
        <v>3294</v>
      </c>
      <c r="B3295" s="1" t="s">
        <v>9627</v>
      </c>
      <c r="C3295" s="1" t="s">
        <v>9788</v>
      </c>
      <c r="D3295" s="1" t="str">
        <f t="shared" si="153"/>
        <v>Sønderborg KommuneSmedegade 25</v>
      </c>
      <c r="E3295" s="1" t="s">
        <v>5830</v>
      </c>
      <c r="F3295" s="1" t="s">
        <v>9789</v>
      </c>
      <c r="G3295" s="1">
        <v>1950</v>
      </c>
      <c r="H3295" s="1" t="s">
        <v>701</v>
      </c>
      <c r="I3295" s="6" cm="1">
        <f t="array" ref="I3295">GetLatitude(D3295)</f>
        <v>549658043</v>
      </c>
      <c r="J3295" s="1" cm="1">
        <f t="array" ref="J3295">GetLongitude(D3295)</f>
        <v>98969513</v>
      </c>
      <c r="K3295" s="1">
        <f t="shared" si="154"/>
        <v>54.965804300000002</v>
      </c>
      <c r="L3295" s="1">
        <f t="shared" si="155"/>
        <v>9.8969512999999996</v>
      </c>
    </row>
    <row r="3296" spans="1:12" ht="16" x14ac:dyDescent="0.2">
      <c r="A3296" s="1">
        <v>3295</v>
      </c>
      <c r="B3296" s="1" t="s">
        <v>9627</v>
      </c>
      <c r="C3296" s="1" t="s">
        <v>9790</v>
      </c>
      <c r="D3296" s="1" t="str">
        <f t="shared" si="153"/>
        <v>Sønderborg KommuneStenderup Kirkebakke 4</v>
      </c>
      <c r="E3296" s="1" t="s">
        <v>9791</v>
      </c>
      <c r="F3296" s="1" t="s">
        <v>9792</v>
      </c>
      <c r="G3296" s="1">
        <v>1988</v>
      </c>
      <c r="H3296" s="1" t="s">
        <v>11</v>
      </c>
      <c r="I3296" s="6" cm="1">
        <f t="array" ref="I3296">GetLatitude(D3296)</f>
        <v>549242185</v>
      </c>
      <c r="J3296" s="1" cm="1">
        <f t="array" ref="J3296">GetLongitude(D3296)</f>
        <v>96884706</v>
      </c>
      <c r="K3296" s="1">
        <f t="shared" si="154"/>
        <v>54.924218500000002</v>
      </c>
      <c r="L3296" s="1">
        <f t="shared" si="155"/>
        <v>9.6884706000000005</v>
      </c>
    </row>
    <row r="3297" spans="1:12" ht="16" x14ac:dyDescent="0.2">
      <c r="A3297" s="1">
        <v>3296</v>
      </c>
      <c r="B3297" s="1" t="s">
        <v>9627</v>
      </c>
      <c r="C3297" s="1" t="s">
        <v>9793</v>
      </c>
      <c r="D3297" s="1" t="str">
        <f t="shared" si="153"/>
        <v>Sønderborg KommuneStengade 19</v>
      </c>
      <c r="E3297" s="1" t="s">
        <v>9794</v>
      </c>
      <c r="F3297" s="1" t="s">
        <v>9795</v>
      </c>
      <c r="G3297" s="1">
        <v>1950</v>
      </c>
      <c r="H3297" s="1" t="s">
        <v>15</v>
      </c>
      <c r="I3297" s="6" cm="1">
        <f t="array" ref="I3297">GetLatitude(D3297)</f>
        <v>549100127</v>
      </c>
      <c r="J3297" s="1" cm="1">
        <f t="array" ref="J3297">GetLongitude(D3297)</f>
        <v>97880875</v>
      </c>
      <c r="K3297" s="1">
        <f t="shared" si="154"/>
        <v>54.910012700000003</v>
      </c>
      <c r="L3297" s="1">
        <f t="shared" si="155"/>
        <v>9.7880874999999996</v>
      </c>
    </row>
    <row r="3298" spans="1:12" ht="16" x14ac:dyDescent="0.2">
      <c r="A3298" s="1">
        <v>3297</v>
      </c>
      <c r="B3298" s="1" t="s">
        <v>9627</v>
      </c>
      <c r="C3298" s="1" t="s">
        <v>8397</v>
      </c>
      <c r="D3298" s="1" t="str">
        <f t="shared" si="153"/>
        <v>Sønderborg KommuneStoregade 11</v>
      </c>
      <c r="E3298" s="1" t="s">
        <v>9796</v>
      </c>
      <c r="F3298" s="1" t="s">
        <v>9797</v>
      </c>
      <c r="G3298" s="1">
        <v>1950</v>
      </c>
      <c r="H3298" s="1" t="s">
        <v>11</v>
      </c>
      <c r="I3298" s="6" cm="1">
        <f t="array" ref="I3298">GetLatitude(D3298)</f>
        <v>550579105</v>
      </c>
      <c r="J3298" s="1" cm="1">
        <f t="array" ref="J3298">GetLongitude(D3298)</f>
        <v>97428020</v>
      </c>
      <c r="K3298" s="1">
        <f t="shared" si="154"/>
        <v>55.057910499999998</v>
      </c>
      <c r="L3298" s="1">
        <f t="shared" si="155"/>
        <v>9.7428019999999993</v>
      </c>
    </row>
    <row r="3299" spans="1:12" ht="16" x14ac:dyDescent="0.2">
      <c r="A3299" s="1">
        <v>3298</v>
      </c>
      <c r="B3299" s="1" t="s">
        <v>9627</v>
      </c>
      <c r="C3299" s="1" t="s">
        <v>8400</v>
      </c>
      <c r="D3299" s="1" t="str">
        <f t="shared" si="153"/>
        <v>Sønderborg KommuneStoregade 13</v>
      </c>
      <c r="E3299" s="1" t="s">
        <v>9798</v>
      </c>
      <c r="F3299" s="1" t="s">
        <v>9797</v>
      </c>
      <c r="G3299" s="1">
        <v>1950</v>
      </c>
      <c r="H3299" s="1" t="s">
        <v>15</v>
      </c>
      <c r="I3299" s="6" cm="1">
        <f t="array" ref="I3299">GetLatitude(D3299)</f>
        <v>549138110</v>
      </c>
      <c r="J3299" s="1" cm="1">
        <f t="array" ref="J3299">GetLongitude(D3299)</f>
        <v>97921780</v>
      </c>
      <c r="K3299" s="1">
        <f t="shared" si="154"/>
        <v>54.913811000000003</v>
      </c>
      <c r="L3299" s="1">
        <f t="shared" si="155"/>
        <v>9.7921779999999998</v>
      </c>
    </row>
    <row r="3300" spans="1:12" ht="16" x14ac:dyDescent="0.2">
      <c r="A3300" s="1">
        <v>3299</v>
      </c>
      <c r="B3300" s="1" t="s">
        <v>9627</v>
      </c>
      <c r="C3300" s="1" t="s">
        <v>303</v>
      </c>
      <c r="D3300" s="1" t="str">
        <f t="shared" si="153"/>
        <v>Sønderborg KommuneStoregade 15</v>
      </c>
      <c r="E3300" s="1" t="s">
        <v>9799</v>
      </c>
      <c r="F3300" s="1" t="s">
        <v>9800</v>
      </c>
      <c r="G3300" s="1">
        <v>1950</v>
      </c>
      <c r="H3300" s="1" t="s">
        <v>15</v>
      </c>
      <c r="I3300" s="6" cm="1">
        <f t="array" ref="I3300">GetLatitude(D3300)</f>
        <v>549138110</v>
      </c>
      <c r="J3300" s="1" cm="1">
        <f t="array" ref="J3300">GetLongitude(D3300)</f>
        <v>97921780</v>
      </c>
      <c r="K3300" s="1">
        <f t="shared" si="154"/>
        <v>54.913811000000003</v>
      </c>
      <c r="L3300" s="1">
        <f t="shared" si="155"/>
        <v>9.7921779999999998</v>
      </c>
    </row>
    <row r="3301" spans="1:12" ht="16" x14ac:dyDescent="0.2">
      <c r="A3301" s="1">
        <v>3300</v>
      </c>
      <c r="B3301" s="1" t="s">
        <v>9627</v>
      </c>
      <c r="C3301" s="1" t="s">
        <v>9801</v>
      </c>
      <c r="D3301" s="1" t="str">
        <f t="shared" si="153"/>
        <v>Sønderborg KommuneStoregade 19</v>
      </c>
      <c r="E3301" s="1" t="s">
        <v>9802</v>
      </c>
      <c r="F3301" s="1" t="s">
        <v>9803</v>
      </c>
      <c r="G3301" s="1">
        <v>1950</v>
      </c>
      <c r="H3301" s="1" t="s">
        <v>11</v>
      </c>
      <c r="I3301" s="6" cm="1">
        <f t="array" ref="I3301">GetLatitude(D3301)</f>
        <v>549459358</v>
      </c>
      <c r="J3301" s="1" cm="1">
        <f t="array" ref="J3301">GetLongitude(D3301)</f>
        <v>98692635</v>
      </c>
      <c r="K3301" s="1">
        <f t="shared" si="154"/>
        <v>54.945935800000001</v>
      </c>
      <c r="L3301" s="1">
        <f t="shared" si="155"/>
        <v>9.8692635000000006</v>
      </c>
    </row>
    <row r="3302" spans="1:12" ht="16" x14ac:dyDescent="0.2">
      <c r="A3302" s="1">
        <v>3301</v>
      </c>
      <c r="B3302" s="1" t="s">
        <v>9627</v>
      </c>
      <c r="C3302" s="1" t="s">
        <v>9804</v>
      </c>
      <c r="D3302" s="1" t="str">
        <f t="shared" si="153"/>
        <v>Sønderborg KommuneStoregade 20</v>
      </c>
      <c r="E3302" s="1" t="s">
        <v>9805</v>
      </c>
      <c r="F3302" s="1" t="s">
        <v>9806</v>
      </c>
      <c r="G3302" s="1">
        <v>1955</v>
      </c>
      <c r="H3302" s="1" t="s">
        <v>15</v>
      </c>
      <c r="I3302" s="6" cm="1">
        <f t="array" ref="I3302">GetLatitude(D3302)</f>
        <v>549138110</v>
      </c>
      <c r="J3302" s="1" cm="1">
        <f t="array" ref="J3302">GetLongitude(D3302)</f>
        <v>97921780</v>
      </c>
      <c r="K3302" s="1">
        <f t="shared" si="154"/>
        <v>54.913811000000003</v>
      </c>
      <c r="L3302" s="1">
        <f t="shared" si="155"/>
        <v>9.7921779999999998</v>
      </c>
    </row>
    <row r="3303" spans="1:12" ht="16" x14ac:dyDescent="0.2">
      <c r="A3303" s="1">
        <v>3302</v>
      </c>
      <c r="B3303" s="1" t="s">
        <v>9627</v>
      </c>
      <c r="C3303" s="1" t="s">
        <v>9807</v>
      </c>
      <c r="D3303" s="1" t="str">
        <f t="shared" si="153"/>
        <v>Sønderborg Kommune Storegade 23</v>
      </c>
      <c r="E3303" s="1" t="s">
        <v>9808</v>
      </c>
      <c r="F3303" s="1" t="s">
        <v>9355</v>
      </c>
      <c r="G3303" s="1">
        <v>1955</v>
      </c>
      <c r="H3303" s="1" t="s">
        <v>11</v>
      </c>
      <c r="I3303" s="6" cm="1">
        <f t="array" ref="I3303">GetLatitude(D3303)</f>
        <v>549459905</v>
      </c>
      <c r="J3303" s="1" cm="1">
        <f t="array" ref="J3303">GetLongitude(D3303)</f>
        <v>98699250</v>
      </c>
      <c r="K3303" s="1">
        <f t="shared" si="154"/>
        <v>54.945990500000001</v>
      </c>
      <c r="L3303" s="1">
        <f t="shared" si="155"/>
        <v>9.8699250000000003</v>
      </c>
    </row>
    <row r="3304" spans="1:12" ht="16" x14ac:dyDescent="0.2">
      <c r="A3304" s="1">
        <v>3303</v>
      </c>
      <c r="B3304" s="1" t="s">
        <v>9627</v>
      </c>
      <c r="C3304" s="1" t="s">
        <v>9809</v>
      </c>
      <c r="D3304" s="1" t="str">
        <f t="shared" si="153"/>
        <v>Sønderborg KommuneStrelbjergvej 17-17 A</v>
      </c>
      <c r="E3304" s="1" t="s">
        <v>9810</v>
      </c>
      <c r="F3304" s="1" t="s">
        <v>9811</v>
      </c>
      <c r="G3304" s="1">
        <v>1944</v>
      </c>
      <c r="H3304" s="1" t="s">
        <v>15</v>
      </c>
      <c r="I3304" s="6" cm="1">
        <f t="array" ref="I3304">GetLatitude(D3304)</f>
        <v>550047610</v>
      </c>
      <c r="J3304" s="1" cm="1">
        <f t="array" ref="J3304">GetLongitude(D3304)</f>
        <v>99333096</v>
      </c>
      <c r="K3304" s="1">
        <f t="shared" si="154"/>
        <v>55.004761000000002</v>
      </c>
      <c r="L3304" s="1">
        <f t="shared" si="155"/>
        <v>9.9333095999999994</v>
      </c>
    </row>
    <row r="3305" spans="1:12" ht="16" x14ac:dyDescent="0.2">
      <c r="A3305" s="1">
        <v>3304</v>
      </c>
      <c r="B3305" s="1" t="s">
        <v>9627</v>
      </c>
      <c r="C3305" s="1" t="s">
        <v>9812</v>
      </c>
      <c r="D3305" s="1" t="str">
        <f t="shared" si="153"/>
        <v>Sønderborg KommuneSønderbro 1 A</v>
      </c>
      <c r="E3305" s="1" t="s">
        <v>9813</v>
      </c>
      <c r="F3305" s="1" t="s">
        <v>9814</v>
      </c>
      <c r="G3305" s="1">
        <v>1921</v>
      </c>
      <c r="H3305" s="1" t="s">
        <v>15</v>
      </c>
      <c r="I3305" s="6" cm="1">
        <f t="array" ref="I3305">GetLatitude(D3305)</f>
        <v>549069810</v>
      </c>
      <c r="J3305" s="1" cm="1">
        <f t="array" ref="J3305">GetLongitude(D3305)</f>
        <v>97842780</v>
      </c>
      <c r="K3305" s="1">
        <f t="shared" si="154"/>
        <v>54.906981000000002</v>
      </c>
      <c r="L3305" s="1">
        <f t="shared" si="155"/>
        <v>9.7842780000000005</v>
      </c>
    </row>
    <row r="3306" spans="1:12" ht="16" x14ac:dyDescent="0.2">
      <c r="A3306" s="1">
        <v>3305</v>
      </c>
      <c r="B3306" s="1" t="s">
        <v>9627</v>
      </c>
      <c r="C3306" s="1" t="s">
        <v>9815</v>
      </c>
      <c r="D3306" s="1" t="str">
        <f t="shared" si="153"/>
        <v>Sønderborg KommuneSøndergade 15</v>
      </c>
      <c r="E3306" s="1" t="s">
        <v>9816</v>
      </c>
      <c r="F3306" s="1" t="s">
        <v>9817</v>
      </c>
      <c r="G3306" s="1">
        <v>1950</v>
      </c>
      <c r="H3306" s="1" t="s">
        <v>15</v>
      </c>
      <c r="I3306" s="6" cm="1">
        <f t="array" ref="I3306">GetLatitude(D3306)</f>
        <v>549138110</v>
      </c>
      <c r="J3306" s="1" cm="1">
        <f t="array" ref="J3306">GetLongitude(D3306)</f>
        <v>97921780</v>
      </c>
      <c r="K3306" s="1">
        <f t="shared" si="154"/>
        <v>54.913811000000003</v>
      </c>
      <c r="L3306" s="1">
        <f t="shared" si="155"/>
        <v>9.7921779999999998</v>
      </c>
    </row>
    <row r="3307" spans="1:12" ht="16" x14ac:dyDescent="0.2">
      <c r="A3307" s="1">
        <v>3306</v>
      </c>
      <c r="B3307" s="1" t="s">
        <v>9627</v>
      </c>
      <c r="C3307" s="1" t="s">
        <v>9818</v>
      </c>
      <c r="D3307" s="1" t="str">
        <f t="shared" si="153"/>
        <v>Sønderborg KommuneSøndergade 16</v>
      </c>
      <c r="E3307" s="1" t="s">
        <v>9819</v>
      </c>
      <c r="F3307" s="1" t="s">
        <v>9820</v>
      </c>
      <c r="G3307" s="1">
        <v>1950</v>
      </c>
      <c r="H3307" s="1" t="s">
        <v>15</v>
      </c>
      <c r="I3307" s="6" cm="1">
        <f t="array" ref="I3307">GetLatitude(D3307)</f>
        <v>549138110</v>
      </c>
      <c r="J3307" s="1" cm="1">
        <f t="array" ref="J3307">GetLongitude(D3307)</f>
        <v>97921780</v>
      </c>
      <c r="K3307" s="1">
        <f t="shared" si="154"/>
        <v>54.913811000000003</v>
      </c>
      <c r="L3307" s="1">
        <f t="shared" si="155"/>
        <v>9.7921779999999998</v>
      </c>
    </row>
    <row r="3308" spans="1:12" ht="16" x14ac:dyDescent="0.2">
      <c r="A3308" s="1">
        <v>3307</v>
      </c>
      <c r="B3308" s="1" t="s">
        <v>9627</v>
      </c>
      <c r="C3308" s="1" t="s">
        <v>9821</v>
      </c>
      <c r="D3308" s="1" t="str">
        <f t="shared" si="153"/>
        <v>Sønderborg KommuneSøndergade 7</v>
      </c>
      <c r="E3308" s="1" t="s">
        <v>9822</v>
      </c>
      <c r="F3308" s="1" t="s">
        <v>9823</v>
      </c>
      <c r="G3308" s="1">
        <v>1950</v>
      </c>
      <c r="H3308" s="1" t="s">
        <v>15</v>
      </c>
      <c r="I3308" s="6" cm="1">
        <f t="array" ref="I3308">GetLatitude(D3308)</f>
        <v>549138110</v>
      </c>
      <c r="J3308" s="1" cm="1">
        <f t="array" ref="J3308">GetLongitude(D3308)</f>
        <v>97921780</v>
      </c>
      <c r="K3308" s="1">
        <f t="shared" si="154"/>
        <v>54.913811000000003</v>
      </c>
      <c r="L3308" s="1">
        <f t="shared" si="155"/>
        <v>9.7921779999999998</v>
      </c>
    </row>
    <row r="3309" spans="1:12" ht="16" x14ac:dyDescent="0.2">
      <c r="A3309" s="1">
        <v>3308</v>
      </c>
      <c r="B3309" s="1" t="s">
        <v>9627</v>
      </c>
      <c r="C3309" s="1" t="s">
        <v>9824</v>
      </c>
      <c r="D3309" s="1" t="str">
        <f t="shared" si="153"/>
        <v>Sønderborg KommuneTinggården 4 og 15</v>
      </c>
      <c r="E3309" s="1" t="s">
        <v>9825</v>
      </c>
      <c r="F3309" s="1" t="s">
        <v>9826</v>
      </c>
      <c r="G3309" s="1">
        <v>1989</v>
      </c>
      <c r="H3309" s="1" t="s">
        <v>11</v>
      </c>
      <c r="I3309" s="6" cm="1">
        <f t="array" ref="I3309">GetLatitude(D3309)</f>
        <v>549658868</v>
      </c>
      <c r="J3309" s="1" cm="1">
        <f t="array" ref="J3309">GetLongitude(D3309)</f>
        <v>98974764</v>
      </c>
      <c r="K3309" s="1">
        <f t="shared" si="154"/>
        <v>54.9658868</v>
      </c>
      <c r="L3309" s="1">
        <f t="shared" si="155"/>
        <v>9.8974764000000004</v>
      </c>
    </row>
    <row r="3310" spans="1:12" ht="16" x14ac:dyDescent="0.2">
      <c r="A3310" s="1">
        <v>3309</v>
      </c>
      <c r="B3310" s="1" t="s">
        <v>9627</v>
      </c>
      <c r="C3310" s="1" t="s">
        <v>9827</v>
      </c>
      <c r="D3310" s="1" t="str">
        <f t="shared" si="153"/>
        <v>Sønderborg KommuneTingstedvej 8</v>
      </c>
      <c r="E3310" s="1" t="s">
        <v>9828</v>
      </c>
      <c r="F3310" s="1" t="s">
        <v>9829</v>
      </c>
      <c r="G3310" s="1">
        <v>1964</v>
      </c>
      <c r="H3310" s="1" t="s">
        <v>11</v>
      </c>
      <c r="I3310" s="6" cm="1">
        <f t="array" ref="I3310">GetLatitude(D3310)</f>
        <v>550400504</v>
      </c>
      <c r="J3310" s="1" cm="1">
        <f t="array" ref="J3310">GetLongitude(D3310)</f>
        <v>97988488</v>
      </c>
      <c r="K3310" s="1">
        <f t="shared" si="154"/>
        <v>55.040050399999998</v>
      </c>
      <c r="L3310" s="1">
        <f t="shared" si="155"/>
        <v>9.7988488</v>
      </c>
    </row>
    <row r="3311" spans="1:12" ht="16" x14ac:dyDescent="0.2">
      <c r="A3311" s="1">
        <v>3310</v>
      </c>
      <c r="B3311" s="1" t="s">
        <v>9627</v>
      </c>
      <c r="C3311" s="1" t="s">
        <v>9830</v>
      </c>
      <c r="D3311" s="1" t="str">
        <f t="shared" si="153"/>
        <v>Sønderborg KommuneTontoft 13</v>
      </c>
      <c r="E3311" s="1" t="s">
        <v>9831</v>
      </c>
      <c r="F3311" s="1" t="s">
        <v>9832</v>
      </c>
      <c r="G3311" s="1">
        <v>1954</v>
      </c>
      <c r="H3311" s="1" t="s">
        <v>4003</v>
      </c>
      <c r="I3311" s="6" cm="1">
        <f t="array" ref="I3311">GetLatitude(D3311)</f>
        <v>550617400</v>
      </c>
      <c r="J3311" s="1" cm="1">
        <f t="array" ref="J3311">GetLongitude(D3311)</f>
        <v>97413940</v>
      </c>
      <c r="K3311" s="1">
        <f t="shared" si="154"/>
        <v>55.06174</v>
      </c>
      <c r="L3311" s="1">
        <f t="shared" si="155"/>
        <v>9.7413939999999997</v>
      </c>
    </row>
    <row r="3312" spans="1:12" ht="16" x14ac:dyDescent="0.2">
      <c r="A3312" s="1">
        <v>3311</v>
      </c>
      <c r="B3312" s="1" t="s">
        <v>9627</v>
      </c>
      <c r="C3312" s="1" t="s">
        <v>9833</v>
      </c>
      <c r="D3312" s="1" t="str">
        <f t="shared" si="153"/>
        <v>Sønderborg KommuneVibæk Mølle 3</v>
      </c>
      <c r="E3312" s="1" t="s">
        <v>9834</v>
      </c>
      <c r="F3312" s="1" t="s">
        <v>9835</v>
      </c>
      <c r="G3312" s="1">
        <v>1959</v>
      </c>
      <c r="H3312" s="1" t="s">
        <v>4003</v>
      </c>
      <c r="I3312" s="6" cm="1">
        <f t="array" ref="I3312">GetLatitude(D3312)</f>
        <v>549138110</v>
      </c>
      <c r="J3312" s="1" cm="1">
        <f t="array" ref="J3312">GetLongitude(D3312)</f>
        <v>97921780</v>
      </c>
      <c r="K3312" s="1">
        <f t="shared" si="154"/>
        <v>54.913811000000003</v>
      </c>
      <c r="L3312" s="1">
        <f t="shared" si="155"/>
        <v>9.7921779999999998</v>
      </c>
    </row>
    <row r="3313" spans="1:12" ht="16" x14ac:dyDescent="0.2">
      <c r="A3313" s="1">
        <v>3312</v>
      </c>
      <c r="B3313" s="1" t="s">
        <v>9627</v>
      </c>
      <c r="C3313" s="1" t="s">
        <v>9836</v>
      </c>
      <c r="D3313" s="1" t="str">
        <f t="shared" si="153"/>
        <v>Sønderborg KommuneVoldstedvej 1</v>
      </c>
      <c r="E3313" s="1" t="s">
        <v>9837</v>
      </c>
      <c r="F3313" s="1" t="s">
        <v>9838</v>
      </c>
      <c r="G3313" s="1">
        <v>1975</v>
      </c>
      <c r="H3313" s="1" t="s">
        <v>11</v>
      </c>
      <c r="I3313" s="6" cm="1">
        <f t="array" ref="I3313">GetLatitude(D3313)</f>
        <v>550056384</v>
      </c>
      <c r="J3313" s="1" cm="1">
        <f t="array" ref="J3313">GetLongitude(D3313)</f>
        <v>99321569</v>
      </c>
      <c r="K3313" s="1">
        <f t="shared" si="154"/>
        <v>55.005638400000002</v>
      </c>
      <c r="L3313" s="1">
        <f t="shared" si="155"/>
        <v>9.9321569000000007</v>
      </c>
    </row>
    <row r="3314" spans="1:12" ht="16" x14ac:dyDescent="0.2">
      <c r="A3314" s="1">
        <v>3313</v>
      </c>
      <c r="B3314" s="1" t="s">
        <v>9627</v>
      </c>
      <c r="C3314" s="1" t="s">
        <v>9839</v>
      </c>
      <c r="D3314" s="1" t="str">
        <f t="shared" si="153"/>
        <v>Sønderborg KommuneÆblegade 8</v>
      </c>
      <c r="E3314" s="1" t="s">
        <v>9840</v>
      </c>
      <c r="F3314" s="1" t="s">
        <v>2946</v>
      </c>
      <c r="G3314" s="1">
        <v>1950</v>
      </c>
      <c r="H3314" s="1" t="s">
        <v>15</v>
      </c>
      <c r="I3314" s="6" cm="1">
        <f t="array" ref="I3314">GetLatitude(D3314)</f>
        <v>549096729</v>
      </c>
      <c r="J3314" s="1" cm="1">
        <f t="array" ref="J3314">GetLongitude(D3314)</f>
        <v>97884282</v>
      </c>
      <c r="K3314" s="1">
        <f t="shared" si="154"/>
        <v>54.909672899999997</v>
      </c>
      <c r="L3314" s="1">
        <f t="shared" si="155"/>
        <v>9.7884282000000002</v>
      </c>
    </row>
    <row r="3315" spans="1:12" ht="16" x14ac:dyDescent="0.2">
      <c r="A3315" s="1">
        <v>3314</v>
      </c>
      <c r="B3315" s="1" t="s">
        <v>9841</v>
      </c>
      <c r="C3315" s="1" t="s">
        <v>9842</v>
      </c>
      <c r="D3315" s="1" t="str">
        <f t="shared" si="153"/>
        <v>Thisted KommuneKlostermøllevej 77</v>
      </c>
      <c r="E3315" s="1" t="s">
        <v>9843</v>
      </c>
      <c r="F3315" s="1" t="s">
        <v>9844</v>
      </c>
      <c r="G3315" s="1">
        <v>1964</v>
      </c>
      <c r="H3315" s="1" t="s">
        <v>99</v>
      </c>
      <c r="I3315" s="6" cm="1">
        <f t="array" ref="I3315">GetLatitude(D3315)</f>
        <v>567734753</v>
      </c>
      <c r="J3315" s="1" cm="1">
        <f t="array" ref="J3315">GetLongitude(D3315)</f>
        <v>83106004</v>
      </c>
      <c r="K3315" s="1">
        <f t="shared" si="154"/>
        <v>56.773475300000001</v>
      </c>
      <c r="L3315" s="1">
        <f t="shared" si="155"/>
        <v>8.3106004000000002</v>
      </c>
    </row>
    <row r="3316" spans="1:12" ht="16" x14ac:dyDescent="0.2">
      <c r="A3316" s="1">
        <v>3315</v>
      </c>
      <c r="B3316" s="1" t="s">
        <v>9841</v>
      </c>
      <c r="C3316" s="1" t="s">
        <v>9845</v>
      </c>
      <c r="D3316" s="1" t="str">
        <f t="shared" si="153"/>
        <v xml:space="preserve">Thisted KommuneKrægpøtvej </v>
      </c>
      <c r="E3316" s="1" t="s">
        <v>9846</v>
      </c>
      <c r="F3316" s="1" t="s">
        <v>9847</v>
      </c>
      <c r="G3316" s="1">
        <v>1998</v>
      </c>
      <c r="H3316" s="1" t="s">
        <v>15</v>
      </c>
      <c r="I3316" s="6" cm="1">
        <f t="array" ref="I3316">GetLatitude(D3316)</f>
        <v>570924631</v>
      </c>
      <c r="J3316" s="1" cm="1">
        <f t="array" ref="J3316">GetLongitude(D3316)</f>
        <v>87517813</v>
      </c>
      <c r="K3316" s="1">
        <f t="shared" si="154"/>
        <v>57.092463100000003</v>
      </c>
      <c r="L3316" s="1">
        <f t="shared" si="155"/>
        <v>8.7517812999999993</v>
      </c>
    </row>
    <row r="3317" spans="1:12" ht="16" x14ac:dyDescent="0.2">
      <c r="A3317" s="1">
        <v>3316</v>
      </c>
      <c r="B3317" s="1" t="s">
        <v>9841</v>
      </c>
      <c r="C3317" s="1" t="s">
        <v>9848</v>
      </c>
      <c r="D3317" s="1" t="str">
        <f t="shared" si="153"/>
        <v>Thisted KommuneLodbjergvej 33</v>
      </c>
      <c r="E3317" s="1" t="s">
        <v>9849</v>
      </c>
      <c r="F3317" s="1" t="s">
        <v>9850</v>
      </c>
      <c r="G3317" s="1">
        <v>2002</v>
      </c>
      <c r="H3317" s="1" t="s">
        <v>15</v>
      </c>
      <c r="I3317" s="6" cm="1">
        <f t="array" ref="I3317">GetLatitude(D3317)</f>
        <v>568234201</v>
      </c>
      <c r="J3317" s="1" cm="1">
        <f t="array" ref="J3317">GetLongitude(D3317)</f>
        <v>82628833</v>
      </c>
      <c r="K3317" s="1">
        <f t="shared" si="154"/>
        <v>56.8234201</v>
      </c>
      <c r="L3317" s="1">
        <f t="shared" si="155"/>
        <v>8.2628833000000004</v>
      </c>
    </row>
    <row r="3318" spans="1:12" ht="16" x14ac:dyDescent="0.2">
      <c r="A3318" s="1">
        <v>3317</v>
      </c>
      <c r="B3318" s="1" t="s">
        <v>9841</v>
      </c>
      <c r="C3318" s="1" t="s">
        <v>9851</v>
      </c>
      <c r="D3318" s="1" t="str">
        <f t="shared" si="153"/>
        <v>Thisted KommuneNørhågårdsvej 1</v>
      </c>
      <c r="E3318" s="1" t="s">
        <v>9852</v>
      </c>
      <c r="F3318" s="1" t="s">
        <v>9853</v>
      </c>
      <c r="G3318" s="1">
        <v>1945</v>
      </c>
      <c r="H3318" s="1" t="s">
        <v>15</v>
      </c>
      <c r="I3318" s="6" cm="1">
        <f t="array" ref="I3318">GetLatitude(D3318)</f>
        <v>568983101</v>
      </c>
      <c r="J3318" s="1" cm="1">
        <f t="array" ref="J3318">GetLongitude(D3318)</f>
        <v>84355119</v>
      </c>
      <c r="K3318" s="1">
        <f t="shared" si="154"/>
        <v>56.898310100000003</v>
      </c>
      <c r="L3318" s="1">
        <f t="shared" si="155"/>
        <v>8.4355118999999998</v>
      </c>
    </row>
    <row r="3319" spans="1:12" ht="16" x14ac:dyDescent="0.2">
      <c r="A3319" s="1">
        <v>3318</v>
      </c>
      <c r="B3319" s="1" t="s">
        <v>9841</v>
      </c>
      <c r="C3319" s="1" t="s">
        <v>9854</v>
      </c>
      <c r="D3319" s="1" t="str">
        <f t="shared" si="153"/>
        <v>Thisted KommuneSkjærbakken 45</v>
      </c>
      <c r="E3319" s="1" t="s">
        <v>9855</v>
      </c>
      <c r="F3319" s="1" t="s">
        <v>9856</v>
      </c>
      <c r="G3319" s="1">
        <v>1996</v>
      </c>
      <c r="H3319" s="1" t="s">
        <v>11</v>
      </c>
      <c r="I3319" s="6" cm="1">
        <f t="array" ref="I3319">GetLatitude(D3319)</f>
        <v>570125221</v>
      </c>
      <c r="J3319" s="1" cm="1">
        <f t="array" ref="J3319">GetLongitude(D3319)</f>
        <v>84516058</v>
      </c>
      <c r="K3319" s="1">
        <f t="shared" si="154"/>
        <v>57.012522099999998</v>
      </c>
      <c r="L3319" s="1">
        <f t="shared" si="155"/>
        <v>8.4516057999999994</v>
      </c>
    </row>
    <row r="3320" spans="1:12" ht="16" x14ac:dyDescent="0.2">
      <c r="A3320" s="1">
        <v>3319</v>
      </c>
      <c r="B3320" s="1" t="s">
        <v>9841</v>
      </c>
      <c r="C3320" s="1" t="s">
        <v>9857</v>
      </c>
      <c r="D3320" s="1" t="str">
        <f t="shared" si="153"/>
        <v>Thisted KommuneSkovgade 20</v>
      </c>
      <c r="E3320" s="1" t="s">
        <v>9857</v>
      </c>
      <c r="F3320" s="1" t="s">
        <v>9858</v>
      </c>
      <c r="G3320" s="1">
        <v>1985</v>
      </c>
      <c r="H3320" s="1" t="s">
        <v>11</v>
      </c>
      <c r="I3320" s="6" cm="1">
        <f t="array" ref="I3320">GetLatitude(D3320)</f>
        <v>569554673</v>
      </c>
      <c r="J3320" s="1" cm="1">
        <f t="array" ref="J3320">GetLongitude(D3320)</f>
        <v>86896578</v>
      </c>
      <c r="K3320" s="1">
        <f t="shared" si="154"/>
        <v>56.955467300000002</v>
      </c>
      <c r="L3320" s="1">
        <f t="shared" si="155"/>
        <v>8.6896578000000009</v>
      </c>
    </row>
    <row r="3321" spans="1:12" ht="16" x14ac:dyDescent="0.2">
      <c r="A3321" s="1">
        <v>3320</v>
      </c>
      <c r="B3321" s="1" t="s">
        <v>9841</v>
      </c>
      <c r="C3321" s="1" t="s">
        <v>9859</v>
      </c>
      <c r="D3321" s="1" t="str">
        <f t="shared" si="153"/>
        <v>Thisted KommuneStenbjerg Landingsplads 3</v>
      </c>
      <c r="E3321" s="1" t="s">
        <v>9860</v>
      </c>
      <c r="F3321" s="1" t="s">
        <v>9861</v>
      </c>
      <c r="G3321" s="1">
        <v>1995</v>
      </c>
      <c r="H3321" s="1" t="s">
        <v>15</v>
      </c>
      <c r="I3321" s="6" cm="1">
        <f t="array" ref="I3321">GetLatitude(D3321)</f>
        <v>569295924</v>
      </c>
      <c r="J3321" s="1" cm="1">
        <f t="array" ref="J3321">GetLongitude(D3321)</f>
        <v>83384535</v>
      </c>
      <c r="K3321" s="1">
        <f t="shared" si="154"/>
        <v>56.929592399999997</v>
      </c>
      <c r="L3321" s="1">
        <f t="shared" si="155"/>
        <v>8.3384535</v>
      </c>
    </row>
    <row r="3322" spans="1:12" ht="16" x14ac:dyDescent="0.2">
      <c r="A3322" s="1">
        <v>3321</v>
      </c>
      <c r="B3322" s="1" t="s">
        <v>9841</v>
      </c>
      <c r="C3322" s="1" t="s">
        <v>9862</v>
      </c>
      <c r="D3322" s="1" t="str">
        <f t="shared" si="153"/>
        <v>Thisted KommuneStore Torv 4</v>
      </c>
      <c r="E3322" s="1" t="s">
        <v>9863</v>
      </c>
      <c r="F3322" s="1" t="s">
        <v>9864</v>
      </c>
      <c r="G3322" s="1">
        <v>1978</v>
      </c>
      <c r="H3322" s="1" t="s">
        <v>11</v>
      </c>
      <c r="I3322" s="6" cm="1">
        <f t="array" ref="I3322">GetLatitude(D3322)</f>
        <v>569548197</v>
      </c>
      <c r="J3322" s="1" cm="1">
        <f t="array" ref="J3322">GetLongitude(D3322)</f>
        <v>86902492</v>
      </c>
      <c r="K3322" s="1">
        <f t="shared" si="154"/>
        <v>56.954819700000002</v>
      </c>
      <c r="L3322" s="1">
        <f t="shared" si="155"/>
        <v>8.6902492000000002</v>
      </c>
    </row>
    <row r="3323" spans="1:12" ht="16" x14ac:dyDescent="0.2">
      <c r="A3323" s="1">
        <v>3322</v>
      </c>
      <c r="B3323" s="1" t="s">
        <v>9841</v>
      </c>
      <c r="C3323" s="1" t="s">
        <v>3258</v>
      </c>
      <c r="D3323" s="1" t="str">
        <f t="shared" si="153"/>
        <v>Thisted KommuneSømærkevej</v>
      </c>
      <c r="E3323" s="1" t="s">
        <v>9865</v>
      </c>
      <c r="F3323" s="1" t="s">
        <v>3260</v>
      </c>
      <c r="G3323" s="1">
        <v>1997</v>
      </c>
      <c r="H3323" s="1" t="s">
        <v>15</v>
      </c>
      <c r="I3323" s="6" cm="1">
        <f t="array" ref="I3323">GetLatitude(D3323)</f>
        <v>569208013</v>
      </c>
      <c r="J3323" s="1" cm="1">
        <f t="array" ref="J3323">GetLongitude(D3323)</f>
        <v>83469208</v>
      </c>
      <c r="K3323" s="1">
        <f t="shared" si="154"/>
        <v>56.920801300000001</v>
      </c>
      <c r="L3323" s="1">
        <f t="shared" si="155"/>
        <v>8.3469207999999995</v>
      </c>
    </row>
    <row r="3324" spans="1:12" ht="16" x14ac:dyDescent="0.2">
      <c r="A3324" s="1">
        <v>3323</v>
      </c>
      <c r="B3324" s="1" t="s">
        <v>9841</v>
      </c>
      <c r="C3324" s="1" t="s">
        <v>9866</v>
      </c>
      <c r="D3324" s="1" t="str">
        <f t="shared" si="153"/>
        <v>Thisted KommuneToftevej 9</v>
      </c>
      <c r="E3324" s="1" t="s">
        <v>9867</v>
      </c>
      <c r="F3324" s="1" t="s">
        <v>9868</v>
      </c>
      <c r="G3324" s="1">
        <v>1964</v>
      </c>
      <c r="H3324" s="1" t="s">
        <v>15</v>
      </c>
      <c r="I3324" s="6" cm="1">
        <f t="array" ref="I3324">GetLatitude(D3324)</f>
        <v>569591710</v>
      </c>
      <c r="J3324" s="1" cm="1">
        <f t="array" ref="J3324">GetLongitude(D3324)</f>
        <v>86746951</v>
      </c>
      <c r="K3324" s="1">
        <f t="shared" si="154"/>
        <v>56.959170999999998</v>
      </c>
      <c r="L3324" s="1">
        <f t="shared" si="155"/>
        <v>8.6746950999999992</v>
      </c>
    </row>
    <row r="3325" spans="1:12" ht="16" x14ac:dyDescent="0.2">
      <c r="A3325" s="1">
        <v>3324</v>
      </c>
      <c r="B3325" s="1" t="s">
        <v>9841</v>
      </c>
      <c r="C3325" s="1" t="s">
        <v>9869</v>
      </c>
      <c r="D3325" s="1" t="str">
        <f t="shared" si="153"/>
        <v>Thisted Kommune Tvorup By</v>
      </c>
      <c r="E3325" s="1" t="s">
        <v>9870</v>
      </c>
      <c r="F3325" s="1" t="s">
        <v>9847</v>
      </c>
      <c r="G3325" s="1">
        <v>1997</v>
      </c>
      <c r="H3325" s="1" t="s">
        <v>15</v>
      </c>
      <c r="I3325" s="6" cm="1">
        <f t="array" ref="I3325">GetLatitude(D3325)</f>
        <v>569666667</v>
      </c>
      <c r="J3325" s="1" cm="1">
        <f t="array" ref="J3325">GetLongitude(D3325)</f>
        <v>84436111</v>
      </c>
      <c r="K3325" s="1">
        <f t="shared" si="154"/>
        <v>56.966666699999998</v>
      </c>
      <c r="L3325" s="1">
        <f t="shared" si="155"/>
        <v>8.4436111</v>
      </c>
    </row>
    <row r="3326" spans="1:12" ht="16" x14ac:dyDescent="0.2">
      <c r="A3326" s="1">
        <v>3325</v>
      </c>
      <c r="B3326" s="1" t="s">
        <v>9841</v>
      </c>
      <c r="C3326" s="1" t="s">
        <v>9871</v>
      </c>
      <c r="D3326" s="1" t="str">
        <f t="shared" si="153"/>
        <v>Thisted KommuneTårnvej 7-23</v>
      </c>
      <c r="E3326" s="1" t="s">
        <v>9872</v>
      </c>
      <c r="F3326" s="1" t="s">
        <v>9873</v>
      </c>
      <c r="G3326" s="1">
        <v>1979</v>
      </c>
      <c r="H3326" s="1" t="s">
        <v>15</v>
      </c>
      <c r="I3326" s="6" cm="1">
        <f t="array" ref="I3326">GetLatitude(D3326)</f>
        <v>570305311</v>
      </c>
      <c r="J3326" s="1" cm="1">
        <f t="array" ref="J3326">GetLongitude(D3326)</f>
        <v>88473177</v>
      </c>
      <c r="K3326" s="1">
        <f t="shared" si="154"/>
        <v>57.030531099999997</v>
      </c>
      <c r="L3326" s="1">
        <f t="shared" si="155"/>
        <v>8.8473176999999996</v>
      </c>
    </row>
    <row r="3327" spans="1:12" ht="16" x14ac:dyDescent="0.2">
      <c r="A3327" s="1">
        <v>3326</v>
      </c>
      <c r="B3327" s="1" t="s">
        <v>9874</v>
      </c>
      <c r="C3327" s="1" t="s">
        <v>9875</v>
      </c>
      <c r="D3327" s="1" t="str">
        <f t="shared" si="153"/>
        <v>Tønder KommuneAllégade 24</v>
      </c>
      <c r="E3327" s="1" t="s">
        <v>9876</v>
      </c>
      <c r="F3327" s="1" t="s">
        <v>9877</v>
      </c>
      <c r="G3327" s="1">
        <v>2010</v>
      </c>
      <c r="H3327" s="1" t="s">
        <v>15</v>
      </c>
      <c r="I3327" s="6" cm="1">
        <f t="array" ref="I3327">GetLatitude(D3327)</f>
        <v>549396150</v>
      </c>
      <c r="J3327" s="1" cm="1">
        <f t="array" ref="J3327">GetLongitude(D3327)</f>
        <v>88644170</v>
      </c>
      <c r="K3327" s="1">
        <f t="shared" si="154"/>
        <v>54.939615000000003</v>
      </c>
      <c r="L3327" s="1">
        <f t="shared" si="155"/>
        <v>8.8644169999999995</v>
      </c>
    </row>
    <row r="3328" spans="1:12" ht="16" x14ac:dyDescent="0.2">
      <c r="A3328" s="1">
        <v>3327</v>
      </c>
      <c r="B3328" s="1" t="s">
        <v>9874</v>
      </c>
      <c r="C3328" s="1" t="s">
        <v>9878</v>
      </c>
      <c r="D3328" s="1" t="str">
        <f t="shared" si="153"/>
        <v>Tønder KommuneBornholmervej 12</v>
      </c>
      <c r="E3328" s="1" t="s">
        <v>9879</v>
      </c>
      <c r="F3328" s="1" t="s">
        <v>9880</v>
      </c>
      <c r="G3328" s="1">
        <v>1982</v>
      </c>
      <c r="H3328" s="1" t="s">
        <v>11</v>
      </c>
      <c r="I3328" s="6" cm="1">
        <f t="array" ref="I3328">GetLatitude(D3328)</f>
        <v>550790800</v>
      </c>
      <c r="J3328" s="1" cm="1">
        <f t="array" ref="J3328">GetLongitude(D3328)</f>
        <v>88823958</v>
      </c>
      <c r="K3328" s="1">
        <f t="shared" si="154"/>
        <v>55.079079999999998</v>
      </c>
      <c r="L3328" s="1">
        <f t="shared" si="155"/>
        <v>8.8823957999999994</v>
      </c>
    </row>
    <row r="3329" spans="1:12" ht="16" x14ac:dyDescent="0.2">
      <c r="A3329" s="1">
        <v>3328</v>
      </c>
      <c r="B3329" s="1" t="s">
        <v>9874</v>
      </c>
      <c r="C3329" s="1" t="s">
        <v>9881</v>
      </c>
      <c r="D3329" s="1" t="str">
        <f t="shared" si="153"/>
        <v>Tønder KommuneBrede Bygade 53</v>
      </c>
      <c r="E3329" s="1" t="s">
        <v>9882</v>
      </c>
      <c r="F3329" s="1" t="s">
        <v>9883</v>
      </c>
      <c r="G3329" s="1">
        <v>1991</v>
      </c>
      <c r="H3329" s="1" t="s">
        <v>15</v>
      </c>
      <c r="I3329" s="6" cm="1">
        <f t="array" ref="I3329">GetLatitude(D3329)</f>
        <v>550594420</v>
      </c>
      <c r="J3329" s="1" cm="1">
        <f t="array" ref="J3329">GetLongitude(D3329)</f>
        <v>88139400</v>
      </c>
      <c r="K3329" s="1">
        <f t="shared" si="154"/>
        <v>55.059441999999997</v>
      </c>
      <c r="L3329" s="1">
        <f t="shared" si="155"/>
        <v>8.8139400000000006</v>
      </c>
    </row>
    <row r="3330" spans="1:12" ht="16" x14ac:dyDescent="0.2">
      <c r="A3330" s="1">
        <v>3329</v>
      </c>
      <c r="B3330" s="1" t="s">
        <v>9874</v>
      </c>
      <c r="C3330" s="1" t="s">
        <v>9884</v>
      </c>
      <c r="D3330" s="1" t="str">
        <f t="shared" si="153"/>
        <v>Tønder KommuneEmmerlevvej 20</v>
      </c>
      <c r="E3330" s="1" t="s">
        <v>9885</v>
      </c>
      <c r="F3330" s="1" t="s">
        <v>9886</v>
      </c>
      <c r="G3330" s="1">
        <v>1991</v>
      </c>
      <c r="H3330" s="1" t="s">
        <v>15</v>
      </c>
      <c r="I3330" s="6" cm="1">
        <f t="array" ref="I3330">GetLatitude(D3330)</f>
        <v>549827917</v>
      </c>
      <c r="J3330" s="1" cm="1">
        <f t="array" ref="J3330">GetLongitude(D3330)</f>
        <v>86774520</v>
      </c>
      <c r="K3330" s="1">
        <f t="shared" si="154"/>
        <v>54.9827917</v>
      </c>
      <c r="L3330" s="1">
        <f t="shared" si="155"/>
        <v>8.6774520000000006</v>
      </c>
    </row>
    <row r="3331" spans="1:12" ht="16" x14ac:dyDescent="0.2">
      <c r="A3331" s="1">
        <v>3330</v>
      </c>
      <c r="B3331" s="1" t="s">
        <v>9874</v>
      </c>
      <c r="C3331" s="1" t="s">
        <v>9887</v>
      </c>
      <c r="D3331" s="1" t="str">
        <f t="shared" ref="D3331:D3394" si="156">B3331&amp;C3331</f>
        <v>Tønder KommuneFrigrunden 2 (tidl Slotsgade 1)</v>
      </c>
      <c r="E3331" s="1" t="s">
        <v>9888</v>
      </c>
      <c r="F3331" s="1" t="s">
        <v>9889</v>
      </c>
      <c r="G3331" s="1">
        <v>1921</v>
      </c>
      <c r="H3331" s="1" t="s">
        <v>15</v>
      </c>
      <c r="I3331" s="6" cm="1">
        <f t="array" ref="I3331">GetLatitude(D3331)</f>
        <v>549340528</v>
      </c>
      <c r="J3331" s="1" cm="1">
        <f t="array" ref="J3331">GetLongitude(D3331)</f>
        <v>88693684</v>
      </c>
      <c r="K3331" s="1">
        <f t="shared" si="154"/>
        <v>54.934052800000003</v>
      </c>
      <c r="L3331" s="1">
        <f t="shared" si="155"/>
        <v>8.8693684000000008</v>
      </c>
    </row>
    <row r="3332" spans="1:12" ht="16" x14ac:dyDescent="0.2">
      <c r="A3332" s="1">
        <v>3331</v>
      </c>
      <c r="B3332" s="1" t="s">
        <v>9874</v>
      </c>
      <c r="C3332" s="1" t="s">
        <v>9890</v>
      </c>
      <c r="D3332" s="1" t="str">
        <f t="shared" si="156"/>
        <v>Tønder KommuneFrigrunden 7 (tidl Slotsgade 4)</v>
      </c>
      <c r="E3332" s="1" t="s">
        <v>9891</v>
      </c>
      <c r="F3332" s="1" t="s">
        <v>9892</v>
      </c>
      <c r="G3332" s="1">
        <v>1954</v>
      </c>
      <c r="H3332" s="1" t="s">
        <v>11</v>
      </c>
      <c r="I3332" s="6" cm="1">
        <f t="array" ref="I3332">GetLatitude(D3332)</f>
        <v>549341158</v>
      </c>
      <c r="J3332" s="1" cm="1">
        <f t="array" ref="J3332">GetLongitude(D3332)</f>
        <v>88696916</v>
      </c>
      <c r="K3332" s="1">
        <f t="shared" ref="K3332:K3395" si="157">I3332/10000000</f>
        <v>54.934115800000001</v>
      </c>
      <c r="L3332" s="1">
        <f t="shared" ref="L3332:L3395" si="158">J3332/10000000</f>
        <v>8.8696915999999995</v>
      </c>
    </row>
    <row r="3333" spans="1:12" ht="16" x14ac:dyDescent="0.2">
      <c r="A3333" s="1">
        <v>3332</v>
      </c>
      <c r="B3333" s="1" t="s">
        <v>9874</v>
      </c>
      <c r="C3333" s="1" t="s">
        <v>9893</v>
      </c>
      <c r="D3333" s="1" t="str">
        <f t="shared" si="156"/>
        <v>Tønder KommuneGammel Skolevej 6</v>
      </c>
      <c r="E3333" s="1" t="s">
        <v>9894</v>
      </c>
      <c r="F3333" s="1" t="s">
        <v>9895</v>
      </c>
      <c r="G3333" s="1">
        <v>1979</v>
      </c>
      <c r="H3333" s="1" t="s">
        <v>11</v>
      </c>
      <c r="I3333" s="6" cm="1">
        <f t="array" ref="I3333">GetLatitude(D3333)</f>
        <v>551320110</v>
      </c>
      <c r="J3333" s="1" cm="1">
        <f t="array" ref="J3333">GetLongitude(D3333)</f>
        <v>85477440</v>
      </c>
      <c r="K3333" s="1">
        <f t="shared" si="157"/>
        <v>55.132010999999999</v>
      </c>
      <c r="L3333" s="1">
        <f t="shared" si="158"/>
        <v>8.5477439999999998</v>
      </c>
    </row>
    <row r="3334" spans="1:12" ht="16" x14ac:dyDescent="0.2">
      <c r="A3334" s="1">
        <v>3333</v>
      </c>
      <c r="B3334" s="1" t="s">
        <v>9874</v>
      </c>
      <c r="C3334" s="1" t="s">
        <v>9896</v>
      </c>
      <c r="D3334" s="1" t="str">
        <f t="shared" si="156"/>
        <v>Tønder KommuneGrammarkvej 13</v>
      </c>
      <c r="E3334" s="1" t="s">
        <v>9897</v>
      </c>
      <c r="F3334" s="1" t="s">
        <v>9898</v>
      </c>
      <c r="G3334" s="1">
        <v>1992</v>
      </c>
      <c r="H3334" s="1" t="s">
        <v>11</v>
      </c>
      <c r="I3334" s="6" cm="1">
        <f t="array" ref="I3334">GetLatitude(D3334)</f>
        <v>551055519</v>
      </c>
      <c r="J3334" s="1" cm="1">
        <f t="array" ref="J3334">GetLongitude(D3334)</f>
        <v>85362134</v>
      </c>
      <c r="K3334" s="1">
        <f t="shared" si="157"/>
        <v>55.105551900000002</v>
      </c>
      <c r="L3334" s="1">
        <f t="shared" si="158"/>
        <v>8.5362133999999994</v>
      </c>
    </row>
    <row r="3335" spans="1:12" ht="16" x14ac:dyDescent="0.2">
      <c r="A3335" s="1">
        <v>3334</v>
      </c>
      <c r="B3335" s="1" t="s">
        <v>9874</v>
      </c>
      <c r="C3335" s="1" t="s">
        <v>9899</v>
      </c>
      <c r="D3335" s="1" t="str">
        <f t="shared" si="156"/>
        <v>Tønder KommuneGrøngårdvej 34</v>
      </c>
      <c r="E3335" s="1" t="s">
        <v>9900</v>
      </c>
      <c r="F3335" s="1" t="s">
        <v>9901</v>
      </c>
      <c r="G3335" s="1">
        <v>1992</v>
      </c>
      <c r="H3335" s="1" t="s">
        <v>11</v>
      </c>
      <c r="I3335" s="6" cm="1">
        <f t="array" ref="I3335">GetLatitude(D3335)</f>
        <v>549152261</v>
      </c>
      <c r="J3335" s="1" cm="1">
        <f t="array" ref="J3335">GetLongitude(D3335)</f>
        <v>89909648</v>
      </c>
      <c r="K3335" s="1">
        <f t="shared" si="157"/>
        <v>54.915226099999998</v>
      </c>
      <c r="L3335" s="1">
        <f t="shared" si="158"/>
        <v>8.9909648000000004</v>
      </c>
    </row>
    <row r="3336" spans="1:12" ht="16" x14ac:dyDescent="0.2">
      <c r="A3336" s="1">
        <v>3335</v>
      </c>
      <c r="B3336" s="1" t="s">
        <v>9874</v>
      </c>
      <c r="C3336" s="1" t="s">
        <v>9902</v>
      </c>
      <c r="D3336" s="1" t="str">
        <f t="shared" si="156"/>
        <v>Tønder KommuneGråbrødrevej 2</v>
      </c>
      <c r="E3336" s="1" t="s">
        <v>9903</v>
      </c>
      <c r="F3336" s="1" t="s">
        <v>9904</v>
      </c>
      <c r="G3336" s="1">
        <v>1994</v>
      </c>
      <c r="H3336" s="1" t="s">
        <v>11</v>
      </c>
      <c r="I3336" s="6" cm="1">
        <f t="array" ref="I3336">GetLatitude(D3336)</f>
        <v>549339837</v>
      </c>
      <c r="J3336" s="1" cm="1">
        <f t="array" ref="J3336">GetLongitude(D3336)</f>
        <v>88689225</v>
      </c>
      <c r="K3336" s="1">
        <f t="shared" si="157"/>
        <v>54.933983699999999</v>
      </c>
      <c r="L3336" s="1">
        <f t="shared" si="158"/>
        <v>8.8689225</v>
      </c>
    </row>
    <row r="3337" spans="1:12" ht="16" x14ac:dyDescent="0.2">
      <c r="A3337" s="1">
        <v>3336</v>
      </c>
      <c r="B3337" s="1" t="s">
        <v>9874</v>
      </c>
      <c r="C3337" s="1" t="s">
        <v>9905</v>
      </c>
      <c r="D3337" s="1" t="str">
        <f t="shared" si="156"/>
        <v>Tønder KommuneGuldhornsvej 10</v>
      </c>
      <c r="E3337" s="1" t="s">
        <v>9906</v>
      </c>
      <c r="F3337" s="1" t="s">
        <v>8808</v>
      </c>
      <c r="G3337" s="1">
        <v>1964</v>
      </c>
      <c r="H3337" s="1" t="s">
        <v>11</v>
      </c>
      <c r="I3337" s="6" cm="1">
        <f t="array" ref="I3337">GetLatitude(D3337)</f>
        <v>549588370</v>
      </c>
      <c r="J3337" s="1" cm="1">
        <f t="array" ref="J3337">GetLongitude(D3337)</f>
        <v>88118640</v>
      </c>
      <c r="K3337" s="1">
        <f t="shared" si="157"/>
        <v>54.958837000000003</v>
      </c>
      <c r="L3337" s="1">
        <f t="shared" si="158"/>
        <v>8.8118639999999999</v>
      </c>
    </row>
    <row r="3338" spans="1:12" ht="16" x14ac:dyDescent="0.2">
      <c r="A3338" s="1">
        <v>3337</v>
      </c>
      <c r="B3338" s="1" t="s">
        <v>9874</v>
      </c>
      <c r="C3338" s="1" t="s">
        <v>9907</v>
      </c>
      <c r="D3338" s="1" t="str">
        <f t="shared" si="156"/>
        <v>Tønder KommuneHarknagvej 23</v>
      </c>
      <c r="E3338" s="1" t="s">
        <v>9908</v>
      </c>
      <c r="F3338" s="1" t="s">
        <v>9909</v>
      </c>
      <c r="G3338" s="1">
        <v>1991</v>
      </c>
      <c r="H3338" s="1" t="s">
        <v>701</v>
      </c>
      <c r="I3338" s="6" cm="1">
        <f t="array" ref="I3338">GetLatitude(D3338)</f>
        <v>550779909</v>
      </c>
      <c r="J3338" s="1" cm="1">
        <f t="array" ref="J3338">GetLongitude(D3338)</f>
        <v>86797362</v>
      </c>
      <c r="K3338" s="1">
        <f t="shared" si="157"/>
        <v>55.077990900000003</v>
      </c>
      <c r="L3338" s="1">
        <f t="shared" si="158"/>
        <v>8.6797362000000007</v>
      </c>
    </row>
    <row r="3339" spans="1:12" ht="16" x14ac:dyDescent="0.2">
      <c r="A3339" s="1">
        <v>3338</v>
      </c>
      <c r="B3339" s="1" t="s">
        <v>9874</v>
      </c>
      <c r="C3339" s="1" t="s">
        <v>9910</v>
      </c>
      <c r="D3339" s="1" t="str">
        <f t="shared" si="156"/>
        <v>Tønder KommuneHattesvej 22</v>
      </c>
      <c r="E3339" s="1" t="s">
        <v>9911</v>
      </c>
      <c r="F3339" s="1" t="s">
        <v>9912</v>
      </c>
      <c r="G3339" s="1">
        <v>1992</v>
      </c>
      <c r="H3339" s="1" t="s">
        <v>11</v>
      </c>
      <c r="I3339" s="6" cm="1">
        <f t="array" ref="I3339">GetLatitude(D3339)</f>
        <v>551431670</v>
      </c>
      <c r="J3339" s="1" cm="1">
        <f t="array" ref="J3339">GetLongitude(D3339)</f>
        <v>85445492</v>
      </c>
      <c r="K3339" s="1">
        <f t="shared" si="157"/>
        <v>55.143166999999998</v>
      </c>
      <c r="L3339" s="1">
        <f t="shared" si="158"/>
        <v>8.5445492000000005</v>
      </c>
    </row>
    <row r="3340" spans="1:12" ht="16" x14ac:dyDescent="0.2">
      <c r="A3340" s="1">
        <v>3339</v>
      </c>
      <c r="B3340" s="1" t="s">
        <v>9874</v>
      </c>
      <c r="C3340" s="1" t="s">
        <v>9913</v>
      </c>
      <c r="D3340" s="1" t="str">
        <f t="shared" si="156"/>
        <v>Tønder KommuneHavnebyvej 156</v>
      </c>
      <c r="E3340" s="1" t="s">
        <v>9914</v>
      </c>
      <c r="F3340" s="1" t="s">
        <v>9915</v>
      </c>
      <c r="G3340" s="1">
        <v>1992</v>
      </c>
      <c r="H3340" s="1" t="s">
        <v>15</v>
      </c>
      <c r="I3340" s="6" cm="1">
        <f t="array" ref="I3340">GetLatitude(D3340)</f>
        <v>551112636</v>
      </c>
      <c r="J3340" s="1" cm="1">
        <f t="array" ref="J3340">GetLongitude(D3340)</f>
        <v>85420322</v>
      </c>
      <c r="K3340" s="1">
        <f t="shared" si="157"/>
        <v>55.111263600000001</v>
      </c>
      <c r="L3340" s="1">
        <f t="shared" si="158"/>
        <v>8.5420321999999995</v>
      </c>
    </row>
    <row r="3341" spans="1:12" ht="16" x14ac:dyDescent="0.2">
      <c r="A3341" s="1">
        <v>3340</v>
      </c>
      <c r="B3341" s="1" t="s">
        <v>9874</v>
      </c>
      <c r="C3341" s="1" t="s">
        <v>9916</v>
      </c>
      <c r="D3341" s="1" t="str">
        <f t="shared" si="156"/>
        <v>Tønder KommuneHavnebyvej 196</v>
      </c>
      <c r="E3341" s="1" t="s">
        <v>9917</v>
      </c>
      <c r="F3341" s="1" t="s">
        <v>9918</v>
      </c>
      <c r="G3341" s="1">
        <v>1992</v>
      </c>
      <c r="H3341" s="1" t="s">
        <v>15</v>
      </c>
      <c r="I3341" s="6" cm="1">
        <f t="array" ref="I3341">GetLatitude(D3341)</f>
        <v>551018795</v>
      </c>
      <c r="J3341" s="1" cm="1">
        <f t="array" ref="J3341">GetLongitude(D3341)</f>
        <v>85415076</v>
      </c>
      <c r="K3341" s="1">
        <f t="shared" si="157"/>
        <v>55.101879500000003</v>
      </c>
      <c r="L3341" s="1">
        <f t="shared" si="158"/>
        <v>8.5415075999999992</v>
      </c>
    </row>
    <row r="3342" spans="1:12" ht="16" x14ac:dyDescent="0.2">
      <c r="A3342" s="1">
        <v>3341</v>
      </c>
      <c r="B3342" s="1" t="s">
        <v>9874</v>
      </c>
      <c r="C3342" s="1" t="s">
        <v>9919</v>
      </c>
      <c r="D3342" s="1" t="str">
        <f t="shared" si="156"/>
        <v>Tønder KommuneHjemstedvej 31</v>
      </c>
      <c r="E3342" s="1" t="s">
        <v>9920</v>
      </c>
      <c r="F3342" s="1" t="s">
        <v>9921</v>
      </c>
      <c r="G3342" s="1">
        <v>1992</v>
      </c>
      <c r="H3342" s="1" t="s">
        <v>15</v>
      </c>
      <c r="I3342" s="6" cm="1">
        <f t="array" ref="I3342">GetLatitude(D3342)</f>
        <v>551500849</v>
      </c>
      <c r="J3342" s="1" cm="1">
        <f t="array" ref="J3342">GetLongitude(D3342)</f>
        <v>87489326</v>
      </c>
      <c r="K3342" s="1">
        <f t="shared" si="157"/>
        <v>55.150084900000003</v>
      </c>
      <c r="L3342" s="1">
        <f t="shared" si="158"/>
        <v>8.7489325999999998</v>
      </c>
    </row>
    <row r="3343" spans="1:12" ht="16" x14ac:dyDescent="0.2">
      <c r="A3343" s="1">
        <v>3342</v>
      </c>
      <c r="B3343" s="1" t="s">
        <v>9874</v>
      </c>
      <c r="C3343" s="1" t="s">
        <v>9922</v>
      </c>
      <c r="D3343" s="1" t="str">
        <f t="shared" si="156"/>
        <v>Tønder KommuneHjemstedvej 61</v>
      </c>
      <c r="E3343" s="1" t="s">
        <v>9923</v>
      </c>
      <c r="F3343" s="1" t="s">
        <v>9924</v>
      </c>
      <c r="G3343" s="1">
        <v>1964</v>
      </c>
      <c r="H3343" s="1" t="s">
        <v>15</v>
      </c>
      <c r="I3343" s="6" cm="1">
        <f t="array" ref="I3343">GetLatitude(D3343)</f>
        <v>551413097</v>
      </c>
      <c r="J3343" s="1" cm="1">
        <f t="array" ref="J3343">GetLongitude(D3343)</f>
        <v>87039442</v>
      </c>
      <c r="K3343" s="1">
        <f t="shared" si="157"/>
        <v>55.141309700000001</v>
      </c>
      <c r="L3343" s="1">
        <f t="shared" si="158"/>
        <v>8.7039442000000005</v>
      </c>
    </row>
    <row r="3344" spans="1:12" ht="16" x14ac:dyDescent="0.2">
      <c r="A3344" s="1">
        <v>3343</v>
      </c>
      <c r="B3344" s="1" t="s">
        <v>9874</v>
      </c>
      <c r="C3344" s="1" t="s">
        <v>9925</v>
      </c>
      <c r="D3344" s="1" t="str">
        <f t="shared" si="156"/>
        <v>Tønder KommuneHjerpstedvej  22</v>
      </c>
      <c r="E3344" s="1" t="s">
        <v>9926</v>
      </c>
      <c r="F3344" s="1" t="s">
        <v>9927</v>
      </c>
      <c r="G3344" s="1">
        <v>1969</v>
      </c>
      <c r="H3344" s="1" t="s">
        <v>11</v>
      </c>
      <c r="I3344" s="6" cm="1">
        <f t="array" ref="I3344">GetLatitude(D3344)</f>
        <v>550198307</v>
      </c>
      <c r="J3344" s="1" cm="1">
        <f t="array" ref="J3344">GetLongitude(D3344)</f>
        <v>86586733</v>
      </c>
      <c r="K3344" s="1">
        <f t="shared" si="157"/>
        <v>55.0198307</v>
      </c>
      <c r="L3344" s="1">
        <f t="shared" si="158"/>
        <v>8.6586733000000002</v>
      </c>
    </row>
    <row r="3345" spans="1:12" ht="16" x14ac:dyDescent="0.2">
      <c r="A3345" s="1">
        <v>3344</v>
      </c>
      <c r="B3345" s="1" t="s">
        <v>9874</v>
      </c>
      <c r="C3345" s="1" t="s">
        <v>9928</v>
      </c>
      <c r="D3345" s="1" t="str">
        <f t="shared" si="156"/>
        <v>Tønder KommuneHøjervej 3</v>
      </c>
      <c r="E3345" s="1" t="s">
        <v>9929</v>
      </c>
      <c r="F3345" s="1" t="s">
        <v>9930</v>
      </c>
      <c r="G3345" s="1">
        <v>1950</v>
      </c>
      <c r="H3345" s="1" t="s">
        <v>15</v>
      </c>
      <c r="I3345" s="6" cm="1">
        <f t="array" ref="I3345">GetLatitude(D3345)</f>
        <v>549895912</v>
      </c>
      <c r="J3345" s="1" cm="1">
        <f t="array" ref="J3345">GetLongitude(D3345)</f>
        <v>86953901</v>
      </c>
      <c r="K3345" s="1">
        <f t="shared" si="157"/>
        <v>54.9895912</v>
      </c>
      <c r="L3345" s="1">
        <f t="shared" si="158"/>
        <v>8.6953900999999991</v>
      </c>
    </row>
    <row r="3346" spans="1:12" ht="16" x14ac:dyDescent="0.2">
      <c r="A3346" s="1">
        <v>3345</v>
      </c>
      <c r="B3346" s="1" t="s">
        <v>9874</v>
      </c>
      <c r="C3346" s="1" t="s">
        <v>9931</v>
      </c>
      <c r="D3346" s="1" t="str">
        <f t="shared" si="156"/>
        <v>Tønder KommuneHøybergvej   12</v>
      </c>
      <c r="E3346" s="1" t="s">
        <v>9932</v>
      </c>
      <c r="F3346" s="1" t="s">
        <v>9933</v>
      </c>
      <c r="G3346" s="1">
        <v>1973</v>
      </c>
      <c r="H3346" s="1" t="s">
        <v>11</v>
      </c>
      <c r="I3346" s="6" cm="1">
        <f t="array" ref="I3346">GetLatitude(D3346)</f>
        <v>550108588</v>
      </c>
      <c r="J3346" s="1" cm="1">
        <f t="array" ref="J3346">GetLongitude(D3346)</f>
        <v>87824348</v>
      </c>
      <c r="K3346" s="1">
        <f t="shared" si="157"/>
        <v>55.010858800000001</v>
      </c>
      <c r="L3346" s="1">
        <f t="shared" si="158"/>
        <v>8.7824348000000008</v>
      </c>
    </row>
    <row r="3347" spans="1:12" ht="16" x14ac:dyDescent="0.2">
      <c r="A3347" s="1">
        <v>3346</v>
      </c>
      <c r="B3347" s="1" t="s">
        <v>9874</v>
      </c>
      <c r="C3347" s="1" t="s">
        <v>9934</v>
      </c>
      <c r="D3347" s="1" t="str">
        <f t="shared" si="156"/>
        <v>Tønder KommuneHøybergvej   14</v>
      </c>
      <c r="E3347" s="1" t="s">
        <v>9934</v>
      </c>
      <c r="F3347" s="1" t="s">
        <v>9933</v>
      </c>
      <c r="G3347" s="1">
        <v>1973</v>
      </c>
      <c r="H3347" s="1" t="s">
        <v>11</v>
      </c>
      <c r="I3347" s="6" cm="1">
        <f t="array" ref="I3347">GetLatitude(D3347)</f>
        <v>550108914</v>
      </c>
      <c r="J3347" s="1" cm="1">
        <f t="array" ref="J3347">GetLongitude(D3347)</f>
        <v>87827330</v>
      </c>
      <c r="K3347" s="1">
        <f t="shared" si="157"/>
        <v>55.010891399999998</v>
      </c>
      <c r="L3347" s="1">
        <f t="shared" si="158"/>
        <v>8.7827330000000003</v>
      </c>
    </row>
    <row r="3348" spans="1:12" ht="16" x14ac:dyDescent="0.2">
      <c r="A3348" s="1">
        <v>3347</v>
      </c>
      <c r="B3348" s="1" t="s">
        <v>9874</v>
      </c>
      <c r="C3348" s="1" t="s">
        <v>9935</v>
      </c>
      <c r="D3348" s="1" t="str">
        <f t="shared" si="156"/>
        <v>Tønder KommuneHøybergvej 16</v>
      </c>
      <c r="E3348" s="1" t="s">
        <v>9936</v>
      </c>
      <c r="F3348" s="1" t="s">
        <v>1276</v>
      </c>
      <c r="G3348" s="1">
        <v>1973</v>
      </c>
      <c r="H3348" s="1" t="s">
        <v>15</v>
      </c>
      <c r="I3348" s="6" cm="1">
        <f t="array" ref="I3348">GetLatitude(D3348)</f>
        <v>550109071</v>
      </c>
      <c r="J3348" s="1" cm="1">
        <f t="array" ref="J3348">GetLongitude(D3348)</f>
        <v>87829651</v>
      </c>
      <c r="K3348" s="1">
        <f t="shared" si="157"/>
        <v>55.010907099999997</v>
      </c>
      <c r="L3348" s="1">
        <f t="shared" si="158"/>
        <v>8.7829651000000002</v>
      </c>
    </row>
    <row r="3349" spans="1:12" ht="16" x14ac:dyDescent="0.2">
      <c r="A3349" s="1">
        <v>3348</v>
      </c>
      <c r="B3349" s="1" t="s">
        <v>9874</v>
      </c>
      <c r="C3349" s="1" t="s">
        <v>9937</v>
      </c>
      <c r="D3349" s="1" t="str">
        <f t="shared" si="156"/>
        <v>Tønder KommuneJomfrustien 6</v>
      </c>
      <c r="E3349" s="1" t="s">
        <v>9938</v>
      </c>
      <c r="F3349" s="1" t="s">
        <v>9939</v>
      </c>
      <c r="G3349" s="1">
        <v>1921</v>
      </c>
      <c r="H3349" s="1" t="s">
        <v>15</v>
      </c>
      <c r="I3349" s="6" cm="1">
        <f t="array" ref="I3349">GetLatitude(D3349)</f>
        <v>549333757</v>
      </c>
      <c r="J3349" s="1" cm="1">
        <f t="array" ref="J3349">GetLongitude(D3349)</f>
        <v>88691437</v>
      </c>
      <c r="K3349" s="1">
        <f t="shared" si="157"/>
        <v>54.933375699999999</v>
      </c>
      <c r="L3349" s="1">
        <f t="shared" si="158"/>
        <v>8.8691437000000004</v>
      </c>
    </row>
    <row r="3350" spans="1:12" ht="16" x14ac:dyDescent="0.2">
      <c r="A3350" s="1">
        <v>3349</v>
      </c>
      <c r="B3350" s="1" t="s">
        <v>9874</v>
      </c>
      <c r="C3350" s="1" t="s">
        <v>9940</v>
      </c>
      <c r="D3350" s="1" t="str">
        <f t="shared" si="156"/>
        <v>Tønder KommuneJuvrevej 56</v>
      </c>
      <c r="E3350" s="1" t="s">
        <v>9941</v>
      </c>
      <c r="F3350" s="1" t="s">
        <v>9942</v>
      </c>
      <c r="G3350" s="1">
        <v>1950</v>
      </c>
      <c r="H3350" s="1" t="s">
        <v>15</v>
      </c>
      <c r="I3350" s="6" cm="1">
        <f t="array" ref="I3350">GetLatitude(D3350)</f>
        <v>551653037</v>
      </c>
      <c r="J3350" s="1" cm="1">
        <f t="array" ref="J3350">GetLongitude(D3350)</f>
        <v>85555838</v>
      </c>
      <c r="K3350" s="1">
        <f t="shared" si="157"/>
        <v>55.165303700000003</v>
      </c>
      <c r="L3350" s="1">
        <f t="shared" si="158"/>
        <v>8.5555838000000008</v>
      </c>
    </row>
    <row r="3351" spans="1:12" ht="16" x14ac:dyDescent="0.2">
      <c r="A3351" s="1">
        <v>3350</v>
      </c>
      <c r="B3351" s="1" t="s">
        <v>9874</v>
      </c>
      <c r="C3351" s="1" t="s">
        <v>9943</v>
      </c>
      <c r="D3351" s="1" t="str">
        <f t="shared" si="156"/>
        <v>Tønder KommuneJuvrevej 60</v>
      </c>
      <c r="E3351" s="1" t="s">
        <v>9944</v>
      </c>
      <c r="F3351" s="1" t="s">
        <v>9945</v>
      </c>
      <c r="G3351" s="1">
        <v>1950</v>
      </c>
      <c r="H3351" s="1" t="s">
        <v>15</v>
      </c>
      <c r="I3351" s="6" cm="1">
        <f t="array" ref="I3351">GetLatitude(D3351)</f>
        <v>551666340</v>
      </c>
      <c r="J3351" s="1" cm="1">
        <f t="array" ref="J3351">GetLongitude(D3351)</f>
        <v>85549650</v>
      </c>
      <c r="K3351" s="1">
        <f t="shared" si="157"/>
        <v>55.166634000000002</v>
      </c>
      <c r="L3351" s="1">
        <f t="shared" si="158"/>
        <v>8.5549649999999993</v>
      </c>
    </row>
    <row r="3352" spans="1:12" ht="16" x14ac:dyDescent="0.2">
      <c r="A3352" s="1">
        <v>3351</v>
      </c>
      <c r="B3352" s="1" t="s">
        <v>9874</v>
      </c>
      <c r="C3352" s="1" t="s">
        <v>2388</v>
      </c>
      <c r="D3352" s="1" t="str">
        <f t="shared" si="156"/>
        <v>Tønder KommuneKirkepladsen 3</v>
      </c>
      <c r="E3352" s="1" t="s">
        <v>9946</v>
      </c>
      <c r="F3352" s="1" t="s">
        <v>5871</v>
      </c>
      <c r="G3352" s="1">
        <v>1950</v>
      </c>
      <c r="H3352" s="1" t="s">
        <v>15</v>
      </c>
      <c r="I3352" s="6" cm="1">
        <f t="array" ref="I3352">GetLatitude(D3352)</f>
        <v>550790800</v>
      </c>
      <c r="J3352" s="1" cm="1">
        <f t="array" ref="J3352">GetLongitude(D3352)</f>
        <v>88823958</v>
      </c>
      <c r="K3352" s="1">
        <f t="shared" si="157"/>
        <v>55.079079999999998</v>
      </c>
      <c r="L3352" s="1">
        <f t="shared" si="158"/>
        <v>8.8823957999999994</v>
      </c>
    </row>
    <row r="3353" spans="1:12" ht="16" x14ac:dyDescent="0.2">
      <c r="A3353" s="1">
        <v>3352</v>
      </c>
      <c r="B3353" s="1" t="s">
        <v>9874</v>
      </c>
      <c r="C3353" s="1" t="s">
        <v>9947</v>
      </c>
      <c r="D3353" s="1" t="str">
        <f t="shared" si="156"/>
        <v>Tønder KommuneKirkepladsen 7-9</v>
      </c>
      <c r="E3353" s="1" t="s">
        <v>9948</v>
      </c>
      <c r="F3353" s="1" t="s">
        <v>9949</v>
      </c>
      <c r="G3353" s="1">
        <v>1950</v>
      </c>
      <c r="H3353" s="1" t="s">
        <v>15</v>
      </c>
      <c r="I3353" s="6" cm="1">
        <f t="array" ref="I3353">GetLatitude(D3353)</f>
        <v>550790800</v>
      </c>
      <c r="J3353" s="1" cm="1">
        <f t="array" ref="J3353">GetLongitude(D3353)</f>
        <v>88823958</v>
      </c>
      <c r="K3353" s="1">
        <f t="shared" si="157"/>
        <v>55.079079999999998</v>
      </c>
      <c r="L3353" s="1">
        <f t="shared" si="158"/>
        <v>8.8823957999999994</v>
      </c>
    </row>
    <row r="3354" spans="1:12" ht="16" x14ac:dyDescent="0.2">
      <c r="A3354" s="1">
        <v>3353</v>
      </c>
      <c r="B3354" s="1" t="s">
        <v>9874</v>
      </c>
      <c r="C3354" s="1" t="s">
        <v>9950</v>
      </c>
      <c r="D3354" s="1" t="str">
        <f t="shared" si="156"/>
        <v>Tønder KommuneKirkepladsen 7-9 (tidl Kirkepladsen 11)</v>
      </c>
      <c r="E3354" s="1" t="s">
        <v>2511</v>
      </c>
      <c r="F3354" s="1" t="s">
        <v>9951</v>
      </c>
      <c r="G3354" s="1">
        <v>1921</v>
      </c>
      <c r="H3354" s="1" t="s">
        <v>15</v>
      </c>
      <c r="I3354" s="6" cm="1">
        <f t="array" ref="I3354">GetLatitude(D3354)</f>
        <v>549368362</v>
      </c>
      <c r="J3354" s="1" cm="1">
        <f t="array" ref="J3354">GetLongitude(D3354)</f>
        <v>88705295</v>
      </c>
      <c r="K3354" s="1">
        <f t="shared" si="157"/>
        <v>54.936836200000002</v>
      </c>
      <c r="L3354" s="1">
        <f t="shared" si="158"/>
        <v>8.8705295</v>
      </c>
    </row>
    <row r="3355" spans="1:12" ht="16" x14ac:dyDescent="0.2">
      <c r="A3355" s="1">
        <v>3354</v>
      </c>
      <c r="B3355" s="1" t="s">
        <v>9874</v>
      </c>
      <c r="C3355" s="1" t="s">
        <v>9952</v>
      </c>
      <c r="D3355" s="1" t="str">
        <f t="shared" si="156"/>
        <v>Tønder KommuneKirkestien 4</v>
      </c>
      <c r="E3355" s="1" t="s">
        <v>9953</v>
      </c>
      <c r="F3355" s="1" t="s">
        <v>9954</v>
      </c>
      <c r="G3355" s="1">
        <v>1921</v>
      </c>
      <c r="H3355" s="1" t="s">
        <v>11</v>
      </c>
      <c r="I3355" s="6" cm="1">
        <f t="array" ref="I3355">GetLatitude(D3355)</f>
        <v>550790800</v>
      </c>
      <c r="J3355" s="1" cm="1">
        <f t="array" ref="J3355">GetLongitude(D3355)</f>
        <v>88823958</v>
      </c>
      <c r="K3355" s="1">
        <f t="shared" si="157"/>
        <v>55.079079999999998</v>
      </c>
      <c r="L3355" s="1">
        <f t="shared" si="158"/>
        <v>8.8823957999999994</v>
      </c>
    </row>
    <row r="3356" spans="1:12" ht="16" x14ac:dyDescent="0.2">
      <c r="A3356" s="1">
        <v>3355</v>
      </c>
      <c r="B3356" s="1" t="s">
        <v>9874</v>
      </c>
      <c r="C3356" s="1" t="s">
        <v>9955</v>
      </c>
      <c r="D3356" s="1" t="str">
        <f t="shared" si="156"/>
        <v>Tønder KommuneKirkestien 6</v>
      </c>
      <c r="E3356" s="1" t="s">
        <v>9956</v>
      </c>
      <c r="F3356" s="1" t="s">
        <v>9957</v>
      </c>
      <c r="G3356" s="1">
        <v>1950</v>
      </c>
      <c r="H3356" s="1" t="s">
        <v>11</v>
      </c>
      <c r="I3356" s="6" cm="1">
        <f t="array" ref="I3356">GetLatitude(D3356)</f>
        <v>549406219</v>
      </c>
      <c r="J3356" s="1" cm="1">
        <f t="array" ref="J3356">GetLongitude(D3356)</f>
        <v>88050094</v>
      </c>
      <c r="K3356" s="1">
        <f t="shared" si="157"/>
        <v>54.940621899999996</v>
      </c>
      <c r="L3356" s="1">
        <f t="shared" si="158"/>
        <v>8.8050093999999994</v>
      </c>
    </row>
    <row r="3357" spans="1:12" ht="16" x14ac:dyDescent="0.2">
      <c r="A3357" s="1">
        <v>3356</v>
      </c>
      <c r="B3357" s="1" t="s">
        <v>9874</v>
      </c>
      <c r="C3357" s="1" t="s">
        <v>9958</v>
      </c>
      <c r="D3357" s="1" t="str">
        <f t="shared" si="156"/>
        <v>Tønder KommuneKogsvej 73</v>
      </c>
      <c r="E3357" s="1" t="s">
        <v>9959</v>
      </c>
      <c r="F3357" s="1" t="s">
        <v>9960</v>
      </c>
      <c r="G3357" s="1">
        <v>1994</v>
      </c>
      <c r="H3357" s="1" t="s">
        <v>11</v>
      </c>
      <c r="I3357" s="6" cm="1">
        <f t="array" ref="I3357">GetLatitude(D3357)</f>
        <v>552297379</v>
      </c>
      <c r="J3357" s="1" cm="1">
        <f t="array" ref="J3357">GetLongitude(D3357)</f>
        <v>87725967</v>
      </c>
      <c r="K3357" s="1">
        <f t="shared" si="157"/>
        <v>55.229737900000003</v>
      </c>
      <c r="L3357" s="1">
        <f t="shared" si="158"/>
        <v>8.7725966999999994</v>
      </c>
    </row>
    <row r="3358" spans="1:12" ht="16" x14ac:dyDescent="0.2">
      <c r="A3358" s="1">
        <v>3357</v>
      </c>
      <c r="B3358" s="1" t="s">
        <v>9874</v>
      </c>
      <c r="C3358" s="1" t="s">
        <v>9961</v>
      </c>
      <c r="D3358" s="1" t="str">
        <f t="shared" si="156"/>
        <v>Tønder KommuneKongevej 51, tidl Kongevej 55</v>
      </c>
      <c r="E3358" s="1" t="s">
        <v>9962</v>
      </c>
      <c r="F3358" s="1" t="s">
        <v>9963</v>
      </c>
      <c r="G3358" s="1">
        <v>1921</v>
      </c>
      <c r="H3358" s="1" t="s">
        <v>15</v>
      </c>
      <c r="I3358" s="6" cm="1">
        <f t="array" ref="I3358">GetLatitude(D3358)</f>
        <v>549315056</v>
      </c>
      <c r="J3358" s="1" cm="1">
        <f t="array" ref="J3358">GetLongitude(D3358)</f>
        <v>88695206</v>
      </c>
      <c r="K3358" s="1">
        <f t="shared" si="157"/>
        <v>54.931505600000001</v>
      </c>
      <c r="L3358" s="1">
        <f t="shared" si="158"/>
        <v>8.8695205999999995</v>
      </c>
    </row>
    <row r="3359" spans="1:12" ht="16" x14ac:dyDescent="0.2">
      <c r="A3359" s="1">
        <v>3358</v>
      </c>
      <c r="B3359" s="1" t="s">
        <v>9874</v>
      </c>
      <c r="C3359" s="1" t="s">
        <v>9964</v>
      </c>
      <c r="D3359" s="1" t="str">
        <f t="shared" si="156"/>
        <v>Tønder KommuneKongevej 53 (tidl Nyholmvej 1)</v>
      </c>
      <c r="E3359" s="1" t="s">
        <v>9965</v>
      </c>
      <c r="F3359" s="1" t="s">
        <v>7694</v>
      </c>
      <c r="G3359" s="1">
        <v>1978</v>
      </c>
      <c r="H3359" s="1" t="s">
        <v>11</v>
      </c>
      <c r="I3359" s="6" cm="1">
        <f t="array" ref="I3359">GetLatitude(D3359)</f>
        <v>550790800</v>
      </c>
      <c r="J3359" s="1" cm="1">
        <f t="array" ref="J3359">GetLongitude(D3359)</f>
        <v>88823958</v>
      </c>
      <c r="K3359" s="1">
        <f t="shared" si="157"/>
        <v>55.079079999999998</v>
      </c>
      <c r="L3359" s="1">
        <f t="shared" si="158"/>
        <v>8.8823957999999994</v>
      </c>
    </row>
    <row r="3360" spans="1:12" ht="16" x14ac:dyDescent="0.2">
      <c r="A3360" s="1">
        <v>3359</v>
      </c>
      <c r="B3360" s="1" t="s">
        <v>9874</v>
      </c>
      <c r="C3360" s="1" t="s">
        <v>9966</v>
      </c>
      <c r="D3360" s="1" t="str">
        <f t="shared" si="156"/>
        <v>Tønder KommuneKongevej 59</v>
      </c>
      <c r="E3360" s="1" t="s">
        <v>9967</v>
      </c>
      <c r="F3360" s="1" t="s">
        <v>9968</v>
      </c>
      <c r="G3360" s="1">
        <v>1921</v>
      </c>
      <c r="H3360" s="1" t="s">
        <v>15</v>
      </c>
      <c r="I3360" s="6" cm="1">
        <f t="array" ref="I3360">GetLatitude(D3360)</f>
        <v>549379317</v>
      </c>
      <c r="J3360" s="1" cm="1">
        <f t="array" ref="J3360">GetLongitude(D3360)</f>
        <v>88676205</v>
      </c>
      <c r="K3360" s="1">
        <f t="shared" si="157"/>
        <v>54.9379317</v>
      </c>
      <c r="L3360" s="1">
        <f t="shared" si="158"/>
        <v>8.8676204999999992</v>
      </c>
    </row>
    <row r="3361" spans="1:12" ht="16" x14ac:dyDescent="0.2">
      <c r="A3361" s="1">
        <v>3360</v>
      </c>
      <c r="B3361" s="1" t="s">
        <v>9874</v>
      </c>
      <c r="C3361" s="1" t="s">
        <v>9969</v>
      </c>
      <c r="D3361" s="1" t="str">
        <f t="shared" si="156"/>
        <v>Tønder KommuneMelbyvej 19</v>
      </c>
      <c r="E3361" s="1" t="s">
        <v>9970</v>
      </c>
      <c r="F3361" s="1" t="s">
        <v>9971</v>
      </c>
      <c r="G3361" s="1">
        <v>1954</v>
      </c>
      <c r="H3361" s="1" t="s">
        <v>283</v>
      </c>
      <c r="I3361" s="6" cm="1">
        <f t="array" ref="I3361">GetLatitude(D3361)</f>
        <v>551556210</v>
      </c>
      <c r="J3361" s="1" cm="1">
        <f t="array" ref="J3361">GetLongitude(D3361)</f>
        <v>87638617</v>
      </c>
      <c r="K3361" s="1">
        <f t="shared" si="157"/>
        <v>55.155620999999996</v>
      </c>
      <c r="L3361" s="1">
        <f t="shared" si="158"/>
        <v>8.7638616999999996</v>
      </c>
    </row>
    <row r="3362" spans="1:12" ht="16" x14ac:dyDescent="0.2">
      <c r="A3362" s="1">
        <v>3361</v>
      </c>
      <c r="B3362" s="1" t="s">
        <v>9874</v>
      </c>
      <c r="C3362" s="1" t="s">
        <v>9972</v>
      </c>
      <c r="D3362" s="1" t="str">
        <f t="shared" si="156"/>
        <v>Tønder KommuneMøllegade 13</v>
      </c>
      <c r="E3362" s="1" t="s">
        <v>9973</v>
      </c>
      <c r="F3362" s="1" t="s">
        <v>9974</v>
      </c>
      <c r="G3362" s="1">
        <v>1991</v>
      </c>
      <c r="H3362" s="1" t="s">
        <v>15</v>
      </c>
      <c r="I3362" s="6" cm="1">
        <f t="array" ref="I3362">GetLatitude(D3362)</f>
        <v>549396150</v>
      </c>
      <c r="J3362" s="1" cm="1">
        <f t="array" ref="J3362">GetLongitude(D3362)</f>
        <v>88644170</v>
      </c>
      <c r="K3362" s="1">
        <f t="shared" si="157"/>
        <v>54.939615000000003</v>
      </c>
      <c r="L3362" s="1">
        <f t="shared" si="158"/>
        <v>8.8644169999999995</v>
      </c>
    </row>
    <row r="3363" spans="1:12" ht="16" x14ac:dyDescent="0.2">
      <c r="A3363" s="1">
        <v>3362</v>
      </c>
      <c r="B3363" s="1" t="s">
        <v>9874</v>
      </c>
      <c r="C3363" s="1" t="s">
        <v>9975</v>
      </c>
      <c r="D3363" s="1" t="str">
        <f t="shared" si="156"/>
        <v>Tønder KommuneMøllegade 4 (tidl Storegade 40)</v>
      </c>
      <c r="E3363" s="1" t="s">
        <v>9976</v>
      </c>
      <c r="F3363" s="1" t="s">
        <v>9977</v>
      </c>
      <c r="G3363" s="1">
        <v>1950</v>
      </c>
      <c r="H3363" s="1" t="s">
        <v>701</v>
      </c>
      <c r="I3363" s="6" cm="1">
        <f t="array" ref="I3363">GetLatitude(D3363)</f>
        <v>549633012</v>
      </c>
      <c r="J3363" s="1" cm="1">
        <f t="array" ref="J3363">GetLongitude(D3363)</f>
        <v>86928475</v>
      </c>
      <c r="K3363" s="1">
        <f t="shared" si="157"/>
        <v>54.963301199999997</v>
      </c>
      <c r="L3363" s="1">
        <f t="shared" si="158"/>
        <v>8.6928474999999992</v>
      </c>
    </row>
    <row r="3364" spans="1:12" ht="16" x14ac:dyDescent="0.2">
      <c r="A3364" s="1">
        <v>3363</v>
      </c>
      <c r="B3364" s="1" t="s">
        <v>9874</v>
      </c>
      <c r="C3364" s="1" t="s">
        <v>9978</v>
      </c>
      <c r="D3364" s="1" t="str">
        <f t="shared" si="156"/>
        <v>Tønder KommuneMøllevej 55</v>
      </c>
      <c r="E3364" s="1" t="s">
        <v>9979</v>
      </c>
      <c r="F3364" s="1" t="s">
        <v>9980</v>
      </c>
      <c r="G3364" s="1">
        <v>1954</v>
      </c>
      <c r="H3364" s="1" t="s">
        <v>11</v>
      </c>
      <c r="I3364" s="6" cm="1">
        <f t="array" ref="I3364">GetLatitude(D3364)</f>
        <v>549614935</v>
      </c>
      <c r="J3364" s="1" cm="1">
        <f t="array" ref="J3364">GetLongitude(D3364)</f>
        <v>88032752</v>
      </c>
      <c r="K3364" s="1">
        <f t="shared" si="157"/>
        <v>54.961493500000003</v>
      </c>
      <c r="L3364" s="1">
        <f t="shared" si="158"/>
        <v>8.8032751999999999</v>
      </c>
    </row>
    <row r="3365" spans="1:12" ht="16" x14ac:dyDescent="0.2">
      <c r="A3365" s="1">
        <v>3364</v>
      </c>
      <c r="B3365" s="1" t="s">
        <v>9874</v>
      </c>
      <c r="C3365" s="1" t="s">
        <v>9981</v>
      </c>
      <c r="D3365" s="1" t="str">
        <f t="shared" si="156"/>
        <v>Tønder KommuneNylandsvej 2</v>
      </c>
      <c r="E3365" s="1" t="s">
        <v>9982</v>
      </c>
      <c r="F3365" s="1" t="s">
        <v>9983</v>
      </c>
      <c r="G3365" s="1">
        <v>1991</v>
      </c>
      <c r="H3365" s="1" t="s">
        <v>990</v>
      </c>
      <c r="I3365" s="6" cm="1">
        <f t="array" ref="I3365">GetLatitude(D3365)</f>
        <v>549965771</v>
      </c>
      <c r="J3365" s="1" cm="1">
        <f t="array" ref="J3365">GetLongitude(D3365)</f>
        <v>86974528</v>
      </c>
      <c r="K3365" s="1">
        <f t="shared" si="157"/>
        <v>54.996577100000003</v>
      </c>
      <c r="L3365" s="1">
        <f t="shared" si="158"/>
        <v>8.6974528000000007</v>
      </c>
    </row>
    <row r="3366" spans="1:12" ht="16" x14ac:dyDescent="0.2">
      <c r="A3366" s="1">
        <v>3365</v>
      </c>
      <c r="B3366" s="1" t="s">
        <v>9874</v>
      </c>
      <c r="C3366" s="1" t="s">
        <v>7096</v>
      </c>
      <c r="D3366" s="1" t="str">
        <f t="shared" si="156"/>
        <v>Tønder KommuneNørrevej 1</v>
      </c>
      <c r="E3366" s="1" t="s">
        <v>9984</v>
      </c>
      <c r="F3366" s="1" t="s">
        <v>9985</v>
      </c>
      <c r="G3366" s="1">
        <v>1950</v>
      </c>
      <c r="H3366" s="1" t="s">
        <v>15</v>
      </c>
      <c r="I3366" s="6" cm="1">
        <f t="array" ref="I3366">GetLatitude(D3366)</f>
        <v>549800574</v>
      </c>
      <c r="J3366" s="1" cm="1">
        <f t="array" ref="J3366">GetLongitude(D3366)</f>
        <v>88744417</v>
      </c>
      <c r="K3366" s="1">
        <f t="shared" si="157"/>
        <v>54.9800574</v>
      </c>
      <c r="L3366" s="1">
        <f t="shared" si="158"/>
        <v>8.8744417000000002</v>
      </c>
    </row>
    <row r="3367" spans="1:12" ht="16" x14ac:dyDescent="0.2">
      <c r="A3367" s="1">
        <v>3366</v>
      </c>
      <c r="B3367" s="1" t="s">
        <v>9874</v>
      </c>
      <c r="C3367" s="1" t="s">
        <v>9986</v>
      </c>
      <c r="D3367" s="1" t="str">
        <f t="shared" si="156"/>
        <v>Tønder KommunePostgade 8</v>
      </c>
      <c r="E3367" s="1" t="s">
        <v>9987</v>
      </c>
      <c r="F3367" s="1" t="s">
        <v>1276</v>
      </c>
      <c r="G3367" s="1">
        <v>1950</v>
      </c>
      <c r="H3367" s="1" t="s">
        <v>11</v>
      </c>
      <c r="I3367" s="6" cm="1">
        <f t="array" ref="I3367">GetLatitude(D3367)</f>
        <v>549635701</v>
      </c>
      <c r="J3367" s="1" cm="1">
        <f t="array" ref="J3367">GetLongitude(D3367)</f>
        <v>86951624</v>
      </c>
      <c r="K3367" s="1">
        <f t="shared" si="157"/>
        <v>54.963570099999998</v>
      </c>
      <c r="L3367" s="1">
        <f t="shared" si="158"/>
        <v>8.6951623999999992</v>
      </c>
    </row>
    <row r="3368" spans="1:12" ht="16" x14ac:dyDescent="0.2">
      <c r="A3368" s="1">
        <v>3367</v>
      </c>
      <c r="B3368" s="1" t="s">
        <v>9874</v>
      </c>
      <c r="C3368" s="1" t="s">
        <v>9988</v>
      </c>
      <c r="D3368" s="1" t="str">
        <f t="shared" si="156"/>
        <v>Tønder KommunePræstegårdsvej 20</v>
      </c>
      <c r="E3368" s="1" t="s">
        <v>9989</v>
      </c>
      <c r="F3368" s="1" t="s">
        <v>9990</v>
      </c>
      <c r="G3368" s="1">
        <v>1992</v>
      </c>
      <c r="H3368" s="1" t="s">
        <v>15</v>
      </c>
      <c r="I3368" s="6" cm="1">
        <f t="array" ref="I3368">GetLatitude(D3368)</f>
        <v>551166987</v>
      </c>
      <c r="J3368" s="1" cm="1">
        <f t="array" ref="J3368">GetLongitude(D3368)</f>
        <v>87564361</v>
      </c>
      <c r="K3368" s="1">
        <f t="shared" si="157"/>
        <v>55.116698700000001</v>
      </c>
      <c r="L3368" s="1">
        <f t="shared" si="158"/>
        <v>8.7564361000000002</v>
      </c>
    </row>
    <row r="3369" spans="1:12" ht="16" x14ac:dyDescent="0.2">
      <c r="A3369" s="1">
        <v>3368</v>
      </c>
      <c r="B3369" s="1" t="s">
        <v>9874</v>
      </c>
      <c r="C3369" s="1" t="s">
        <v>9991</v>
      </c>
      <c r="D3369" s="1" t="str">
        <f t="shared" si="156"/>
        <v>Tønder KommuneRibe Landevej 30</v>
      </c>
      <c r="E3369" s="1" t="s">
        <v>9992</v>
      </c>
      <c r="F3369" s="1" t="s">
        <v>9993</v>
      </c>
      <c r="G3369" s="1">
        <v>2002</v>
      </c>
      <c r="H3369" s="1" t="s">
        <v>701</v>
      </c>
      <c r="I3369" s="6" cm="1">
        <f t="array" ref="I3369">GetLatitude(D3369)</f>
        <v>549421769</v>
      </c>
      <c r="J3369" s="1" cm="1">
        <f t="array" ref="J3369">GetLongitude(D3369)</f>
        <v>88728783</v>
      </c>
      <c r="K3369" s="1">
        <f t="shared" si="157"/>
        <v>54.9421769</v>
      </c>
      <c r="L3369" s="1">
        <f t="shared" si="158"/>
        <v>8.8728783</v>
      </c>
    </row>
    <row r="3370" spans="1:12" ht="16" x14ac:dyDescent="0.2">
      <c r="A3370" s="1">
        <v>3369</v>
      </c>
      <c r="B3370" s="1" t="s">
        <v>9874</v>
      </c>
      <c r="C3370" s="1" t="s">
        <v>9994</v>
      </c>
      <c r="D3370" s="1" t="str">
        <f t="shared" si="156"/>
        <v>Tønder KommuneRichtsensgade 35 (Nørre Allé)</v>
      </c>
      <c r="E3370" s="1" t="s">
        <v>9995</v>
      </c>
      <c r="F3370" s="1" t="s">
        <v>9996</v>
      </c>
      <c r="G3370" s="1">
        <v>1950</v>
      </c>
      <c r="H3370" s="1" t="s">
        <v>11</v>
      </c>
      <c r="I3370" s="6" cm="1">
        <f t="array" ref="I3370">GetLatitude(D3370)</f>
        <v>549379422</v>
      </c>
      <c r="J3370" s="1" cm="1">
        <f t="array" ref="J3370">GetLongitude(D3370)</f>
        <v>88690460</v>
      </c>
      <c r="K3370" s="1">
        <f t="shared" si="157"/>
        <v>54.937942200000002</v>
      </c>
      <c r="L3370" s="1">
        <f t="shared" si="158"/>
        <v>8.8690460000000009</v>
      </c>
    </row>
    <row r="3371" spans="1:12" ht="16" x14ac:dyDescent="0.2">
      <c r="A3371" s="1">
        <v>3370</v>
      </c>
      <c r="B3371" s="1" t="s">
        <v>9874</v>
      </c>
      <c r="C3371" s="1" t="s">
        <v>9997</v>
      </c>
      <c r="D3371" s="1" t="str">
        <f t="shared" si="156"/>
        <v>Tønder KommuneSchackenborg 1, 2 og 4</v>
      </c>
      <c r="E3371" s="1" t="s">
        <v>9998</v>
      </c>
      <c r="F3371" s="1" t="s">
        <v>9999</v>
      </c>
      <c r="G3371" s="1">
        <v>1921</v>
      </c>
      <c r="H3371" s="1" t="s">
        <v>11</v>
      </c>
      <c r="I3371" s="6" cm="1">
        <f t="array" ref="I3371">GetLatitude(D3371)</f>
        <v>549427589</v>
      </c>
      <c r="J3371" s="1" cm="1">
        <f t="array" ref="J3371">GetLongitude(D3371)</f>
        <v>88087020</v>
      </c>
      <c r="K3371" s="1">
        <f t="shared" si="157"/>
        <v>54.942758900000001</v>
      </c>
      <c r="L3371" s="1">
        <f t="shared" si="158"/>
        <v>8.8087020000000003</v>
      </c>
    </row>
    <row r="3372" spans="1:12" ht="16" x14ac:dyDescent="0.2">
      <c r="A3372" s="1">
        <v>3371</v>
      </c>
      <c r="B3372" s="1" t="s">
        <v>9874</v>
      </c>
      <c r="C3372" s="1" t="s">
        <v>10000</v>
      </c>
      <c r="D3372" s="1" t="str">
        <f t="shared" si="156"/>
        <v>Tønder KommuneSkast 90</v>
      </c>
      <c r="E3372" s="1" t="s">
        <v>10001</v>
      </c>
      <c r="F3372" s="1" t="s">
        <v>10002</v>
      </c>
      <c r="G3372" s="1">
        <v>1991</v>
      </c>
      <c r="H3372" s="1" t="s">
        <v>15</v>
      </c>
      <c r="I3372" s="6" cm="1">
        <f t="array" ref="I3372">GetLatitude(D3372)</f>
        <v>550499993</v>
      </c>
      <c r="J3372" s="1" cm="1">
        <f t="array" ref="J3372">GetLongitude(D3372)</f>
        <v>86938996</v>
      </c>
      <c r="K3372" s="1">
        <f t="shared" si="157"/>
        <v>55.049999300000003</v>
      </c>
      <c r="L3372" s="1">
        <f t="shared" si="158"/>
        <v>8.6938995999999999</v>
      </c>
    </row>
    <row r="3373" spans="1:12" ht="16" x14ac:dyDescent="0.2">
      <c r="A3373" s="1">
        <v>3372</v>
      </c>
      <c r="B3373" s="1" t="s">
        <v>9874</v>
      </c>
      <c r="C3373" s="1" t="s">
        <v>10003</v>
      </c>
      <c r="D3373" s="1" t="str">
        <f t="shared" si="156"/>
        <v>Tønder KommuneSkibbroen 7</v>
      </c>
      <c r="E3373" s="1" t="s">
        <v>10004</v>
      </c>
      <c r="F3373" s="1" t="s">
        <v>10005</v>
      </c>
      <c r="G3373" s="1">
        <v>1985</v>
      </c>
      <c r="H3373" s="1" t="s">
        <v>11</v>
      </c>
      <c r="I3373" s="6" cm="1">
        <f t="array" ref="I3373">GetLatitude(D3373)</f>
        <v>549337931</v>
      </c>
      <c r="J3373" s="1" cm="1">
        <f t="array" ref="J3373">GetLongitude(D3373)</f>
        <v>88675896</v>
      </c>
      <c r="K3373" s="1">
        <f t="shared" si="157"/>
        <v>54.933793100000003</v>
      </c>
      <c r="L3373" s="1">
        <f t="shared" si="158"/>
        <v>8.8675896000000005</v>
      </c>
    </row>
    <row r="3374" spans="1:12" ht="16" x14ac:dyDescent="0.2">
      <c r="A3374" s="1">
        <v>3373</v>
      </c>
      <c r="B3374" s="1" t="s">
        <v>9874</v>
      </c>
      <c r="C3374" s="1" t="s">
        <v>10006</v>
      </c>
      <c r="D3374" s="1" t="str">
        <f t="shared" si="156"/>
        <v>Tønder KommuneSkibbrogade 6 A - 6 D</v>
      </c>
      <c r="E3374" s="1" t="s">
        <v>10007</v>
      </c>
      <c r="F3374" s="1" t="s">
        <v>10008</v>
      </c>
      <c r="G3374" s="1">
        <v>1964</v>
      </c>
      <c r="H3374" s="1" t="s">
        <v>11</v>
      </c>
      <c r="I3374" s="6" cm="1">
        <f t="array" ref="I3374">GetLatitude(D3374)</f>
        <v>549343703</v>
      </c>
      <c r="J3374" s="1" cm="1">
        <f t="array" ref="J3374">GetLongitude(D3374)</f>
        <v>88680081</v>
      </c>
      <c r="K3374" s="1">
        <f t="shared" si="157"/>
        <v>54.934370299999998</v>
      </c>
      <c r="L3374" s="1">
        <f t="shared" si="158"/>
        <v>8.8680081000000008</v>
      </c>
    </row>
    <row r="3375" spans="1:12" ht="16" x14ac:dyDescent="0.2">
      <c r="A3375" s="1">
        <v>3374</v>
      </c>
      <c r="B3375" s="1" t="s">
        <v>9874</v>
      </c>
      <c r="C3375" s="1" t="s">
        <v>10009</v>
      </c>
      <c r="D3375" s="1" t="str">
        <f t="shared" si="156"/>
        <v>Tønder KommuneSkibbrogade 8</v>
      </c>
      <c r="E3375" s="1" t="s">
        <v>10010</v>
      </c>
      <c r="F3375" s="1" t="s">
        <v>10011</v>
      </c>
      <c r="G3375" s="1">
        <v>1964</v>
      </c>
      <c r="H3375" s="1" t="s">
        <v>15</v>
      </c>
      <c r="I3375" s="6" cm="1">
        <f t="array" ref="I3375">GetLatitude(D3375)</f>
        <v>549343536</v>
      </c>
      <c r="J3375" s="1" cm="1">
        <f t="array" ref="J3375">GetLongitude(D3375)</f>
        <v>88678674</v>
      </c>
      <c r="K3375" s="1">
        <f t="shared" si="157"/>
        <v>54.934353600000001</v>
      </c>
      <c r="L3375" s="1">
        <f t="shared" si="158"/>
        <v>8.8678673999999997</v>
      </c>
    </row>
    <row r="3376" spans="1:12" ht="16" x14ac:dyDescent="0.2">
      <c r="A3376" s="1">
        <v>3375</v>
      </c>
      <c r="B3376" s="1" t="s">
        <v>9874</v>
      </c>
      <c r="C3376" s="1" t="s">
        <v>8658</v>
      </c>
      <c r="D3376" s="1" t="str">
        <f t="shared" si="156"/>
        <v>Tønder KommuneSkolegade 3</v>
      </c>
      <c r="E3376" s="1" t="s">
        <v>10012</v>
      </c>
      <c r="F3376" s="1" t="s">
        <v>10013</v>
      </c>
      <c r="G3376" s="1">
        <v>1950</v>
      </c>
      <c r="H3376" s="1" t="s">
        <v>15</v>
      </c>
      <c r="I3376" s="6" cm="1">
        <f t="array" ref="I3376">GetLatitude(D3376)</f>
        <v>550790800</v>
      </c>
      <c r="J3376" s="1" cm="1">
        <f t="array" ref="J3376">GetLongitude(D3376)</f>
        <v>88823958</v>
      </c>
      <c r="K3376" s="1">
        <f t="shared" si="157"/>
        <v>55.079079999999998</v>
      </c>
      <c r="L3376" s="1">
        <f t="shared" si="158"/>
        <v>8.8823957999999994</v>
      </c>
    </row>
    <row r="3377" spans="1:12" ht="16" x14ac:dyDescent="0.2">
      <c r="A3377" s="1">
        <v>3376</v>
      </c>
      <c r="B3377" s="1" t="s">
        <v>9874</v>
      </c>
      <c r="C3377" s="1" t="s">
        <v>10014</v>
      </c>
      <c r="D3377" s="1" t="str">
        <f t="shared" si="156"/>
        <v>Tønder KommuneSlotsgade 11-13</v>
      </c>
      <c r="E3377" s="1" t="s">
        <v>10015</v>
      </c>
      <c r="F3377" s="1" t="s">
        <v>10016</v>
      </c>
      <c r="G3377" s="1">
        <v>1921</v>
      </c>
      <c r="H3377" s="1" t="s">
        <v>15</v>
      </c>
      <c r="I3377" s="6" cm="1">
        <f t="array" ref="I3377">GetLatitude(D3377)</f>
        <v>550790800</v>
      </c>
      <c r="J3377" s="1" cm="1">
        <f t="array" ref="J3377">GetLongitude(D3377)</f>
        <v>88823958</v>
      </c>
      <c r="K3377" s="1">
        <f t="shared" si="157"/>
        <v>55.079079999999998</v>
      </c>
      <c r="L3377" s="1">
        <f t="shared" si="158"/>
        <v>8.8823957999999994</v>
      </c>
    </row>
    <row r="3378" spans="1:12" ht="16" x14ac:dyDescent="0.2">
      <c r="A3378" s="1">
        <v>3377</v>
      </c>
      <c r="B3378" s="1" t="s">
        <v>9874</v>
      </c>
      <c r="C3378" s="1" t="s">
        <v>10017</v>
      </c>
      <c r="D3378" s="1" t="str">
        <f t="shared" si="156"/>
        <v>Tønder KommuneSlotsgaden 10</v>
      </c>
      <c r="E3378" s="1" t="s">
        <v>10018</v>
      </c>
      <c r="F3378" s="1" t="s">
        <v>10019</v>
      </c>
      <c r="G3378" s="1">
        <v>1950</v>
      </c>
      <c r="H3378" s="1" t="s">
        <v>15</v>
      </c>
      <c r="I3378" s="6" cm="1">
        <f t="array" ref="I3378">GetLatitude(D3378)</f>
        <v>549411554</v>
      </c>
      <c r="J3378" s="1" cm="1">
        <f t="array" ref="J3378">GetLongitude(D3378)</f>
        <v>88040828</v>
      </c>
      <c r="K3378" s="1">
        <f t="shared" si="157"/>
        <v>54.9411554</v>
      </c>
      <c r="L3378" s="1">
        <f t="shared" si="158"/>
        <v>8.8040827999999998</v>
      </c>
    </row>
    <row r="3379" spans="1:12" ht="16" x14ac:dyDescent="0.2">
      <c r="A3379" s="1">
        <v>3378</v>
      </c>
      <c r="B3379" s="1" t="s">
        <v>9874</v>
      </c>
      <c r="C3379" s="1" t="s">
        <v>10020</v>
      </c>
      <c r="D3379" s="1" t="str">
        <f t="shared" si="156"/>
        <v>Tønder KommuneSlotsgaden 12</v>
      </c>
      <c r="E3379" s="1" t="s">
        <v>10021</v>
      </c>
      <c r="F3379" s="1" t="s">
        <v>10022</v>
      </c>
      <c r="G3379" s="1">
        <v>1921</v>
      </c>
      <c r="H3379" s="1" t="s">
        <v>15</v>
      </c>
      <c r="I3379" s="6" cm="1">
        <f t="array" ref="I3379">GetLatitude(D3379)</f>
        <v>549411943</v>
      </c>
      <c r="J3379" s="1" cm="1">
        <f t="array" ref="J3379">GetLongitude(D3379)</f>
        <v>88042920</v>
      </c>
      <c r="K3379" s="1">
        <f t="shared" si="157"/>
        <v>54.941194299999999</v>
      </c>
      <c r="L3379" s="1">
        <f t="shared" si="158"/>
        <v>8.8042920000000002</v>
      </c>
    </row>
    <row r="3380" spans="1:12" ht="16" x14ac:dyDescent="0.2">
      <c r="A3380" s="1">
        <v>3379</v>
      </c>
      <c r="B3380" s="1" t="s">
        <v>9874</v>
      </c>
      <c r="C3380" s="1" t="s">
        <v>10023</v>
      </c>
      <c r="D3380" s="1" t="str">
        <f t="shared" si="156"/>
        <v>Tønder KommuneSlotsgaden 13</v>
      </c>
      <c r="E3380" s="1" t="s">
        <v>10024</v>
      </c>
      <c r="F3380" s="1" t="s">
        <v>10025</v>
      </c>
      <c r="G3380" s="1">
        <v>1950</v>
      </c>
      <c r="H3380" s="1" t="s">
        <v>11</v>
      </c>
      <c r="I3380" s="6" cm="1">
        <f t="array" ref="I3380">GetLatitude(D3380)</f>
        <v>549412017</v>
      </c>
      <c r="J3380" s="1" cm="1">
        <f t="array" ref="J3380">GetLongitude(D3380)</f>
        <v>88053816</v>
      </c>
      <c r="K3380" s="1">
        <f t="shared" si="157"/>
        <v>54.941201700000001</v>
      </c>
      <c r="L3380" s="1">
        <f t="shared" si="158"/>
        <v>8.8053816000000005</v>
      </c>
    </row>
    <row r="3381" spans="1:12" ht="16" x14ac:dyDescent="0.2">
      <c r="A3381" s="1">
        <v>3380</v>
      </c>
      <c r="B3381" s="1" t="s">
        <v>9874</v>
      </c>
      <c r="C3381" s="1" t="s">
        <v>10026</v>
      </c>
      <c r="D3381" s="1" t="str">
        <f t="shared" si="156"/>
        <v>Tønder KommuneSlotsgaden 14</v>
      </c>
      <c r="E3381" s="1" t="s">
        <v>10027</v>
      </c>
      <c r="F3381" s="1" t="s">
        <v>10028</v>
      </c>
      <c r="G3381" s="1">
        <v>1921</v>
      </c>
      <c r="H3381" s="1" t="s">
        <v>11</v>
      </c>
      <c r="I3381" s="6" cm="1">
        <f t="array" ref="I3381">GetLatitude(D3381)</f>
        <v>549414502</v>
      </c>
      <c r="J3381" s="1" cm="1">
        <f t="array" ref="J3381">GetLongitude(D3381)</f>
        <v>88046481</v>
      </c>
      <c r="K3381" s="1">
        <f t="shared" si="157"/>
        <v>54.941450199999998</v>
      </c>
      <c r="L3381" s="1">
        <f t="shared" si="158"/>
        <v>8.8046480999999996</v>
      </c>
    </row>
    <row r="3382" spans="1:12" ht="16" x14ac:dyDescent="0.2">
      <c r="A3382" s="1">
        <v>3381</v>
      </c>
      <c r="B3382" s="1" t="s">
        <v>9874</v>
      </c>
      <c r="C3382" s="1" t="s">
        <v>10029</v>
      </c>
      <c r="D3382" s="1" t="str">
        <f t="shared" si="156"/>
        <v>Tønder KommuneSlotsgaden 15</v>
      </c>
      <c r="E3382" s="1" t="s">
        <v>10030</v>
      </c>
      <c r="F3382" s="1" t="s">
        <v>900</v>
      </c>
      <c r="G3382" s="1">
        <v>1950</v>
      </c>
      <c r="H3382" s="1" t="s">
        <v>11</v>
      </c>
      <c r="I3382" s="6" cm="1">
        <f t="array" ref="I3382">GetLatitude(D3382)</f>
        <v>549412692</v>
      </c>
      <c r="J3382" s="1" cm="1">
        <f t="array" ref="J3382">GetLongitude(D3382)</f>
        <v>88056455</v>
      </c>
      <c r="K3382" s="1">
        <f t="shared" si="157"/>
        <v>54.941269200000001</v>
      </c>
      <c r="L3382" s="1">
        <f t="shared" si="158"/>
        <v>8.8056455000000007</v>
      </c>
    </row>
    <row r="3383" spans="1:12" ht="16" x14ac:dyDescent="0.2">
      <c r="A3383" s="1">
        <v>3382</v>
      </c>
      <c r="B3383" s="1" t="s">
        <v>9874</v>
      </c>
      <c r="C3383" s="1" t="s">
        <v>10031</v>
      </c>
      <c r="D3383" s="1" t="str">
        <f t="shared" si="156"/>
        <v>Tønder KommuneSlotsgaden 16</v>
      </c>
      <c r="E3383" s="1" t="s">
        <v>10032</v>
      </c>
      <c r="F3383" s="1" t="s">
        <v>10033</v>
      </c>
      <c r="G3383" s="1">
        <v>1921</v>
      </c>
      <c r="H3383" s="1" t="s">
        <v>15</v>
      </c>
      <c r="I3383" s="6" cm="1">
        <f t="array" ref="I3383">GetLatitude(D3383)</f>
        <v>549413588</v>
      </c>
      <c r="J3383" s="1" cm="1">
        <f t="array" ref="J3383">GetLongitude(D3383)</f>
        <v>88050106</v>
      </c>
      <c r="K3383" s="1">
        <f t="shared" si="157"/>
        <v>54.941358800000003</v>
      </c>
      <c r="L3383" s="1">
        <f t="shared" si="158"/>
        <v>8.8050105999999992</v>
      </c>
    </row>
    <row r="3384" spans="1:12" ht="16" x14ac:dyDescent="0.2">
      <c r="A3384" s="1">
        <v>3383</v>
      </c>
      <c r="B3384" s="1" t="s">
        <v>9874</v>
      </c>
      <c r="C3384" s="1" t="s">
        <v>10034</v>
      </c>
      <c r="D3384" s="1" t="str">
        <f t="shared" si="156"/>
        <v>Tønder KommuneSlotsgaden 18</v>
      </c>
      <c r="E3384" s="1" t="s">
        <v>10035</v>
      </c>
      <c r="F3384" s="1" t="s">
        <v>10036</v>
      </c>
      <c r="G3384" s="1">
        <v>1921</v>
      </c>
      <c r="H3384" s="1" t="s">
        <v>11</v>
      </c>
      <c r="I3384" s="6" cm="1">
        <f t="array" ref="I3384">GetLatitude(D3384)</f>
        <v>549413839</v>
      </c>
      <c r="J3384" s="1" cm="1">
        <f t="array" ref="J3384">GetLongitude(D3384)</f>
        <v>88052605</v>
      </c>
      <c r="K3384" s="1">
        <f t="shared" si="157"/>
        <v>54.941383899999998</v>
      </c>
      <c r="L3384" s="1">
        <f t="shared" si="158"/>
        <v>8.8052604999999993</v>
      </c>
    </row>
    <row r="3385" spans="1:12" ht="16" x14ac:dyDescent="0.2">
      <c r="A3385" s="1">
        <v>3384</v>
      </c>
      <c r="B3385" s="1" t="s">
        <v>9874</v>
      </c>
      <c r="C3385" s="1" t="s">
        <v>10037</v>
      </c>
      <c r="D3385" s="1" t="str">
        <f t="shared" si="156"/>
        <v>Tønder KommuneSlotsgaden 19</v>
      </c>
      <c r="E3385" s="1" t="s">
        <v>10038</v>
      </c>
      <c r="F3385" s="1" t="s">
        <v>10039</v>
      </c>
      <c r="G3385" s="1">
        <v>1950</v>
      </c>
      <c r="H3385" s="1" t="s">
        <v>11</v>
      </c>
      <c r="I3385" s="6" cm="1">
        <f t="array" ref="I3385">GetLatitude(D3385)</f>
        <v>549413704</v>
      </c>
      <c r="J3385" s="1" cm="1">
        <f t="array" ref="J3385">GetLongitude(D3385)</f>
        <v>88060413</v>
      </c>
      <c r="K3385" s="1">
        <f t="shared" si="157"/>
        <v>54.941370399999997</v>
      </c>
      <c r="L3385" s="1">
        <f t="shared" si="158"/>
        <v>8.8060413000000004</v>
      </c>
    </row>
    <row r="3386" spans="1:12" ht="16" x14ac:dyDescent="0.2">
      <c r="A3386" s="1">
        <v>3385</v>
      </c>
      <c r="B3386" s="1" t="s">
        <v>9874</v>
      </c>
      <c r="C3386" s="1" t="s">
        <v>10040</v>
      </c>
      <c r="D3386" s="1" t="str">
        <f t="shared" si="156"/>
        <v>Tønder KommuneSlotsgaden 21</v>
      </c>
      <c r="E3386" s="1" t="s">
        <v>10041</v>
      </c>
      <c r="F3386" s="1" t="s">
        <v>10042</v>
      </c>
      <c r="G3386" s="1">
        <v>1921</v>
      </c>
      <c r="H3386" s="1" t="s">
        <v>15</v>
      </c>
      <c r="I3386" s="6" cm="1">
        <f t="array" ref="I3386">GetLatitude(D3386)</f>
        <v>549414673</v>
      </c>
      <c r="J3386" s="1" cm="1">
        <f t="array" ref="J3386">GetLongitude(D3386)</f>
        <v>88064960</v>
      </c>
      <c r="K3386" s="1">
        <f t="shared" si="157"/>
        <v>54.941467299999999</v>
      </c>
      <c r="L3386" s="1">
        <f t="shared" si="158"/>
        <v>8.8064959999999992</v>
      </c>
    </row>
    <row r="3387" spans="1:12" ht="16" x14ac:dyDescent="0.2">
      <c r="A3387" s="1">
        <v>3386</v>
      </c>
      <c r="B3387" s="1" t="s">
        <v>9874</v>
      </c>
      <c r="C3387" s="1" t="s">
        <v>10043</v>
      </c>
      <c r="D3387" s="1" t="str">
        <f t="shared" si="156"/>
        <v>Tønder KommuneSlotsgaden 22</v>
      </c>
      <c r="E3387" s="1" t="s">
        <v>10044</v>
      </c>
      <c r="F3387" s="1" t="s">
        <v>10045</v>
      </c>
      <c r="G3387" s="1">
        <v>1950</v>
      </c>
      <c r="H3387" s="1" t="s">
        <v>11</v>
      </c>
      <c r="I3387" s="6" cm="1">
        <f t="array" ref="I3387">GetLatitude(D3387)</f>
        <v>549415569</v>
      </c>
      <c r="J3387" s="1" cm="1">
        <f t="array" ref="J3387">GetLongitude(D3387)</f>
        <v>88058611</v>
      </c>
      <c r="K3387" s="1">
        <f t="shared" si="157"/>
        <v>54.941556900000002</v>
      </c>
      <c r="L3387" s="1">
        <f t="shared" si="158"/>
        <v>8.8058610999999996</v>
      </c>
    </row>
    <row r="3388" spans="1:12" ht="16" x14ac:dyDescent="0.2">
      <c r="A3388" s="1">
        <v>3387</v>
      </c>
      <c r="B3388" s="1" t="s">
        <v>9874</v>
      </c>
      <c r="C3388" s="1" t="s">
        <v>10046</v>
      </c>
      <c r="D3388" s="1" t="str">
        <f t="shared" si="156"/>
        <v>Tønder KommuneSlotsgaden 23</v>
      </c>
      <c r="E3388" s="1" t="s">
        <v>10047</v>
      </c>
      <c r="F3388" s="1" t="s">
        <v>10048</v>
      </c>
      <c r="G3388" s="1">
        <v>1921</v>
      </c>
      <c r="H3388" s="1" t="s">
        <v>15</v>
      </c>
      <c r="I3388" s="6" cm="1">
        <f t="array" ref="I3388">GetLatitude(D3388)</f>
        <v>549415980</v>
      </c>
      <c r="J3388" s="1" cm="1">
        <f t="array" ref="J3388">GetLongitude(D3388)</f>
        <v>88070827</v>
      </c>
      <c r="K3388" s="1">
        <f t="shared" si="157"/>
        <v>54.941597999999999</v>
      </c>
      <c r="L3388" s="1">
        <f t="shared" si="158"/>
        <v>8.8070827000000005</v>
      </c>
    </row>
    <row r="3389" spans="1:12" ht="16" x14ac:dyDescent="0.2">
      <c r="A3389" s="1">
        <v>3388</v>
      </c>
      <c r="B3389" s="1" t="s">
        <v>9874</v>
      </c>
      <c r="C3389" s="1" t="s">
        <v>10049</v>
      </c>
      <c r="D3389" s="1" t="str">
        <f t="shared" si="156"/>
        <v>Tønder KommuneSlotsgaden 24</v>
      </c>
      <c r="E3389" s="1" t="s">
        <v>10050</v>
      </c>
      <c r="F3389" s="1" t="s">
        <v>10051</v>
      </c>
      <c r="G3389" s="1">
        <v>1950</v>
      </c>
      <c r="H3389" s="1" t="s">
        <v>15</v>
      </c>
      <c r="I3389" s="6" cm="1">
        <f t="array" ref="I3389">GetLatitude(D3389)</f>
        <v>549416201</v>
      </c>
      <c r="J3389" s="1" cm="1">
        <f t="array" ref="J3389">GetLongitude(D3389)</f>
        <v>88061839</v>
      </c>
      <c r="K3389" s="1">
        <f t="shared" si="157"/>
        <v>54.941620100000002</v>
      </c>
      <c r="L3389" s="1">
        <f t="shared" si="158"/>
        <v>8.8061839000000006</v>
      </c>
    </row>
    <row r="3390" spans="1:12" ht="16" x14ac:dyDescent="0.2">
      <c r="A3390" s="1">
        <v>3389</v>
      </c>
      <c r="B3390" s="1" t="s">
        <v>9874</v>
      </c>
      <c r="C3390" s="1" t="s">
        <v>10052</v>
      </c>
      <c r="D3390" s="1" t="str">
        <f t="shared" si="156"/>
        <v>Tønder KommuneSlotsgaden 25</v>
      </c>
      <c r="E3390" s="1" t="s">
        <v>10053</v>
      </c>
      <c r="F3390" s="1" t="s">
        <v>10054</v>
      </c>
      <c r="G3390" s="1">
        <v>1921</v>
      </c>
      <c r="H3390" s="1" t="s">
        <v>15</v>
      </c>
      <c r="I3390" s="6" cm="1">
        <f t="array" ref="I3390">GetLatitude(D3390)</f>
        <v>549416918</v>
      </c>
      <c r="J3390" s="1" cm="1">
        <f t="array" ref="J3390">GetLongitude(D3390)</f>
        <v>88074308</v>
      </c>
      <c r="K3390" s="1">
        <f t="shared" si="157"/>
        <v>54.941691800000001</v>
      </c>
      <c r="L3390" s="1">
        <f t="shared" si="158"/>
        <v>8.8074308000000006</v>
      </c>
    </row>
    <row r="3391" spans="1:12" ht="16" x14ac:dyDescent="0.2">
      <c r="A3391" s="1">
        <v>3390</v>
      </c>
      <c r="B3391" s="1" t="s">
        <v>9874</v>
      </c>
      <c r="C3391" s="1" t="s">
        <v>10055</v>
      </c>
      <c r="D3391" s="1" t="str">
        <f t="shared" si="156"/>
        <v>Tønder KommuneSlotsgaden 27</v>
      </c>
      <c r="E3391" s="1" t="s">
        <v>10056</v>
      </c>
      <c r="F3391" s="1" t="s">
        <v>10057</v>
      </c>
      <c r="G3391" s="1">
        <v>1950</v>
      </c>
      <c r="H3391" s="1" t="s">
        <v>15</v>
      </c>
      <c r="I3391" s="6" cm="1">
        <f t="array" ref="I3391">GetLatitude(D3391)</f>
        <v>549417286</v>
      </c>
      <c r="J3391" s="1" cm="1">
        <f t="array" ref="J3391">GetLongitude(D3391)</f>
        <v>88076695</v>
      </c>
      <c r="K3391" s="1">
        <f t="shared" si="157"/>
        <v>54.941728599999998</v>
      </c>
      <c r="L3391" s="1">
        <f t="shared" si="158"/>
        <v>8.8076694999999994</v>
      </c>
    </row>
    <row r="3392" spans="1:12" ht="16" x14ac:dyDescent="0.2">
      <c r="A3392" s="1">
        <v>3391</v>
      </c>
      <c r="B3392" s="1" t="s">
        <v>9874</v>
      </c>
      <c r="C3392" s="1" t="s">
        <v>10058</v>
      </c>
      <c r="D3392" s="1" t="str">
        <f t="shared" si="156"/>
        <v>Tønder KommuneSlotsgaden 28</v>
      </c>
      <c r="E3392" s="1" t="s">
        <v>10059</v>
      </c>
      <c r="F3392" s="1" t="s">
        <v>10051</v>
      </c>
      <c r="G3392" s="1">
        <v>1950</v>
      </c>
      <c r="H3392" s="1" t="s">
        <v>15</v>
      </c>
      <c r="I3392" s="6" cm="1">
        <f t="array" ref="I3392">GetLatitude(D3392)</f>
        <v>549417090</v>
      </c>
      <c r="J3392" s="1" cm="1">
        <f t="array" ref="J3392">GetLongitude(D3392)</f>
        <v>88064810</v>
      </c>
      <c r="K3392" s="1">
        <f t="shared" si="157"/>
        <v>54.941709000000003</v>
      </c>
      <c r="L3392" s="1">
        <f t="shared" si="158"/>
        <v>8.8064809999999998</v>
      </c>
    </row>
    <row r="3393" spans="1:12" ht="16" x14ac:dyDescent="0.2">
      <c r="A3393" s="1">
        <v>3392</v>
      </c>
      <c r="B3393" s="1" t="s">
        <v>9874</v>
      </c>
      <c r="C3393" s="1" t="s">
        <v>10060</v>
      </c>
      <c r="D3393" s="1" t="str">
        <f t="shared" si="156"/>
        <v>Tønder KommuneSlotsgaden 4</v>
      </c>
      <c r="E3393" s="1" t="s">
        <v>10061</v>
      </c>
      <c r="F3393" s="1" t="s">
        <v>9954</v>
      </c>
      <c r="G3393" s="1">
        <v>1950</v>
      </c>
      <c r="H3393" s="1" t="s">
        <v>99</v>
      </c>
      <c r="I3393" s="6" cm="1">
        <f t="array" ref="I3393">GetLatitude(D3393)</f>
        <v>549409940</v>
      </c>
      <c r="J3393" s="1" cm="1">
        <f t="array" ref="J3393">GetLongitude(D3393)</f>
        <v>88032840</v>
      </c>
      <c r="K3393" s="1">
        <f t="shared" si="157"/>
        <v>54.940994000000003</v>
      </c>
      <c r="L3393" s="1">
        <f t="shared" si="158"/>
        <v>8.8032839999999997</v>
      </c>
    </row>
    <row r="3394" spans="1:12" ht="16" x14ac:dyDescent="0.2">
      <c r="A3394" s="1">
        <v>3393</v>
      </c>
      <c r="B3394" s="1" t="s">
        <v>9874</v>
      </c>
      <c r="C3394" s="1" t="s">
        <v>10062</v>
      </c>
      <c r="D3394" s="1" t="str">
        <f t="shared" si="156"/>
        <v>Tønder KommuneSlotsgaden 40</v>
      </c>
      <c r="E3394" s="1" t="s">
        <v>10063</v>
      </c>
      <c r="F3394" s="1" t="s">
        <v>10051</v>
      </c>
      <c r="G3394" s="1">
        <v>1950</v>
      </c>
      <c r="H3394" s="1" t="s">
        <v>15</v>
      </c>
      <c r="I3394" s="6" cm="1">
        <f t="array" ref="I3394">GetLatitude(D3394)</f>
        <v>549418857</v>
      </c>
      <c r="J3394" s="1" cm="1">
        <f t="array" ref="J3394">GetLongitude(D3394)</f>
        <v>88072984</v>
      </c>
      <c r="K3394" s="1">
        <f t="shared" si="157"/>
        <v>54.9418857</v>
      </c>
      <c r="L3394" s="1">
        <f t="shared" si="158"/>
        <v>8.8072984000000005</v>
      </c>
    </row>
    <row r="3395" spans="1:12" ht="16" x14ac:dyDescent="0.2">
      <c r="A3395" s="1">
        <v>3394</v>
      </c>
      <c r="B3395" s="1" t="s">
        <v>9874</v>
      </c>
      <c r="C3395" s="1" t="s">
        <v>10064</v>
      </c>
      <c r="D3395" s="1" t="str">
        <f t="shared" ref="D3395:D3458" si="159">B3395&amp;C3395</f>
        <v>Tønder KommuneSlotsgaden 6 A</v>
      </c>
      <c r="E3395" s="1" t="s">
        <v>10065</v>
      </c>
      <c r="F3395" s="1" t="s">
        <v>10066</v>
      </c>
      <c r="G3395" s="1">
        <v>1950</v>
      </c>
      <c r="H3395" s="1" t="s">
        <v>15</v>
      </c>
      <c r="I3395" s="6" cm="1">
        <f t="array" ref="I3395">GetLatitude(D3395)</f>
        <v>549410300</v>
      </c>
      <c r="J3395" s="1" cm="1">
        <f t="array" ref="J3395">GetLongitude(D3395)</f>
        <v>88034400</v>
      </c>
      <c r="K3395" s="1">
        <f t="shared" si="157"/>
        <v>54.941029999999998</v>
      </c>
      <c r="L3395" s="1">
        <f t="shared" si="158"/>
        <v>8.8034400000000002</v>
      </c>
    </row>
    <row r="3396" spans="1:12" ht="16" x14ac:dyDescent="0.2">
      <c r="A3396" s="1">
        <v>3395</v>
      </c>
      <c r="B3396" s="1" t="s">
        <v>9874</v>
      </c>
      <c r="C3396" s="1" t="s">
        <v>10067</v>
      </c>
      <c r="D3396" s="1" t="str">
        <f t="shared" si="159"/>
        <v>Tønder KommuneSlotsgaden 7</v>
      </c>
      <c r="E3396" s="1" t="s">
        <v>10068</v>
      </c>
      <c r="F3396" s="1" t="s">
        <v>10069</v>
      </c>
      <c r="G3396" s="1">
        <v>1950</v>
      </c>
      <c r="H3396" s="1" t="s">
        <v>11</v>
      </c>
      <c r="I3396" s="6" cm="1">
        <f t="array" ref="I3396">GetLatitude(D3396)</f>
        <v>549409403</v>
      </c>
      <c r="J3396" s="1" cm="1">
        <f t="array" ref="J3396">GetLongitude(D3396)</f>
        <v>88042083</v>
      </c>
      <c r="K3396" s="1">
        <f t="shared" ref="K3396:K3459" si="160">I3396/10000000</f>
        <v>54.940940300000001</v>
      </c>
      <c r="L3396" s="1">
        <f t="shared" ref="L3396:L3459" si="161">J3396/10000000</f>
        <v>8.8042083000000009</v>
      </c>
    </row>
    <row r="3397" spans="1:12" ht="16" x14ac:dyDescent="0.2">
      <c r="A3397" s="1">
        <v>3396</v>
      </c>
      <c r="B3397" s="1" t="s">
        <v>9874</v>
      </c>
      <c r="C3397" s="1" t="s">
        <v>10070</v>
      </c>
      <c r="D3397" s="1" t="str">
        <f t="shared" si="159"/>
        <v>Tønder KommuneSlotsgaden 8</v>
      </c>
      <c r="E3397" s="1" t="s">
        <v>10071</v>
      </c>
      <c r="F3397" s="1" t="s">
        <v>10072</v>
      </c>
      <c r="G3397" s="1">
        <v>1950</v>
      </c>
      <c r="H3397" s="1" t="s">
        <v>99</v>
      </c>
      <c r="I3397" s="6" cm="1">
        <f t="array" ref="I3397">GetLatitude(D3397)</f>
        <v>549411210</v>
      </c>
      <c r="J3397" s="1" cm="1">
        <f t="array" ref="J3397">GetLongitude(D3397)</f>
        <v>88038770</v>
      </c>
      <c r="K3397" s="1">
        <f t="shared" si="160"/>
        <v>54.941121000000003</v>
      </c>
      <c r="L3397" s="1">
        <f t="shared" si="161"/>
        <v>8.803877</v>
      </c>
    </row>
    <row r="3398" spans="1:12" ht="16" x14ac:dyDescent="0.2">
      <c r="A3398" s="1">
        <v>3397</v>
      </c>
      <c r="B3398" s="1" t="s">
        <v>9874</v>
      </c>
      <c r="C3398" s="1" t="s">
        <v>10073</v>
      </c>
      <c r="D3398" s="1" t="str">
        <f t="shared" si="159"/>
        <v>Tønder KommuneSlotsgaden 9</v>
      </c>
      <c r="E3398" s="1" t="s">
        <v>10074</v>
      </c>
      <c r="F3398" s="1" t="s">
        <v>10075</v>
      </c>
      <c r="G3398" s="1">
        <v>1959</v>
      </c>
      <c r="H3398" s="1" t="s">
        <v>11</v>
      </c>
      <c r="I3398" s="6" cm="1">
        <f t="array" ref="I3398">GetLatitude(D3398)</f>
        <v>549409992</v>
      </c>
      <c r="J3398" s="1" cm="1">
        <f t="array" ref="J3398">GetLongitude(D3398)</f>
        <v>88045901</v>
      </c>
      <c r="K3398" s="1">
        <f t="shared" si="160"/>
        <v>54.9409992</v>
      </c>
      <c r="L3398" s="1">
        <f t="shared" si="161"/>
        <v>8.8045901000000004</v>
      </c>
    </row>
    <row r="3399" spans="1:12" ht="16" x14ac:dyDescent="0.2">
      <c r="A3399" s="1">
        <v>3398</v>
      </c>
      <c r="B3399" s="1" t="s">
        <v>9874</v>
      </c>
      <c r="C3399" s="1" t="s">
        <v>10076</v>
      </c>
      <c r="D3399" s="1" t="str">
        <f t="shared" si="159"/>
        <v>Tønder KommuneSmedegade 14</v>
      </c>
      <c r="E3399" s="1" t="s">
        <v>10077</v>
      </c>
      <c r="F3399" s="1" t="s">
        <v>10078</v>
      </c>
      <c r="G3399" s="1">
        <v>1964</v>
      </c>
      <c r="H3399" s="1" t="s">
        <v>15</v>
      </c>
      <c r="I3399" s="6" cm="1">
        <f t="array" ref="I3399">GetLatitude(D3399)</f>
        <v>551230472</v>
      </c>
      <c r="J3399" s="1" cm="1">
        <f t="array" ref="J3399">GetLongitude(D3399)</f>
        <v>90638683</v>
      </c>
      <c r="K3399" s="1">
        <f t="shared" si="160"/>
        <v>55.123047200000002</v>
      </c>
      <c r="L3399" s="1">
        <f t="shared" si="161"/>
        <v>9.0638682999999993</v>
      </c>
    </row>
    <row r="3400" spans="1:12" ht="16" x14ac:dyDescent="0.2">
      <c r="A3400" s="1">
        <v>3399</v>
      </c>
      <c r="B3400" s="1" t="s">
        <v>9874</v>
      </c>
      <c r="C3400" s="1" t="s">
        <v>10079</v>
      </c>
      <c r="D3400" s="1" t="str">
        <f t="shared" si="159"/>
        <v>Tønder KommuneSmedegade 16 A</v>
      </c>
      <c r="E3400" s="1" t="s">
        <v>10080</v>
      </c>
      <c r="F3400" s="1" t="s">
        <v>10081</v>
      </c>
      <c r="G3400" s="1">
        <v>1964</v>
      </c>
      <c r="H3400" s="1" t="s">
        <v>15</v>
      </c>
      <c r="I3400" s="6" cm="1">
        <f t="array" ref="I3400">GetLatitude(D3400)</f>
        <v>550790800</v>
      </c>
      <c r="J3400" s="1" cm="1">
        <f t="array" ref="J3400">GetLongitude(D3400)</f>
        <v>88823958</v>
      </c>
      <c r="K3400" s="1">
        <f t="shared" si="160"/>
        <v>55.079079999999998</v>
      </c>
      <c r="L3400" s="1">
        <f t="shared" si="161"/>
        <v>8.8823957999999994</v>
      </c>
    </row>
    <row r="3401" spans="1:12" ht="16" x14ac:dyDescent="0.2">
      <c r="A3401" s="1">
        <v>3400</v>
      </c>
      <c r="B3401" s="1" t="s">
        <v>9874</v>
      </c>
      <c r="C3401" s="1" t="s">
        <v>10082</v>
      </c>
      <c r="D3401" s="1" t="str">
        <f t="shared" si="159"/>
        <v>Tønder KommuneSmedegade 2</v>
      </c>
      <c r="E3401" s="1" t="s">
        <v>10083</v>
      </c>
      <c r="F3401" s="1" t="s">
        <v>10084</v>
      </c>
      <c r="G3401" s="1">
        <v>1964</v>
      </c>
      <c r="H3401" s="1" t="s">
        <v>15</v>
      </c>
      <c r="I3401" s="6" cm="1">
        <f t="array" ref="I3401">GetLatitude(D3401)</f>
        <v>549396150</v>
      </c>
      <c r="J3401" s="1" cm="1">
        <f t="array" ref="J3401">GetLongitude(D3401)</f>
        <v>88644170</v>
      </c>
      <c r="K3401" s="1">
        <f t="shared" si="160"/>
        <v>54.939615000000003</v>
      </c>
      <c r="L3401" s="1">
        <f t="shared" si="161"/>
        <v>8.8644169999999995</v>
      </c>
    </row>
    <row r="3402" spans="1:12" ht="16" x14ac:dyDescent="0.2">
      <c r="A3402" s="1">
        <v>3401</v>
      </c>
      <c r="B3402" s="1" t="s">
        <v>9874</v>
      </c>
      <c r="C3402" s="1" t="s">
        <v>10085</v>
      </c>
      <c r="D3402" s="1" t="str">
        <f t="shared" si="159"/>
        <v>Tønder KommuneSmedegade 4</v>
      </c>
      <c r="E3402" s="1" t="s">
        <v>10086</v>
      </c>
      <c r="F3402" s="1" t="s">
        <v>10087</v>
      </c>
      <c r="G3402" s="1">
        <v>1964</v>
      </c>
      <c r="H3402" s="1" t="s">
        <v>15</v>
      </c>
      <c r="I3402" s="6" cm="1">
        <f t="array" ref="I3402">GetLatitude(D3402)</f>
        <v>549364141</v>
      </c>
      <c r="J3402" s="1" cm="1">
        <f t="array" ref="J3402">GetLongitude(D3402)</f>
        <v>88702730</v>
      </c>
      <c r="K3402" s="1">
        <f t="shared" si="160"/>
        <v>54.9364141</v>
      </c>
      <c r="L3402" s="1">
        <f t="shared" si="161"/>
        <v>8.8702729999999992</v>
      </c>
    </row>
    <row r="3403" spans="1:12" ht="16" x14ac:dyDescent="0.2">
      <c r="A3403" s="1">
        <v>3402</v>
      </c>
      <c r="B3403" s="1" t="s">
        <v>9874</v>
      </c>
      <c r="C3403" s="1" t="s">
        <v>10088</v>
      </c>
      <c r="D3403" s="1" t="str">
        <f t="shared" si="159"/>
        <v>Tønder KommuneSmedegade 6</v>
      </c>
      <c r="E3403" s="1" t="s">
        <v>10089</v>
      </c>
      <c r="F3403" s="1" t="s">
        <v>10078</v>
      </c>
      <c r="G3403" s="1">
        <v>1964</v>
      </c>
      <c r="H3403" s="1" t="s">
        <v>15</v>
      </c>
      <c r="I3403" s="6" cm="1">
        <f t="array" ref="I3403">GetLatitude(D3403)</f>
        <v>549396150</v>
      </c>
      <c r="J3403" s="1" cm="1">
        <f t="array" ref="J3403">GetLongitude(D3403)</f>
        <v>88644170</v>
      </c>
      <c r="K3403" s="1">
        <f t="shared" si="160"/>
        <v>54.939615000000003</v>
      </c>
      <c r="L3403" s="1">
        <f t="shared" si="161"/>
        <v>8.8644169999999995</v>
      </c>
    </row>
    <row r="3404" spans="1:12" ht="16" x14ac:dyDescent="0.2">
      <c r="A3404" s="1">
        <v>3403</v>
      </c>
      <c r="B3404" s="1" t="s">
        <v>9874</v>
      </c>
      <c r="C3404" s="1" t="s">
        <v>10090</v>
      </c>
      <c r="D3404" s="1" t="str">
        <f t="shared" si="159"/>
        <v>Tønder KommuneSpikergade 10</v>
      </c>
      <c r="E3404" s="1" t="s">
        <v>10091</v>
      </c>
      <c r="F3404" s="1" t="s">
        <v>10092</v>
      </c>
      <c r="G3404" s="1">
        <v>1950</v>
      </c>
      <c r="H3404" s="1" t="s">
        <v>15</v>
      </c>
      <c r="I3404" s="6" cm="1">
        <f t="array" ref="I3404">GetLatitude(D3404)</f>
        <v>549396150</v>
      </c>
      <c r="J3404" s="1" cm="1">
        <f t="array" ref="J3404">GetLongitude(D3404)</f>
        <v>88644170</v>
      </c>
      <c r="K3404" s="1">
        <f t="shared" si="160"/>
        <v>54.939615000000003</v>
      </c>
      <c r="L3404" s="1">
        <f t="shared" si="161"/>
        <v>8.8644169999999995</v>
      </c>
    </row>
    <row r="3405" spans="1:12" ht="16" x14ac:dyDescent="0.2">
      <c r="A3405" s="1">
        <v>3404</v>
      </c>
      <c r="B3405" s="1" t="s">
        <v>9874</v>
      </c>
      <c r="C3405" s="1" t="s">
        <v>10093</v>
      </c>
      <c r="D3405" s="1" t="str">
        <f t="shared" si="159"/>
        <v>Tønder KommuneSpikergade 12</v>
      </c>
      <c r="E3405" s="1" t="s">
        <v>10094</v>
      </c>
      <c r="F3405" s="1" t="s">
        <v>10092</v>
      </c>
      <c r="G3405" s="1">
        <v>1950</v>
      </c>
      <c r="H3405" s="1" t="s">
        <v>15</v>
      </c>
      <c r="I3405" s="6" cm="1">
        <f t="array" ref="I3405">GetLatitude(D3405)</f>
        <v>549396150</v>
      </c>
      <c r="J3405" s="1" cm="1">
        <f t="array" ref="J3405">GetLongitude(D3405)</f>
        <v>88644170</v>
      </c>
      <c r="K3405" s="1">
        <f t="shared" si="160"/>
        <v>54.939615000000003</v>
      </c>
      <c r="L3405" s="1">
        <f t="shared" si="161"/>
        <v>8.8644169999999995</v>
      </c>
    </row>
    <row r="3406" spans="1:12" ht="16" x14ac:dyDescent="0.2">
      <c r="A3406" s="1">
        <v>3405</v>
      </c>
      <c r="B3406" s="1" t="s">
        <v>9874</v>
      </c>
      <c r="C3406" s="1" t="s">
        <v>10095</v>
      </c>
      <c r="D3406" s="1" t="str">
        <f t="shared" si="159"/>
        <v>Tønder KommuneSpikergade 21</v>
      </c>
      <c r="E3406" s="1" t="s">
        <v>10096</v>
      </c>
      <c r="F3406" s="1" t="s">
        <v>8541</v>
      </c>
      <c r="G3406" s="1">
        <v>1979</v>
      </c>
      <c r="H3406" s="1" t="s">
        <v>15</v>
      </c>
      <c r="I3406" s="6" cm="1">
        <f t="array" ref="I3406">GetLatitude(D3406)</f>
        <v>549396150</v>
      </c>
      <c r="J3406" s="1" cm="1">
        <f t="array" ref="J3406">GetLongitude(D3406)</f>
        <v>88644170</v>
      </c>
      <c r="K3406" s="1">
        <f t="shared" si="160"/>
        <v>54.939615000000003</v>
      </c>
      <c r="L3406" s="1">
        <f t="shared" si="161"/>
        <v>8.8644169999999995</v>
      </c>
    </row>
    <row r="3407" spans="1:12" ht="16" x14ac:dyDescent="0.2">
      <c r="A3407" s="1">
        <v>3406</v>
      </c>
      <c r="B3407" s="1" t="s">
        <v>9874</v>
      </c>
      <c r="C3407" s="1" t="s">
        <v>10097</v>
      </c>
      <c r="D3407" s="1" t="str">
        <f t="shared" si="159"/>
        <v>Tønder KommuneSpikergade 24</v>
      </c>
      <c r="E3407" s="1" t="s">
        <v>10098</v>
      </c>
      <c r="F3407" s="1" t="s">
        <v>416</v>
      </c>
      <c r="G3407" s="1">
        <v>1971</v>
      </c>
      <c r="H3407" s="1" t="s">
        <v>15</v>
      </c>
      <c r="I3407" s="6" cm="1">
        <f t="array" ref="I3407">GetLatitude(D3407)</f>
        <v>549396150</v>
      </c>
      <c r="J3407" s="1" cm="1">
        <f t="array" ref="J3407">GetLongitude(D3407)</f>
        <v>88644170</v>
      </c>
      <c r="K3407" s="1">
        <f t="shared" si="160"/>
        <v>54.939615000000003</v>
      </c>
      <c r="L3407" s="1">
        <f t="shared" si="161"/>
        <v>8.8644169999999995</v>
      </c>
    </row>
    <row r="3408" spans="1:12" ht="16" x14ac:dyDescent="0.2">
      <c r="A3408" s="1">
        <v>3407</v>
      </c>
      <c r="B3408" s="1" t="s">
        <v>9874</v>
      </c>
      <c r="C3408" s="1" t="s">
        <v>10099</v>
      </c>
      <c r="D3408" s="1" t="str">
        <f t="shared" si="159"/>
        <v>Tønder KommuneSpikergade 8</v>
      </c>
      <c r="E3408" s="1" t="s">
        <v>10100</v>
      </c>
      <c r="F3408" s="1" t="s">
        <v>10092</v>
      </c>
      <c r="G3408" s="1">
        <v>1950</v>
      </c>
      <c r="H3408" s="1" t="s">
        <v>15</v>
      </c>
      <c r="I3408" s="6" cm="1">
        <f t="array" ref="I3408">GetLatitude(D3408)</f>
        <v>549396150</v>
      </c>
      <c r="J3408" s="1" cm="1">
        <f t="array" ref="J3408">GetLongitude(D3408)</f>
        <v>88644170</v>
      </c>
      <c r="K3408" s="1">
        <f t="shared" si="160"/>
        <v>54.939615000000003</v>
      </c>
      <c r="L3408" s="1">
        <f t="shared" si="161"/>
        <v>8.8644169999999995</v>
      </c>
    </row>
    <row r="3409" spans="1:12" ht="16" x14ac:dyDescent="0.2">
      <c r="A3409" s="1">
        <v>3408</v>
      </c>
      <c r="B3409" s="1" t="s">
        <v>9874</v>
      </c>
      <c r="C3409" s="1" t="s">
        <v>10101</v>
      </c>
      <c r="D3409" s="1" t="str">
        <f t="shared" si="159"/>
        <v>Tønder KommuneSpikergade 9</v>
      </c>
      <c r="E3409" s="1" t="s">
        <v>10102</v>
      </c>
      <c r="F3409" s="1" t="s">
        <v>2759</v>
      </c>
      <c r="G3409" s="1">
        <v>1964</v>
      </c>
      <c r="H3409" s="1" t="s">
        <v>11</v>
      </c>
      <c r="I3409" s="6" cm="1">
        <f t="array" ref="I3409">GetLatitude(D3409)</f>
        <v>549396150</v>
      </c>
      <c r="J3409" s="1" cm="1">
        <f t="array" ref="J3409">GetLongitude(D3409)</f>
        <v>88644170</v>
      </c>
      <c r="K3409" s="1">
        <f t="shared" si="160"/>
        <v>54.939615000000003</v>
      </c>
      <c r="L3409" s="1">
        <f t="shared" si="161"/>
        <v>8.8644169999999995</v>
      </c>
    </row>
    <row r="3410" spans="1:12" ht="16" x14ac:dyDescent="0.2">
      <c r="A3410" s="1">
        <v>3409</v>
      </c>
      <c r="B3410" s="1" t="s">
        <v>9874</v>
      </c>
      <c r="C3410" s="1" t="s">
        <v>10103</v>
      </c>
      <c r="D3410" s="1" t="str">
        <f t="shared" si="159"/>
        <v>Tønder KommuneStagebjergvej 30</v>
      </c>
      <c r="E3410" s="1" t="s">
        <v>10104</v>
      </c>
      <c r="F3410" s="1" t="s">
        <v>10105</v>
      </c>
      <c r="G3410" s="1">
        <v>1989</v>
      </c>
      <c r="H3410" s="1" t="s">
        <v>15</v>
      </c>
      <c r="I3410" s="6" cm="1">
        <f t="array" ref="I3410">GetLatitude(D3410)</f>
        <v>551008343</v>
      </c>
      <c r="J3410" s="1" cm="1">
        <f t="array" ref="J3410">GetLongitude(D3410)</f>
        <v>85318482</v>
      </c>
      <c r="K3410" s="1">
        <f t="shared" si="160"/>
        <v>55.100834300000002</v>
      </c>
      <c r="L3410" s="1">
        <f t="shared" si="161"/>
        <v>8.5318482000000007</v>
      </c>
    </row>
    <row r="3411" spans="1:12" ht="16" x14ac:dyDescent="0.2">
      <c r="A3411" s="1">
        <v>3410</v>
      </c>
      <c r="B3411" s="1" t="s">
        <v>9874</v>
      </c>
      <c r="C3411" s="1" t="s">
        <v>10106</v>
      </c>
      <c r="D3411" s="1" t="str">
        <f t="shared" si="159"/>
        <v>Tønder KommuneStoregade 14</v>
      </c>
      <c r="E3411" s="1" t="s">
        <v>10107</v>
      </c>
      <c r="F3411" s="1" t="s">
        <v>10108</v>
      </c>
      <c r="G3411" s="1">
        <v>1921</v>
      </c>
      <c r="H3411" s="1" t="s">
        <v>11</v>
      </c>
      <c r="I3411" s="6" cm="1">
        <f t="array" ref="I3411">GetLatitude(D3411)</f>
        <v>550584014</v>
      </c>
      <c r="J3411" s="1" cm="1">
        <f t="array" ref="J3411">GetLongitude(D3411)</f>
        <v>89511348</v>
      </c>
      <c r="K3411" s="1">
        <f t="shared" si="160"/>
        <v>55.058401400000001</v>
      </c>
      <c r="L3411" s="1">
        <f t="shared" si="161"/>
        <v>8.9511348000000002</v>
      </c>
    </row>
    <row r="3412" spans="1:12" ht="16" x14ac:dyDescent="0.2">
      <c r="A3412" s="1">
        <v>3411</v>
      </c>
      <c r="B3412" s="1" t="s">
        <v>9874</v>
      </c>
      <c r="C3412" s="1" t="s">
        <v>10109</v>
      </c>
      <c r="D3412" s="1" t="str">
        <f t="shared" si="159"/>
        <v>Tønder KommuneStoregade 32</v>
      </c>
      <c r="E3412" s="1" t="s">
        <v>10110</v>
      </c>
      <c r="F3412" s="1" t="s">
        <v>9977</v>
      </c>
      <c r="G3412" s="1">
        <v>1950</v>
      </c>
      <c r="H3412" s="1" t="s">
        <v>701</v>
      </c>
      <c r="I3412" s="6" cm="1">
        <f t="array" ref="I3412">GetLatitude(D3412)</f>
        <v>550790800</v>
      </c>
      <c r="J3412" s="1" cm="1">
        <f t="array" ref="J3412">GetLongitude(D3412)</f>
        <v>88823958</v>
      </c>
      <c r="K3412" s="1">
        <f t="shared" si="160"/>
        <v>55.079079999999998</v>
      </c>
      <c r="L3412" s="1">
        <f t="shared" si="161"/>
        <v>8.8823957999999994</v>
      </c>
    </row>
    <row r="3413" spans="1:12" ht="16" x14ac:dyDescent="0.2">
      <c r="A3413" s="1">
        <v>3412</v>
      </c>
      <c r="B3413" s="1" t="s">
        <v>9874</v>
      </c>
      <c r="C3413" s="1" t="s">
        <v>10111</v>
      </c>
      <c r="D3413" s="1" t="str">
        <f t="shared" si="159"/>
        <v>Tønder KommuneStoregade 34</v>
      </c>
      <c r="E3413" s="1" t="s">
        <v>10112</v>
      </c>
      <c r="F3413" s="1" t="s">
        <v>1868</v>
      </c>
      <c r="G3413" s="1">
        <v>1950</v>
      </c>
      <c r="H3413" s="1" t="s">
        <v>15</v>
      </c>
      <c r="I3413" s="6" cm="1">
        <f t="array" ref="I3413">GetLatitude(D3413)</f>
        <v>549396150</v>
      </c>
      <c r="J3413" s="1" cm="1">
        <f t="array" ref="J3413">GetLongitude(D3413)</f>
        <v>88644170</v>
      </c>
      <c r="K3413" s="1">
        <f t="shared" si="160"/>
        <v>54.939615000000003</v>
      </c>
      <c r="L3413" s="1">
        <f t="shared" si="161"/>
        <v>8.8644169999999995</v>
      </c>
    </row>
    <row r="3414" spans="1:12" ht="16" x14ac:dyDescent="0.2">
      <c r="A3414" s="1">
        <v>3413</v>
      </c>
      <c r="B3414" s="1" t="s">
        <v>9874</v>
      </c>
      <c r="C3414" s="1" t="s">
        <v>10113</v>
      </c>
      <c r="D3414" s="1" t="str">
        <f t="shared" si="159"/>
        <v>Tønder KommuneStoregade 7</v>
      </c>
      <c r="E3414" s="1" t="s">
        <v>10114</v>
      </c>
      <c r="F3414" s="1" t="s">
        <v>10115</v>
      </c>
      <c r="G3414" s="1">
        <v>1921</v>
      </c>
      <c r="H3414" s="1" t="s">
        <v>15</v>
      </c>
      <c r="I3414" s="6" cm="1">
        <f t="array" ref="I3414">GetLatitude(D3414)</f>
        <v>550790800</v>
      </c>
      <c r="J3414" s="1" cm="1">
        <f t="array" ref="J3414">GetLongitude(D3414)</f>
        <v>88823958</v>
      </c>
      <c r="K3414" s="1">
        <f t="shared" si="160"/>
        <v>55.079079999999998</v>
      </c>
      <c r="L3414" s="1">
        <f t="shared" si="161"/>
        <v>8.8823957999999994</v>
      </c>
    </row>
    <row r="3415" spans="1:12" ht="16" x14ac:dyDescent="0.2">
      <c r="A3415" s="1">
        <v>3414</v>
      </c>
      <c r="B3415" s="1" t="s">
        <v>9874</v>
      </c>
      <c r="C3415" s="1" t="s">
        <v>916</v>
      </c>
      <c r="D3415" s="1" t="str">
        <f t="shared" si="159"/>
        <v>Tønder KommuneStrandvej 2</v>
      </c>
      <c r="E3415" s="1" t="s">
        <v>10116</v>
      </c>
      <c r="F3415" s="1" t="s">
        <v>10117</v>
      </c>
      <c r="G3415" s="1">
        <v>1991</v>
      </c>
      <c r="H3415" s="1" t="s">
        <v>15</v>
      </c>
      <c r="I3415" s="6" cm="1">
        <f t="array" ref="I3415">GetLatitude(D3415)</f>
        <v>549635320</v>
      </c>
      <c r="J3415" s="1" cm="1">
        <f t="array" ref="J3415">GetLongitude(D3415)</f>
        <v>86914695</v>
      </c>
      <c r="K3415" s="1">
        <f t="shared" si="160"/>
        <v>54.963532000000001</v>
      </c>
      <c r="L3415" s="1">
        <f t="shared" si="161"/>
        <v>8.6914695000000002</v>
      </c>
    </row>
    <row r="3416" spans="1:12" ht="16" x14ac:dyDescent="0.2">
      <c r="A3416" s="1">
        <v>3415</v>
      </c>
      <c r="B3416" s="1" t="s">
        <v>9874</v>
      </c>
      <c r="C3416" s="1" t="s">
        <v>10118</v>
      </c>
      <c r="D3416" s="1" t="str">
        <f t="shared" si="159"/>
        <v>Tønder KommuneStrædet 5</v>
      </c>
      <c r="E3416" s="1" t="s">
        <v>10119</v>
      </c>
      <c r="F3416" s="1" t="s">
        <v>10120</v>
      </c>
      <c r="G3416" s="1">
        <v>1950</v>
      </c>
      <c r="H3416" s="1" t="s">
        <v>11</v>
      </c>
      <c r="I3416" s="6" cm="1">
        <f t="array" ref="I3416">GetLatitude(D3416)</f>
        <v>549381319</v>
      </c>
      <c r="J3416" s="1" cm="1">
        <f t="array" ref="J3416">GetLongitude(D3416)</f>
        <v>88015561</v>
      </c>
      <c r="K3416" s="1">
        <f t="shared" si="160"/>
        <v>54.938131900000002</v>
      </c>
      <c r="L3416" s="1">
        <f t="shared" si="161"/>
        <v>8.8015561000000009</v>
      </c>
    </row>
    <row r="3417" spans="1:12" ht="16" x14ac:dyDescent="0.2">
      <c r="A3417" s="1">
        <v>3416</v>
      </c>
      <c r="B3417" s="1" t="s">
        <v>9874</v>
      </c>
      <c r="C3417" s="1" t="s">
        <v>10121</v>
      </c>
      <c r="D3417" s="1" t="str">
        <f t="shared" si="159"/>
        <v>Tønder KommuneSønderbyvej 32</v>
      </c>
      <c r="E3417" s="1" t="s">
        <v>10122</v>
      </c>
      <c r="F3417" s="1" t="s">
        <v>10123</v>
      </c>
      <c r="G3417" s="1">
        <v>1921</v>
      </c>
      <c r="H3417" s="1" t="s">
        <v>15</v>
      </c>
      <c r="I3417" s="6" cm="1">
        <f t="array" ref="I3417">GetLatitude(D3417)</f>
        <v>550877476</v>
      </c>
      <c r="J3417" s="1" cm="1">
        <f t="array" ref="J3417">GetLongitude(D3417)</f>
        <v>85424191</v>
      </c>
      <c r="K3417" s="1">
        <f t="shared" si="160"/>
        <v>55.0877476</v>
      </c>
      <c r="L3417" s="1">
        <f t="shared" si="161"/>
        <v>8.5424191</v>
      </c>
    </row>
    <row r="3418" spans="1:12" ht="16" x14ac:dyDescent="0.2">
      <c r="A3418" s="1">
        <v>3417</v>
      </c>
      <c r="B3418" s="1" t="s">
        <v>9874</v>
      </c>
      <c r="C3418" s="1" t="s">
        <v>10124</v>
      </c>
      <c r="D3418" s="1" t="str">
        <f t="shared" si="159"/>
        <v>Tønder KommuneSønderbyvej 5</v>
      </c>
      <c r="E3418" s="1" t="s">
        <v>10125</v>
      </c>
      <c r="F3418" s="1" t="s">
        <v>10126</v>
      </c>
      <c r="G3418" s="1">
        <v>1921</v>
      </c>
      <c r="H3418" s="1" t="s">
        <v>15</v>
      </c>
      <c r="I3418" s="6" cm="1">
        <f t="array" ref="I3418">GetLatitude(D3418)</f>
        <v>550953988</v>
      </c>
      <c r="J3418" s="1" cm="1">
        <f t="array" ref="J3418">GetLongitude(D3418)</f>
        <v>85441484</v>
      </c>
      <c r="K3418" s="1">
        <f t="shared" si="160"/>
        <v>55.095398799999998</v>
      </c>
      <c r="L3418" s="1">
        <f t="shared" si="161"/>
        <v>8.5441483999999992</v>
      </c>
    </row>
    <row r="3419" spans="1:12" ht="16" x14ac:dyDescent="0.2">
      <c r="A3419" s="1">
        <v>3418</v>
      </c>
      <c r="B3419" s="1" t="s">
        <v>9874</v>
      </c>
      <c r="C3419" s="1" t="s">
        <v>10127</v>
      </c>
      <c r="D3419" s="1" t="str">
        <f t="shared" si="159"/>
        <v>Tønder KommuneSøndergade 11-13</v>
      </c>
      <c r="E3419" s="1" t="s">
        <v>10128</v>
      </c>
      <c r="F3419" s="1" t="s">
        <v>10129</v>
      </c>
      <c r="G3419" s="1">
        <v>1950</v>
      </c>
      <c r="H3419" s="1" t="s">
        <v>15</v>
      </c>
      <c r="I3419" s="6" cm="1">
        <f t="array" ref="I3419">GetLatitude(D3419)</f>
        <v>550790800</v>
      </c>
      <c r="J3419" s="1" cm="1">
        <f t="array" ref="J3419">GetLongitude(D3419)</f>
        <v>88823958</v>
      </c>
      <c r="K3419" s="1">
        <f t="shared" si="160"/>
        <v>55.079079999999998</v>
      </c>
      <c r="L3419" s="1">
        <f t="shared" si="161"/>
        <v>8.8823957999999994</v>
      </c>
    </row>
    <row r="3420" spans="1:12" ht="16" x14ac:dyDescent="0.2">
      <c r="A3420" s="1">
        <v>3419</v>
      </c>
      <c r="B3420" s="1" t="s">
        <v>9874</v>
      </c>
      <c r="C3420" s="1" t="s">
        <v>335</v>
      </c>
      <c r="D3420" s="1" t="str">
        <f t="shared" si="159"/>
        <v>Tønder KommuneSøndergade 12</v>
      </c>
      <c r="E3420" s="1" t="s">
        <v>10130</v>
      </c>
      <c r="F3420" s="1" t="s">
        <v>10131</v>
      </c>
      <c r="G3420" s="1">
        <v>1975</v>
      </c>
      <c r="H3420" s="1" t="s">
        <v>11</v>
      </c>
      <c r="I3420" s="6" cm="1">
        <f t="array" ref="I3420">GetLatitude(D3420)</f>
        <v>550573925</v>
      </c>
      <c r="J3420" s="1" cm="1">
        <f t="array" ref="J3420">GetLongitude(D3420)</f>
        <v>88283647</v>
      </c>
      <c r="K3420" s="1">
        <f t="shared" si="160"/>
        <v>55.057392499999999</v>
      </c>
      <c r="L3420" s="1">
        <f t="shared" si="161"/>
        <v>8.8283646999999998</v>
      </c>
    </row>
    <row r="3421" spans="1:12" ht="16" x14ac:dyDescent="0.2">
      <c r="A3421" s="1">
        <v>3420</v>
      </c>
      <c r="B3421" s="1" t="s">
        <v>9874</v>
      </c>
      <c r="C3421" s="1" t="s">
        <v>10132</v>
      </c>
      <c r="D3421" s="1" t="str">
        <f t="shared" si="159"/>
        <v>Tønder KommuneToghale 13</v>
      </c>
      <c r="E3421" s="1" t="s">
        <v>10133</v>
      </c>
      <c r="F3421" s="1" t="s">
        <v>10134</v>
      </c>
      <c r="G3421" s="1">
        <v>1992</v>
      </c>
      <c r="H3421" s="1" t="s">
        <v>15</v>
      </c>
      <c r="I3421" s="6" cm="1">
        <f t="array" ref="I3421">GetLatitude(D3421)</f>
        <v>549537771</v>
      </c>
      <c r="J3421" s="1" cm="1">
        <f t="array" ref="J3421">GetLongitude(D3421)</f>
        <v>87958092</v>
      </c>
      <c r="K3421" s="1">
        <f t="shared" si="160"/>
        <v>54.953777100000003</v>
      </c>
      <c r="L3421" s="1">
        <f t="shared" si="161"/>
        <v>8.7958092000000008</v>
      </c>
    </row>
    <row r="3422" spans="1:12" ht="16" x14ac:dyDescent="0.2">
      <c r="A3422" s="1">
        <v>3421</v>
      </c>
      <c r="B3422" s="1" t="s">
        <v>9874</v>
      </c>
      <c r="C3422" s="1" t="s">
        <v>965</v>
      </c>
      <c r="D3422" s="1" t="str">
        <f t="shared" si="159"/>
        <v>Tønder KommuneTorvet 1</v>
      </c>
      <c r="E3422" s="1" t="s">
        <v>10135</v>
      </c>
      <c r="F3422" s="1" t="s">
        <v>10136</v>
      </c>
      <c r="G3422" s="1">
        <v>1950</v>
      </c>
      <c r="H3422" s="1" t="s">
        <v>11</v>
      </c>
      <c r="I3422" s="6" cm="1">
        <f t="array" ref="I3422">GetLatitude(D3422)</f>
        <v>549396150</v>
      </c>
      <c r="J3422" s="1" cm="1">
        <f t="array" ref="J3422">GetLongitude(D3422)</f>
        <v>88644170</v>
      </c>
      <c r="K3422" s="1">
        <f t="shared" si="160"/>
        <v>54.939615000000003</v>
      </c>
      <c r="L3422" s="1">
        <f t="shared" si="161"/>
        <v>8.8644169999999995</v>
      </c>
    </row>
    <row r="3423" spans="1:12" ht="16" x14ac:dyDescent="0.2">
      <c r="A3423" s="1">
        <v>3422</v>
      </c>
      <c r="B3423" s="1" t="s">
        <v>9874</v>
      </c>
      <c r="C3423" s="1" t="s">
        <v>965</v>
      </c>
      <c r="D3423" s="1" t="str">
        <f t="shared" si="159"/>
        <v>Tønder KommuneTorvet 1</v>
      </c>
      <c r="E3423" s="1" t="s">
        <v>10137</v>
      </c>
      <c r="F3423" s="1" t="s">
        <v>10138</v>
      </c>
      <c r="G3423" s="1">
        <v>1921</v>
      </c>
      <c r="H3423" s="1" t="s">
        <v>15</v>
      </c>
      <c r="I3423" s="6" cm="1">
        <f t="array" ref="I3423">GetLatitude(D3423)</f>
        <v>549396150</v>
      </c>
      <c r="J3423" s="1" cm="1">
        <f t="array" ref="J3423">GetLongitude(D3423)</f>
        <v>88644170</v>
      </c>
      <c r="K3423" s="1">
        <f t="shared" si="160"/>
        <v>54.939615000000003</v>
      </c>
      <c r="L3423" s="1">
        <f t="shared" si="161"/>
        <v>8.8644169999999995</v>
      </c>
    </row>
    <row r="3424" spans="1:12" ht="16" x14ac:dyDescent="0.2">
      <c r="A3424" s="1">
        <v>3423</v>
      </c>
      <c r="B3424" s="1" t="s">
        <v>9874</v>
      </c>
      <c r="C3424" s="1" t="s">
        <v>968</v>
      </c>
      <c r="D3424" s="1" t="str">
        <f t="shared" si="159"/>
        <v>Tønder KommuneTorvet 11</v>
      </c>
      <c r="E3424" s="1" t="s">
        <v>10139</v>
      </c>
      <c r="F3424" s="1" t="s">
        <v>10140</v>
      </c>
      <c r="G3424" s="1">
        <v>1921</v>
      </c>
      <c r="H3424" s="1" t="s">
        <v>11</v>
      </c>
      <c r="I3424" s="6" cm="1">
        <f t="array" ref="I3424">GetLatitude(D3424)</f>
        <v>549360855</v>
      </c>
      <c r="J3424" s="1" cm="1">
        <f t="array" ref="J3424">GetLongitude(D3424)</f>
        <v>88699161</v>
      </c>
      <c r="K3424" s="1">
        <f t="shared" si="160"/>
        <v>54.936085499999997</v>
      </c>
      <c r="L3424" s="1">
        <f t="shared" si="161"/>
        <v>8.8699160999999993</v>
      </c>
    </row>
    <row r="3425" spans="1:12" ht="16" x14ac:dyDescent="0.2">
      <c r="A3425" s="1">
        <v>3424</v>
      </c>
      <c r="B3425" s="1" t="s">
        <v>9874</v>
      </c>
      <c r="C3425" s="1" t="s">
        <v>10141</v>
      </c>
      <c r="D3425" s="1" t="str">
        <f t="shared" si="159"/>
        <v>Tønder KommuneTorvet 2A</v>
      </c>
      <c r="E3425" s="1" t="s">
        <v>10142</v>
      </c>
      <c r="F3425" s="1" t="s">
        <v>10143</v>
      </c>
      <c r="G3425" s="1">
        <v>1939</v>
      </c>
      <c r="H3425" s="1" t="s">
        <v>11394</v>
      </c>
      <c r="I3425" s="6" cm="1">
        <f t="array" ref="I3425">GetLatitude(D3425)</f>
        <v>549360855</v>
      </c>
      <c r="J3425" s="1" cm="1">
        <f t="array" ref="J3425">GetLongitude(D3425)</f>
        <v>88699161</v>
      </c>
      <c r="K3425" s="1">
        <f t="shared" si="160"/>
        <v>54.936085499999997</v>
      </c>
      <c r="L3425" s="1">
        <f t="shared" si="161"/>
        <v>8.8699160999999993</v>
      </c>
    </row>
    <row r="3426" spans="1:12" ht="16" x14ac:dyDescent="0.2">
      <c r="A3426" s="1">
        <v>3425</v>
      </c>
      <c r="B3426" s="1" t="s">
        <v>9874</v>
      </c>
      <c r="C3426" s="1" t="s">
        <v>2766</v>
      </c>
      <c r="D3426" s="1" t="str">
        <f t="shared" si="159"/>
        <v>Tønder KommuneTorvet 6</v>
      </c>
      <c r="E3426" s="1" t="s">
        <v>3264</v>
      </c>
      <c r="F3426" s="1" t="s">
        <v>10144</v>
      </c>
      <c r="G3426" s="1">
        <v>1985</v>
      </c>
      <c r="H3426" s="1" t="s">
        <v>11</v>
      </c>
      <c r="I3426" s="6" cm="1">
        <f t="array" ref="I3426">GetLatitude(D3426)</f>
        <v>549396150</v>
      </c>
      <c r="J3426" s="1" cm="1">
        <f t="array" ref="J3426">GetLongitude(D3426)</f>
        <v>88644170</v>
      </c>
      <c r="K3426" s="1">
        <f t="shared" si="160"/>
        <v>54.939615000000003</v>
      </c>
      <c r="L3426" s="1">
        <f t="shared" si="161"/>
        <v>8.8644169999999995</v>
      </c>
    </row>
    <row r="3427" spans="1:12" ht="16" x14ac:dyDescent="0.2">
      <c r="A3427" s="1">
        <v>3426</v>
      </c>
      <c r="B3427" s="1" t="s">
        <v>9874</v>
      </c>
      <c r="C3427" s="1" t="s">
        <v>10145</v>
      </c>
      <c r="D3427" s="1" t="str">
        <f t="shared" si="159"/>
        <v>Tønder KommuneTrøjborgvej 1</v>
      </c>
      <c r="E3427" s="1" t="s">
        <v>10146</v>
      </c>
      <c r="F3427" s="1" t="s">
        <v>10147</v>
      </c>
      <c r="G3427" s="1">
        <v>1954</v>
      </c>
      <c r="H3427" s="1" t="s">
        <v>15</v>
      </c>
      <c r="I3427" s="6" cm="1">
        <f t="array" ref="I3427">GetLatitude(D3427)</f>
        <v>550101742</v>
      </c>
      <c r="J3427" s="1" cm="1">
        <f t="array" ref="J3427">GetLongitude(D3427)</f>
        <v>87788662</v>
      </c>
      <c r="K3427" s="1">
        <f t="shared" si="160"/>
        <v>55.010174200000002</v>
      </c>
      <c r="L3427" s="1">
        <f t="shared" si="161"/>
        <v>8.7788661999999995</v>
      </c>
    </row>
    <row r="3428" spans="1:12" ht="16" x14ac:dyDescent="0.2">
      <c r="A3428" s="1">
        <v>3427</v>
      </c>
      <c r="B3428" s="1" t="s">
        <v>9874</v>
      </c>
      <c r="C3428" s="1" t="s">
        <v>10148</v>
      </c>
      <c r="D3428" s="1" t="str">
        <f t="shared" si="159"/>
        <v>Tønder KommuneUbjergvej 19</v>
      </c>
      <c r="E3428" s="1" t="s">
        <v>10149</v>
      </c>
      <c r="F3428" s="1" t="s">
        <v>10150</v>
      </c>
      <c r="G3428" s="1">
        <v>1950</v>
      </c>
      <c r="H3428" s="1" t="s">
        <v>11</v>
      </c>
      <c r="I3428" s="6" cm="1">
        <f t="array" ref="I3428">GetLatitude(D3428)</f>
        <v>549110745</v>
      </c>
      <c r="J3428" s="1" cm="1">
        <f t="array" ref="J3428">GetLongitude(D3428)</f>
        <v>88466795</v>
      </c>
      <c r="K3428" s="1">
        <f t="shared" si="160"/>
        <v>54.911074499999998</v>
      </c>
      <c r="L3428" s="1">
        <f t="shared" si="161"/>
        <v>8.8466795000000005</v>
      </c>
    </row>
    <row r="3429" spans="1:12" ht="16" x14ac:dyDescent="0.2">
      <c r="A3429" s="1">
        <v>3428</v>
      </c>
      <c r="B3429" s="1" t="s">
        <v>9874</v>
      </c>
      <c r="C3429" s="1" t="s">
        <v>10151</v>
      </c>
      <c r="D3429" s="1" t="str">
        <f t="shared" si="159"/>
        <v>Tønder KommuneUbjergvej 22</v>
      </c>
      <c r="E3429" s="1" t="s">
        <v>10152</v>
      </c>
      <c r="F3429" s="1" t="s">
        <v>10153</v>
      </c>
      <c r="G3429" s="1">
        <v>1945</v>
      </c>
      <c r="H3429" s="1" t="s">
        <v>15</v>
      </c>
      <c r="I3429" s="6" cm="1">
        <f t="array" ref="I3429">GetLatitude(D3429)</f>
        <v>549122937</v>
      </c>
      <c r="J3429" s="1" cm="1">
        <f t="array" ref="J3429">GetLongitude(D3429)</f>
        <v>88539978</v>
      </c>
      <c r="K3429" s="1">
        <f t="shared" si="160"/>
        <v>54.912293699999999</v>
      </c>
      <c r="L3429" s="1">
        <f t="shared" si="161"/>
        <v>8.8539978000000001</v>
      </c>
    </row>
    <row r="3430" spans="1:12" ht="16" x14ac:dyDescent="0.2">
      <c r="A3430" s="1">
        <v>3429</v>
      </c>
      <c r="B3430" s="1" t="s">
        <v>9874</v>
      </c>
      <c r="C3430" s="1" t="s">
        <v>10154</v>
      </c>
      <c r="D3430" s="1" t="str">
        <f t="shared" si="159"/>
        <v>Tønder KommuneUldgade 13</v>
      </c>
      <c r="E3430" s="1" t="s">
        <v>10155</v>
      </c>
      <c r="F3430" s="1" t="s">
        <v>4494</v>
      </c>
      <c r="G3430" s="1">
        <v>1979</v>
      </c>
      <c r="H3430" s="1" t="s">
        <v>11</v>
      </c>
      <c r="I3430" s="6" cm="1">
        <f t="array" ref="I3430">GetLatitude(D3430)</f>
        <v>549344699</v>
      </c>
      <c r="J3430" s="1" cm="1">
        <f t="array" ref="J3430">GetLongitude(D3430)</f>
        <v>88701274</v>
      </c>
      <c r="K3430" s="1">
        <f t="shared" si="160"/>
        <v>54.934469900000003</v>
      </c>
      <c r="L3430" s="1">
        <f t="shared" si="161"/>
        <v>8.8701273999999994</v>
      </c>
    </row>
    <row r="3431" spans="1:12" ht="16" x14ac:dyDescent="0.2">
      <c r="A3431" s="1">
        <v>3430</v>
      </c>
      <c r="B3431" s="1" t="s">
        <v>9874</v>
      </c>
      <c r="C3431" s="1" t="s">
        <v>10156</v>
      </c>
      <c r="D3431" s="1" t="str">
        <f t="shared" si="159"/>
        <v>Tønder KommuneUldgade 4</v>
      </c>
      <c r="E3431" s="1" t="s">
        <v>10157</v>
      </c>
      <c r="F3431" s="1" t="s">
        <v>10158</v>
      </c>
      <c r="G3431" s="1">
        <v>1973</v>
      </c>
      <c r="H3431" s="1" t="s">
        <v>11</v>
      </c>
      <c r="I3431" s="6" cm="1">
        <f t="array" ref="I3431">GetLatitude(D3431)</f>
        <v>549344730</v>
      </c>
      <c r="J3431" s="1" cm="1">
        <f t="array" ref="J3431">GetLongitude(D3431)</f>
        <v>88713215</v>
      </c>
      <c r="K3431" s="1">
        <f t="shared" si="160"/>
        <v>54.934472999999997</v>
      </c>
      <c r="L3431" s="1">
        <f t="shared" si="161"/>
        <v>8.8713215000000005</v>
      </c>
    </row>
    <row r="3432" spans="1:12" ht="16" x14ac:dyDescent="0.2">
      <c r="A3432" s="1">
        <v>3431</v>
      </c>
      <c r="B3432" s="1" t="s">
        <v>9874</v>
      </c>
      <c r="C3432" s="1" t="s">
        <v>10159</v>
      </c>
      <c r="D3432" s="1" t="str">
        <f t="shared" si="159"/>
        <v>Tønder KommuneVed Åen 13</v>
      </c>
      <c r="E3432" s="1" t="s">
        <v>10160</v>
      </c>
      <c r="F3432" s="1" t="s">
        <v>10161</v>
      </c>
      <c r="G3432" s="1">
        <v>1950</v>
      </c>
      <c r="H3432" s="1" t="s">
        <v>11</v>
      </c>
      <c r="I3432" s="6" cm="1">
        <f t="array" ref="I3432">GetLatitude(D3432)</f>
        <v>549232325</v>
      </c>
      <c r="J3432" s="1" cm="1">
        <f t="array" ref="J3432">GetLongitude(D3432)</f>
        <v>87881475</v>
      </c>
      <c r="K3432" s="1">
        <f t="shared" si="160"/>
        <v>54.923232499999997</v>
      </c>
      <c r="L3432" s="1">
        <f t="shared" si="161"/>
        <v>8.7881474999999991</v>
      </c>
    </row>
    <row r="3433" spans="1:12" ht="16" x14ac:dyDescent="0.2">
      <c r="A3433" s="1">
        <v>3432</v>
      </c>
      <c r="B3433" s="1" t="s">
        <v>9874</v>
      </c>
      <c r="C3433" s="1" t="s">
        <v>10162</v>
      </c>
      <c r="D3433" s="1" t="str">
        <f t="shared" si="159"/>
        <v>Tønder KommuneVed Åen 17</v>
      </c>
      <c r="E3433" s="1" t="s">
        <v>10163</v>
      </c>
      <c r="F3433" s="1" t="s">
        <v>10164</v>
      </c>
      <c r="G3433" s="1">
        <v>1950</v>
      </c>
      <c r="H3433" s="1" t="s">
        <v>15</v>
      </c>
      <c r="I3433" s="6" cm="1">
        <f t="array" ref="I3433">GetLatitude(D3433)</f>
        <v>549225298</v>
      </c>
      <c r="J3433" s="1" cm="1">
        <f t="array" ref="J3433">GetLongitude(D3433)</f>
        <v>87855931</v>
      </c>
      <c r="K3433" s="1">
        <f t="shared" si="160"/>
        <v>54.9225298</v>
      </c>
      <c r="L3433" s="1">
        <f t="shared" si="161"/>
        <v>8.7855930999999998</v>
      </c>
    </row>
    <row r="3434" spans="1:12" ht="16" x14ac:dyDescent="0.2">
      <c r="A3434" s="1">
        <v>3433</v>
      </c>
      <c r="B3434" s="1" t="s">
        <v>9874</v>
      </c>
      <c r="C3434" s="1" t="s">
        <v>10165</v>
      </c>
      <c r="D3434" s="1" t="str">
        <f t="shared" si="159"/>
        <v>Tønder KommuneVesterende 28</v>
      </c>
      <c r="E3434" s="1" t="s">
        <v>10166</v>
      </c>
      <c r="F3434" s="1" t="s">
        <v>10167</v>
      </c>
      <c r="G3434" s="1">
        <v>1979</v>
      </c>
      <c r="H3434" s="1" t="s">
        <v>15</v>
      </c>
      <c r="I3434" s="6" cm="1">
        <f t="array" ref="I3434">GetLatitude(D3434)</f>
        <v>550899902</v>
      </c>
      <c r="J3434" s="1" cm="1">
        <f t="array" ref="J3434">GetLongitude(D3434)</f>
        <v>86588691</v>
      </c>
      <c r="K3434" s="1">
        <f t="shared" si="160"/>
        <v>55.089990200000003</v>
      </c>
      <c r="L3434" s="1">
        <f t="shared" si="161"/>
        <v>8.6588691000000004</v>
      </c>
    </row>
    <row r="3435" spans="1:12" ht="16" x14ac:dyDescent="0.2">
      <c r="A3435" s="1">
        <v>3434</v>
      </c>
      <c r="B3435" s="1" t="s">
        <v>9874</v>
      </c>
      <c r="C3435" s="1" t="s">
        <v>10168</v>
      </c>
      <c r="D3435" s="1" t="str">
        <f t="shared" si="159"/>
        <v>Tønder KommuneVestergade 11</v>
      </c>
      <c r="E3435" s="1" t="s">
        <v>10169</v>
      </c>
      <c r="F3435" s="1" t="s">
        <v>10170</v>
      </c>
      <c r="G3435" s="1">
        <v>1939</v>
      </c>
      <c r="H3435" s="1" t="s">
        <v>11</v>
      </c>
      <c r="I3435" s="6" cm="1">
        <f t="array" ref="I3435">GetLatitude(D3435)</f>
        <v>549396150</v>
      </c>
      <c r="J3435" s="1" cm="1">
        <f t="array" ref="J3435">GetLongitude(D3435)</f>
        <v>88644170</v>
      </c>
      <c r="K3435" s="1">
        <f t="shared" si="160"/>
        <v>54.939615000000003</v>
      </c>
      <c r="L3435" s="1">
        <f t="shared" si="161"/>
        <v>8.8644169999999995</v>
      </c>
    </row>
    <row r="3436" spans="1:12" ht="16" x14ac:dyDescent="0.2">
      <c r="A3436" s="1">
        <v>3435</v>
      </c>
      <c r="B3436" s="1" t="s">
        <v>9874</v>
      </c>
      <c r="C3436" s="1" t="s">
        <v>10171</v>
      </c>
      <c r="D3436" s="1" t="str">
        <f t="shared" si="159"/>
        <v>Tønder KommuneVestergade 12</v>
      </c>
      <c r="E3436" s="1" t="s">
        <v>10172</v>
      </c>
      <c r="F3436" s="1" t="s">
        <v>10173</v>
      </c>
      <c r="G3436" s="1">
        <v>1985</v>
      </c>
      <c r="H3436" s="1" t="s">
        <v>11</v>
      </c>
      <c r="I3436" s="6" cm="1">
        <f t="array" ref="I3436">GetLatitude(D3436)</f>
        <v>549396150</v>
      </c>
      <c r="J3436" s="1" cm="1">
        <f t="array" ref="J3436">GetLongitude(D3436)</f>
        <v>88644170</v>
      </c>
      <c r="K3436" s="1">
        <f t="shared" si="160"/>
        <v>54.939615000000003</v>
      </c>
      <c r="L3436" s="1">
        <f t="shared" si="161"/>
        <v>8.8644169999999995</v>
      </c>
    </row>
    <row r="3437" spans="1:12" ht="16" x14ac:dyDescent="0.2">
      <c r="A3437" s="1">
        <v>3436</v>
      </c>
      <c r="B3437" s="1" t="s">
        <v>9874</v>
      </c>
      <c r="C3437" s="1" t="s">
        <v>10174</v>
      </c>
      <c r="D3437" s="1" t="str">
        <f t="shared" si="159"/>
        <v>Tønder KommuneVestergade 14</v>
      </c>
      <c r="E3437" s="1" t="s">
        <v>10175</v>
      </c>
      <c r="F3437" s="1" t="s">
        <v>10176</v>
      </c>
      <c r="G3437" s="1">
        <v>1921</v>
      </c>
      <c r="H3437" s="1" t="s">
        <v>701</v>
      </c>
      <c r="I3437" s="6" cm="1">
        <f t="array" ref="I3437">GetLatitude(D3437)</f>
        <v>549396150</v>
      </c>
      <c r="J3437" s="1" cm="1">
        <f t="array" ref="J3437">GetLongitude(D3437)</f>
        <v>88644170</v>
      </c>
      <c r="K3437" s="1">
        <f t="shared" si="160"/>
        <v>54.939615000000003</v>
      </c>
      <c r="L3437" s="1">
        <f t="shared" si="161"/>
        <v>8.8644169999999995</v>
      </c>
    </row>
    <row r="3438" spans="1:12" ht="16" x14ac:dyDescent="0.2">
      <c r="A3438" s="1">
        <v>3437</v>
      </c>
      <c r="B3438" s="1" t="s">
        <v>9874</v>
      </c>
      <c r="C3438" s="1" t="s">
        <v>2719</v>
      </c>
      <c r="D3438" s="1" t="str">
        <f t="shared" si="159"/>
        <v>Tønder KommuneVestergade 4</v>
      </c>
      <c r="E3438" s="1" t="s">
        <v>2720</v>
      </c>
      <c r="F3438" s="1" t="s">
        <v>10177</v>
      </c>
      <c r="G3438" s="1">
        <v>1939</v>
      </c>
      <c r="H3438" s="1" t="s">
        <v>10178</v>
      </c>
      <c r="I3438" s="6" cm="1">
        <f t="array" ref="I3438">GetLatitude(D3438)</f>
        <v>550790800</v>
      </c>
      <c r="J3438" s="1" cm="1">
        <f t="array" ref="J3438">GetLongitude(D3438)</f>
        <v>88823958</v>
      </c>
      <c r="K3438" s="1">
        <f t="shared" si="160"/>
        <v>55.079079999999998</v>
      </c>
      <c r="L3438" s="1">
        <f t="shared" si="161"/>
        <v>8.8823957999999994</v>
      </c>
    </row>
    <row r="3439" spans="1:12" ht="16" x14ac:dyDescent="0.2">
      <c r="A3439" s="1">
        <v>3438</v>
      </c>
      <c r="B3439" s="1" t="s">
        <v>9874</v>
      </c>
      <c r="C3439" s="1" t="s">
        <v>7043</v>
      </c>
      <c r="D3439" s="1" t="str">
        <f t="shared" si="159"/>
        <v>Tønder KommuneVestergade 6</v>
      </c>
      <c r="E3439" s="1" t="s">
        <v>10179</v>
      </c>
      <c r="F3439" s="1" t="s">
        <v>10180</v>
      </c>
      <c r="G3439" s="1">
        <v>1985</v>
      </c>
      <c r="H3439" s="1" t="s">
        <v>11</v>
      </c>
      <c r="I3439" s="6" cm="1">
        <f t="array" ref="I3439">GetLatitude(D3439)</f>
        <v>549396150</v>
      </c>
      <c r="J3439" s="1" cm="1">
        <f t="array" ref="J3439">GetLongitude(D3439)</f>
        <v>88644170</v>
      </c>
      <c r="K3439" s="1">
        <f t="shared" si="160"/>
        <v>54.939615000000003</v>
      </c>
      <c r="L3439" s="1">
        <f t="shared" si="161"/>
        <v>8.8644169999999995</v>
      </c>
    </row>
    <row r="3440" spans="1:12" ht="16" x14ac:dyDescent="0.2">
      <c r="A3440" s="1">
        <v>3439</v>
      </c>
      <c r="B3440" s="1" t="s">
        <v>9874</v>
      </c>
      <c r="C3440" s="1" t="s">
        <v>6755</v>
      </c>
      <c r="D3440" s="1" t="str">
        <f t="shared" si="159"/>
        <v>Tønder KommuneVestergade 7</v>
      </c>
      <c r="E3440" s="1" t="s">
        <v>6756</v>
      </c>
      <c r="F3440" s="1" t="s">
        <v>10181</v>
      </c>
      <c r="G3440" s="1">
        <v>1921</v>
      </c>
      <c r="H3440" s="1" t="s">
        <v>11</v>
      </c>
      <c r="I3440" s="6" cm="1">
        <f t="array" ref="I3440">GetLatitude(D3440)</f>
        <v>549396150</v>
      </c>
      <c r="J3440" s="1" cm="1">
        <f t="array" ref="J3440">GetLongitude(D3440)</f>
        <v>88644170</v>
      </c>
      <c r="K3440" s="1">
        <f t="shared" si="160"/>
        <v>54.939615000000003</v>
      </c>
      <c r="L3440" s="1">
        <f t="shared" si="161"/>
        <v>8.8644169999999995</v>
      </c>
    </row>
    <row r="3441" spans="1:12" ht="16" x14ac:dyDescent="0.2">
      <c r="A3441" s="1">
        <v>3440</v>
      </c>
      <c r="B3441" s="1" t="s">
        <v>9874</v>
      </c>
      <c r="C3441" s="1" t="s">
        <v>10182</v>
      </c>
      <c r="D3441" s="1" t="str">
        <f t="shared" si="159"/>
        <v>Tønder KommuneVestergade 9 og Allégade 15</v>
      </c>
      <c r="E3441" s="1" t="s">
        <v>10183</v>
      </c>
      <c r="F3441" s="1" t="s">
        <v>10184</v>
      </c>
      <c r="G3441" s="1">
        <v>1921</v>
      </c>
      <c r="H3441" s="1" t="s">
        <v>11</v>
      </c>
      <c r="I3441" s="6" cm="1">
        <f t="array" ref="I3441">GetLatitude(D3441)</f>
        <v>549354783</v>
      </c>
      <c r="J3441" s="1" cm="1">
        <f t="array" ref="J3441">GetLongitude(D3441)</f>
        <v>88676651</v>
      </c>
      <c r="K3441" s="1">
        <f t="shared" si="160"/>
        <v>54.9354783</v>
      </c>
      <c r="L3441" s="1">
        <f t="shared" si="161"/>
        <v>8.8676651</v>
      </c>
    </row>
    <row r="3442" spans="1:12" ht="16" x14ac:dyDescent="0.2">
      <c r="A3442" s="1">
        <v>3441</v>
      </c>
      <c r="B3442" s="1" t="s">
        <v>9874</v>
      </c>
      <c r="C3442" s="1" t="s">
        <v>10185</v>
      </c>
      <c r="D3442" s="1" t="str">
        <f t="shared" si="159"/>
        <v>Tønder KommuneVinkelvej 18</v>
      </c>
      <c r="E3442" s="1" t="s">
        <v>10186</v>
      </c>
      <c r="F3442" s="1" t="s">
        <v>10187</v>
      </c>
      <c r="G3442" s="1">
        <v>1992</v>
      </c>
      <c r="H3442" s="1" t="s">
        <v>15</v>
      </c>
      <c r="I3442" s="6" cm="1">
        <f t="array" ref="I3442">GetLatitude(D3442)</f>
        <v>549319300</v>
      </c>
      <c r="J3442" s="1" cm="1">
        <f t="array" ref="J3442">GetLongitude(D3442)</f>
        <v>89241204</v>
      </c>
      <c r="K3442" s="1">
        <f t="shared" si="160"/>
        <v>54.931930000000001</v>
      </c>
      <c r="L3442" s="1">
        <f t="shared" si="161"/>
        <v>8.9241203999999996</v>
      </c>
    </row>
    <row r="3443" spans="1:12" ht="16" x14ac:dyDescent="0.2">
      <c r="A3443" s="1">
        <v>3442</v>
      </c>
      <c r="B3443" s="1" t="s">
        <v>9874</v>
      </c>
      <c r="C3443" s="1" t="s">
        <v>10188</v>
      </c>
      <c r="D3443" s="1" t="str">
        <f t="shared" si="159"/>
        <v>Tønder KommuneVråbyvej 24</v>
      </c>
      <c r="E3443" s="1" t="s">
        <v>10189</v>
      </c>
      <c r="F3443" s="1" t="s">
        <v>10190</v>
      </c>
      <c r="G3443" s="1">
        <v>1983</v>
      </c>
      <c r="H3443" s="1" t="s">
        <v>11</v>
      </c>
      <c r="I3443" s="6" cm="1">
        <f t="array" ref="I3443">GetLatitude(D3443)</f>
        <v>550982412</v>
      </c>
      <c r="J3443" s="1" cm="1">
        <f t="array" ref="J3443">GetLongitude(D3443)</f>
        <v>85363081</v>
      </c>
      <c r="K3443" s="1">
        <f t="shared" si="160"/>
        <v>55.098241199999997</v>
      </c>
      <c r="L3443" s="1">
        <f t="shared" si="161"/>
        <v>8.5363080999999994</v>
      </c>
    </row>
    <row r="3444" spans="1:12" ht="16" x14ac:dyDescent="0.2">
      <c r="A3444" s="1">
        <v>3443</v>
      </c>
      <c r="B3444" s="1" t="s">
        <v>9874</v>
      </c>
      <c r="C3444" s="1" t="s">
        <v>10191</v>
      </c>
      <c r="D3444" s="1" t="str">
        <f t="shared" si="159"/>
        <v>Tønder KommuneÆ Stoksti 1</v>
      </c>
      <c r="E3444" s="1" t="s">
        <v>10192</v>
      </c>
      <c r="F3444" s="1" t="s">
        <v>10193</v>
      </c>
      <c r="G3444" s="1">
        <v>1959</v>
      </c>
      <c r="H3444" s="1" t="s">
        <v>15</v>
      </c>
      <c r="I3444" s="6" cm="1">
        <f t="array" ref="I3444">GetLatitude(D3444)</f>
        <v>549448206</v>
      </c>
      <c r="J3444" s="1" cm="1">
        <f t="array" ref="J3444">GetLongitude(D3444)</f>
        <v>89637879</v>
      </c>
      <c r="K3444" s="1">
        <f t="shared" si="160"/>
        <v>54.9448206</v>
      </c>
      <c r="L3444" s="1">
        <f t="shared" si="161"/>
        <v>8.9637878999999998</v>
      </c>
    </row>
    <row r="3445" spans="1:12" ht="16" x14ac:dyDescent="0.2">
      <c r="A3445" s="1">
        <v>3444</v>
      </c>
      <c r="B3445" s="1" t="s">
        <v>9874</v>
      </c>
      <c r="C3445" s="1" t="s">
        <v>10194</v>
      </c>
      <c r="D3445" s="1" t="str">
        <f t="shared" si="159"/>
        <v>Tønder KommuneØstergade 1</v>
      </c>
      <c r="E3445" s="1" t="s">
        <v>10195</v>
      </c>
      <c r="F3445" s="1" t="s">
        <v>10196</v>
      </c>
      <c r="G3445" s="1">
        <v>1921</v>
      </c>
      <c r="H3445" s="1" t="s">
        <v>11</v>
      </c>
      <c r="I3445" s="6" cm="1">
        <f t="array" ref="I3445">GetLatitude(D3445)</f>
        <v>549396150</v>
      </c>
      <c r="J3445" s="1" cm="1">
        <f t="array" ref="J3445">GetLongitude(D3445)</f>
        <v>88644170</v>
      </c>
      <c r="K3445" s="1">
        <f t="shared" si="160"/>
        <v>54.939615000000003</v>
      </c>
      <c r="L3445" s="1">
        <f t="shared" si="161"/>
        <v>8.8644169999999995</v>
      </c>
    </row>
    <row r="3446" spans="1:12" ht="16" x14ac:dyDescent="0.2">
      <c r="A3446" s="1">
        <v>3445</v>
      </c>
      <c r="B3446" s="1" t="s">
        <v>9874</v>
      </c>
      <c r="C3446" s="1" t="s">
        <v>2470</v>
      </c>
      <c r="D3446" s="1" t="str">
        <f t="shared" si="159"/>
        <v>Tønder KommuneØstergade 13</v>
      </c>
      <c r="E3446" s="1" t="s">
        <v>10197</v>
      </c>
      <c r="F3446" s="1" t="s">
        <v>10198</v>
      </c>
      <c r="G3446" s="1">
        <v>1939</v>
      </c>
      <c r="H3446" s="1" t="s">
        <v>15</v>
      </c>
      <c r="I3446" s="6" cm="1">
        <f t="array" ref="I3446">GetLatitude(D3446)</f>
        <v>549363101</v>
      </c>
      <c r="J3446" s="1" cm="1">
        <f t="array" ref="J3446">GetLongitude(D3446)</f>
        <v>88716895</v>
      </c>
      <c r="K3446" s="1">
        <f t="shared" si="160"/>
        <v>54.9363101</v>
      </c>
      <c r="L3446" s="1">
        <f t="shared" si="161"/>
        <v>8.8716895000000005</v>
      </c>
    </row>
    <row r="3447" spans="1:12" ht="16" x14ac:dyDescent="0.2">
      <c r="A3447" s="1">
        <v>3446</v>
      </c>
      <c r="B3447" s="1" t="s">
        <v>9874</v>
      </c>
      <c r="C3447" s="1" t="s">
        <v>10199</v>
      </c>
      <c r="D3447" s="1" t="str">
        <f t="shared" si="159"/>
        <v>Tønder KommuneØstergade 14</v>
      </c>
      <c r="E3447" s="1" t="s">
        <v>10200</v>
      </c>
      <c r="F3447" s="1" t="s">
        <v>10201</v>
      </c>
      <c r="G3447" s="1">
        <v>1992</v>
      </c>
      <c r="H3447" s="1" t="s">
        <v>15</v>
      </c>
      <c r="I3447" s="6" cm="1">
        <f t="array" ref="I3447">GetLatitude(D3447)</f>
        <v>549396150</v>
      </c>
      <c r="J3447" s="1" cm="1">
        <f t="array" ref="J3447">GetLongitude(D3447)</f>
        <v>88644170</v>
      </c>
      <c r="K3447" s="1">
        <f t="shared" si="160"/>
        <v>54.939615000000003</v>
      </c>
      <c r="L3447" s="1">
        <f t="shared" si="161"/>
        <v>8.8644169999999995</v>
      </c>
    </row>
    <row r="3448" spans="1:12" ht="16" x14ac:dyDescent="0.2">
      <c r="A3448" s="1">
        <v>3447</v>
      </c>
      <c r="B3448" s="1" t="s">
        <v>9874</v>
      </c>
      <c r="C3448" s="1" t="s">
        <v>6861</v>
      </c>
      <c r="D3448" s="1" t="str">
        <f t="shared" si="159"/>
        <v>Tønder KommuneØstergade 15</v>
      </c>
      <c r="E3448" s="1" t="s">
        <v>10202</v>
      </c>
      <c r="F3448" s="1" t="s">
        <v>10203</v>
      </c>
      <c r="G3448" s="1">
        <v>1921</v>
      </c>
      <c r="H3448" s="1" t="s">
        <v>11</v>
      </c>
      <c r="I3448" s="6" cm="1">
        <f t="array" ref="I3448">GetLatitude(D3448)</f>
        <v>549396150</v>
      </c>
      <c r="J3448" s="1" cm="1">
        <f t="array" ref="J3448">GetLongitude(D3448)</f>
        <v>88644170</v>
      </c>
      <c r="K3448" s="1">
        <f t="shared" si="160"/>
        <v>54.939615000000003</v>
      </c>
      <c r="L3448" s="1">
        <f t="shared" si="161"/>
        <v>8.8644169999999995</v>
      </c>
    </row>
    <row r="3449" spans="1:12" ht="16" x14ac:dyDescent="0.2">
      <c r="A3449" s="1">
        <v>3448</v>
      </c>
      <c r="B3449" s="1" t="s">
        <v>9874</v>
      </c>
      <c r="C3449" s="1" t="s">
        <v>10204</v>
      </c>
      <c r="D3449" s="1" t="str">
        <f t="shared" si="159"/>
        <v>Tønder KommuneØstergade 18</v>
      </c>
      <c r="E3449" s="1" t="s">
        <v>10205</v>
      </c>
      <c r="F3449" s="1" t="s">
        <v>10206</v>
      </c>
      <c r="G3449" s="1">
        <v>1964</v>
      </c>
      <c r="H3449" s="1" t="s">
        <v>11</v>
      </c>
      <c r="I3449" s="6" cm="1">
        <f t="array" ref="I3449">GetLatitude(D3449)</f>
        <v>549366315</v>
      </c>
      <c r="J3449" s="1" cm="1">
        <f t="array" ref="J3449">GetLongitude(D3449)</f>
        <v>88718757</v>
      </c>
      <c r="K3449" s="1">
        <f t="shared" si="160"/>
        <v>54.936631499999997</v>
      </c>
      <c r="L3449" s="1">
        <f t="shared" si="161"/>
        <v>8.8718757000000004</v>
      </c>
    </row>
    <row r="3450" spans="1:12" ht="16" x14ac:dyDescent="0.2">
      <c r="A3450" s="1">
        <v>3449</v>
      </c>
      <c r="B3450" s="1" t="s">
        <v>9874</v>
      </c>
      <c r="C3450" s="1" t="s">
        <v>8438</v>
      </c>
      <c r="D3450" s="1" t="str">
        <f t="shared" si="159"/>
        <v>Tønder KommuneØstergade 19</v>
      </c>
      <c r="E3450" s="1" t="s">
        <v>10207</v>
      </c>
      <c r="F3450" s="1" t="s">
        <v>10208</v>
      </c>
      <c r="G3450" s="1">
        <v>1921</v>
      </c>
      <c r="H3450" s="1" t="s">
        <v>11</v>
      </c>
      <c r="I3450" s="6" cm="1">
        <f t="array" ref="I3450">GetLatitude(D3450)</f>
        <v>549374134</v>
      </c>
      <c r="J3450" s="1" cm="1">
        <f t="array" ref="J3450">GetLongitude(D3450)</f>
        <v>88734326</v>
      </c>
      <c r="K3450" s="1">
        <f t="shared" si="160"/>
        <v>54.937413399999997</v>
      </c>
      <c r="L3450" s="1">
        <f t="shared" si="161"/>
        <v>8.8734325999999992</v>
      </c>
    </row>
    <row r="3451" spans="1:12" ht="16" x14ac:dyDescent="0.2">
      <c r="A3451" s="1">
        <v>3450</v>
      </c>
      <c r="B3451" s="1" t="s">
        <v>9874</v>
      </c>
      <c r="C3451" s="1" t="s">
        <v>371</v>
      </c>
      <c r="D3451" s="1" t="str">
        <f t="shared" si="159"/>
        <v>Tønder KommuneØstergade 2</v>
      </c>
      <c r="E3451" s="1" t="s">
        <v>10209</v>
      </c>
      <c r="F3451" s="1" t="s">
        <v>10210</v>
      </c>
      <c r="G3451" s="1">
        <v>1921</v>
      </c>
      <c r="H3451" s="1" t="s">
        <v>11</v>
      </c>
      <c r="I3451" s="6" cm="1">
        <f t="array" ref="I3451">GetLatitude(D3451)</f>
        <v>549374134</v>
      </c>
      <c r="J3451" s="1" cm="1">
        <f t="array" ref="J3451">GetLongitude(D3451)</f>
        <v>88734326</v>
      </c>
      <c r="K3451" s="1">
        <f t="shared" si="160"/>
        <v>54.937413399999997</v>
      </c>
      <c r="L3451" s="1">
        <f t="shared" si="161"/>
        <v>8.8734325999999992</v>
      </c>
    </row>
    <row r="3452" spans="1:12" ht="16" x14ac:dyDescent="0.2">
      <c r="A3452" s="1">
        <v>3451</v>
      </c>
      <c r="B3452" s="1" t="s">
        <v>9874</v>
      </c>
      <c r="C3452" s="1" t="s">
        <v>2088</v>
      </c>
      <c r="D3452" s="1" t="str">
        <f t="shared" si="159"/>
        <v>Tønder KommuneØstergade 25</v>
      </c>
      <c r="E3452" s="1" t="s">
        <v>2089</v>
      </c>
      <c r="F3452" s="1" t="s">
        <v>10211</v>
      </c>
      <c r="G3452" s="1">
        <v>1921</v>
      </c>
      <c r="H3452" s="1" t="s">
        <v>11</v>
      </c>
      <c r="I3452" s="6" cm="1">
        <f t="array" ref="I3452">GetLatitude(D3452)</f>
        <v>549365492</v>
      </c>
      <c r="J3452" s="1" cm="1">
        <f t="array" ref="J3452">GetLongitude(D3452)</f>
        <v>88724188</v>
      </c>
      <c r="K3452" s="1">
        <f t="shared" si="160"/>
        <v>54.936549200000002</v>
      </c>
      <c r="L3452" s="1">
        <f t="shared" si="161"/>
        <v>8.8724188000000002</v>
      </c>
    </row>
    <row r="3453" spans="1:12" ht="16" x14ac:dyDescent="0.2">
      <c r="A3453" s="1">
        <v>3452</v>
      </c>
      <c r="B3453" s="1" t="s">
        <v>9874</v>
      </c>
      <c r="C3453" s="1" t="s">
        <v>179</v>
      </c>
      <c r="D3453" s="1" t="str">
        <f t="shared" si="159"/>
        <v>Tønder KommuneØstergade 27</v>
      </c>
      <c r="E3453" s="1" t="s">
        <v>10212</v>
      </c>
      <c r="F3453" s="1" t="s">
        <v>10213</v>
      </c>
      <c r="G3453" s="1">
        <v>1921</v>
      </c>
      <c r="H3453" s="1" t="s">
        <v>11</v>
      </c>
      <c r="I3453" s="6" cm="1">
        <f t="array" ref="I3453">GetLatitude(D3453)</f>
        <v>549365967</v>
      </c>
      <c r="J3453" s="1" cm="1">
        <f t="array" ref="J3453">GetLongitude(D3453)</f>
        <v>88725102</v>
      </c>
      <c r="K3453" s="1">
        <f t="shared" si="160"/>
        <v>54.936596700000003</v>
      </c>
      <c r="L3453" s="1">
        <f t="shared" si="161"/>
        <v>8.8725102000000007</v>
      </c>
    </row>
    <row r="3454" spans="1:12" ht="16" x14ac:dyDescent="0.2">
      <c r="A3454" s="1">
        <v>3453</v>
      </c>
      <c r="B3454" s="1" t="s">
        <v>9874</v>
      </c>
      <c r="C3454" s="1" t="s">
        <v>1784</v>
      </c>
      <c r="D3454" s="1" t="str">
        <f t="shared" si="159"/>
        <v>Tønder KommuneØstergade 3</v>
      </c>
      <c r="E3454" s="1" t="s">
        <v>10214</v>
      </c>
      <c r="F3454" s="1" t="s">
        <v>10215</v>
      </c>
      <c r="G3454" s="1">
        <v>1950</v>
      </c>
      <c r="H3454" s="1" t="s">
        <v>11</v>
      </c>
      <c r="I3454" s="6" cm="1">
        <f t="array" ref="I3454">GetLatitude(D3454)</f>
        <v>550790800</v>
      </c>
      <c r="J3454" s="1" cm="1">
        <f t="array" ref="J3454">GetLongitude(D3454)</f>
        <v>88823958</v>
      </c>
      <c r="K3454" s="1">
        <f t="shared" si="160"/>
        <v>55.079079999999998</v>
      </c>
      <c r="L3454" s="1">
        <f t="shared" si="161"/>
        <v>8.8823957999999994</v>
      </c>
    </row>
    <row r="3455" spans="1:12" ht="16" x14ac:dyDescent="0.2">
      <c r="A3455" s="1">
        <v>3454</v>
      </c>
      <c r="B3455" s="1" t="s">
        <v>9874</v>
      </c>
      <c r="C3455" s="1" t="s">
        <v>182</v>
      </c>
      <c r="D3455" s="1" t="str">
        <f t="shared" si="159"/>
        <v>Tønder KommuneØstergade 36</v>
      </c>
      <c r="E3455" s="1" t="s">
        <v>10216</v>
      </c>
      <c r="F3455" s="1" t="s">
        <v>10217</v>
      </c>
      <c r="G3455" s="1">
        <v>1985</v>
      </c>
      <c r="H3455" s="1" t="s">
        <v>15</v>
      </c>
      <c r="I3455" s="6" cm="1">
        <f t="array" ref="I3455">GetLatitude(D3455)</f>
        <v>549374134</v>
      </c>
      <c r="J3455" s="1" cm="1">
        <f t="array" ref="J3455">GetLongitude(D3455)</f>
        <v>88734326</v>
      </c>
      <c r="K3455" s="1">
        <f t="shared" si="160"/>
        <v>54.937413399999997</v>
      </c>
      <c r="L3455" s="1">
        <f t="shared" si="161"/>
        <v>8.8734325999999992</v>
      </c>
    </row>
    <row r="3456" spans="1:12" ht="16" x14ac:dyDescent="0.2">
      <c r="A3456" s="1">
        <v>3455</v>
      </c>
      <c r="B3456" s="1" t="s">
        <v>9874</v>
      </c>
      <c r="C3456" s="1" t="s">
        <v>10218</v>
      </c>
      <c r="D3456" s="1" t="str">
        <f t="shared" si="159"/>
        <v>Tønder KommuneØstergade 43</v>
      </c>
      <c r="E3456" s="1" t="s">
        <v>10219</v>
      </c>
      <c r="F3456" s="1" t="s">
        <v>10220</v>
      </c>
      <c r="G3456" s="1">
        <v>1983</v>
      </c>
      <c r="H3456" s="1" t="s">
        <v>11</v>
      </c>
      <c r="I3456" s="6" cm="1">
        <f t="array" ref="I3456">GetLatitude(D3456)</f>
        <v>549370656</v>
      </c>
      <c r="J3456" s="1" cm="1">
        <f t="array" ref="J3456">GetLongitude(D3456)</f>
        <v>88732100</v>
      </c>
      <c r="K3456" s="1">
        <f t="shared" si="160"/>
        <v>54.937065599999997</v>
      </c>
      <c r="L3456" s="1">
        <f t="shared" si="161"/>
        <v>8.8732100000000003</v>
      </c>
    </row>
    <row r="3457" spans="1:12" ht="16" x14ac:dyDescent="0.2">
      <c r="A3457" s="1">
        <v>3456</v>
      </c>
      <c r="B3457" s="1" t="s">
        <v>9874</v>
      </c>
      <c r="C3457" s="1" t="s">
        <v>10221</v>
      </c>
      <c r="D3457" s="1" t="str">
        <f t="shared" si="159"/>
        <v>Tønder KommuneØstergade 47</v>
      </c>
      <c r="E3457" s="1" t="s">
        <v>10222</v>
      </c>
      <c r="F3457" s="1" t="s">
        <v>10223</v>
      </c>
      <c r="G3457" s="1">
        <v>1972</v>
      </c>
      <c r="H3457" s="1" t="s">
        <v>11</v>
      </c>
      <c r="I3457" s="6" cm="1">
        <f t="array" ref="I3457">GetLatitude(D3457)</f>
        <v>549374134</v>
      </c>
      <c r="J3457" s="1" cm="1">
        <f t="array" ref="J3457">GetLongitude(D3457)</f>
        <v>88734326</v>
      </c>
      <c r="K3457" s="1">
        <f t="shared" si="160"/>
        <v>54.937413399999997</v>
      </c>
      <c r="L3457" s="1">
        <f t="shared" si="161"/>
        <v>8.8734325999999992</v>
      </c>
    </row>
    <row r="3458" spans="1:12" ht="16" x14ac:dyDescent="0.2">
      <c r="A3458" s="1">
        <v>3457</v>
      </c>
      <c r="B3458" s="1" t="s">
        <v>9874</v>
      </c>
      <c r="C3458" s="1" t="s">
        <v>10224</v>
      </c>
      <c r="D3458" s="1" t="str">
        <f t="shared" si="159"/>
        <v>Tønder KommuneØstergade 56</v>
      </c>
      <c r="E3458" s="1" t="s">
        <v>10225</v>
      </c>
      <c r="F3458" s="1" t="s">
        <v>10226</v>
      </c>
      <c r="G3458" s="1">
        <v>1921</v>
      </c>
      <c r="H3458" s="1" t="s">
        <v>15</v>
      </c>
      <c r="I3458" s="6" cm="1">
        <f t="array" ref="I3458">GetLatitude(D3458)</f>
        <v>549374134</v>
      </c>
      <c r="J3458" s="1" cm="1">
        <f t="array" ref="J3458">GetLongitude(D3458)</f>
        <v>88734326</v>
      </c>
      <c r="K3458" s="1">
        <f t="shared" si="160"/>
        <v>54.937413399999997</v>
      </c>
      <c r="L3458" s="1">
        <f t="shared" si="161"/>
        <v>8.8734325999999992</v>
      </c>
    </row>
    <row r="3459" spans="1:12" ht="16" x14ac:dyDescent="0.2">
      <c r="A3459" s="1">
        <v>3458</v>
      </c>
      <c r="B3459" s="1" t="s">
        <v>9874</v>
      </c>
      <c r="C3459" s="1" t="s">
        <v>10227</v>
      </c>
      <c r="D3459" s="1" t="str">
        <f t="shared" ref="D3459:D3522" si="162">B3459&amp;C3459</f>
        <v>Tønder KommuneØstergade 58</v>
      </c>
      <c r="E3459" s="1" t="s">
        <v>10228</v>
      </c>
      <c r="F3459" s="1" t="s">
        <v>10229</v>
      </c>
      <c r="G3459" s="1">
        <v>1950</v>
      </c>
      <c r="H3459" s="1" t="s">
        <v>15</v>
      </c>
      <c r="I3459" s="6" cm="1">
        <f t="array" ref="I3459">GetLatitude(D3459)</f>
        <v>549374134</v>
      </c>
      <c r="J3459" s="1" cm="1">
        <f t="array" ref="J3459">GetLongitude(D3459)</f>
        <v>88734326</v>
      </c>
      <c r="K3459" s="1">
        <f t="shared" si="160"/>
        <v>54.937413399999997</v>
      </c>
      <c r="L3459" s="1">
        <f t="shared" si="161"/>
        <v>8.8734325999999992</v>
      </c>
    </row>
    <row r="3460" spans="1:12" ht="16" x14ac:dyDescent="0.2">
      <c r="A3460" s="1">
        <v>3459</v>
      </c>
      <c r="B3460" s="1" t="s">
        <v>9874</v>
      </c>
      <c r="C3460" s="1" t="s">
        <v>10230</v>
      </c>
      <c r="D3460" s="1" t="str">
        <f t="shared" si="162"/>
        <v>Tønder KommuneØstergade 60</v>
      </c>
      <c r="E3460" s="1" t="s">
        <v>10231</v>
      </c>
      <c r="F3460" s="1" t="s">
        <v>10232</v>
      </c>
      <c r="G3460" s="1">
        <v>1950</v>
      </c>
      <c r="H3460" s="1" t="s">
        <v>11</v>
      </c>
      <c r="I3460" s="6" cm="1">
        <f t="array" ref="I3460">GetLatitude(D3460)</f>
        <v>549374134</v>
      </c>
      <c r="J3460" s="1" cm="1">
        <f t="array" ref="J3460">GetLongitude(D3460)</f>
        <v>88734326</v>
      </c>
      <c r="K3460" s="1">
        <f t="shared" ref="K3460:K3523" si="163">I3460/10000000</f>
        <v>54.937413399999997</v>
      </c>
      <c r="L3460" s="1">
        <f t="shared" ref="L3460:L3523" si="164">J3460/10000000</f>
        <v>8.8734325999999992</v>
      </c>
    </row>
    <row r="3461" spans="1:12" ht="16" x14ac:dyDescent="0.2">
      <c r="A3461" s="1">
        <v>3460</v>
      </c>
      <c r="B3461" s="1" t="s">
        <v>9874</v>
      </c>
      <c r="C3461" s="1" t="s">
        <v>10233</v>
      </c>
      <c r="D3461" s="1" t="str">
        <f t="shared" si="162"/>
        <v>Tønder KommuneØstergade 62</v>
      </c>
      <c r="E3461" s="1" t="s">
        <v>10234</v>
      </c>
      <c r="F3461" s="1" t="s">
        <v>10235</v>
      </c>
      <c r="G3461" s="1">
        <v>1950</v>
      </c>
      <c r="H3461" s="1" t="s">
        <v>15</v>
      </c>
      <c r="I3461" s="6" cm="1">
        <f t="array" ref="I3461">GetLatitude(D3461)</f>
        <v>549374134</v>
      </c>
      <c r="J3461" s="1" cm="1">
        <f t="array" ref="J3461">GetLongitude(D3461)</f>
        <v>88734326</v>
      </c>
      <c r="K3461" s="1">
        <f t="shared" si="163"/>
        <v>54.937413399999997</v>
      </c>
      <c r="L3461" s="1">
        <f t="shared" si="164"/>
        <v>8.8734325999999992</v>
      </c>
    </row>
    <row r="3462" spans="1:12" ht="16" x14ac:dyDescent="0.2">
      <c r="A3462" s="1">
        <v>3461</v>
      </c>
      <c r="B3462" s="1" t="s">
        <v>9874</v>
      </c>
      <c r="C3462" s="1" t="s">
        <v>10236</v>
      </c>
      <c r="D3462" s="1" t="str">
        <f t="shared" si="162"/>
        <v>Tønder KommuneØstergade 66</v>
      </c>
      <c r="E3462" s="1" t="s">
        <v>10237</v>
      </c>
      <c r="F3462" s="1" t="s">
        <v>10238</v>
      </c>
      <c r="G3462" s="1">
        <v>1950</v>
      </c>
      <c r="H3462" s="1" t="s">
        <v>15</v>
      </c>
      <c r="I3462" s="6" cm="1">
        <f t="array" ref="I3462">GetLatitude(D3462)</f>
        <v>549374134</v>
      </c>
      <c r="J3462" s="1" cm="1">
        <f t="array" ref="J3462">GetLongitude(D3462)</f>
        <v>88734326</v>
      </c>
      <c r="K3462" s="1">
        <f t="shared" si="163"/>
        <v>54.937413399999997</v>
      </c>
      <c r="L3462" s="1">
        <f t="shared" si="164"/>
        <v>8.8734325999999992</v>
      </c>
    </row>
    <row r="3463" spans="1:12" ht="16" x14ac:dyDescent="0.2">
      <c r="A3463" s="1">
        <v>3462</v>
      </c>
      <c r="B3463" s="1" t="s">
        <v>9874</v>
      </c>
      <c r="C3463" s="1" t="s">
        <v>10239</v>
      </c>
      <c r="D3463" s="1" t="str">
        <f t="shared" si="162"/>
        <v>Tønder KommuneØstergade 67</v>
      </c>
      <c r="E3463" s="1" t="s">
        <v>10240</v>
      </c>
      <c r="F3463" s="1" t="s">
        <v>10241</v>
      </c>
      <c r="G3463" s="1">
        <v>1921</v>
      </c>
      <c r="H3463" s="1" t="s">
        <v>11</v>
      </c>
      <c r="I3463" s="6" cm="1">
        <f t="array" ref="I3463">GetLatitude(D3463)</f>
        <v>550790800</v>
      </c>
      <c r="J3463" s="1" cm="1">
        <f t="array" ref="J3463">GetLongitude(D3463)</f>
        <v>88823958</v>
      </c>
      <c r="K3463" s="1">
        <f t="shared" si="163"/>
        <v>55.079079999999998</v>
      </c>
      <c r="L3463" s="1">
        <f t="shared" si="164"/>
        <v>8.8823957999999994</v>
      </c>
    </row>
    <row r="3464" spans="1:12" ht="16" x14ac:dyDescent="0.2">
      <c r="A3464" s="1">
        <v>3463</v>
      </c>
      <c r="B3464" s="1" t="s">
        <v>9874</v>
      </c>
      <c r="C3464" s="1" t="s">
        <v>10242</v>
      </c>
      <c r="D3464" s="1" t="str">
        <f t="shared" si="162"/>
        <v>Tønder KommuneØstergade 8</v>
      </c>
      <c r="E3464" s="1" t="s">
        <v>10243</v>
      </c>
      <c r="F3464" s="1" t="s">
        <v>10244</v>
      </c>
      <c r="G3464" s="1">
        <v>1921</v>
      </c>
      <c r="H3464" s="1" t="s">
        <v>11</v>
      </c>
      <c r="I3464" s="6" cm="1">
        <f t="array" ref="I3464">GetLatitude(D3464)</f>
        <v>550790800</v>
      </c>
      <c r="J3464" s="1" cm="1">
        <f t="array" ref="J3464">GetLongitude(D3464)</f>
        <v>88823958</v>
      </c>
      <c r="K3464" s="1">
        <f t="shared" si="163"/>
        <v>55.079079999999998</v>
      </c>
      <c r="L3464" s="1">
        <f t="shared" si="164"/>
        <v>8.8823957999999994</v>
      </c>
    </row>
    <row r="3465" spans="1:12" ht="16" x14ac:dyDescent="0.2">
      <c r="A3465" s="1">
        <v>3464</v>
      </c>
      <c r="B3465" s="1" t="s">
        <v>9874</v>
      </c>
      <c r="C3465" s="1" t="s">
        <v>10245</v>
      </c>
      <c r="D3465" s="1" t="str">
        <f t="shared" si="162"/>
        <v>Tønder KommuneØsterhedevej 5</v>
      </c>
      <c r="E3465" s="1" t="s">
        <v>10246</v>
      </c>
      <c r="F3465" s="1" t="s">
        <v>10247</v>
      </c>
      <c r="G3465" s="1">
        <v>1992</v>
      </c>
      <c r="H3465" s="1" t="s">
        <v>15</v>
      </c>
      <c r="I3465" s="6" cm="1">
        <f t="array" ref="I3465">GetLatitude(D3465)</f>
        <v>551057180</v>
      </c>
      <c r="J3465" s="1" cm="1">
        <f t="array" ref="J3465">GetLongitude(D3465)</f>
        <v>85430991</v>
      </c>
      <c r="K3465" s="1">
        <f t="shared" si="163"/>
        <v>55.105718000000003</v>
      </c>
      <c r="L3465" s="1">
        <f t="shared" si="164"/>
        <v>8.5430990999999992</v>
      </c>
    </row>
    <row r="3466" spans="1:12" ht="16" x14ac:dyDescent="0.2">
      <c r="A3466" s="1">
        <v>3465</v>
      </c>
      <c r="B3466" s="1" t="s">
        <v>9874</v>
      </c>
      <c r="C3466" s="1" t="s">
        <v>10248</v>
      </c>
      <c r="D3466" s="1" t="str">
        <f t="shared" si="162"/>
        <v>Tønder KommuneØsterhedevej 8</v>
      </c>
      <c r="E3466" s="1" t="s">
        <v>10249</v>
      </c>
      <c r="F3466" s="1" t="s">
        <v>10250</v>
      </c>
      <c r="G3466" s="1">
        <v>1992</v>
      </c>
      <c r="H3466" s="1" t="s">
        <v>11</v>
      </c>
      <c r="I3466" s="6" cm="1">
        <f t="array" ref="I3466">GetLatitude(D3466)</f>
        <v>551043932</v>
      </c>
      <c r="J3466" s="1" cm="1">
        <f t="array" ref="J3466">GetLongitude(D3466)</f>
        <v>85458797</v>
      </c>
      <c r="K3466" s="1">
        <f t="shared" si="163"/>
        <v>55.104393199999997</v>
      </c>
      <c r="L3466" s="1">
        <f t="shared" si="164"/>
        <v>8.5458797000000004</v>
      </c>
    </row>
    <row r="3467" spans="1:12" ht="16" x14ac:dyDescent="0.2">
      <c r="A3467" s="1">
        <v>3466</v>
      </c>
      <c r="B3467" s="1" t="s">
        <v>9874</v>
      </c>
      <c r="C3467" s="1" t="s">
        <v>10251</v>
      </c>
      <c r="D3467" s="1" t="str">
        <f t="shared" si="162"/>
        <v>Tønder KommuneÅbenråvej 14</v>
      </c>
      <c r="E3467" s="1" t="s">
        <v>10252</v>
      </c>
      <c r="F3467" s="1" t="s">
        <v>10253</v>
      </c>
      <c r="G3467" s="1">
        <v>1985</v>
      </c>
      <c r="H3467" s="1" t="s">
        <v>15</v>
      </c>
      <c r="I3467" s="6" cm="1">
        <f t="array" ref="I3467">GetLatitude(D3467)</f>
        <v>551553404</v>
      </c>
      <c r="J3467" s="1" cm="1">
        <f t="array" ref="J3467">GetLongitude(D3467)</f>
        <v>87751236</v>
      </c>
      <c r="K3467" s="1">
        <f t="shared" si="163"/>
        <v>55.1553404</v>
      </c>
      <c r="L3467" s="1">
        <f t="shared" si="164"/>
        <v>8.7751236000000006</v>
      </c>
    </row>
    <row r="3468" spans="1:12" ht="16" x14ac:dyDescent="0.2">
      <c r="A3468" s="1">
        <v>3467</v>
      </c>
      <c r="B3468" s="1" t="s">
        <v>9874</v>
      </c>
      <c r="C3468" s="1" t="s">
        <v>10254</v>
      </c>
      <c r="D3468" s="1" t="str">
        <f t="shared" si="162"/>
        <v>Tønder KommuneÅbenråvej 28</v>
      </c>
      <c r="E3468" s="1" t="s">
        <v>10255</v>
      </c>
      <c r="F3468" s="1" t="s">
        <v>10256</v>
      </c>
      <c r="G3468" s="1">
        <v>1973</v>
      </c>
      <c r="H3468" s="1" t="s">
        <v>4589</v>
      </c>
      <c r="I3468" s="6" cm="1">
        <f t="array" ref="I3468">GetLatitude(D3468)</f>
        <v>551548309</v>
      </c>
      <c r="J3468" s="1" cm="1">
        <f t="array" ref="J3468">GetLongitude(D3468)</f>
        <v>87797590</v>
      </c>
      <c r="K3468" s="1">
        <f t="shared" si="163"/>
        <v>55.1548309</v>
      </c>
      <c r="L3468" s="1">
        <f t="shared" si="164"/>
        <v>8.7797590000000003</v>
      </c>
    </row>
    <row r="3469" spans="1:12" ht="16" x14ac:dyDescent="0.2">
      <c r="A3469" s="1">
        <v>3468</v>
      </c>
      <c r="B3469" s="1" t="s">
        <v>10257</v>
      </c>
      <c r="C3469" s="1" t="s">
        <v>10258</v>
      </c>
      <c r="D3469" s="1" t="str">
        <f t="shared" si="162"/>
        <v>Tårnby KommuneAlléen 2-26</v>
      </c>
      <c r="E3469" s="1" t="s">
        <v>10259</v>
      </c>
      <c r="F3469" s="1" t="s">
        <v>10260</v>
      </c>
      <c r="G3469" s="1">
        <v>1971</v>
      </c>
      <c r="H3469" s="1" t="s">
        <v>10261</v>
      </c>
      <c r="I3469" s="6" cm="1">
        <f t="array" ref="I3469">GetLatitude(D3469)</f>
        <v>556255200</v>
      </c>
      <c r="J3469" s="1" cm="1">
        <f t="array" ref="J3469">GetLongitude(D3469)</f>
        <v>125947650</v>
      </c>
      <c r="K3469" s="1">
        <f t="shared" si="163"/>
        <v>55.625520000000002</v>
      </c>
      <c r="L3469" s="1">
        <f t="shared" si="164"/>
        <v>12.594765000000001</v>
      </c>
    </row>
    <row r="3470" spans="1:12" ht="16" x14ac:dyDescent="0.2">
      <c r="A3470" s="1">
        <v>3469</v>
      </c>
      <c r="B3470" s="1" t="s">
        <v>10257</v>
      </c>
      <c r="C3470" s="1" t="s">
        <v>10262</v>
      </c>
      <c r="D3470" s="1" t="str">
        <f t="shared" si="162"/>
        <v>Tårnby KommuneAmager Landevej 76 og Østerlarsvej 6</v>
      </c>
      <c r="E3470" s="1" t="s">
        <v>10263</v>
      </c>
      <c r="F3470" s="1" t="s">
        <v>10264</v>
      </c>
      <c r="G3470" s="1">
        <v>1994</v>
      </c>
      <c r="H3470" s="1" t="s">
        <v>15</v>
      </c>
      <c r="I3470" s="6" cm="1">
        <f t="array" ref="I3470">GetLatitude(D3470)</f>
        <v>556324686</v>
      </c>
      <c r="J3470" s="1" cm="1">
        <f t="array" ref="J3470">GetLongitude(D3470)</f>
        <v>126150597</v>
      </c>
      <c r="K3470" s="1">
        <f t="shared" si="163"/>
        <v>55.632468600000003</v>
      </c>
      <c r="L3470" s="1">
        <f t="shared" si="164"/>
        <v>12.6150597</v>
      </c>
    </row>
    <row r="3471" spans="1:12" ht="16" x14ac:dyDescent="0.2">
      <c r="A3471" s="1">
        <v>3470</v>
      </c>
      <c r="B3471" s="1" t="s">
        <v>10257</v>
      </c>
      <c r="C3471" s="1" t="s">
        <v>10265</v>
      </c>
      <c r="D3471" s="1" t="str">
        <f t="shared" si="162"/>
        <v>Tårnby KommuneKastrupvej 399</v>
      </c>
      <c r="E3471" s="1" t="s">
        <v>10266</v>
      </c>
      <c r="F3471" s="1" t="s">
        <v>10267</v>
      </c>
      <c r="G3471" s="1">
        <v>1924</v>
      </c>
      <c r="H3471" s="1" t="s">
        <v>15</v>
      </c>
      <c r="I3471" s="6" cm="1">
        <f t="array" ref="I3471">GetLatitude(D3471)</f>
        <v>556347643</v>
      </c>
      <c r="J3471" s="1" cm="1">
        <f t="array" ref="J3471">GetLongitude(D3471)</f>
        <v>126382981</v>
      </c>
      <c r="K3471" s="1">
        <f t="shared" si="163"/>
        <v>55.634764300000001</v>
      </c>
      <c r="L3471" s="1">
        <f t="shared" si="164"/>
        <v>12.6382981</v>
      </c>
    </row>
    <row r="3472" spans="1:12" ht="16" x14ac:dyDescent="0.2">
      <c r="A3472" s="1">
        <v>3471</v>
      </c>
      <c r="B3472" s="1" t="s">
        <v>10257</v>
      </c>
      <c r="C3472" s="1" t="s">
        <v>10268</v>
      </c>
      <c r="D3472" s="1" t="str">
        <f t="shared" si="162"/>
        <v>Tårnby KommuneTeknikergården, Lufthavnen 1</v>
      </c>
      <c r="E3472" s="1" t="s">
        <v>10269</v>
      </c>
      <c r="F3472" s="1" t="s">
        <v>10270</v>
      </c>
      <c r="G3472" s="1">
        <v>2000</v>
      </c>
      <c r="H3472" s="1" t="s">
        <v>15</v>
      </c>
      <c r="I3472" s="6" cm="1">
        <f t="array" ref="I3472">GetLatitude(D3472)</f>
        <v>556123217</v>
      </c>
      <c r="J3472" s="1" cm="1">
        <f t="array" ref="J3472">GetLongitude(D3472)</f>
        <v>126472251</v>
      </c>
      <c r="K3472" s="1">
        <f t="shared" si="163"/>
        <v>55.612321700000003</v>
      </c>
      <c r="L3472" s="1">
        <f t="shared" si="164"/>
        <v>12.6472251</v>
      </c>
    </row>
    <row r="3473" spans="1:12" ht="16" x14ac:dyDescent="0.2">
      <c r="A3473" s="1">
        <v>3472</v>
      </c>
      <c r="B3473" s="1" t="s">
        <v>10257</v>
      </c>
      <c r="C3473" s="1" t="s">
        <v>10271</v>
      </c>
      <c r="D3473" s="1" t="str">
        <f t="shared" si="162"/>
        <v>Tårnby KommuneVestre Bygade 9</v>
      </c>
      <c r="E3473" s="1" t="s">
        <v>10272</v>
      </c>
      <c r="F3473" s="1" t="s">
        <v>10273</v>
      </c>
      <c r="G3473" s="1">
        <v>1988</v>
      </c>
      <c r="H3473" s="1" t="s">
        <v>11</v>
      </c>
      <c r="I3473" s="6" cm="1">
        <f t="array" ref="I3473">GetLatitude(D3473)</f>
        <v>556290996</v>
      </c>
      <c r="J3473" s="1" cm="1">
        <f t="array" ref="J3473">GetLongitude(D3473)</f>
        <v>126023648</v>
      </c>
      <c r="K3473" s="1">
        <f t="shared" si="163"/>
        <v>55.629099600000004</v>
      </c>
      <c r="L3473" s="1">
        <f t="shared" si="164"/>
        <v>12.6023648</v>
      </c>
    </row>
    <row r="3474" spans="1:12" ht="16" x14ac:dyDescent="0.2">
      <c r="A3474" s="1">
        <v>3473</v>
      </c>
      <c r="B3474" s="1" t="s">
        <v>10274</v>
      </c>
      <c r="C3474" s="1" t="s">
        <v>10275</v>
      </c>
      <c r="D3474" s="1" t="str">
        <f t="shared" si="162"/>
        <v>Varde KommuneFrisvadvej 44</v>
      </c>
      <c r="E3474" s="1" t="s">
        <v>10276</v>
      </c>
      <c r="F3474" s="1" t="s">
        <v>10277</v>
      </c>
      <c r="G3474" s="1">
        <v>2002</v>
      </c>
      <c r="H3474" s="1" t="s">
        <v>15</v>
      </c>
      <c r="I3474" s="6" cm="1">
        <f t="array" ref="I3474">GetLatitude(D3474)</f>
        <v>556266211</v>
      </c>
      <c r="J3474" s="1" cm="1">
        <f t="array" ref="J3474">GetLongitude(D3474)</f>
        <v>84867635</v>
      </c>
      <c r="K3474" s="1">
        <f t="shared" si="163"/>
        <v>55.626621100000001</v>
      </c>
      <c r="L3474" s="1">
        <f t="shared" si="164"/>
        <v>8.4867635000000003</v>
      </c>
    </row>
    <row r="3475" spans="1:12" ht="16" x14ac:dyDescent="0.2">
      <c r="A3475" s="1">
        <v>3474</v>
      </c>
      <c r="B3475" s="1" t="s">
        <v>10274</v>
      </c>
      <c r="C3475" s="1" t="s">
        <v>10278</v>
      </c>
      <c r="D3475" s="1" t="str">
        <f t="shared" si="162"/>
        <v>Varde Kommune* Fyrvej 106</v>
      </c>
      <c r="E3475" s="1" t="s">
        <v>10279</v>
      </c>
      <c r="F3475" s="1" t="s">
        <v>10280</v>
      </c>
      <c r="G3475" s="1">
        <v>2002</v>
      </c>
      <c r="H3475" s="1" t="s">
        <v>15</v>
      </c>
      <c r="I3475" s="6" cm="1">
        <f t="array" ref="I3475">GetLatitude(D3475)</f>
        <v>555574598</v>
      </c>
      <c r="J3475" s="1" cm="1">
        <f t="array" ref="J3475">GetLongitude(D3475)</f>
        <v>80834632</v>
      </c>
      <c r="K3475" s="1">
        <f t="shared" si="163"/>
        <v>55.557459799999997</v>
      </c>
      <c r="L3475" s="1">
        <f t="shared" si="164"/>
        <v>8.0834632000000006</v>
      </c>
    </row>
    <row r="3476" spans="1:12" ht="16" x14ac:dyDescent="0.2">
      <c r="A3476" s="1">
        <v>3475</v>
      </c>
      <c r="B3476" s="1" t="s">
        <v>10274</v>
      </c>
      <c r="C3476" s="1" t="s">
        <v>10281</v>
      </c>
      <c r="D3476" s="1" t="str">
        <f t="shared" si="162"/>
        <v>Varde Kommune Gellerupvej 61</v>
      </c>
      <c r="E3476" s="1" t="s">
        <v>10282</v>
      </c>
      <c r="F3476" s="1" t="s">
        <v>10283</v>
      </c>
      <c r="G3476" s="1">
        <v>1939</v>
      </c>
      <c r="H3476" s="1" t="s">
        <v>15</v>
      </c>
      <c r="I3476" s="6" cm="1">
        <f t="array" ref="I3476">GetLatitude(D3476)</f>
        <v>556204387</v>
      </c>
      <c r="J3476" s="1" cm="1">
        <f t="array" ref="J3476">GetLongitude(D3476)</f>
        <v>84959065</v>
      </c>
      <c r="K3476" s="1">
        <f t="shared" si="163"/>
        <v>55.620438700000001</v>
      </c>
      <c r="L3476" s="1">
        <f t="shared" si="164"/>
        <v>8.4959065000000002</v>
      </c>
    </row>
    <row r="3477" spans="1:12" ht="16" x14ac:dyDescent="0.2">
      <c r="A3477" s="1">
        <v>3476</v>
      </c>
      <c r="B3477" s="1" t="s">
        <v>10274</v>
      </c>
      <c r="C3477" s="1" t="s">
        <v>10284</v>
      </c>
      <c r="D3477" s="1" t="str">
        <f t="shared" si="162"/>
        <v>Varde KommuneHesselmedvej 8</v>
      </c>
      <c r="E3477" s="1" t="s">
        <v>10285</v>
      </c>
      <c r="F3477" s="1" t="s">
        <v>10286</v>
      </c>
      <c r="G3477" s="1">
        <v>1945</v>
      </c>
      <c r="H3477" s="1" t="s">
        <v>10287</v>
      </c>
      <c r="I3477" s="6" cm="1">
        <f t="array" ref="I3477">GetLatitude(D3477)</f>
        <v>556165227</v>
      </c>
      <c r="J3477" s="1" cm="1">
        <f t="array" ref="J3477">GetLongitude(D3477)</f>
        <v>82906195</v>
      </c>
      <c r="K3477" s="1">
        <f t="shared" si="163"/>
        <v>55.616522699999997</v>
      </c>
      <c r="L3477" s="1">
        <f t="shared" si="164"/>
        <v>8.2906195</v>
      </c>
    </row>
    <row r="3478" spans="1:12" ht="16" x14ac:dyDescent="0.2">
      <c r="A3478" s="1">
        <v>3477</v>
      </c>
      <c r="B3478" s="1" t="s">
        <v>10274</v>
      </c>
      <c r="C3478" s="1" t="s">
        <v>10288</v>
      </c>
      <c r="D3478" s="1" t="str">
        <f t="shared" si="162"/>
        <v>Varde KommuneHovej 21</v>
      </c>
      <c r="E3478" s="1" t="s">
        <v>10289</v>
      </c>
      <c r="F3478" s="1" t="s">
        <v>10290</v>
      </c>
      <c r="G3478" s="1">
        <v>1992</v>
      </c>
      <c r="H3478" s="1" t="s">
        <v>15</v>
      </c>
      <c r="I3478" s="6" cm="1">
        <f t="array" ref="I3478">GetLatitude(D3478)</f>
        <v>555534758</v>
      </c>
      <c r="J3478" s="1" cm="1">
        <f t="array" ref="J3478">GetLongitude(D3478)</f>
        <v>82292862</v>
      </c>
      <c r="K3478" s="1">
        <f t="shared" si="163"/>
        <v>55.553475800000001</v>
      </c>
      <c r="L3478" s="1">
        <f t="shared" si="164"/>
        <v>8.2292862000000007</v>
      </c>
    </row>
    <row r="3479" spans="1:12" ht="16" x14ac:dyDescent="0.2">
      <c r="A3479" s="1">
        <v>3478</v>
      </c>
      <c r="B3479" s="1" t="s">
        <v>10274</v>
      </c>
      <c r="C3479" s="1" t="s">
        <v>10291</v>
      </c>
      <c r="D3479" s="1" t="str">
        <f t="shared" si="162"/>
        <v>Varde KommuneHovej 32</v>
      </c>
      <c r="E3479" s="1" t="s">
        <v>10292</v>
      </c>
      <c r="F3479" s="1" t="s">
        <v>10293</v>
      </c>
      <c r="G3479" s="1">
        <v>1992</v>
      </c>
      <c r="H3479" s="1" t="s">
        <v>15</v>
      </c>
      <c r="I3479" s="6" cm="1">
        <f t="array" ref="I3479">GetLatitude(D3479)</f>
        <v>562337785</v>
      </c>
      <c r="J3479" s="1" cm="1">
        <f t="array" ref="J3479">GetLongitude(D3479)</f>
        <v>102080230</v>
      </c>
      <c r="K3479" s="1">
        <f t="shared" si="163"/>
        <v>56.2337785</v>
      </c>
      <c r="L3479" s="1">
        <f t="shared" si="164"/>
        <v>10.208023000000001</v>
      </c>
    </row>
    <row r="3480" spans="1:12" ht="16" x14ac:dyDescent="0.2">
      <c r="A3480" s="1">
        <v>3479</v>
      </c>
      <c r="B3480" s="1" t="s">
        <v>10274</v>
      </c>
      <c r="C3480" s="1" t="s">
        <v>10294</v>
      </c>
      <c r="D3480" s="1" t="str">
        <f t="shared" si="162"/>
        <v>Varde KommuneJohnsgårdvej 13</v>
      </c>
      <c r="E3480" s="1" t="s">
        <v>10295</v>
      </c>
      <c r="F3480" s="1" t="s">
        <v>10296</v>
      </c>
      <c r="G3480" s="1">
        <v>1978</v>
      </c>
      <c r="H3480" s="1" t="s">
        <v>11</v>
      </c>
      <c r="I3480" s="6" cm="1">
        <f t="array" ref="I3480">GetLatitude(D3480)</f>
        <v>557605088</v>
      </c>
      <c r="J3480" s="1" cm="1">
        <f t="array" ref="J3480">GetLongitude(D3480)</f>
        <v>86085362</v>
      </c>
      <c r="K3480" s="1">
        <f t="shared" si="163"/>
        <v>55.760508799999997</v>
      </c>
      <c r="L3480" s="1">
        <f t="shared" si="164"/>
        <v>8.6085361999999996</v>
      </c>
    </row>
    <row r="3481" spans="1:12" ht="16" x14ac:dyDescent="0.2">
      <c r="A3481" s="1">
        <v>3480</v>
      </c>
      <c r="B3481" s="1" t="s">
        <v>10274</v>
      </c>
      <c r="C3481" s="1" t="s">
        <v>10297</v>
      </c>
      <c r="D3481" s="1" t="str">
        <f t="shared" si="162"/>
        <v>Varde KommuneKarlsgårde Søvej 64</v>
      </c>
      <c r="E3481" s="1" t="s">
        <v>10298</v>
      </c>
      <c r="F3481" s="1" t="s">
        <v>10299</v>
      </c>
      <c r="G3481" s="1">
        <v>2001</v>
      </c>
      <c r="H3481" s="1" t="s">
        <v>15</v>
      </c>
      <c r="I3481" s="6" cm="1">
        <f t="array" ref="I3481">GetLatitude(D3481)</f>
        <v>556490758</v>
      </c>
      <c r="J3481" s="1" cm="1">
        <f t="array" ref="J3481">GetLongitude(D3481)</f>
        <v>85766893</v>
      </c>
      <c r="K3481" s="1">
        <f t="shared" si="163"/>
        <v>55.649075799999999</v>
      </c>
      <c r="L3481" s="1">
        <f t="shared" si="164"/>
        <v>8.5766893</v>
      </c>
    </row>
    <row r="3482" spans="1:12" ht="16" x14ac:dyDescent="0.2">
      <c r="A3482" s="1">
        <v>3481</v>
      </c>
      <c r="B3482" s="1" t="s">
        <v>10274</v>
      </c>
      <c r="C3482" s="1" t="s">
        <v>10300</v>
      </c>
      <c r="D3482" s="1" t="str">
        <f t="shared" si="162"/>
        <v>Varde Kommune Kærgård, Ål</v>
      </c>
      <c r="E3482" s="1" t="s">
        <v>10301</v>
      </c>
      <c r="F3482" s="1" t="s">
        <v>10302</v>
      </c>
      <c r="G3482" s="1">
        <v>1997</v>
      </c>
      <c r="H3482" s="1" t="s">
        <v>15</v>
      </c>
      <c r="I3482" s="6" cm="1">
        <f t="array" ref="I3482">GetLatitude(D3482)</f>
        <v>556830050</v>
      </c>
      <c r="J3482" s="1" cm="1">
        <f t="array" ref="J3482">GetLongitude(D3482)</f>
        <v>81845459</v>
      </c>
      <c r="K3482" s="1">
        <f t="shared" si="163"/>
        <v>55.683005000000001</v>
      </c>
      <c r="L3482" s="1">
        <f t="shared" si="164"/>
        <v>8.1845458999999998</v>
      </c>
    </row>
    <row r="3483" spans="1:12" ht="16" x14ac:dyDescent="0.2">
      <c r="A3483" s="1">
        <v>3482</v>
      </c>
      <c r="B3483" s="1" t="s">
        <v>10274</v>
      </c>
      <c r="C3483" s="1" t="s">
        <v>10303</v>
      </c>
      <c r="D3483" s="1" t="str">
        <f t="shared" si="162"/>
        <v>Varde Kommune Letbækvej 15</v>
      </c>
      <c r="E3483" s="1" t="s">
        <v>10304</v>
      </c>
      <c r="F3483" s="1" t="s">
        <v>10305</v>
      </c>
      <c r="G3483" s="1">
        <v>1954</v>
      </c>
      <c r="H3483" s="1" t="s">
        <v>15</v>
      </c>
      <c r="I3483" s="6" cm="1">
        <f t="array" ref="I3483">GetLatitude(D3483)</f>
        <v>556984271</v>
      </c>
      <c r="J3483" s="1" cm="1">
        <f t="array" ref="J3483">GetLongitude(D3483)</f>
        <v>86460239</v>
      </c>
      <c r="K3483" s="1">
        <f t="shared" si="163"/>
        <v>55.698427100000004</v>
      </c>
      <c r="L3483" s="1">
        <f t="shared" si="164"/>
        <v>8.6460238999999994</v>
      </c>
    </row>
    <row r="3484" spans="1:12" ht="16" x14ac:dyDescent="0.2">
      <c r="A3484" s="1">
        <v>3483</v>
      </c>
      <c r="B3484" s="1" t="s">
        <v>10274</v>
      </c>
      <c r="C3484" s="1" t="s">
        <v>10306</v>
      </c>
      <c r="D3484" s="1" t="str">
        <f t="shared" si="162"/>
        <v>Varde Kommune* Lundvej 176</v>
      </c>
      <c r="E3484" s="1" t="s">
        <v>10307</v>
      </c>
      <c r="F3484" s="1" t="s">
        <v>7945</v>
      </c>
      <c r="G3484" s="1">
        <v>1939</v>
      </c>
      <c r="H3484" s="1" t="s">
        <v>15</v>
      </c>
      <c r="I3484" s="6" cm="1">
        <f t="array" ref="I3484">GetLatitude(D3484)</f>
        <v>556393687</v>
      </c>
      <c r="J3484" s="1" cm="1">
        <f t="array" ref="J3484">GetLongitude(D3484)</f>
        <v>85263359</v>
      </c>
      <c r="K3484" s="1">
        <f t="shared" si="163"/>
        <v>55.639368699999999</v>
      </c>
      <c r="L3484" s="1">
        <f t="shared" si="164"/>
        <v>8.5263358999999994</v>
      </c>
    </row>
    <row r="3485" spans="1:12" ht="16" x14ac:dyDescent="0.2">
      <c r="A3485" s="1">
        <v>3484</v>
      </c>
      <c r="B3485" s="1" t="s">
        <v>10274</v>
      </c>
      <c r="C3485" s="1" t="s">
        <v>10308</v>
      </c>
      <c r="D3485" s="1" t="str">
        <f t="shared" si="162"/>
        <v>Varde KommuneLundvej 39</v>
      </c>
      <c r="E3485" s="1" t="s">
        <v>10309</v>
      </c>
      <c r="F3485" s="1" t="s">
        <v>10310</v>
      </c>
      <c r="G3485" s="1">
        <v>1995</v>
      </c>
      <c r="H3485" s="1" t="s">
        <v>701</v>
      </c>
      <c r="I3485" s="6" cm="1">
        <f t="array" ref="I3485">GetLatitude(D3485)</f>
        <v>556246898</v>
      </c>
      <c r="J3485" s="1" cm="1">
        <f t="array" ref="J3485">GetLongitude(D3485)</f>
        <v>84887877</v>
      </c>
      <c r="K3485" s="1">
        <f t="shared" si="163"/>
        <v>55.624689799999999</v>
      </c>
      <c r="L3485" s="1">
        <f t="shared" si="164"/>
        <v>8.4887876999999996</v>
      </c>
    </row>
    <row r="3486" spans="1:12" ht="16" x14ac:dyDescent="0.2">
      <c r="A3486" s="1">
        <v>3485</v>
      </c>
      <c r="B3486" s="1" t="s">
        <v>10274</v>
      </c>
      <c r="C3486" s="1" t="s">
        <v>10311</v>
      </c>
      <c r="D3486" s="1" t="str">
        <f t="shared" si="162"/>
        <v>Varde KommunePer Knoldsvej 58</v>
      </c>
      <c r="E3486" s="1" t="s">
        <v>10312</v>
      </c>
      <c r="F3486" s="1" t="s">
        <v>10313</v>
      </c>
      <c r="G3486" s="1">
        <v>1991</v>
      </c>
      <c r="H3486" s="1" t="s">
        <v>15</v>
      </c>
      <c r="I3486" s="6" cm="1">
        <f t="array" ref="I3486">GetLatitude(D3486)</f>
        <v>555586627</v>
      </c>
      <c r="J3486" s="1" cm="1">
        <f t="array" ref="J3486">GetLongitude(D3486)</f>
        <v>81106348</v>
      </c>
      <c r="K3486" s="1">
        <f t="shared" si="163"/>
        <v>55.558662699999999</v>
      </c>
      <c r="L3486" s="1">
        <f t="shared" si="164"/>
        <v>8.1106347999999997</v>
      </c>
    </row>
    <row r="3487" spans="1:12" ht="16" x14ac:dyDescent="0.2">
      <c r="A3487" s="1">
        <v>3486</v>
      </c>
      <c r="B3487" s="1" t="s">
        <v>10274</v>
      </c>
      <c r="C3487" s="1" t="s">
        <v>10314</v>
      </c>
      <c r="D3487" s="1" t="str">
        <f t="shared" si="162"/>
        <v>Varde Kommune Redningsvejen 71</v>
      </c>
      <c r="E3487" s="1" t="s">
        <v>10315</v>
      </c>
      <c r="F3487" s="1" t="s">
        <v>10316</v>
      </c>
      <c r="G3487" s="1">
        <v>1995</v>
      </c>
      <c r="H3487" s="1" t="s">
        <v>15</v>
      </c>
      <c r="I3487" s="6" cm="1">
        <f t="array" ref="I3487">GetLatitude(D3487)</f>
        <v>558108874</v>
      </c>
      <c r="J3487" s="1" cm="1">
        <f t="array" ref="J3487">GetLongitude(D3487)</f>
        <v>81899900</v>
      </c>
      <c r="K3487" s="1">
        <f t="shared" si="163"/>
        <v>55.810887399999999</v>
      </c>
      <c r="L3487" s="1">
        <f t="shared" si="164"/>
        <v>8.1899899999999999</v>
      </c>
    </row>
    <row r="3488" spans="1:12" ht="16" x14ac:dyDescent="0.2">
      <c r="A3488" s="1">
        <v>3487</v>
      </c>
      <c r="B3488" s="1" t="s">
        <v>10274</v>
      </c>
      <c r="C3488" s="1" t="s">
        <v>10317</v>
      </c>
      <c r="D3488" s="1" t="str">
        <f t="shared" si="162"/>
        <v>Varde KommuneReginevej 1</v>
      </c>
      <c r="E3488" s="1" t="s">
        <v>10318</v>
      </c>
      <c r="F3488" s="1" t="s">
        <v>10319</v>
      </c>
      <c r="G3488" s="1">
        <v>1989</v>
      </c>
      <c r="H3488" s="1" t="s">
        <v>11</v>
      </c>
      <c r="I3488" s="6" cm="1">
        <f t="array" ref="I3488">GetLatitude(D3488)</f>
        <v>555527583</v>
      </c>
      <c r="J3488" s="1" cm="1">
        <f t="array" ref="J3488">GetLongitude(D3488)</f>
        <v>81117103</v>
      </c>
      <c r="K3488" s="1">
        <f t="shared" si="163"/>
        <v>55.552758300000001</v>
      </c>
      <c r="L3488" s="1">
        <f t="shared" si="164"/>
        <v>8.1117103000000004</v>
      </c>
    </row>
    <row r="3489" spans="1:12" ht="16" x14ac:dyDescent="0.2">
      <c r="A3489" s="1">
        <v>3488</v>
      </c>
      <c r="B3489" s="1" t="s">
        <v>10274</v>
      </c>
      <c r="C3489" s="1" t="s">
        <v>10320</v>
      </c>
      <c r="D3489" s="1" t="str">
        <f t="shared" si="162"/>
        <v>Varde KommuneSkippervej 1 A, tidl Stærsvej 16</v>
      </c>
      <c r="E3489" s="1" t="s">
        <v>8503</v>
      </c>
      <c r="F3489" s="1" t="s">
        <v>10321</v>
      </c>
      <c r="G3489" s="1">
        <v>1983</v>
      </c>
      <c r="H3489" s="1" t="s">
        <v>11</v>
      </c>
      <c r="I3489" s="6" cm="1">
        <f t="array" ref="I3489">GetLatitude(D3489)</f>
        <v>555489590</v>
      </c>
      <c r="J3489" s="1" cm="1">
        <f t="array" ref="J3489">GetLongitude(D3489)</f>
        <v>81185458</v>
      </c>
      <c r="K3489" s="1">
        <f t="shared" si="163"/>
        <v>55.548959000000004</v>
      </c>
      <c r="L3489" s="1">
        <f t="shared" si="164"/>
        <v>8.1185457999999997</v>
      </c>
    </row>
    <row r="3490" spans="1:12" ht="16" x14ac:dyDescent="0.2">
      <c r="A3490" s="1">
        <v>3489</v>
      </c>
      <c r="B3490" s="1" t="s">
        <v>10274</v>
      </c>
      <c r="C3490" s="1" t="s">
        <v>10322</v>
      </c>
      <c r="D3490" s="1" t="str">
        <f t="shared" si="162"/>
        <v>Varde KommuneStationspladsen 3</v>
      </c>
      <c r="E3490" s="1" t="s">
        <v>10323</v>
      </c>
      <c r="F3490" s="1" t="s">
        <v>10324</v>
      </c>
      <c r="G3490" s="1">
        <v>1992</v>
      </c>
      <c r="H3490" s="1" t="s">
        <v>11</v>
      </c>
      <c r="I3490" s="6" cm="1">
        <f t="array" ref="I3490">GetLatitude(D3490)</f>
        <v>556851792</v>
      </c>
      <c r="J3490" s="1" cm="1">
        <f t="array" ref="J3490">GetLongitude(D3490)</f>
        <v>85169700</v>
      </c>
      <c r="K3490" s="1">
        <f t="shared" si="163"/>
        <v>55.6851792</v>
      </c>
      <c r="L3490" s="1">
        <f t="shared" si="164"/>
        <v>8.5169700000000006</v>
      </c>
    </row>
    <row r="3491" spans="1:12" ht="16" x14ac:dyDescent="0.2">
      <c r="A3491" s="1">
        <v>3490</v>
      </c>
      <c r="B3491" s="1" t="s">
        <v>10274</v>
      </c>
      <c r="C3491" s="1" t="s">
        <v>10325</v>
      </c>
      <c r="D3491" s="1" t="str">
        <f t="shared" si="162"/>
        <v>Varde KommuneStokkebrovej 1 og 7</v>
      </c>
      <c r="E3491" s="1" t="s">
        <v>10326</v>
      </c>
      <c r="F3491" s="1" t="s">
        <v>10327</v>
      </c>
      <c r="G3491" s="1">
        <v>1918</v>
      </c>
      <c r="H3491" s="1" t="s">
        <v>10328</v>
      </c>
      <c r="I3491" s="6" cm="1">
        <f t="array" ref="I3491">GetLatitude(D3491)</f>
        <v>556856860</v>
      </c>
      <c r="J3491" s="1" cm="1">
        <f t="array" ref="J3491">GetLongitude(D3491)</f>
        <v>86001610</v>
      </c>
      <c r="K3491" s="1">
        <f t="shared" si="163"/>
        <v>55.685685999999997</v>
      </c>
      <c r="L3491" s="1">
        <f t="shared" si="164"/>
        <v>8.6001609999999999</v>
      </c>
    </row>
    <row r="3492" spans="1:12" ht="16" x14ac:dyDescent="0.2">
      <c r="A3492" s="1">
        <v>3491</v>
      </c>
      <c r="B3492" s="1" t="s">
        <v>10274</v>
      </c>
      <c r="C3492" s="1" t="s">
        <v>10329</v>
      </c>
      <c r="D3492" s="1" t="str">
        <f t="shared" si="162"/>
        <v>Varde KommuneStoregade 1</v>
      </c>
      <c r="E3492" s="1" t="s">
        <v>10330</v>
      </c>
      <c r="F3492" s="1" t="s">
        <v>10330</v>
      </c>
      <c r="G3492" s="1">
        <v>1945</v>
      </c>
      <c r="H3492" s="1" t="s">
        <v>11</v>
      </c>
      <c r="I3492" s="6" cm="1">
        <f t="array" ref="I3492">GetLatitude(D3492)</f>
        <v>556851792</v>
      </c>
      <c r="J3492" s="1" cm="1">
        <f t="array" ref="J3492">GetLongitude(D3492)</f>
        <v>85169700</v>
      </c>
      <c r="K3492" s="1">
        <f t="shared" si="163"/>
        <v>55.6851792</v>
      </c>
      <c r="L3492" s="1">
        <f t="shared" si="164"/>
        <v>8.5169700000000006</v>
      </c>
    </row>
    <row r="3493" spans="1:12" ht="16" x14ac:dyDescent="0.2">
      <c r="A3493" s="1">
        <v>3492</v>
      </c>
      <c r="B3493" s="1" t="s">
        <v>10274</v>
      </c>
      <c r="C3493" s="1" t="s">
        <v>10331</v>
      </c>
      <c r="D3493" s="1" t="str">
        <f t="shared" si="162"/>
        <v>Varde KommuneStoregade 33</v>
      </c>
      <c r="E3493" s="1" t="s">
        <v>10332</v>
      </c>
      <c r="F3493" s="1" t="s">
        <v>10333</v>
      </c>
      <c r="G3493" s="1">
        <v>1918</v>
      </c>
      <c r="H3493" s="1" t="s">
        <v>10334</v>
      </c>
      <c r="I3493" s="6" cm="1">
        <f t="array" ref="I3493">GetLatitude(D3493)</f>
        <v>556851792</v>
      </c>
      <c r="J3493" s="1" cm="1">
        <f t="array" ref="J3493">GetLongitude(D3493)</f>
        <v>85169700</v>
      </c>
      <c r="K3493" s="1">
        <f t="shared" si="163"/>
        <v>55.6851792</v>
      </c>
      <c r="L3493" s="1">
        <f t="shared" si="164"/>
        <v>8.5169700000000006</v>
      </c>
    </row>
    <row r="3494" spans="1:12" ht="16" x14ac:dyDescent="0.2">
      <c r="A3494" s="1">
        <v>3493</v>
      </c>
      <c r="B3494" s="1" t="s">
        <v>10274</v>
      </c>
      <c r="C3494" s="1" t="s">
        <v>10335</v>
      </c>
      <c r="D3494" s="1" t="str">
        <f t="shared" si="162"/>
        <v>Varde KommuneStore Hebovej 17</v>
      </c>
      <c r="E3494" s="1" t="s">
        <v>10336</v>
      </c>
      <c r="F3494" s="1" t="s">
        <v>10337</v>
      </c>
      <c r="G3494" s="1">
        <v>1993</v>
      </c>
      <c r="H3494" s="1" t="s">
        <v>15</v>
      </c>
      <c r="I3494" s="6" cm="1">
        <f t="array" ref="I3494">GetLatitude(D3494)</f>
        <v>556286533</v>
      </c>
      <c r="J3494" s="1" cm="1">
        <f t="array" ref="J3494">GetLongitude(D3494)</f>
        <v>83749923</v>
      </c>
      <c r="K3494" s="1">
        <f t="shared" si="163"/>
        <v>55.628653300000003</v>
      </c>
      <c r="L3494" s="1">
        <f t="shared" si="164"/>
        <v>8.3749923000000006</v>
      </c>
    </row>
    <row r="3495" spans="1:12" ht="16" x14ac:dyDescent="0.2">
      <c r="A3495" s="1">
        <v>3494</v>
      </c>
      <c r="B3495" s="1" t="s">
        <v>10274</v>
      </c>
      <c r="C3495" s="1" t="s">
        <v>10338</v>
      </c>
      <c r="D3495" s="1" t="str">
        <f t="shared" si="162"/>
        <v>Varde KommuneStrandvejen 260</v>
      </c>
      <c r="E3495" s="1" t="s">
        <v>10339</v>
      </c>
      <c r="F3495" s="1" t="s">
        <v>10340</v>
      </c>
      <c r="G3495" s="1">
        <v>1950</v>
      </c>
      <c r="H3495" s="1" t="s">
        <v>15</v>
      </c>
      <c r="I3495" s="6" cm="1">
        <f t="array" ref="I3495">GetLatitude(D3495)</f>
        <v>556851792</v>
      </c>
      <c r="J3495" s="1" cm="1">
        <f t="array" ref="J3495">GetLongitude(D3495)</f>
        <v>85169700</v>
      </c>
      <c r="K3495" s="1">
        <f t="shared" si="163"/>
        <v>55.6851792</v>
      </c>
      <c r="L3495" s="1">
        <f t="shared" si="164"/>
        <v>8.5169700000000006</v>
      </c>
    </row>
    <row r="3496" spans="1:12" ht="16" x14ac:dyDescent="0.2">
      <c r="A3496" s="1">
        <v>3495</v>
      </c>
      <c r="B3496" s="1" t="s">
        <v>10274</v>
      </c>
      <c r="C3496" s="1" t="s">
        <v>10341</v>
      </c>
      <c r="D3496" s="1" t="str">
        <f t="shared" si="162"/>
        <v>Varde KommuneTane Hedevej 7</v>
      </c>
      <c r="E3496" s="1" t="s">
        <v>10342</v>
      </c>
      <c r="F3496" s="1" t="s">
        <v>10343</v>
      </c>
      <c r="G3496" s="1">
        <v>1992</v>
      </c>
      <c r="H3496" s="1" t="s">
        <v>11</v>
      </c>
      <c r="I3496" s="6" cm="1">
        <f t="array" ref="I3496">GetLatitude(D3496)</f>
        <v>555537355</v>
      </c>
      <c r="J3496" s="1" cm="1">
        <f t="array" ref="J3496">GetLongitude(D3496)</f>
        <v>81435222</v>
      </c>
      <c r="K3496" s="1">
        <f t="shared" si="163"/>
        <v>55.553735500000002</v>
      </c>
      <c r="L3496" s="1">
        <f t="shared" si="164"/>
        <v>8.1435221999999996</v>
      </c>
    </row>
    <row r="3497" spans="1:12" ht="16" x14ac:dyDescent="0.2">
      <c r="A3497" s="1">
        <v>3496</v>
      </c>
      <c r="B3497" s="1" t="s">
        <v>10274</v>
      </c>
      <c r="C3497" s="1" t="s">
        <v>2049</v>
      </c>
      <c r="D3497" s="1" t="str">
        <f t="shared" si="162"/>
        <v>Varde KommuneTorvet 5</v>
      </c>
      <c r="E3497" s="1" t="s">
        <v>10344</v>
      </c>
      <c r="F3497" s="1" t="s">
        <v>1871</v>
      </c>
      <c r="G3497" s="1">
        <v>1919</v>
      </c>
      <c r="H3497" s="1" t="s">
        <v>15</v>
      </c>
      <c r="I3497" s="6" cm="1">
        <f t="array" ref="I3497">GetLatitude(D3497)</f>
        <v>556205272</v>
      </c>
      <c r="J3497" s="1" cm="1">
        <f t="array" ref="J3497">GetLongitude(D3497)</f>
        <v>84801401</v>
      </c>
      <c r="K3497" s="1">
        <f t="shared" si="163"/>
        <v>55.620527199999998</v>
      </c>
      <c r="L3497" s="1">
        <f t="shared" si="164"/>
        <v>8.4801400999999998</v>
      </c>
    </row>
    <row r="3498" spans="1:12" ht="16" x14ac:dyDescent="0.2">
      <c r="A3498" s="1">
        <v>3497</v>
      </c>
      <c r="B3498" s="1" t="s">
        <v>10274</v>
      </c>
      <c r="C3498" s="1" t="s">
        <v>10345</v>
      </c>
      <c r="D3498" s="1" t="str">
        <f t="shared" si="162"/>
        <v>Varde KommuneVejers Strand</v>
      </c>
      <c r="E3498" s="1" t="s">
        <v>10346</v>
      </c>
      <c r="F3498" s="1" t="s">
        <v>10347</v>
      </c>
      <c r="G3498" s="1">
        <v>1997</v>
      </c>
      <c r="H3498" s="1" t="s">
        <v>15</v>
      </c>
      <c r="I3498" s="6" cm="1">
        <f t="array" ref="I3498">GetLatitude(D3498)</f>
        <v>556277073</v>
      </c>
      <c r="J3498" s="1" cm="1">
        <f t="array" ref="J3498">GetLongitude(D3498)</f>
        <v>81297977</v>
      </c>
      <c r="K3498" s="1">
        <f t="shared" si="163"/>
        <v>55.627707299999997</v>
      </c>
      <c r="L3498" s="1">
        <f t="shared" si="164"/>
        <v>8.1297976999999992</v>
      </c>
    </row>
    <row r="3499" spans="1:12" ht="16" x14ac:dyDescent="0.2">
      <c r="A3499" s="1">
        <v>3498</v>
      </c>
      <c r="B3499" s="1" t="s">
        <v>10348</v>
      </c>
      <c r="C3499" s="1" t="s">
        <v>10349</v>
      </c>
      <c r="D3499" s="1" t="str">
        <f t="shared" si="162"/>
        <v>Vejen KommuneBanegårdspladsen 1</v>
      </c>
      <c r="E3499" s="1" t="s">
        <v>10350</v>
      </c>
      <c r="F3499" s="1" t="s">
        <v>10351</v>
      </c>
      <c r="G3499" s="1">
        <v>1992</v>
      </c>
      <c r="H3499" s="1" t="s">
        <v>15</v>
      </c>
      <c r="I3499" s="6" cm="1">
        <f t="array" ref="I3499">GetLatitude(D3499)</f>
        <v>554759192</v>
      </c>
      <c r="J3499" s="1" cm="1">
        <f t="array" ref="J3499">GetLongitude(D3499)</f>
        <v>91362411</v>
      </c>
      <c r="K3499" s="1">
        <f t="shared" si="163"/>
        <v>55.4759192</v>
      </c>
      <c r="L3499" s="1">
        <f t="shared" si="164"/>
        <v>9.1362410999999994</v>
      </c>
    </row>
    <row r="3500" spans="1:12" ht="16" x14ac:dyDescent="0.2">
      <c r="A3500" s="1">
        <v>3499</v>
      </c>
      <c r="B3500" s="1" t="s">
        <v>10348</v>
      </c>
      <c r="C3500" s="1" t="s">
        <v>10352</v>
      </c>
      <c r="D3500" s="1" t="str">
        <f t="shared" si="162"/>
        <v>Vejen KommuneBorgergade 10</v>
      </c>
      <c r="E3500" s="1" t="s">
        <v>10353</v>
      </c>
      <c r="F3500" s="1" t="s">
        <v>10354</v>
      </c>
      <c r="G3500" s="1">
        <v>1950</v>
      </c>
      <c r="H3500" s="1" t="s">
        <v>11</v>
      </c>
      <c r="I3500" s="6" cm="1">
        <f t="array" ref="I3500">GetLatitude(D3500)</f>
        <v>554840911</v>
      </c>
      <c r="J3500" s="1" cm="1">
        <f t="array" ref="J3500">GetLongitude(D3500)</f>
        <v>91436728</v>
      </c>
      <c r="K3500" s="1">
        <f t="shared" si="163"/>
        <v>55.484091100000001</v>
      </c>
      <c r="L3500" s="1">
        <f t="shared" si="164"/>
        <v>9.1436727999999992</v>
      </c>
    </row>
    <row r="3501" spans="1:12" ht="16" x14ac:dyDescent="0.2">
      <c r="A3501" s="1">
        <v>3500</v>
      </c>
      <c r="B3501" s="1" t="s">
        <v>10348</v>
      </c>
      <c r="C3501" s="1" t="s">
        <v>10355</v>
      </c>
      <c r="D3501" s="1" t="str">
        <f t="shared" si="162"/>
        <v>Vejen KommuneEsbjergvej 40 og 51</v>
      </c>
      <c r="E3501" s="1" t="s">
        <v>10356</v>
      </c>
      <c r="F3501" s="1" t="s">
        <v>10357</v>
      </c>
      <c r="G3501" s="1">
        <v>1918</v>
      </c>
      <c r="H3501" s="1" t="s">
        <v>10358</v>
      </c>
      <c r="I3501" s="6" cm="1">
        <f t="array" ref="I3501">GetLatitude(D3501)</f>
        <v>554918176</v>
      </c>
      <c r="J3501" s="1" cm="1">
        <f t="array" ref="J3501">GetLongitude(D3501)</f>
        <v>90894872</v>
      </c>
      <c r="K3501" s="1">
        <f t="shared" si="163"/>
        <v>55.491817599999997</v>
      </c>
      <c r="L3501" s="1">
        <f t="shared" si="164"/>
        <v>9.0894872000000007</v>
      </c>
    </row>
    <row r="3502" spans="1:12" ht="16" x14ac:dyDescent="0.2">
      <c r="A3502" s="1">
        <v>3501</v>
      </c>
      <c r="B3502" s="1" t="s">
        <v>10348</v>
      </c>
      <c r="C3502" s="1" t="s">
        <v>10359</v>
      </c>
      <c r="D3502" s="1" t="str">
        <f t="shared" si="162"/>
        <v>Vejen KommuneJels Møllegade 5</v>
      </c>
      <c r="E3502" s="1" t="s">
        <v>10360</v>
      </c>
      <c r="F3502" s="1" t="s">
        <v>123</v>
      </c>
      <c r="G3502" s="1">
        <v>1959</v>
      </c>
      <c r="H3502" s="1" t="s">
        <v>11</v>
      </c>
      <c r="I3502" s="6" cm="1">
        <f t="array" ref="I3502">GetLatitude(D3502)</f>
        <v>553575852</v>
      </c>
      <c r="J3502" s="1" cm="1">
        <f t="array" ref="J3502">GetLongitude(D3502)</f>
        <v>91985595</v>
      </c>
      <c r="K3502" s="1">
        <f t="shared" si="163"/>
        <v>55.357585200000003</v>
      </c>
      <c r="L3502" s="1">
        <f t="shared" si="164"/>
        <v>9.1985595</v>
      </c>
    </row>
    <row r="3503" spans="1:12" ht="16" x14ac:dyDescent="0.2">
      <c r="A3503" s="1">
        <v>3502</v>
      </c>
      <c r="B3503" s="1" t="s">
        <v>10348</v>
      </c>
      <c r="C3503" s="1" t="s">
        <v>10361</v>
      </c>
      <c r="D3503" s="1" t="str">
        <f t="shared" si="162"/>
        <v>Vejen KommuneKnagmøllevej 8</v>
      </c>
      <c r="E3503" s="1" t="s">
        <v>10362</v>
      </c>
      <c r="F3503" s="1" t="s">
        <v>10363</v>
      </c>
      <c r="G3503" s="1">
        <v>1959</v>
      </c>
      <c r="H3503" s="1" t="s">
        <v>10364</v>
      </c>
      <c r="I3503" s="6" cm="1">
        <f t="array" ref="I3503">GetLatitude(D3503)</f>
        <v>554473951</v>
      </c>
      <c r="J3503" s="1" cm="1">
        <f t="array" ref="J3503">GetLongitude(D3503)</f>
        <v>91638462</v>
      </c>
      <c r="K3503" s="1">
        <f t="shared" si="163"/>
        <v>55.447395100000001</v>
      </c>
      <c r="L3503" s="1">
        <f t="shared" si="164"/>
        <v>9.1638462000000001</v>
      </c>
    </row>
    <row r="3504" spans="1:12" ht="16" x14ac:dyDescent="0.2">
      <c r="A3504" s="1">
        <v>3503</v>
      </c>
      <c r="B3504" s="1" t="s">
        <v>10348</v>
      </c>
      <c r="C3504" s="1" t="s">
        <v>10365</v>
      </c>
      <c r="D3504" s="1" t="str">
        <f t="shared" si="162"/>
        <v>Vejen KommuneKoldingvej 33</v>
      </c>
      <c r="E3504" s="1" t="s">
        <v>10366</v>
      </c>
      <c r="F3504" s="1" t="s">
        <v>10367</v>
      </c>
      <c r="G3504" s="1">
        <v>1978</v>
      </c>
      <c r="H3504" s="1" t="s">
        <v>15</v>
      </c>
      <c r="I3504" s="6" cm="1">
        <f t="array" ref="I3504">GetLatitude(D3504)</f>
        <v>553973664</v>
      </c>
      <c r="J3504" s="1" cm="1">
        <f t="array" ref="J3504">GetLongitude(D3504)</f>
        <v>92374730</v>
      </c>
      <c r="K3504" s="1">
        <f t="shared" si="163"/>
        <v>55.397366400000003</v>
      </c>
      <c r="L3504" s="1">
        <f t="shared" si="164"/>
        <v>9.2374729999999996</v>
      </c>
    </row>
    <row r="3505" spans="1:12" ht="16" x14ac:dyDescent="0.2">
      <c r="A3505" s="1">
        <v>3504</v>
      </c>
      <c r="B3505" s="1" t="s">
        <v>10348</v>
      </c>
      <c r="C3505" s="1" t="s">
        <v>10368</v>
      </c>
      <c r="D3505" s="1" t="str">
        <f t="shared" si="162"/>
        <v>Vejen KommuneKoldingvej 52</v>
      </c>
      <c r="E3505" s="1" t="s">
        <v>10369</v>
      </c>
      <c r="F3505" s="1" t="s">
        <v>10370</v>
      </c>
      <c r="G3505" s="1">
        <v>1979</v>
      </c>
      <c r="H3505" s="1" t="s">
        <v>11</v>
      </c>
      <c r="I3505" s="6" cm="1">
        <f t="array" ref="I3505">GetLatitude(D3505)</f>
        <v>553648157</v>
      </c>
      <c r="J3505" s="1" cm="1">
        <f t="array" ref="J3505">GetLongitude(D3505)</f>
        <v>92070574</v>
      </c>
      <c r="K3505" s="1">
        <f t="shared" si="163"/>
        <v>55.364815700000001</v>
      </c>
      <c r="L3505" s="1">
        <f t="shared" si="164"/>
        <v>9.2070574000000001</v>
      </c>
    </row>
    <row r="3506" spans="1:12" ht="16" x14ac:dyDescent="0.2">
      <c r="A3506" s="1">
        <v>3505</v>
      </c>
      <c r="B3506" s="1" t="s">
        <v>10348</v>
      </c>
      <c r="C3506" s="1" t="s">
        <v>10371</v>
      </c>
      <c r="D3506" s="1" t="str">
        <f t="shared" si="162"/>
        <v>Vejen KommuneMaltvej 94</v>
      </c>
      <c r="E3506" s="1" t="s">
        <v>10372</v>
      </c>
      <c r="F3506" s="1" t="s">
        <v>10373</v>
      </c>
      <c r="G3506" s="1">
        <v>1990</v>
      </c>
      <c r="H3506" s="1" t="s">
        <v>11</v>
      </c>
      <c r="I3506" s="6" cm="1">
        <f t="array" ref="I3506">GetLatitude(D3506)</f>
        <v>554719106</v>
      </c>
      <c r="J3506" s="1" cm="1">
        <f t="array" ref="J3506">GetLongitude(D3506)</f>
        <v>90731615</v>
      </c>
      <c r="K3506" s="1">
        <f t="shared" si="163"/>
        <v>55.471910600000001</v>
      </c>
      <c r="L3506" s="1">
        <f t="shared" si="164"/>
        <v>9.0731614999999994</v>
      </c>
    </row>
    <row r="3507" spans="1:12" ht="16" x14ac:dyDescent="0.2">
      <c r="A3507" s="1">
        <v>3506</v>
      </c>
      <c r="B3507" s="1" t="s">
        <v>10348</v>
      </c>
      <c r="C3507" s="1" t="s">
        <v>10374</v>
      </c>
      <c r="D3507" s="1" t="str">
        <f t="shared" si="162"/>
        <v>Vejen KommuneMøgelmosevej 3</v>
      </c>
      <c r="E3507" s="1" t="s">
        <v>10375</v>
      </c>
      <c r="F3507" s="1" t="s">
        <v>10376</v>
      </c>
      <c r="G3507" s="1">
        <v>2016</v>
      </c>
      <c r="H3507" s="1" t="s">
        <v>15</v>
      </c>
      <c r="I3507" s="6" cm="1">
        <f t="array" ref="I3507">GetLatitude(D3507)</f>
        <v>553701820</v>
      </c>
      <c r="J3507" s="1" cm="1">
        <f t="array" ref="J3507">GetLongitude(D3507)</f>
        <v>90583740</v>
      </c>
      <c r="K3507" s="1">
        <f t="shared" si="163"/>
        <v>55.370182</v>
      </c>
      <c r="L3507" s="1">
        <f t="shared" si="164"/>
        <v>9.0583740000000006</v>
      </c>
    </row>
    <row r="3508" spans="1:12" ht="16" x14ac:dyDescent="0.2">
      <c r="A3508" s="1">
        <v>3507</v>
      </c>
      <c r="B3508" s="1" t="s">
        <v>10348</v>
      </c>
      <c r="C3508" s="1" t="s">
        <v>10377</v>
      </c>
      <c r="D3508" s="1" t="str">
        <f t="shared" si="162"/>
        <v>Vejen KommuneOllingvej 1, Sdr. Hygum</v>
      </c>
      <c r="E3508" s="1" t="s">
        <v>10378</v>
      </c>
      <c r="F3508" s="1" t="s">
        <v>10379</v>
      </c>
      <c r="G3508" s="1">
        <v>2006</v>
      </c>
      <c r="H3508" s="1" t="s">
        <v>11</v>
      </c>
      <c r="I3508" s="6" cm="1">
        <f t="array" ref="I3508">GetLatitude(D3508)</f>
        <v>553537200</v>
      </c>
      <c r="J3508" s="1" cm="1">
        <f t="array" ref="J3508">GetLongitude(D3508)</f>
        <v>89758037</v>
      </c>
      <c r="K3508" s="1">
        <f t="shared" si="163"/>
        <v>55.353720000000003</v>
      </c>
      <c r="L3508" s="1">
        <f t="shared" si="164"/>
        <v>8.9758037000000002</v>
      </c>
    </row>
    <row r="3509" spans="1:12" ht="16" x14ac:dyDescent="0.2">
      <c r="A3509" s="1">
        <v>3508</v>
      </c>
      <c r="B3509" s="1" t="s">
        <v>10348</v>
      </c>
      <c r="C3509" s="1" t="s">
        <v>10380</v>
      </c>
      <c r="D3509" s="1" t="str">
        <f t="shared" si="162"/>
        <v>Vejen KommuneSkolegade 12</v>
      </c>
      <c r="E3509" s="1" t="s">
        <v>10381</v>
      </c>
      <c r="F3509" s="1" t="s">
        <v>10382</v>
      </c>
      <c r="G3509" s="1">
        <v>1950</v>
      </c>
      <c r="H3509" s="1" t="s">
        <v>15</v>
      </c>
      <c r="I3509" s="6" cm="1">
        <f t="array" ref="I3509">GetLatitude(D3509)</f>
        <v>554792240</v>
      </c>
      <c r="J3509" s="1" cm="1">
        <f t="array" ref="J3509">GetLongitude(D3509)</f>
        <v>91379970</v>
      </c>
      <c r="K3509" s="1">
        <f t="shared" si="163"/>
        <v>55.479224000000002</v>
      </c>
      <c r="L3509" s="1">
        <f t="shared" si="164"/>
        <v>9.1379970000000004</v>
      </c>
    </row>
    <row r="3510" spans="1:12" ht="16" x14ac:dyDescent="0.2">
      <c r="A3510" s="1">
        <v>3509</v>
      </c>
      <c r="B3510" s="1" t="s">
        <v>10348</v>
      </c>
      <c r="C3510" s="1" t="s">
        <v>10383</v>
      </c>
      <c r="D3510" s="1" t="str">
        <f t="shared" si="162"/>
        <v>Vejen KommuneSurhavevej 24</v>
      </c>
      <c r="E3510" s="1" t="s">
        <v>10384</v>
      </c>
      <c r="F3510" s="1" t="s">
        <v>10385</v>
      </c>
      <c r="G3510" s="1">
        <v>1979</v>
      </c>
      <c r="H3510" s="1" t="s">
        <v>11</v>
      </c>
      <c r="I3510" s="6" cm="1">
        <f t="array" ref="I3510">GetLatitude(D3510)</f>
        <v>555177319</v>
      </c>
      <c r="J3510" s="1" cm="1">
        <f t="array" ref="J3510">GetLongitude(D3510)</f>
        <v>90122178</v>
      </c>
      <c r="K3510" s="1">
        <f t="shared" si="163"/>
        <v>55.517731900000001</v>
      </c>
      <c r="L3510" s="1">
        <f t="shared" si="164"/>
        <v>9.0122178000000002</v>
      </c>
    </row>
    <row r="3511" spans="1:12" ht="16" x14ac:dyDescent="0.2">
      <c r="A3511" s="1">
        <v>3510</v>
      </c>
      <c r="B3511" s="1" t="s">
        <v>10348</v>
      </c>
      <c r="C3511" s="1" t="s">
        <v>10386</v>
      </c>
      <c r="D3511" s="1" t="str">
        <f t="shared" si="162"/>
        <v>Vejen KommuneSønderskovgårdvej 2</v>
      </c>
      <c r="E3511" s="1" t="s">
        <v>10387</v>
      </c>
      <c r="F3511" s="1" t="s">
        <v>10388</v>
      </c>
      <c r="G3511" s="1">
        <v>1918</v>
      </c>
      <c r="H3511" s="1" t="s">
        <v>11</v>
      </c>
      <c r="I3511" s="6" cm="1">
        <f t="array" ref="I3511">GetLatitude(D3511)</f>
        <v>554517517</v>
      </c>
      <c r="J3511" s="1" cm="1">
        <f t="array" ref="J3511">GetLongitude(D3511)</f>
        <v>90376879</v>
      </c>
      <c r="K3511" s="1">
        <f t="shared" si="163"/>
        <v>55.451751700000003</v>
      </c>
      <c r="L3511" s="1">
        <f t="shared" si="164"/>
        <v>9.0376878999999999</v>
      </c>
    </row>
    <row r="3512" spans="1:12" ht="16" x14ac:dyDescent="0.2">
      <c r="A3512" s="1">
        <v>3511</v>
      </c>
      <c r="B3512" s="1" t="s">
        <v>10348</v>
      </c>
      <c r="C3512" s="1" t="s">
        <v>10389</v>
      </c>
      <c r="D3512" s="1" t="str">
        <f t="shared" si="162"/>
        <v>Vejen KommuneVejlevej 1</v>
      </c>
      <c r="E3512" s="1" t="s">
        <v>10390</v>
      </c>
      <c r="F3512" s="1" t="s">
        <v>10391</v>
      </c>
      <c r="G3512" s="1">
        <v>1978</v>
      </c>
      <c r="H3512" s="1" t="s">
        <v>11</v>
      </c>
      <c r="I3512" s="6" cm="1">
        <f t="array" ref="I3512">GetLatitude(D3512)</f>
        <v>555011694</v>
      </c>
      <c r="J3512" s="1" cm="1">
        <f t="array" ref="J3512">GetLongitude(D3512)</f>
        <v>90201101</v>
      </c>
      <c r="K3512" s="1">
        <f t="shared" si="163"/>
        <v>55.501169400000002</v>
      </c>
      <c r="L3512" s="1">
        <f t="shared" si="164"/>
        <v>9.0201101000000001</v>
      </c>
    </row>
    <row r="3513" spans="1:12" ht="16" x14ac:dyDescent="0.2">
      <c r="A3513" s="1">
        <v>3512</v>
      </c>
      <c r="B3513" s="1" t="s">
        <v>10348</v>
      </c>
      <c r="C3513" s="1" t="s">
        <v>10199</v>
      </c>
      <c r="D3513" s="1" t="str">
        <f t="shared" si="162"/>
        <v>Vejen KommuneØstergade 14</v>
      </c>
      <c r="E3513" s="1" t="s">
        <v>10392</v>
      </c>
      <c r="F3513" s="1" t="s">
        <v>10393</v>
      </c>
      <c r="G3513" s="1">
        <v>1977</v>
      </c>
      <c r="H3513" s="1" t="s">
        <v>701</v>
      </c>
      <c r="I3513" s="6" cm="1">
        <f t="array" ref="I3513">GetLatitude(D3513)</f>
        <v>555100885</v>
      </c>
      <c r="J3513" s="1" cm="1">
        <f t="array" ref="J3513">GetLongitude(D3513)</f>
        <v>89197870</v>
      </c>
      <c r="K3513" s="1">
        <f t="shared" si="163"/>
        <v>55.510088500000002</v>
      </c>
      <c r="L3513" s="1">
        <f t="shared" si="164"/>
        <v>8.9197869999999995</v>
      </c>
    </row>
    <row r="3514" spans="1:12" ht="16" x14ac:dyDescent="0.2">
      <c r="A3514" s="1">
        <v>3513</v>
      </c>
      <c r="B3514" s="1" t="s">
        <v>10394</v>
      </c>
      <c r="C3514" s="1" t="s">
        <v>10395</v>
      </c>
      <c r="D3514" s="1" t="str">
        <f t="shared" si="162"/>
        <v>Vejle KommuneBøgvadvej 41 og 43</v>
      </c>
      <c r="E3514" s="1" t="s">
        <v>10396</v>
      </c>
      <c r="F3514" s="1" t="s">
        <v>10397</v>
      </c>
      <c r="G3514" s="1">
        <v>1959</v>
      </c>
      <c r="H3514" s="1" t="s">
        <v>11</v>
      </c>
      <c r="I3514" s="6" cm="1">
        <f t="array" ref="I3514">GetLatitude(D3514)</f>
        <v>556302110</v>
      </c>
      <c r="J3514" s="1" cm="1">
        <f t="array" ref="J3514">GetLongitude(D3514)</f>
        <v>92589620</v>
      </c>
      <c r="K3514" s="1">
        <f t="shared" si="163"/>
        <v>55.630211000000003</v>
      </c>
      <c r="L3514" s="1">
        <f t="shared" si="164"/>
        <v>9.2589620000000004</v>
      </c>
    </row>
    <row r="3515" spans="1:12" ht="16" x14ac:dyDescent="0.2">
      <c r="A3515" s="1">
        <v>3514</v>
      </c>
      <c r="B3515" s="1" t="s">
        <v>10394</v>
      </c>
      <c r="C3515" s="1" t="s">
        <v>10398</v>
      </c>
      <c r="D3515" s="1" t="str">
        <f t="shared" si="162"/>
        <v>Vejle KommuneEngelsholmvej 6</v>
      </c>
      <c r="E3515" s="1" t="s">
        <v>10399</v>
      </c>
      <c r="F3515" s="1" t="s">
        <v>10400</v>
      </c>
      <c r="G3515" s="1">
        <v>1918</v>
      </c>
      <c r="H3515" s="1" t="s">
        <v>11</v>
      </c>
      <c r="I3515" s="6" cm="1">
        <f t="array" ref="I3515">GetLatitude(D3515)</f>
        <v>557152240</v>
      </c>
      <c r="J3515" s="1" cm="1">
        <f t="array" ref="J3515">GetLongitude(D3515)</f>
        <v>93191659</v>
      </c>
      <c r="K3515" s="1">
        <f t="shared" si="163"/>
        <v>55.715223999999999</v>
      </c>
      <c r="L3515" s="1">
        <f t="shared" si="164"/>
        <v>9.3191658999999998</v>
      </c>
    </row>
    <row r="3516" spans="1:12" ht="16" x14ac:dyDescent="0.2">
      <c r="A3516" s="1">
        <v>3515</v>
      </c>
      <c r="B3516" s="1" t="s">
        <v>10394</v>
      </c>
      <c r="C3516" s="1" t="s">
        <v>10401</v>
      </c>
      <c r="D3516" s="1" t="str">
        <f t="shared" si="162"/>
        <v>Vejle KommuneGrejs Bakke 13</v>
      </c>
      <c r="E3516" s="1" t="s">
        <v>10402</v>
      </c>
      <c r="F3516" s="1" t="s">
        <v>10403</v>
      </c>
      <c r="G3516" s="1">
        <v>1988</v>
      </c>
      <c r="H3516" s="1" t="s">
        <v>15</v>
      </c>
      <c r="I3516" s="6" cm="1">
        <f t="array" ref="I3516">GetLatitude(D3516)</f>
        <v>557550669</v>
      </c>
      <c r="J3516" s="1" cm="1">
        <f t="array" ref="J3516">GetLongitude(D3516)</f>
        <v>95320231</v>
      </c>
      <c r="K3516" s="1">
        <f t="shared" si="163"/>
        <v>55.755066900000003</v>
      </c>
      <c r="L3516" s="1">
        <f t="shared" si="164"/>
        <v>9.5320231</v>
      </c>
    </row>
    <row r="3517" spans="1:12" ht="16" x14ac:dyDescent="0.2">
      <c r="A3517" s="1">
        <v>3516</v>
      </c>
      <c r="B3517" s="1" t="s">
        <v>10394</v>
      </c>
      <c r="C3517" s="1" t="s">
        <v>8481</v>
      </c>
      <c r="D3517" s="1" t="str">
        <f t="shared" si="162"/>
        <v>Vejle KommuneHavnepladsen 2</v>
      </c>
      <c r="E3517" s="1" t="s">
        <v>116</v>
      </c>
      <c r="F3517" s="1" t="s">
        <v>10404</v>
      </c>
      <c r="G3517" s="1">
        <v>1991</v>
      </c>
      <c r="H3517" s="1" t="s">
        <v>11</v>
      </c>
      <c r="I3517" s="6" cm="1">
        <f t="array" ref="I3517">GetLatitude(D3517)</f>
        <v>557068926</v>
      </c>
      <c r="J3517" s="1" cm="1">
        <f t="array" ref="J3517">GetLongitude(D3517)</f>
        <v>95413509</v>
      </c>
      <c r="K3517" s="1">
        <f t="shared" si="163"/>
        <v>55.706892600000003</v>
      </c>
      <c r="L3517" s="1">
        <f t="shared" si="164"/>
        <v>9.5413508999999994</v>
      </c>
    </row>
    <row r="3518" spans="1:12" ht="16" x14ac:dyDescent="0.2">
      <c r="A3518" s="1">
        <v>3517</v>
      </c>
      <c r="B3518" s="1" t="s">
        <v>10394</v>
      </c>
      <c r="C3518" s="1" t="s">
        <v>10405</v>
      </c>
      <c r="D3518" s="1" t="str">
        <f t="shared" si="162"/>
        <v>Vejle KommuneHåstrupgårdsvej 11</v>
      </c>
      <c r="E3518" s="1" t="s">
        <v>10406</v>
      </c>
      <c r="F3518" s="1" t="s">
        <v>10407</v>
      </c>
      <c r="G3518" s="1">
        <v>1986</v>
      </c>
      <c r="H3518" s="1" t="s">
        <v>11</v>
      </c>
      <c r="I3518" s="6" cm="1">
        <f t="array" ref="I3518">GetLatitude(D3518)</f>
        <v>555912917</v>
      </c>
      <c r="J3518" s="1" cm="1">
        <f t="array" ref="J3518">GetLongitude(D3518)</f>
        <v>95433981</v>
      </c>
      <c r="K3518" s="1">
        <f t="shared" si="163"/>
        <v>55.591291699999999</v>
      </c>
      <c r="L3518" s="1">
        <f t="shared" si="164"/>
        <v>9.5433980999999992</v>
      </c>
    </row>
    <row r="3519" spans="1:12" ht="16" x14ac:dyDescent="0.2">
      <c r="A3519" s="1">
        <v>3518</v>
      </c>
      <c r="B3519" s="1" t="s">
        <v>10394</v>
      </c>
      <c r="C3519" s="1" t="s">
        <v>10408</v>
      </c>
      <c r="D3519" s="1" t="str">
        <f t="shared" si="162"/>
        <v>Vejle KommuneJellingvej 341</v>
      </c>
      <c r="E3519" s="1" t="s">
        <v>1732</v>
      </c>
      <c r="F3519" s="1" t="s">
        <v>10409</v>
      </c>
      <c r="G3519" s="1">
        <v>1985</v>
      </c>
      <c r="H3519" s="1" t="s">
        <v>15</v>
      </c>
      <c r="I3519" s="6" cm="1">
        <f t="array" ref="I3519">GetLatitude(D3519)</f>
        <v>557445807</v>
      </c>
      <c r="J3519" s="1" cm="1">
        <f t="array" ref="J3519">GetLongitude(D3519)</f>
        <v>94917330</v>
      </c>
      <c r="K3519" s="1">
        <f t="shared" si="163"/>
        <v>55.7445807</v>
      </c>
      <c r="L3519" s="1">
        <f t="shared" si="164"/>
        <v>9.491733</v>
      </c>
    </row>
    <row r="3520" spans="1:12" ht="16" x14ac:dyDescent="0.2">
      <c r="A3520" s="1">
        <v>3519</v>
      </c>
      <c r="B3520" s="1" t="s">
        <v>10394</v>
      </c>
      <c r="C3520" s="1" t="s">
        <v>10410</v>
      </c>
      <c r="D3520" s="1" t="str">
        <f t="shared" si="162"/>
        <v>Vejle KommuneNebbegårdsvej 115</v>
      </c>
      <c r="E3520" s="1" t="s">
        <v>10411</v>
      </c>
      <c r="F3520" s="1" t="s">
        <v>10412</v>
      </c>
      <c r="G3520" s="1">
        <v>1960</v>
      </c>
      <c r="H3520" s="1" t="s">
        <v>11</v>
      </c>
      <c r="I3520" s="6" cm="1">
        <f t="array" ref="I3520">GetLatitude(D3520)</f>
        <v>556194384</v>
      </c>
      <c r="J3520" s="1" cm="1">
        <f t="array" ref="J3520">GetLongitude(D3520)</f>
        <v>97155798</v>
      </c>
      <c r="K3520" s="1">
        <f t="shared" si="163"/>
        <v>55.6194384</v>
      </c>
      <c r="L3520" s="1">
        <f t="shared" si="164"/>
        <v>9.7155798000000004</v>
      </c>
    </row>
    <row r="3521" spans="1:12" ht="16" x14ac:dyDescent="0.2">
      <c r="A3521" s="1">
        <v>3520</v>
      </c>
      <c r="B3521" s="1" t="s">
        <v>10394</v>
      </c>
      <c r="C3521" s="1" t="s">
        <v>10413</v>
      </c>
      <c r="D3521" s="1" t="str">
        <f t="shared" si="162"/>
        <v>Vejle KommuneNederbyvej 18</v>
      </c>
      <c r="E3521" s="1" t="s">
        <v>10414</v>
      </c>
      <c r="F3521" s="1" t="s">
        <v>10415</v>
      </c>
      <c r="G3521" s="1">
        <v>1999</v>
      </c>
      <c r="H3521" s="1" t="s">
        <v>15</v>
      </c>
      <c r="I3521" s="6" cm="1">
        <f t="array" ref="I3521">GetLatitude(D3521)</f>
        <v>556408396</v>
      </c>
      <c r="J3521" s="1" cm="1">
        <f t="array" ref="J3521">GetLongitude(D3521)</f>
        <v>96085735</v>
      </c>
      <c r="K3521" s="1">
        <f t="shared" si="163"/>
        <v>55.6408396</v>
      </c>
      <c r="L3521" s="1">
        <f t="shared" si="164"/>
        <v>9.6085735000000003</v>
      </c>
    </row>
    <row r="3522" spans="1:12" ht="16" x14ac:dyDescent="0.2">
      <c r="A3522" s="1">
        <v>3521</v>
      </c>
      <c r="B3522" s="1" t="s">
        <v>10394</v>
      </c>
      <c r="C3522" s="1" t="s">
        <v>10416</v>
      </c>
      <c r="D3522" s="1" t="str">
        <f t="shared" si="162"/>
        <v>Vejle KommunePedersholms Allé 42 A-B</v>
      </c>
      <c r="E3522" s="1" t="s">
        <v>10417</v>
      </c>
      <c r="F3522" s="1" t="s">
        <v>10418</v>
      </c>
      <c r="G3522" s="1">
        <v>1939</v>
      </c>
      <c r="H3522" s="1" t="s">
        <v>11</v>
      </c>
      <c r="I3522" s="6" cm="1">
        <f t="array" ref="I3522">GetLatitude(D3522)</f>
        <v>556964096</v>
      </c>
      <c r="J3522" s="1" cm="1">
        <f t="array" ref="J3522">GetLongitude(D3522)</f>
        <v>95154128</v>
      </c>
      <c r="K3522" s="1">
        <f t="shared" si="163"/>
        <v>55.696409600000003</v>
      </c>
      <c r="L3522" s="1">
        <f t="shared" si="164"/>
        <v>9.5154128</v>
      </c>
    </row>
    <row r="3523" spans="1:12" ht="16" x14ac:dyDescent="0.2">
      <c r="A3523" s="1">
        <v>3522</v>
      </c>
      <c r="B3523" s="1" t="s">
        <v>10394</v>
      </c>
      <c r="C3523" s="1" t="s">
        <v>10419</v>
      </c>
      <c r="D3523" s="1" t="str">
        <f t="shared" ref="D3523:D3586" si="165">B3523&amp;C3523</f>
        <v>Vejle KommuneRefstrupvej 18</v>
      </c>
      <c r="E3523" s="1" t="s">
        <v>10420</v>
      </c>
      <c r="F3523" s="1" t="s">
        <v>3498</v>
      </c>
      <c r="G3523" s="1">
        <v>1939</v>
      </c>
      <c r="H3523" s="1" t="s">
        <v>11</v>
      </c>
      <c r="I3523" s="6" cm="1">
        <f t="array" ref="I3523">GetLatitude(D3523)</f>
        <v>557815246</v>
      </c>
      <c r="J3523" s="1" cm="1">
        <f t="array" ref="J3523">GetLongitude(D3523)</f>
        <v>93152911</v>
      </c>
      <c r="K3523" s="1">
        <f t="shared" si="163"/>
        <v>55.781524599999997</v>
      </c>
      <c r="L3523" s="1">
        <f t="shared" si="164"/>
        <v>9.3152910999999996</v>
      </c>
    </row>
    <row r="3524" spans="1:12" ht="16" x14ac:dyDescent="0.2">
      <c r="A3524" s="1">
        <v>3523</v>
      </c>
      <c r="B3524" s="1" t="s">
        <v>10394</v>
      </c>
      <c r="C3524" s="1" t="s">
        <v>10421</v>
      </c>
      <c r="D3524" s="1" t="str">
        <f t="shared" si="165"/>
        <v>Vejle KommuneStore Grundet Allé 71 A-E</v>
      </c>
      <c r="E3524" s="1" t="s">
        <v>10422</v>
      </c>
      <c r="F3524" s="1" t="s">
        <v>10423</v>
      </c>
      <c r="G3524" s="1">
        <v>1945</v>
      </c>
      <c r="H3524" s="1" t="s">
        <v>11</v>
      </c>
      <c r="I3524" s="6" cm="1">
        <f t="array" ref="I3524">GetLatitude(D3524)</f>
        <v>557342987</v>
      </c>
      <c r="J3524" s="1" cm="1">
        <f t="array" ref="J3524">GetLongitude(D3524)</f>
        <v>95484930</v>
      </c>
      <c r="K3524" s="1">
        <f t="shared" ref="K3524:K3587" si="166">I3524/10000000</f>
        <v>55.734298699999997</v>
      </c>
      <c r="L3524" s="1">
        <f t="shared" ref="L3524:L3587" si="167">J3524/10000000</f>
        <v>9.5484930000000006</v>
      </c>
    </row>
    <row r="3525" spans="1:12" ht="16" x14ac:dyDescent="0.2">
      <c r="A3525" s="1">
        <v>3524</v>
      </c>
      <c r="B3525" s="1" t="s">
        <v>10394</v>
      </c>
      <c r="C3525" s="1" t="s">
        <v>10424</v>
      </c>
      <c r="D3525" s="1" t="str">
        <f t="shared" si="165"/>
        <v>Vejle KommuneTirsbækvej 135</v>
      </c>
      <c r="E3525" s="1" t="s">
        <v>10425</v>
      </c>
      <c r="F3525" s="1" t="s">
        <v>10426</v>
      </c>
      <c r="G3525" s="1">
        <v>1918</v>
      </c>
      <c r="H3525" s="1" t="s">
        <v>11</v>
      </c>
      <c r="I3525" s="6" cm="1">
        <f t="array" ref="I3525">GetLatitude(D3525)</f>
        <v>557113112</v>
      </c>
      <c r="J3525" s="1" cm="1">
        <f t="array" ref="J3525">GetLongitude(D3525)</f>
        <v>95363541</v>
      </c>
      <c r="K3525" s="1">
        <f t="shared" si="166"/>
        <v>55.711311199999997</v>
      </c>
      <c r="L3525" s="1">
        <f t="shared" si="167"/>
        <v>9.5363541000000005</v>
      </c>
    </row>
    <row r="3526" spans="1:12" ht="16" x14ac:dyDescent="0.2">
      <c r="A3526" s="1">
        <v>3525</v>
      </c>
      <c r="B3526" s="1" t="s">
        <v>10394</v>
      </c>
      <c r="C3526" s="1" t="s">
        <v>10427</v>
      </c>
      <c r="D3526" s="1" t="str">
        <f t="shared" si="165"/>
        <v>Vejle KommuneTørskindvej 95</v>
      </c>
      <c r="E3526" s="1" t="s">
        <v>10428</v>
      </c>
      <c r="F3526" s="1" t="s">
        <v>10429</v>
      </c>
      <c r="G3526" s="1">
        <v>2008</v>
      </c>
      <c r="H3526" s="1" t="s">
        <v>15</v>
      </c>
      <c r="I3526" s="6" cm="1">
        <f t="array" ref="I3526">GetLatitude(D3526)</f>
        <v>556524844</v>
      </c>
      <c r="J3526" s="1" cm="1">
        <f t="array" ref="J3526">GetLongitude(D3526)</f>
        <v>93056929</v>
      </c>
      <c r="K3526" s="1">
        <f t="shared" si="166"/>
        <v>55.652484399999999</v>
      </c>
      <c r="L3526" s="1">
        <f t="shared" si="167"/>
        <v>9.3056929000000004</v>
      </c>
    </row>
    <row r="3527" spans="1:12" ht="16" x14ac:dyDescent="0.2">
      <c r="A3527" s="1">
        <v>3526</v>
      </c>
      <c r="B3527" s="1" t="s">
        <v>10394</v>
      </c>
      <c r="C3527" s="1" t="s">
        <v>10430</v>
      </c>
      <c r="D3527" s="1" t="str">
        <f t="shared" si="165"/>
        <v>Vejle KommuneVandmøllevej 4 A</v>
      </c>
      <c r="E3527" s="1" t="s">
        <v>10431</v>
      </c>
      <c r="F3527" s="1" t="s">
        <v>10432</v>
      </c>
      <c r="G3527" s="1">
        <v>1960</v>
      </c>
      <c r="H3527" s="1" t="s">
        <v>15</v>
      </c>
      <c r="I3527" s="6" cm="1">
        <f t="array" ref="I3527">GetLatitude(D3527)</f>
        <v>556379589</v>
      </c>
      <c r="J3527" s="1" cm="1">
        <f t="array" ref="J3527">GetLongitude(D3527)</f>
        <v>96622128</v>
      </c>
      <c r="K3527" s="1">
        <f t="shared" si="166"/>
        <v>55.637958900000001</v>
      </c>
      <c r="L3527" s="1">
        <f t="shared" si="167"/>
        <v>9.6622128000000007</v>
      </c>
    </row>
    <row r="3528" spans="1:12" ht="16" x14ac:dyDescent="0.2">
      <c r="A3528" s="1">
        <v>3527</v>
      </c>
      <c r="B3528" s="1" t="s">
        <v>10433</v>
      </c>
      <c r="C3528" s="1" t="s">
        <v>10434</v>
      </c>
      <c r="D3528" s="1" t="str">
        <f t="shared" si="165"/>
        <v>Vesthimmerlands KommuneAggersborgvej 170 A</v>
      </c>
      <c r="E3528" s="1" t="s">
        <v>10435</v>
      </c>
      <c r="F3528" s="1" t="s">
        <v>10436</v>
      </c>
      <c r="G3528" s="1">
        <v>1939</v>
      </c>
      <c r="H3528" s="1" t="s">
        <v>15</v>
      </c>
      <c r="I3528" s="6" cm="1">
        <f t="array" ref="I3528">GetLatitude(D3528)</f>
        <v>569938337</v>
      </c>
      <c r="J3528" s="1" cm="1">
        <f t="array" ref="J3528">GetLongitude(D3528)</f>
        <v>92550601</v>
      </c>
      <c r="K3528" s="1">
        <f t="shared" si="166"/>
        <v>56.993833700000003</v>
      </c>
      <c r="L3528" s="1">
        <f t="shared" si="167"/>
        <v>9.2550600999999997</v>
      </c>
    </row>
    <row r="3529" spans="1:12" ht="16" x14ac:dyDescent="0.2">
      <c r="A3529" s="1">
        <v>3528</v>
      </c>
      <c r="B3529" s="1" t="s">
        <v>10433</v>
      </c>
      <c r="C3529" s="1" t="s">
        <v>10437</v>
      </c>
      <c r="D3529" s="1" t="str">
        <f t="shared" si="165"/>
        <v>Vesthimmerlands KommuneHalkærvej 103</v>
      </c>
      <c r="E3529" s="1" t="s">
        <v>10438</v>
      </c>
      <c r="F3529" s="1" t="s">
        <v>10439</v>
      </c>
      <c r="G3529" s="1">
        <v>1997</v>
      </c>
      <c r="H3529" s="1" t="s">
        <v>11</v>
      </c>
      <c r="I3529" s="6" cm="1">
        <f t="array" ref="I3529">GetLatitude(D3529)</f>
        <v>569193198</v>
      </c>
      <c r="J3529" s="1" cm="1">
        <f t="array" ref="J3529">GetLongitude(D3529)</f>
        <v>95139616</v>
      </c>
      <c r="K3529" s="1">
        <f t="shared" si="166"/>
        <v>56.919319799999997</v>
      </c>
      <c r="L3529" s="1">
        <f t="shared" si="167"/>
        <v>9.5139616</v>
      </c>
    </row>
    <row r="3530" spans="1:12" ht="16" x14ac:dyDescent="0.2">
      <c r="A3530" s="1">
        <v>3529</v>
      </c>
      <c r="B3530" s="1" t="s">
        <v>10433</v>
      </c>
      <c r="C3530" s="1" t="s">
        <v>10440</v>
      </c>
      <c r="D3530" s="1" t="str">
        <f t="shared" si="165"/>
        <v>Vesthimmerlands KommuneHesselvej 40</v>
      </c>
      <c r="E3530" s="1" t="s">
        <v>10441</v>
      </c>
      <c r="F3530" s="1" t="s">
        <v>10442</v>
      </c>
      <c r="G3530" s="1">
        <v>1990</v>
      </c>
      <c r="H3530" s="1" t="s">
        <v>15</v>
      </c>
      <c r="I3530" s="6" cm="1">
        <f t="array" ref="I3530">GetLatitude(D3530)</f>
        <v>566876192</v>
      </c>
      <c r="J3530" s="1" cm="1">
        <f t="array" ref="J3530">GetLongitude(D3530)</f>
        <v>91916800</v>
      </c>
      <c r="K3530" s="1">
        <f t="shared" si="166"/>
        <v>56.6876192</v>
      </c>
      <c r="L3530" s="1">
        <f t="shared" si="167"/>
        <v>9.1916799999999999</v>
      </c>
    </row>
    <row r="3531" spans="1:12" ht="16" x14ac:dyDescent="0.2">
      <c r="A3531" s="1">
        <v>3530</v>
      </c>
      <c r="B3531" s="1" t="s">
        <v>10433</v>
      </c>
      <c r="C3531" s="1" t="s">
        <v>10443</v>
      </c>
      <c r="D3531" s="1" t="str">
        <f t="shared" si="165"/>
        <v>Vesthimmerlands KommuneKanalvejen 40, Frederik VII's kanal</v>
      </c>
      <c r="E3531" s="1" t="s">
        <v>10444</v>
      </c>
      <c r="F3531" s="1" t="s">
        <v>10445</v>
      </c>
      <c r="G3531" s="1">
        <v>1964</v>
      </c>
      <c r="H3531" s="1" t="s">
        <v>10446</v>
      </c>
      <c r="I3531" s="6" cm="1">
        <f t="array" ref="I3531">GetLatitude(D3531)</f>
        <v>569525551</v>
      </c>
      <c r="J3531" s="1" cm="1">
        <f t="array" ref="J3531">GetLongitude(D3531)</f>
        <v>92321017</v>
      </c>
      <c r="K3531" s="1">
        <f t="shared" si="166"/>
        <v>56.952555099999998</v>
      </c>
      <c r="L3531" s="1">
        <f t="shared" si="167"/>
        <v>9.2321016999999994</v>
      </c>
    </row>
    <row r="3532" spans="1:12" ht="16" x14ac:dyDescent="0.2">
      <c r="A3532" s="1">
        <v>3531</v>
      </c>
      <c r="B3532" s="1" t="s">
        <v>10433</v>
      </c>
      <c r="C3532" s="1" t="s">
        <v>10447</v>
      </c>
      <c r="D3532" s="1" t="str">
        <f t="shared" si="165"/>
        <v>Vesthimmerlands KommuneKlostervej 4</v>
      </c>
      <c r="E3532" s="1" t="s">
        <v>10448</v>
      </c>
      <c r="F3532" s="1" t="s">
        <v>10449</v>
      </c>
      <c r="G3532" s="1">
        <v>1978</v>
      </c>
      <c r="H3532" s="1" t="s">
        <v>11</v>
      </c>
      <c r="I3532" s="6" cm="1">
        <f t="array" ref="I3532">GetLatitude(D3532)</f>
        <v>567915219</v>
      </c>
      <c r="J3532" s="1" cm="1">
        <f t="array" ref="J3532">GetLongitude(D3532)</f>
        <v>94123200</v>
      </c>
      <c r="K3532" s="1">
        <f t="shared" si="166"/>
        <v>56.791521899999999</v>
      </c>
      <c r="L3532" s="1">
        <f t="shared" si="167"/>
        <v>9.4123199999999994</v>
      </c>
    </row>
    <row r="3533" spans="1:12" ht="16" x14ac:dyDescent="0.2">
      <c r="A3533" s="1">
        <v>3532</v>
      </c>
      <c r="B3533" s="1" t="s">
        <v>10433</v>
      </c>
      <c r="C3533" s="1" t="s">
        <v>10450</v>
      </c>
      <c r="D3533" s="1" t="str">
        <f t="shared" si="165"/>
        <v>Vesthimmerlands KommuneSvingelbjergvej 106</v>
      </c>
      <c r="E3533" s="1" t="s">
        <v>10451</v>
      </c>
      <c r="F3533" s="1" t="s">
        <v>10452</v>
      </c>
      <c r="G3533" s="1">
        <v>1918</v>
      </c>
      <c r="H3533" s="1" t="s">
        <v>11</v>
      </c>
      <c r="I3533" s="6" cm="1">
        <f t="array" ref="I3533">GetLatitude(D3533)</f>
        <v>567349556</v>
      </c>
      <c r="J3533" s="1" cm="1">
        <f t="array" ref="J3533">GetLongitude(D3533)</f>
        <v>93824115</v>
      </c>
      <c r="K3533" s="1">
        <f t="shared" si="166"/>
        <v>56.734955599999999</v>
      </c>
      <c r="L3533" s="1">
        <f t="shared" si="167"/>
        <v>9.3824114999999999</v>
      </c>
    </row>
    <row r="3534" spans="1:12" ht="16" x14ac:dyDescent="0.2">
      <c r="A3534" s="1">
        <v>3533</v>
      </c>
      <c r="B3534" s="1" t="s">
        <v>10433</v>
      </c>
      <c r="C3534" s="1" t="s">
        <v>10453</v>
      </c>
      <c r="D3534" s="1" t="str">
        <f t="shared" si="165"/>
        <v>Vesthimmerlands KommuneViborgvej 475</v>
      </c>
      <c r="E3534" s="1" t="s">
        <v>10454</v>
      </c>
      <c r="F3534" s="1" t="s">
        <v>10455</v>
      </c>
      <c r="G3534" s="1">
        <v>1918</v>
      </c>
      <c r="H3534" s="1" t="s">
        <v>11</v>
      </c>
      <c r="I3534" s="6" cm="1">
        <f t="array" ref="I3534">GetLatitude(D3534)</f>
        <v>568686766</v>
      </c>
      <c r="J3534" s="1" cm="1">
        <f t="array" ref="J3534">GetLongitude(D3534)</f>
        <v>92127541</v>
      </c>
      <c r="K3534" s="1">
        <f t="shared" si="166"/>
        <v>56.868676600000001</v>
      </c>
      <c r="L3534" s="1">
        <f t="shared" si="167"/>
        <v>9.2127540999999997</v>
      </c>
    </row>
    <row r="3535" spans="1:12" ht="16" x14ac:dyDescent="0.2">
      <c r="A3535" s="1">
        <v>3534</v>
      </c>
      <c r="B3535" s="1" t="s">
        <v>10456</v>
      </c>
      <c r="C3535" s="1" t="s">
        <v>10457</v>
      </c>
      <c r="D3535" s="1" t="str">
        <f t="shared" si="165"/>
        <v>Viborg KommuneBanegårdspladsen 2</v>
      </c>
      <c r="E3535" s="1" t="s">
        <v>10458</v>
      </c>
      <c r="F3535" s="1" t="s">
        <v>10459</v>
      </c>
      <c r="G3535" s="1">
        <v>1992</v>
      </c>
      <c r="H3535" s="1" t="s">
        <v>145</v>
      </c>
      <c r="I3535" s="6" cm="1">
        <f t="array" ref="I3535">GetLatitude(D3535)</f>
        <v>564291916</v>
      </c>
      <c r="J3535" s="1" cm="1">
        <f t="array" ref="J3535">GetLongitude(D3535)</f>
        <v>94135810</v>
      </c>
      <c r="K3535" s="1">
        <f t="shared" si="166"/>
        <v>56.429191600000003</v>
      </c>
      <c r="L3535" s="1">
        <f t="shared" si="167"/>
        <v>9.4135810000000006</v>
      </c>
    </row>
    <row r="3536" spans="1:12" ht="16" x14ac:dyDescent="0.2">
      <c r="A3536" s="1">
        <v>3535</v>
      </c>
      <c r="B3536" s="1" t="s">
        <v>10456</v>
      </c>
      <c r="C3536" s="1" t="s">
        <v>10460</v>
      </c>
      <c r="D3536" s="1" t="str">
        <f t="shared" si="165"/>
        <v>Viborg KommuneBjerringbrovej 54</v>
      </c>
      <c r="E3536" s="1" t="s">
        <v>10461</v>
      </c>
      <c r="F3536" s="1" t="s">
        <v>10462</v>
      </c>
      <c r="G3536" s="1">
        <v>2006</v>
      </c>
      <c r="H3536" s="1" t="s">
        <v>15</v>
      </c>
      <c r="I3536" s="6" cm="1">
        <f t="array" ref="I3536">GetLatitude(D3536)</f>
        <v>563542970</v>
      </c>
      <c r="J3536" s="1" cm="1">
        <f t="array" ref="J3536">GetLongitude(D3536)</f>
        <v>96023700</v>
      </c>
      <c r="K3536" s="1">
        <f t="shared" si="166"/>
        <v>56.354297000000003</v>
      </c>
      <c r="L3536" s="1">
        <f t="shared" si="167"/>
        <v>9.6023700000000005</v>
      </c>
    </row>
    <row r="3537" spans="1:12" ht="16" x14ac:dyDescent="0.2">
      <c r="A3537" s="1">
        <v>3536</v>
      </c>
      <c r="B3537" s="1" t="s">
        <v>10456</v>
      </c>
      <c r="C3537" s="1" t="s">
        <v>10463</v>
      </c>
      <c r="D3537" s="1" t="str">
        <f t="shared" si="165"/>
        <v>Viborg KommuneDomkirkestræde 1 og 1 A</v>
      </c>
      <c r="E3537" s="1" t="s">
        <v>5830</v>
      </c>
      <c r="F3537" s="1" t="s">
        <v>10464</v>
      </c>
      <c r="G3537" s="1">
        <v>1919</v>
      </c>
      <c r="H3537" s="1" t="s">
        <v>15</v>
      </c>
      <c r="I3537" s="6" cm="1">
        <f t="array" ref="I3537">GetLatitude(D3537)</f>
        <v>564504260</v>
      </c>
      <c r="J3537" s="1" cm="1">
        <f t="array" ref="J3537">GetLongitude(D3537)</f>
        <v>94135080</v>
      </c>
      <c r="K3537" s="1">
        <f t="shared" si="166"/>
        <v>56.450426</v>
      </c>
      <c r="L3537" s="1">
        <f t="shared" si="167"/>
        <v>9.4135080000000002</v>
      </c>
    </row>
    <row r="3538" spans="1:12" ht="16" x14ac:dyDescent="0.2">
      <c r="A3538" s="1">
        <v>3537</v>
      </c>
      <c r="B3538" s="1" t="s">
        <v>10456</v>
      </c>
      <c r="C3538" s="1" t="s">
        <v>10465</v>
      </c>
      <c r="D3538" s="1" t="str">
        <f t="shared" si="165"/>
        <v>Viborg KommuneDomkirkestræde 2</v>
      </c>
      <c r="E3538" s="1" t="s">
        <v>10466</v>
      </c>
      <c r="F3538" s="1" t="s">
        <v>10467</v>
      </c>
      <c r="G3538" s="1">
        <v>1919</v>
      </c>
      <c r="H3538" s="1" t="s">
        <v>11</v>
      </c>
      <c r="I3538" s="6" cm="1">
        <f t="array" ref="I3538">GetLatitude(D3538)</f>
        <v>564504149</v>
      </c>
      <c r="J3538" s="1" cm="1">
        <f t="array" ref="J3538">GetLongitude(D3538)</f>
        <v>94116862</v>
      </c>
      <c r="K3538" s="1">
        <f t="shared" si="166"/>
        <v>56.450414899999998</v>
      </c>
      <c r="L3538" s="1">
        <f t="shared" si="167"/>
        <v>9.4116862000000001</v>
      </c>
    </row>
    <row r="3539" spans="1:12" ht="16" x14ac:dyDescent="0.2">
      <c r="A3539" s="1">
        <v>3538</v>
      </c>
      <c r="B3539" s="1" t="s">
        <v>10456</v>
      </c>
      <c r="C3539" s="1" t="s">
        <v>10468</v>
      </c>
      <c r="D3539" s="1" t="str">
        <f t="shared" si="165"/>
        <v>Viborg KommuneGammel Skivevej 2</v>
      </c>
      <c r="E3539" s="1" t="s">
        <v>10469</v>
      </c>
      <c r="F3539" s="1" t="s">
        <v>10470</v>
      </c>
      <c r="G3539" s="1">
        <v>1987</v>
      </c>
      <c r="H3539" s="1" t="s">
        <v>10471</v>
      </c>
      <c r="I3539" s="6" cm="1">
        <f t="array" ref="I3539">GetLatitude(D3539)</f>
        <v>564578870</v>
      </c>
      <c r="J3539" s="1" cm="1">
        <f t="array" ref="J3539">GetLongitude(D3539)</f>
        <v>94117951</v>
      </c>
      <c r="K3539" s="1">
        <f t="shared" si="166"/>
        <v>56.457886999999999</v>
      </c>
      <c r="L3539" s="1">
        <f t="shared" si="167"/>
        <v>9.4117951000000009</v>
      </c>
    </row>
    <row r="3540" spans="1:12" ht="16" x14ac:dyDescent="0.2">
      <c r="A3540" s="1">
        <v>3539</v>
      </c>
      <c r="B3540" s="1" t="s">
        <v>10456</v>
      </c>
      <c r="C3540" s="1" t="s">
        <v>10472</v>
      </c>
      <c r="D3540" s="1" t="str">
        <f t="shared" si="165"/>
        <v>Viborg KommuneGravene 23 A</v>
      </c>
      <c r="E3540" s="1" t="s">
        <v>10473</v>
      </c>
      <c r="F3540" s="1" t="s">
        <v>10474</v>
      </c>
      <c r="G3540" s="1">
        <v>1986</v>
      </c>
      <c r="H3540" s="1" t="s">
        <v>11</v>
      </c>
      <c r="I3540" s="6" cm="1">
        <f t="array" ref="I3540">GetLatitude(D3540)</f>
        <v>564510023</v>
      </c>
      <c r="J3540" s="1" cm="1">
        <f t="array" ref="J3540">GetLongitude(D3540)</f>
        <v>94062729</v>
      </c>
      <c r="K3540" s="1">
        <f t="shared" si="166"/>
        <v>56.451002299999999</v>
      </c>
      <c r="L3540" s="1">
        <f t="shared" si="167"/>
        <v>9.4062728999999994</v>
      </c>
    </row>
    <row r="3541" spans="1:12" ht="16" x14ac:dyDescent="0.2">
      <c r="A3541" s="1">
        <v>3540</v>
      </c>
      <c r="B3541" s="1" t="s">
        <v>10456</v>
      </c>
      <c r="C3541" s="1" t="s">
        <v>10475</v>
      </c>
      <c r="D3541" s="1" t="str">
        <f t="shared" si="165"/>
        <v>Viborg KommuneGrønhøj Skivevej 26 (tidl Skivevej 26)</v>
      </c>
      <c r="E3541" s="1" t="s">
        <v>10476</v>
      </c>
      <c r="F3541" s="1" t="s">
        <v>10477</v>
      </c>
      <c r="G3541" s="1">
        <v>1954</v>
      </c>
      <c r="H3541" s="1" t="s">
        <v>15</v>
      </c>
      <c r="I3541" s="6" cm="1">
        <f t="array" ref="I3541">GetLatitude(D3541)</f>
        <v>563673722</v>
      </c>
      <c r="J3541" s="1" cm="1">
        <f t="array" ref="J3541">GetLongitude(D3541)</f>
        <v>92094750</v>
      </c>
      <c r="K3541" s="1">
        <f t="shared" si="166"/>
        <v>56.367372199999998</v>
      </c>
      <c r="L3541" s="1">
        <f t="shared" si="167"/>
        <v>9.2094749999999994</v>
      </c>
    </row>
    <row r="3542" spans="1:12" ht="16" x14ac:dyDescent="0.2">
      <c r="A3542" s="1">
        <v>3541</v>
      </c>
      <c r="B3542" s="1" t="s">
        <v>10456</v>
      </c>
      <c r="C3542" s="1" t="s">
        <v>10478</v>
      </c>
      <c r="D3542" s="1" t="str">
        <f t="shared" si="165"/>
        <v>Viborg KommuneHerredsvejen 56</v>
      </c>
      <c r="E3542" s="1" t="s">
        <v>10479</v>
      </c>
      <c r="F3542" s="1" t="s">
        <v>10480</v>
      </c>
      <c r="G3542" s="1">
        <v>1988</v>
      </c>
      <c r="H3542" s="1" t="s">
        <v>15</v>
      </c>
      <c r="I3542" s="6" cm="1">
        <f t="array" ref="I3542">GetLatitude(D3542)</f>
        <v>565856099</v>
      </c>
      <c r="J3542" s="1" cm="1">
        <f t="array" ref="J3542">GetLongitude(D3542)</f>
        <v>94611786</v>
      </c>
      <c r="K3542" s="1">
        <f t="shared" si="166"/>
        <v>56.585609900000001</v>
      </c>
      <c r="L3542" s="1">
        <f t="shared" si="167"/>
        <v>9.4611786000000002</v>
      </c>
    </row>
    <row r="3543" spans="1:12" ht="16" x14ac:dyDescent="0.2">
      <c r="A3543" s="1">
        <v>3542</v>
      </c>
      <c r="B3543" s="1" t="s">
        <v>10456</v>
      </c>
      <c r="C3543" s="1" t="s">
        <v>10481</v>
      </c>
      <c r="D3543" s="1" t="str">
        <f t="shared" si="165"/>
        <v>Viborg KommuneHjultorvet 9-11</v>
      </c>
      <c r="E3543" s="1" t="s">
        <v>10482</v>
      </c>
      <c r="F3543" s="1" t="s">
        <v>10483</v>
      </c>
      <c r="G3543" s="1">
        <v>1986</v>
      </c>
      <c r="H3543" s="1" t="s">
        <v>15</v>
      </c>
      <c r="I3543" s="6" cm="1">
        <f t="array" ref="I3543">GetLatitude(D3543)</f>
        <v>564501110</v>
      </c>
      <c r="J3543" s="1" cm="1">
        <f t="array" ref="J3543">GetLongitude(D3543)</f>
        <v>94082480</v>
      </c>
      <c r="K3543" s="1">
        <f t="shared" si="166"/>
        <v>56.450111</v>
      </c>
      <c r="L3543" s="1">
        <f t="shared" si="167"/>
        <v>9.4082480000000004</v>
      </c>
    </row>
    <row r="3544" spans="1:12" ht="16" x14ac:dyDescent="0.2">
      <c r="A3544" s="1">
        <v>3543</v>
      </c>
      <c r="B3544" s="1" t="s">
        <v>10456</v>
      </c>
      <c r="C3544" s="1" t="s">
        <v>10484</v>
      </c>
      <c r="D3544" s="1" t="str">
        <f t="shared" si="165"/>
        <v>Viborg KommuneHobro Landevej 90</v>
      </c>
      <c r="E3544" s="1" t="s">
        <v>10485</v>
      </c>
      <c r="F3544" s="1" t="s">
        <v>10486</v>
      </c>
      <c r="G3544" s="1">
        <v>1918</v>
      </c>
      <c r="H3544" s="1" t="s">
        <v>855</v>
      </c>
      <c r="I3544" s="6" cm="1">
        <f t="array" ref="I3544">GetLatitude(D3544)</f>
        <v>565122420</v>
      </c>
      <c r="J3544" s="1" cm="1">
        <f t="array" ref="J3544">GetLongitude(D3544)</f>
        <v>96135551</v>
      </c>
      <c r="K3544" s="1">
        <f t="shared" si="166"/>
        <v>56.512242000000001</v>
      </c>
      <c r="L3544" s="1">
        <f t="shared" si="167"/>
        <v>9.6135550999999992</v>
      </c>
    </row>
    <row r="3545" spans="1:12" ht="16" x14ac:dyDescent="0.2">
      <c r="A3545" s="1">
        <v>3544</v>
      </c>
      <c r="B3545" s="1" t="s">
        <v>10456</v>
      </c>
      <c r="C3545" s="1" t="s">
        <v>10487</v>
      </c>
      <c r="D3545" s="1" t="str">
        <f t="shared" si="165"/>
        <v>Viborg KommuneKalkværksvej 8</v>
      </c>
      <c r="E3545" s="1" t="s">
        <v>10488</v>
      </c>
      <c r="F3545" s="1" t="s">
        <v>10489</v>
      </c>
      <c r="G3545" s="1">
        <v>1998</v>
      </c>
      <c r="H3545" s="1" t="s">
        <v>15</v>
      </c>
      <c r="I3545" s="6" cm="1">
        <f t="array" ref="I3545">GetLatitude(D3545)</f>
        <v>564561746</v>
      </c>
      <c r="J3545" s="1" cm="1">
        <f t="array" ref="J3545">GetLongitude(D3545)</f>
        <v>91658714</v>
      </c>
      <c r="K3545" s="1">
        <f t="shared" si="166"/>
        <v>56.456174599999997</v>
      </c>
      <c r="L3545" s="1">
        <f t="shared" si="167"/>
        <v>9.1658714000000003</v>
      </c>
    </row>
    <row r="3546" spans="1:12" ht="16" x14ac:dyDescent="0.2">
      <c r="A3546" s="1">
        <v>3545</v>
      </c>
      <c r="B3546" s="1" t="s">
        <v>10456</v>
      </c>
      <c r="C3546" s="1" t="s">
        <v>10490</v>
      </c>
      <c r="D3546" s="1" t="str">
        <f t="shared" si="165"/>
        <v>Viborg KommuneKarmark Møllevej 2</v>
      </c>
      <c r="E3546" s="1" t="s">
        <v>10491</v>
      </c>
      <c r="F3546" s="1" t="s">
        <v>10492</v>
      </c>
      <c r="G3546" s="1">
        <v>1959</v>
      </c>
      <c r="H3546" s="1" t="s">
        <v>1319</v>
      </c>
      <c r="I3546" s="6" cm="1">
        <f t="array" ref="I3546">GetLatitude(D3546)</f>
        <v>564403702</v>
      </c>
      <c r="J3546" s="1" cm="1">
        <f t="array" ref="J3546">GetLongitude(D3546)</f>
        <v>97548663</v>
      </c>
      <c r="K3546" s="1">
        <f t="shared" si="166"/>
        <v>56.440370199999997</v>
      </c>
      <c r="L3546" s="1">
        <f t="shared" si="167"/>
        <v>9.7548662999999998</v>
      </c>
    </row>
    <row r="3547" spans="1:12" ht="16" x14ac:dyDescent="0.2">
      <c r="A3547" s="1">
        <v>3546</v>
      </c>
      <c r="B3547" s="1" t="s">
        <v>10456</v>
      </c>
      <c r="C3547" s="1" t="s">
        <v>10493</v>
      </c>
      <c r="D3547" s="1" t="str">
        <f t="shared" si="165"/>
        <v>Viborg KommuneLille Sankt Hansgade 20</v>
      </c>
      <c r="E3547" s="1" t="s">
        <v>10494</v>
      </c>
      <c r="F3547" s="1" t="s">
        <v>10495</v>
      </c>
      <c r="G3547" s="1">
        <v>1919</v>
      </c>
      <c r="H3547" s="1" t="s">
        <v>11</v>
      </c>
      <c r="I3547" s="6" cm="1">
        <f t="array" ref="I3547">GetLatitude(D3547)</f>
        <v>564523924</v>
      </c>
      <c r="J3547" s="1" cm="1">
        <f t="array" ref="J3547">GetLongitude(D3547)</f>
        <v>94084364</v>
      </c>
      <c r="K3547" s="1">
        <f t="shared" si="166"/>
        <v>56.452392400000001</v>
      </c>
      <c r="L3547" s="1">
        <f t="shared" si="167"/>
        <v>9.4084363999999994</v>
      </c>
    </row>
    <row r="3548" spans="1:12" ht="16" x14ac:dyDescent="0.2">
      <c r="A3548" s="1">
        <v>3547</v>
      </c>
      <c r="B3548" s="1" t="s">
        <v>10456</v>
      </c>
      <c r="C3548" s="1" t="s">
        <v>9068</v>
      </c>
      <c r="D3548" s="1" t="str">
        <f t="shared" si="165"/>
        <v>Viborg KommuneNytorv 3</v>
      </c>
      <c r="E3548" s="1" t="s">
        <v>6868</v>
      </c>
      <c r="F3548" s="1" t="s">
        <v>10496</v>
      </c>
      <c r="G3548" s="1">
        <v>1919</v>
      </c>
      <c r="H3548" s="1" t="s">
        <v>11</v>
      </c>
      <c r="I3548" s="6" cm="1">
        <f t="array" ref="I3548">GetLatitude(D3548)</f>
        <v>564510077</v>
      </c>
      <c r="J3548" s="1" cm="1">
        <f t="array" ref="J3548">GetLongitude(D3548)</f>
        <v>94090952</v>
      </c>
      <c r="K3548" s="1">
        <f t="shared" si="166"/>
        <v>56.451007699999998</v>
      </c>
      <c r="L3548" s="1">
        <f t="shared" si="167"/>
        <v>9.4090951999999994</v>
      </c>
    </row>
    <row r="3549" spans="1:12" ht="16" x14ac:dyDescent="0.2">
      <c r="A3549" s="1">
        <v>3548</v>
      </c>
      <c r="B3549" s="1" t="s">
        <v>10456</v>
      </c>
      <c r="C3549" s="1" t="s">
        <v>10497</v>
      </c>
      <c r="D3549" s="1" t="str">
        <f t="shared" si="165"/>
        <v>Viborg KommunePalstrupvej 25</v>
      </c>
      <c r="E3549" s="1" t="s">
        <v>10498</v>
      </c>
      <c r="F3549" s="1" t="s">
        <v>10499</v>
      </c>
      <c r="G3549" s="1">
        <v>1918</v>
      </c>
      <c r="H3549" s="1" t="s">
        <v>391</v>
      </c>
      <c r="I3549" s="6" cm="1">
        <f t="array" ref="I3549">GetLatitude(D3549)</f>
        <v>563215604</v>
      </c>
      <c r="J3549" s="1" cm="1">
        <f t="array" ref="J3549">GetLongitude(D3549)</f>
        <v>95170915</v>
      </c>
      <c r="K3549" s="1">
        <f t="shared" si="166"/>
        <v>56.321560400000003</v>
      </c>
      <c r="L3549" s="1">
        <f t="shared" si="167"/>
        <v>9.5170914999999994</v>
      </c>
    </row>
    <row r="3550" spans="1:12" ht="16" x14ac:dyDescent="0.2">
      <c r="A3550" s="1">
        <v>3549</v>
      </c>
      <c r="B3550" s="1" t="s">
        <v>10456</v>
      </c>
      <c r="C3550" s="1" t="s">
        <v>10500</v>
      </c>
      <c r="D3550" s="1" t="str">
        <f t="shared" si="165"/>
        <v>Viborg KommuneRavnsbjergvej 76</v>
      </c>
      <c r="E3550" s="1" t="s">
        <v>10501</v>
      </c>
      <c r="F3550" s="1" t="s">
        <v>10502</v>
      </c>
      <c r="G3550" s="1">
        <v>1918</v>
      </c>
      <c r="H3550" s="1" t="s">
        <v>11</v>
      </c>
      <c r="I3550" s="6" cm="1">
        <f t="array" ref="I3550">GetLatitude(D3550)</f>
        <v>563929087</v>
      </c>
      <c r="J3550" s="1" cm="1">
        <f t="array" ref="J3550">GetLongitude(D3550)</f>
        <v>93439180</v>
      </c>
      <c r="K3550" s="1">
        <f t="shared" si="166"/>
        <v>56.3929087</v>
      </c>
      <c r="L3550" s="1">
        <f t="shared" si="167"/>
        <v>9.3439180000000004</v>
      </c>
    </row>
    <row r="3551" spans="1:12" ht="16" x14ac:dyDescent="0.2">
      <c r="A3551" s="1">
        <v>3550</v>
      </c>
      <c r="B3551" s="1" t="s">
        <v>10456</v>
      </c>
      <c r="C3551" s="1" t="s">
        <v>10503</v>
      </c>
      <c r="D3551" s="1" t="str">
        <f t="shared" si="165"/>
        <v>Viborg KommuneRiddergade 8</v>
      </c>
      <c r="E3551" s="1" t="s">
        <v>10504</v>
      </c>
      <c r="F3551" s="1" t="s">
        <v>10505</v>
      </c>
      <c r="G3551" s="1">
        <v>1950</v>
      </c>
      <c r="H3551" s="1" t="s">
        <v>15</v>
      </c>
      <c r="I3551" s="6" cm="1">
        <f t="array" ref="I3551">GetLatitude(D3551)</f>
        <v>564499681</v>
      </c>
      <c r="J3551" s="1" cm="1">
        <f t="array" ref="J3551">GetLongitude(D3551)</f>
        <v>94157725</v>
      </c>
      <c r="K3551" s="1">
        <f t="shared" si="166"/>
        <v>56.4499681</v>
      </c>
      <c r="L3551" s="1">
        <f t="shared" si="167"/>
        <v>9.4157724999999992</v>
      </c>
    </row>
    <row r="3552" spans="1:12" ht="16" x14ac:dyDescent="0.2">
      <c r="A3552" s="1">
        <v>3551</v>
      </c>
      <c r="B3552" s="1" t="s">
        <v>10456</v>
      </c>
      <c r="C3552" s="1" t="s">
        <v>10506</v>
      </c>
      <c r="D3552" s="1" t="str">
        <f t="shared" si="165"/>
        <v>Viborg KommuneRødevej 4</v>
      </c>
      <c r="E3552" s="1" t="s">
        <v>10507</v>
      </c>
      <c r="F3552" s="1" t="s">
        <v>10508</v>
      </c>
      <c r="G3552" s="1">
        <v>1971</v>
      </c>
      <c r="H3552" s="1" t="s">
        <v>15</v>
      </c>
      <c r="I3552" s="6" cm="1">
        <f t="array" ref="I3552">GetLatitude(D3552)</f>
        <v>564538285</v>
      </c>
      <c r="J3552" s="1" cm="1">
        <f t="array" ref="J3552">GetLongitude(D3552)</f>
        <v>94071292</v>
      </c>
      <c r="K3552" s="1">
        <f t="shared" si="166"/>
        <v>56.4538285</v>
      </c>
      <c r="L3552" s="1">
        <f t="shared" si="167"/>
        <v>9.4071292</v>
      </c>
    </row>
    <row r="3553" spans="1:12" ht="16" x14ac:dyDescent="0.2">
      <c r="A3553" s="1">
        <v>3552</v>
      </c>
      <c r="B3553" s="1" t="s">
        <v>10456</v>
      </c>
      <c r="C3553" s="1" t="s">
        <v>10509</v>
      </c>
      <c r="D3553" s="1" t="str">
        <f t="shared" si="165"/>
        <v>Viborg KommuneSankt Leonis Stræde 1</v>
      </c>
      <c r="E3553" s="1" t="s">
        <v>10510</v>
      </c>
      <c r="F3553" s="1" t="s">
        <v>10511</v>
      </c>
      <c r="G3553" s="1">
        <v>1918</v>
      </c>
      <c r="H3553" s="1" t="s">
        <v>15</v>
      </c>
      <c r="I3553" s="6" cm="1">
        <f t="array" ref="I3553">GetLatitude(D3553)</f>
        <v>564492707</v>
      </c>
      <c r="J3553" s="1" cm="1">
        <f t="array" ref="J3553">GetLongitude(D3553)</f>
        <v>94121880</v>
      </c>
      <c r="K3553" s="1">
        <f t="shared" si="166"/>
        <v>56.4492707</v>
      </c>
      <c r="L3553" s="1">
        <f t="shared" si="167"/>
        <v>9.4121880000000004</v>
      </c>
    </row>
    <row r="3554" spans="1:12" ht="16" x14ac:dyDescent="0.2">
      <c r="A3554" s="1">
        <v>3553</v>
      </c>
      <c r="B3554" s="1" t="s">
        <v>10456</v>
      </c>
      <c r="C3554" s="1" t="s">
        <v>10512</v>
      </c>
      <c r="D3554" s="1" t="str">
        <f t="shared" si="165"/>
        <v>Viborg KommuneSankt Mogensgade 1</v>
      </c>
      <c r="E3554" s="1" t="s">
        <v>2511</v>
      </c>
      <c r="F3554" s="1" t="s">
        <v>10513</v>
      </c>
      <c r="G3554" s="1">
        <v>1919</v>
      </c>
      <c r="H3554" s="1" t="s">
        <v>701</v>
      </c>
      <c r="I3554" s="6" cm="1">
        <f t="array" ref="I3554">GetLatitude(D3554)</f>
        <v>564507598</v>
      </c>
      <c r="J3554" s="1" cm="1">
        <f t="array" ref="J3554">GetLongitude(D3554)</f>
        <v>94111855</v>
      </c>
      <c r="K3554" s="1">
        <f t="shared" si="166"/>
        <v>56.4507598</v>
      </c>
      <c r="L3554" s="1">
        <f t="shared" si="167"/>
        <v>9.4111855000000002</v>
      </c>
    </row>
    <row r="3555" spans="1:12" ht="16" x14ac:dyDescent="0.2">
      <c r="A3555" s="1">
        <v>3554</v>
      </c>
      <c r="B3555" s="1" t="s">
        <v>10456</v>
      </c>
      <c r="C3555" s="1" t="s">
        <v>10514</v>
      </c>
      <c r="D3555" s="1" t="str">
        <f t="shared" si="165"/>
        <v>Viborg KommuneSankt Mogensgade 11</v>
      </c>
      <c r="E3555" s="1" t="s">
        <v>10515</v>
      </c>
      <c r="F3555" s="1" t="s">
        <v>5928</v>
      </c>
      <c r="G3555" s="1">
        <v>1919</v>
      </c>
      <c r="H3555" s="1" t="s">
        <v>11</v>
      </c>
      <c r="I3555" s="6" cm="1">
        <f t="array" ref="I3555">GetLatitude(D3555)</f>
        <v>564516764</v>
      </c>
      <c r="J3555" s="1" cm="1">
        <f t="array" ref="J3555">GetLongitude(D3555)</f>
        <v>94113230</v>
      </c>
      <c r="K3555" s="1">
        <f t="shared" si="166"/>
        <v>56.451676399999997</v>
      </c>
      <c r="L3555" s="1">
        <f t="shared" si="167"/>
        <v>9.4113229999999994</v>
      </c>
    </row>
    <row r="3556" spans="1:12" ht="16" x14ac:dyDescent="0.2">
      <c r="A3556" s="1">
        <v>3555</v>
      </c>
      <c r="B3556" s="1" t="s">
        <v>10456</v>
      </c>
      <c r="C3556" s="1" t="s">
        <v>10516</v>
      </c>
      <c r="D3556" s="1" t="str">
        <f t="shared" si="165"/>
        <v>Viborg KommuneSankt Mogensgade 16</v>
      </c>
      <c r="E3556" s="1" t="s">
        <v>10517</v>
      </c>
      <c r="F3556" s="1" t="s">
        <v>10518</v>
      </c>
      <c r="G3556" s="1">
        <v>1918</v>
      </c>
      <c r="H3556" s="1" t="s">
        <v>11</v>
      </c>
      <c r="I3556" s="6" cm="1">
        <f t="array" ref="I3556">GetLatitude(D3556)</f>
        <v>564518943</v>
      </c>
      <c r="J3556" s="1" cm="1">
        <f t="array" ref="J3556">GetLongitude(D3556)</f>
        <v>94118343</v>
      </c>
      <c r="K3556" s="1">
        <f t="shared" si="166"/>
        <v>56.451894299999999</v>
      </c>
      <c r="L3556" s="1">
        <f t="shared" si="167"/>
        <v>9.4118343000000007</v>
      </c>
    </row>
    <row r="3557" spans="1:12" ht="16" x14ac:dyDescent="0.2">
      <c r="A3557" s="1">
        <v>3556</v>
      </c>
      <c r="B3557" s="1" t="s">
        <v>10456</v>
      </c>
      <c r="C3557" s="1" t="s">
        <v>10519</v>
      </c>
      <c r="D3557" s="1" t="str">
        <f t="shared" si="165"/>
        <v>Viborg KommuneSankt Mogensgade 28-30</v>
      </c>
      <c r="E3557" s="1" t="s">
        <v>10520</v>
      </c>
      <c r="F3557" s="1" t="s">
        <v>10521</v>
      </c>
      <c r="G3557" s="1">
        <v>1978</v>
      </c>
      <c r="H3557" s="1" t="s">
        <v>11</v>
      </c>
      <c r="I3557" s="6" cm="1">
        <f t="array" ref="I3557">GetLatitude(D3557)</f>
        <v>564527490</v>
      </c>
      <c r="J3557" s="1" cm="1">
        <f t="array" ref="J3557">GetLongitude(D3557)</f>
        <v>94119590</v>
      </c>
      <c r="K3557" s="1">
        <f t="shared" si="166"/>
        <v>56.452748999999997</v>
      </c>
      <c r="L3557" s="1">
        <f t="shared" si="167"/>
        <v>9.4119589999999995</v>
      </c>
    </row>
    <row r="3558" spans="1:12" ht="16" x14ac:dyDescent="0.2">
      <c r="A3558" s="1">
        <v>3557</v>
      </c>
      <c r="B3558" s="1" t="s">
        <v>10456</v>
      </c>
      <c r="C3558" s="1" t="s">
        <v>10522</v>
      </c>
      <c r="D3558" s="1" t="str">
        <f t="shared" si="165"/>
        <v>Viborg KommuneSankt Mogensgade 29</v>
      </c>
      <c r="E3558" s="1" t="s">
        <v>10523</v>
      </c>
      <c r="F3558" s="1" t="s">
        <v>416</v>
      </c>
      <c r="G3558" s="1">
        <v>1919</v>
      </c>
      <c r="H3558" s="1" t="s">
        <v>15</v>
      </c>
      <c r="I3558" s="6" cm="1">
        <f t="array" ref="I3558">GetLatitude(D3558)</f>
        <v>564530232</v>
      </c>
      <c r="J3558" s="1" cm="1">
        <f t="array" ref="J3558">GetLongitude(D3558)</f>
        <v>94118403</v>
      </c>
      <c r="K3558" s="1">
        <f t="shared" si="166"/>
        <v>56.453023199999997</v>
      </c>
      <c r="L3558" s="1">
        <f t="shared" si="167"/>
        <v>9.4118402999999997</v>
      </c>
    </row>
    <row r="3559" spans="1:12" ht="16" x14ac:dyDescent="0.2">
      <c r="A3559" s="1">
        <v>3558</v>
      </c>
      <c r="B3559" s="1" t="s">
        <v>10456</v>
      </c>
      <c r="C3559" s="1" t="s">
        <v>10524</v>
      </c>
      <c r="D3559" s="1" t="str">
        <f t="shared" si="165"/>
        <v>Viborg KommuneSankt Mogensgade 3</v>
      </c>
      <c r="E3559" s="1" t="s">
        <v>10525</v>
      </c>
      <c r="F3559" s="1" t="s">
        <v>10526</v>
      </c>
      <c r="G3559" s="1">
        <v>1932</v>
      </c>
      <c r="H3559" s="1" t="s">
        <v>15</v>
      </c>
      <c r="I3559" s="6" cm="1">
        <f t="array" ref="I3559">GetLatitude(D3559)</f>
        <v>564509937</v>
      </c>
      <c r="J3559" s="1" cm="1">
        <f t="array" ref="J3559">GetLongitude(D3559)</f>
        <v>94110132</v>
      </c>
      <c r="K3559" s="1">
        <f t="shared" si="166"/>
        <v>56.450993699999998</v>
      </c>
      <c r="L3559" s="1">
        <f t="shared" si="167"/>
        <v>9.4110131999999993</v>
      </c>
    </row>
    <row r="3560" spans="1:12" ht="16" x14ac:dyDescent="0.2">
      <c r="A3560" s="1">
        <v>3559</v>
      </c>
      <c r="B3560" s="1" t="s">
        <v>10456</v>
      </c>
      <c r="C3560" s="1" t="s">
        <v>10527</v>
      </c>
      <c r="D3560" s="1" t="str">
        <f t="shared" si="165"/>
        <v>Viborg KommuneSankt Mogensgade 31 A-C</v>
      </c>
      <c r="E3560" s="1" t="s">
        <v>10528</v>
      </c>
      <c r="F3560" s="1" t="s">
        <v>10529</v>
      </c>
      <c r="G3560" s="1">
        <v>1918</v>
      </c>
      <c r="H3560" s="1" t="s">
        <v>15</v>
      </c>
      <c r="I3560" s="6" cm="1">
        <f t="array" ref="I3560">GetLatitude(D3560)</f>
        <v>564532293</v>
      </c>
      <c r="J3560" s="1" cm="1">
        <f t="array" ref="J3560">GetLongitude(D3560)</f>
        <v>94117748</v>
      </c>
      <c r="K3560" s="1">
        <f t="shared" si="166"/>
        <v>56.453229299999997</v>
      </c>
      <c r="L3560" s="1">
        <f t="shared" si="167"/>
        <v>9.4117747999999999</v>
      </c>
    </row>
    <row r="3561" spans="1:12" ht="16" x14ac:dyDescent="0.2">
      <c r="A3561" s="1">
        <v>3560</v>
      </c>
      <c r="B3561" s="1" t="s">
        <v>10456</v>
      </c>
      <c r="C3561" s="1" t="s">
        <v>10530</v>
      </c>
      <c r="D3561" s="1" t="str">
        <f t="shared" si="165"/>
        <v>Viborg KommuneSankt Mogensgade 32 A-B</v>
      </c>
      <c r="E3561" s="1" t="s">
        <v>10531</v>
      </c>
      <c r="F3561" s="1" t="s">
        <v>10532</v>
      </c>
      <c r="G3561" s="1">
        <v>1919</v>
      </c>
      <c r="H3561" s="1" t="s">
        <v>11</v>
      </c>
      <c r="I3561" s="6" cm="1">
        <f t="array" ref="I3561">GetLatitude(D3561)</f>
        <v>564532291</v>
      </c>
      <c r="J3561" s="1" cm="1">
        <f t="array" ref="J3561">GetLongitude(D3561)</f>
        <v>94121623</v>
      </c>
      <c r="K3561" s="1">
        <f t="shared" si="166"/>
        <v>56.453229100000001</v>
      </c>
      <c r="L3561" s="1">
        <f t="shared" si="167"/>
        <v>9.4121623000000003</v>
      </c>
    </row>
    <row r="3562" spans="1:12" ht="16" x14ac:dyDescent="0.2">
      <c r="A3562" s="1">
        <v>3561</v>
      </c>
      <c r="B3562" s="1" t="s">
        <v>10456</v>
      </c>
      <c r="C3562" s="1" t="s">
        <v>10533</v>
      </c>
      <c r="D3562" s="1" t="str">
        <f t="shared" si="165"/>
        <v>Viborg KommuneSankt Mogensgade 38</v>
      </c>
      <c r="E3562" s="1" t="s">
        <v>10534</v>
      </c>
      <c r="F3562" s="1" t="s">
        <v>10535</v>
      </c>
      <c r="G3562" s="1">
        <v>1982</v>
      </c>
      <c r="H3562" s="1" t="s">
        <v>11</v>
      </c>
      <c r="I3562" s="6" cm="1">
        <f t="array" ref="I3562">GetLatitude(D3562)</f>
        <v>564534338</v>
      </c>
      <c r="J3562" s="1" cm="1">
        <f t="array" ref="J3562">GetLongitude(D3562)</f>
        <v>94122731</v>
      </c>
      <c r="K3562" s="1">
        <f t="shared" si="166"/>
        <v>56.453433799999999</v>
      </c>
      <c r="L3562" s="1">
        <f t="shared" si="167"/>
        <v>9.4122731000000002</v>
      </c>
    </row>
    <row r="3563" spans="1:12" ht="16" x14ac:dyDescent="0.2">
      <c r="A3563" s="1">
        <v>3562</v>
      </c>
      <c r="B3563" s="1" t="s">
        <v>10456</v>
      </c>
      <c r="C3563" s="1" t="s">
        <v>10536</v>
      </c>
      <c r="D3563" s="1" t="str">
        <f t="shared" si="165"/>
        <v>Viborg KommuneSankt Mogensgade 7</v>
      </c>
      <c r="E3563" s="1" t="s">
        <v>10537</v>
      </c>
      <c r="F3563" s="1" t="s">
        <v>10538</v>
      </c>
      <c r="G3563" s="1">
        <v>1919</v>
      </c>
      <c r="H3563" s="1" t="s">
        <v>11</v>
      </c>
      <c r="I3563" s="6" cm="1">
        <f t="array" ref="I3563">GetLatitude(D3563)</f>
        <v>564514758</v>
      </c>
      <c r="J3563" s="1" cm="1">
        <f t="array" ref="J3563">GetLongitude(D3563)</f>
        <v>94110585</v>
      </c>
      <c r="K3563" s="1">
        <f t="shared" si="166"/>
        <v>56.451475799999997</v>
      </c>
      <c r="L3563" s="1">
        <f t="shared" si="167"/>
        <v>9.4110584999999993</v>
      </c>
    </row>
    <row r="3564" spans="1:12" ht="16" x14ac:dyDescent="0.2">
      <c r="A3564" s="1">
        <v>3563</v>
      </c>
      <c r="B3564" s="1" t="s">
        <v>10456</v>
      </c>
      <c r="C3564" s="1" t="s">
        <v>10539</v>
      </c>
      <c r="D3564" s="1" t="str">
        <f t="shared" si="165"/>
        <v>Viborg KommuneSankt Mogensgade 8</v>
      </c>
      <c r="E3564" s="1" t="s">
        <v>10540</v>
      </c>
      <c r="F3564" s="1" t="s">
        <v>10541</v>
      </c>
      <c r="G3564" s="1">
        <v>1919</v>
      </c>
      <c r="H3564" s="1" t="s">
        <v>15</v>
      </c>
      <c r="I3564" s="6" cm="1">
        <f t="array" ref="I3564">GetLatitude(D3564)</f>
        <v>564512706</v>
      </c>
      <c r="J3564" s="1" cm="1">
        <f t="array" ref="J3564">GetLongitude(D3564)</f>
        <v>94114334</v>
      </c>
      <c r="K3564" s="1">
        <f t="shared" si="166"/>
        <v>56.451270600000001</v>
      </c>
      <c r="L3564" s="1">
        <f t="shared" si="167"/>
        <v>9.4114333999999999</v>
      </c>
    </row>
    <row r="3565" spans="1:12" ht="16" x14ac:dyDescent="0.2">
      <c r="A3565" s="1">
        <v>3564</v>
      </c>
      <c r="B3565" s="1" t="s">
        <v>10456</v>
      </c>
      <c r="C3565" s="1" t="s">
        <v>10542</v>
      </c>
      <c r="D3565" s="1" t="str">
        <f t="shared" si="165"/>
        <v>Viborg KommuneSankt Mogensgade 9 A</v>
      </c>
      <c r="E3565" s="1" t="s">
        <v>10543</v>
      </c>
      <c r="F3565" s="1" t="s">
        <v>10544</v>
      </c>
      <c r="G3565" s="1">
        <v>1918</v>
      </c>
      <c r="H3565" s="1" t="s">
        <v>11</v>
      </c>
      <c r="I3565" s="6" cm="1">
        <f t="array" ref="I3565">GetLatitude(D3565)</f>
        <v>564515570</v>
      </c>
      <c r="J3565" s="1" cm="1">
        <f t="array" ref="J3565">GetLongitude(D3565)</f>
        <v>94111519</v>
      </c>
      <c r="K3565" s="1">
        <f t="shared" si="166"/>
        <v>56.451557000000001</v>
      </c>
      <c r="L3565" s="1">
        <f t="shared" si="167"/>
        <v>9.4111519000000001</v>
      </c>
    </row>
    <row r="3566" spans="1:12" ht="16" x14ac:dyDescent="0.2">
      <c r="A3566" s="1">
        <v>3565</v>
      </c>
      <c r="B3566" s="1" t="s">
        <v>10456</v>
      </c>
      <c r="C3566" s="1" t="s">
        <v>10545</v>
      </c>
      <c r="D3566" s="1" t="str">
        <f t="shared" si="165"/>
        <v>Viborg KommuneSct. Mathias Gade 96 B</v>
      </c>
      <c r="E3566" s="1" t="s">
        <v>10546</v>
      </c>
      <c r="F3566" s="1" t="s">
        <v>10547</v>
      </c>
      <c r="G3566" s="1">
        <v>2006</v>
      </c>
      <c r="H3566" s="1" t="s">
        <v>15</v>
      </c>
      <c r="I3566" s="6" cm="1">
        <f t="array" ref="I3566">GetLatitude(D3566)</f>
        <v>564496280</v>
      </c>
      <c r="J3566" s="1" cm="1">
        <f t="array" ref="J3566">GetLongitude(D3566)</f>
        <v>94130265</v>
      </c>
      <c r="K3566" s="1">
        <f t="shared" si="166"/>
        <v>56.449627999999997</v>
      </c>
      <c r="L3566" s="1">
        <f t="shared" si="167"/>
        <v>9.4130265000000009</v>
      </c>
    </row>
    <row r="3567" spans="1:12" ht="16" x14ac:dyDescent="0.2">
      <c r="A3567" s="1">
        <v>3566</v>
      </c>
      <c r="B3567" s="1" t="s">
        <v>10456</v>
      </c>
      <c r="C3567" s="1" t="s">
        <v>10548</v>
      </c>
      <c r="D3567" s="1" t="str">
        <f t="shared" si="165"/>
        <v>Viborg KommuneSct. Mogens Gade 26</v>
      </c>
      <c r="E3567" s="1" t="s">
        <v>10549</v>
      </c>
      <c r="F3567" s="1" t="s">
        <v>10550</v>
      </c>
      <c r="G3567" s="1">
        <v>1945</v>
      </c>
      <c r="H3567" s="1" t="s">
        <v>11</v>
      </c>
      <c r="I3567" s="6" cm="1">
        <f t="array" ref="I3567">GetLatitude(D3567)</f>
        <v>564524010</v>
      </c>
      <c r="J3567" s="1" cm="1">
        <f t="array" ref="J3567">GetLongitude(D3567)</f>
        <v>94120000</v>
      </c>
      <c r="K3567" s="1">
        <f t="shared" si="166"/>
        <v>56.452401000000002</v>
      </c>
      <c r="L3567" s="1">
        <f t="shared" si="167"/>
        <v>9.4120000000000008</v>
      </c>
    </row>
    <row r="3568" spans="1:12" ht="16" x14ac:dyDescent="0.2">
      <c r="A3568" s="1">
        <v>3567</v>
      </c>
      <c r="B3568" s="1" t="s">
        <v>10456</v>
      </c>
      <c r="C3568" s="1" t="s">
        <v>10551</v>
      </c>
      <c r="D3568" s="1" t="str">
        <f t="shared" si="165"/>
        <v>Viborg KommuneSkolestræde 2</v>
      </c>
      <c r="E3568" s="1" t="s">
        <v>10552</v>
      </c>
      <c r="F3568" s="1" t="s">
        <v>10553</v>
      </c>
      <c r="G3568" s="1">
        <v>1945</v>
      </c>
      <c r="H3568" s="1" t="s">
        <v>10554</v>
      </c>
      <c r="I3568" s="6" cm="1">
        <f t="array" ref="I3568">GetLatitude(D3568)</f>
        <v>564291916</v>
      </c>
      <c r="J3568" s="1" cm="1">
        <f t="array" ref="J3568">GetLongitude(D3568)</f>
        <v>94135810</v>
      </c>
      <c r="K3568" s="1">
        <f t="shared" si="166"/>
        <v>56.429191600000003</v>
      </c>
      <c r="L3568" s="1">
        <f t="shared" si="167"/>
        <v>9.4135810000000006</v>
      </c>
    </row>
    <row r="3569" spans="1:12" ht="16" x14ac:dyDescent="0.2">
      <c r="A3569" s="1">
        <v>3568</v>
      </c>
      <c r="B3569" s="1" t="s">
        <v>10456</v>
      </c>
      <c r="C3569" s="1" t="s">
        <v>10555</v>
      </c>
      <c r="D3569" s="1" t="str">
        <f t="shared" si="165"/>
        <v>Viborg KommuneStore Sankt Hans Gade 2</v>
      </c>
      <c r="E3569" s="1" t="s">
        <v>10556</v>
      </c>
      <c r="F3569" s="1" t="s">
        <v>10557</v>
      </c>
      <c r="G3569" s="1">
        <v>1918</v>
      </c>
      <c r="H3569" s="1" t="s">
        <v>10558</v>
      </c>
      <c r="I3569" s="6" cm="1">
        <f t="array" ref="I3569">GetLatitude(D3569)</f>
        <v>564512989</v>
      </c>
      <c r="J3569" s="1" cm="1">
        <f t="array" ref="J3569">GetLongitude(D3569)</f>
        <v>94093282</v>
      </c>
      <c r="K3569" s="1">
        <f t="shared" si="166"/>
        <v>56.451298899999998</v>
      </c>
      <c r="L3569" s="1">
        <f t="shared" si="167"/>
        <v>9.4093281999999991</v>
      </c>
    </row>
    <row r="3570" spans="1:12" ht="16" x14ac:dyDescent="0.2">
      <c r="A3570" s="1">
        <v>3569</v>
      </c>
      <c r="B3570" s="1" t="s">
        <v>10456</v>
      </c>
      <c r="C3570" s="1" t="s">
        <v>10559</v>
      </c>
      <c r="D3570" s="1" t="str">
        <f t="shared" si="165"/>
        <v>Viborg KommuneVinkelvej 93 B</v>
      </c>
      <c r="E3570" s="1" t="s">
        <v>10560</v>
      </c>
      <c r="F3570" s="1" t="s">
        <v>10561</v>
      </c>
      <c r="G3570" s="1">
        <v>1999</v>
      </c>
      <c r="H3570" s="1" t="s">
        <v>15</v>
      </c>
      <c r="I3570" s="6" cm="1">
        <f t="array" ref="I3570">GetLatitude(D3570)</f>
        <v>564226510</v>
      </c>
      <c r="J3570" s="1" cm="1">
        <f t="array" ref="J3570">GetLongitude(D3570)</f>
        <v>94456779</v>
      </c>
      <c r="K3570" s="1">
        <f t="shared" si="166"/>
        <v>56.422651000000002</v>
      </c>
      <c r="L3570" s="1">
        <f t="shared" si="167"/>
        <v>9.4456778999999997</v>
      </c>
    </row>
    <row r="3571" spans="1:12" ht="16" x14ac:dyDescent="0.2">
      <c r="A3571" s="1">
        <v>3570</v>
      </c>
      <c r="B3571" s="1" t="s">
        <v>10456</v>
      </c>
      <c r="C3571" s="1" t="s">
        <v>10562</v>
      </c>
      <c r="D3571" s="1" t="str">
        <f t="shared" si="165"/>
        <v>Viborg KommuneVirksundvej 70</v>
      </c>
      <c r="E3571" s="1" t="s">
        <v>10563</v>
      </c>
      <c r="F3571" s="1" t="s">
        <v>10564</v>
      </c>
      <c r="G3571" s="1">
        <v>1918</v>
      </c>
      <c r="H3571" s="1" t="s">
        <v>11</v>
      </c>
      <c r="I3571" s="6" cm="1">
        <f t="array" ref="I3571">GetLatitude(D3571)</f>
        <v>565389410</v>
      </c>
      <c r="J3571" s="1" cm="1">
        <f t="array" ref="J3571">GetLongitude(D3571)</f>
        <v>92767740</v>
      </c>
      <c r="K3571" s="1">
        <f t="shared" si="166"/>
        <v>56.538941000000001</v>
      </c>
      <c r="L3571" s="1">
        <f t="shared" si="167"/>
        <v>9.2767739999999996</v>
      </c>
    </row>
    <row r="3572" spans="1:12" ht="16" x14ac:dyDescent="0.2">
      <c r="A3572" s="1">
        <v>3571</v>
      </c>
      <c r="B3572" s="1" t="s">
        <v>10456</v>
      </c>
      <c r="C3572" s="1" t="s">
        <v>10565</v>
      </c>
      <c r="D3572" s="1" t="str">
        <f t="shared" si="165"/>
        <v>Viborg KommuneVrouevej 5</v>
      </c>
      <c r="E3572" s="1" t="s">
        <v>10566</v>
      </c>
      <c r="F3572" s="1" t="s">
        <v>8808</v>
      </c>
      <c r="G3572" s="1">
        <v>1964</v>
      </c>
      <c r="H3572" s="1" t="s">
        <v>11</v>
      </c>
      <c r="I3572" s="6" cm="1">
        <f t="array" ref="I3572">GetLatitude(D3572)</f>
        <v>564416009</v>
      </c>
      <c r="J3572" s="1" cm="1">
        <f t="array" ref="J3572">GetLongitude(D3572)</f>
        <v>90303058</v>
      </c>
      <c r="K3572" s="1">
        <f t="shared" si="166"/>
        <v>56.441600899999997</v>
      </c>
      <c r="L3572" s="1">
        <f t="shared" si="167"/>
        <v>9.0303058000000007</v>
      </c>
    </row>
    <row r="3573" spans="1:12" ht="16" x14ac:dyDescent="0.2">
      <c r="A3573" s="1">
        <v>3572</v>
      </c>
      <c r="B3573" s="1" t="s">
        <v>10456</v>
      </c>
      <c r="C3573" s="1" t="s">
        <v>10567</v>
      </c>
      <c r="D3573" s="1" t="str">
        <f t="shared" si="165"/>
        <v>Viborg KommuneØstervangsvej 28</v>
      </c>
      <c r="E3573" s="1" t="s">
        <v>10568</v>
      </c>
      <c r="F3573" s="1" t="s">
        <v>10569</v>
      </c>
      <c r="G3573" s="1">
        <v>1918</v>
      </c>
      <c r="H3573" s="1" t="s">
        <v>15</v>
      </c>
      <c r="I3573" s="6" cm="1">
        <f t="array" ref="I3573">GetLatitude(D3573)</f>
        <v>564504159</v>
      </c>
      <c r="J3573" s="1" cm="1">
        <f t="array" ref="J3573">GetLongitude(D3573)</f>
        <v>95866573</v>
      </c>
      <c r="K3573" s="1">
        <f t="shared" si="166"/>
        <v>56.450415900000003</v>
      </c>
      <c r="L3573" s="1">
        <f t="shared" si="167"/>
        <v>9.5866573000000006</v>
      </c>
    </row>
    <row r="3574" spans="1:12" ht="16" x14ac:dyDescent="0.2">
      <c r="A3574" s="1">
        <v>3573</v>
      </c>
      <c r="B3574" s="1" t="s">
        <v>10456</v>
      </c>
      <c r="C3574" s="1" t="s">
        <v>10570</v>
      </c>
      <c r="D3574" s="1" t="str">
        <f t="shared" si="165"/>
        <v>Viborg KommuneØstervej 1-3</v>
      </c>
      <c r="E3574" s="1" t="s">
        <v>10571</v>
      </c>
      <c r="F3574" s="1" t="s">
        <v>10572</v>
      </c>
      <c r="G3574" s="1">
        <v>1918</v>
      </c>
      <c r="H3574" s="1" t="s">
        <v>11</v>
      </c>
      <c r="I3574" s="6" cm="1">
        <f t="array" ref="I3574">GetLatitude(D3574)</f>
        <v>564291916</v>
      </c>
      <c r="J3574" s="1" cm="1">
        <f t="array" ref="J3574">GetLongitude(D3574)</f>
        <v>94135810</v>
      </c>
      <c r="K3574" s="1">
        <f t="shared" si="166"/>
        <v>56.429191600000003</v>
      </c>
      <c r="L3574" s="1">
        <f t="shared" si="167"/>
        <v>9.4135810000000006</v>
      </c>
    </row>
    <row r="3575" spans="1:12" ht="16" x14ac:dyDescent="0.2">
      <c r="A3575" s="1">
        <v>3574</v>
      </c>
      <c r="B3575" s="1" t="s">
        <v>10573</v>
      </c>
      <c r="C3575" s="1" t="s">
        <v>10574</v>
      </c>
      <c r="D3575" s="1" t="str">
        <f t="shared" si="165"/>
        <v>Vordingborg Kommune Adelgade 77</v>
      </c>
      <c r="E3575" s="1" t="s">
        <v>10575</v>
      </c>
      <c r="F3575" s="1" t="s">
        <v>10576</v>
      </c>
      <c r="G3575" s="1">
        <v>1982</v>
      </c>
      <c r="H3575" s="1" t="s">
        <v>11</v>
      </c>
      <c r="I3575" s="6" cm="1">
        <f t="array" ref="I3575">GetLatitude(D3575)</f>
        <v>551224454</v>
      </c>
      <c r="J3575" s="1" cm="1">
        <f t="array" ref="J3575">GetLongitude(D3575)</f>
        <v>120432028</v>
      </c>
      <c r="K3575" s="1">
        <f t="shared" si="166"/>
        <v>55.122445399999997</v>
      </c>
      <c r="L3575" s="1">
        <f t="shared" si="167"/>
        <v>12.0432028</v>
      </c>
    </row>
    <row r="3576" spans="1:12" ht="16" x14ac:dyDescent="0.2">
      <c r="A3576" s="1">
        <v>3575</v>
      </c>
      <c r="B3576" s="1" t="s">
        <v>10573</v>
      </c>
      <c r="C3576" s="1" t="s">
        <v>10577</v>
      </c>
      <c r="D3576" s="1" t="str">
        <f t="shared" si="165"/>
        <v>Vordingborg Kommune Algade 97</v>
      </c>
      <c r="E3576" s="1" t="s">
        <v>10578</v>
      </c>
      <c r="F3576" s="1" t="s">
        <v>10579</v>
      </c>
      <c r="G3576" s="1">
        <v>1977</v>
      </c>
      <c r="H3576" s="1" t="s">
        <v>701</v>
      </c>
      <c r="I3576" s="6" cm="1">
        <f t="array" ref="I3576">GetLatitude(D3576)</f>
        <v>550084595</v>
      </c>
      <c r="J3576" s="1" cm="1">
        <f t="array" ref="J3576">GetLongitude(D3576)</f>
        <v>119107377</v>
      </c>
      <c r="K3576" s="1">
        <f t="shared" si="166"/>
        <v>55.008459500000001</v>
      </c>
      <c r="L3576" s="1">
        <f t="shared" si="167"/>
        <v>11.9107377</v>
      </c>
    </row>
    <row r="3577" spans="1:12" ht="16" x14ac:dyDescent="0.2">
      <c r="A3577" s="1">
        <v>3576</v>
      </c>
      <c r="B3577" s="1" t="s">
        <v>10573</v>
      </c>
      <c r="C3577" s="1" t="s">
        <v>10580</v>
      </c>
      <c r="D3577" s="1" t="str">
        <f t="shared" si="165"/>
        <v>Vordingborg Kommune Billedhuggerstræde 2 (tidl Ved Stranden 2)</v>
      </c>
      <c r="E3577" s="1" t="s">
        <v>10581</v>
      </c>
      <c r="F3577" s="1" t="s">
        <v>10582</v>
      </c>
      <c r="G3577" s="1">
        <v>1924</v>
      </c>
      <c r="H3577" s="1" t="s">
        <v>15</v>
      </c>
      <c r="I3577" s="6" cm="1">
        <f t="array" ref="I3577">GetLatitude(D3577)</f>
        <v>549827885</v>
      </c>
      <c r="J3577" s="1" cm="1">
        <f t="array" ref="J3577">GetLongitude(D3577)</f>
        <v>122837791</v>
      </c>
      <c r="K3577" s="1">
        <f t="shared" si="166"/>
        <v>54.982788499999998</v>
      </c>
      <c r="L3577" s="1">
        <f t="shared" si="167"/>
        <v>12.2837791</v>
      </c>
    </row>
    <row r="3578" spans="1:12" ht="16" x14ac:dyDescent="0.2">
      <c r="A3578" s="1">
        <v>3577</v>
      </c>
      <c r="B3578" s="1" t="s">
        <v>10573</v>
      </c>
      <c r="C3578" s="1" t="s">
        <v>10583</v>
      </c>
      <c r="D3578" s="1" t="str">
        <f t="shared" si="165"/>
        <v>Vordingborg Kommune Bogø Hovedgade 36</v>
      </c>
      <c r="E3578" s="1" t="s">
        <v>10584</v>
      </c>
      <c r="F3578" s="1" t="s">
        <v>10585</v>
      </c>
      <c r="G3578" s="1">
        <v>1964</v>
      </c>
      <c r="H3578" s="1" t="s">
        <v>11</v>
      </c>
      <c r="I3578" s="6" cm="1">
        <f t="array" ref="I3578">GetLatitude(D3578)</f>
        <v>549190434</v>
      </c>
      <c r="J3578" s="1" cm="1">
        <f t="array" ref="J3578">GetLongitude(D3578)</f>
        <v>120502399</v>
      </c>
      <c r="K3578" s="1">
        <f t="shared" si="166"/>
        <v>54.9190434</v>
      </c>
      <c r="L3578" s="1">
        <f t="shared" si="167"/>
        <v>12.050239899999999</v>
      </c>
    </row>
    <row r="3579" spans="1:12" ht="16" x14ac:dyDescent="0.2">
      <c r="A3579" s="1">
        <v>3578</v>
      </c>
      <c r="B3579" s="1" t="s">
        <v>10573</v>
      </c>
      <c r="C3579" s="1" t="s">
        <v>10586</v>
      </c>
      <c r="D3579" s="1" t="str">
        <f t="shared" si="165"/>
        <v>Vordingborg Kommune Bogø Hovedgade 40</v>
      </c>
      <c r="E3579" s="1" t="s">
        <v>10587</v>
      </c>
      <c r="F3579" s="1" t="s">
        <v>10588</v>
      </c>
      <c r="G3579" s="1">
        <v>1964</v>
      </c>
      <c r="H3579" s="1" t="s">
        <v>11</v>
      </c>
      <c r="I3579" s="6" cm="1">
        <f t="array" ref="I3579">GetLatitude(D3579)</f>
        <v>549200371</v>
      </c>
      <c r="J3579" s="1" cm="1">
        <f t="array" ref="J3579">GetLongitude(D3579)</f>
        <v>120490362</v>
      </c>
      <c r="K3579" s="1">
        <f t="shared" si="166"/>
        <v>54.920037100000002</v>
      </c>
      <c r="L3579" s="1">
        <f t="shared" si="167"/>
        <v>12.0490362</v>
      </c>
    </row>
    <row r="3580" spans="1:12" ht="16" x14ac:dyDescent="0.2">
      <c r="A3580" s="1">
        <v>3579</v>
      </c>
      <c r="B3580" s="1" t="s">
        <v>10573</v>
      </c>
      <c r="C3580" s="1" t="s">
        <v>10589</v>
      </c>
      <c r="D3580" s="1" t="str">
        <f t="shared" si="165"/>
        <v>Vordingborg Kommune Bygaden 16</v>
      </c>
      <c r="E3580" s="1" t="s">
        <v>10590</v>
      </c>
      <c r="F3580" s="1" t="s">
        <v>10591</v>
      </c>
      <c r="G3580" s="1">
        <v>1945</v>
      </c>
      <c r="H3580" s="1" t="s">
        <v>11</v>
      </c>
      <c r="I3580" s="6" cm="1">
        <f t="array" ref="I3580">GetLatitude(D3580)</f>
        <v>551098080</v>
      </c>
      <c r="J3580" s="1" cm="1">
        <f t="array" ref="J3580">GetLongitude(D3580)</f>
        <v>118274570</v>
      </c>
      <c r="K3580" s="1">
        <f t="shared" si="166"/>
        <v>55.109808000000001</v>
      </c>
      <c r="L3580" s="1">
        <f t="shared" si="167"/>
        <v>11.827457000000001</v>
      </c>
    </row>
    <row r="3581" spans="1:12" ht="16" x14ac:dyDescent="0.2">
      <c r="A3581" s="1">
        <v>3580</v>
      </c>
      <c r="B3581" s="1" t="s">
        <v>10573</v>
      </c>
      <c r="C3581" s="1" t="s">
        <v>10592</v>
      </c>
      <c r="D3581" s="1" t="str">
        <f t="shared" si="165"/>
        <v>Vordingborg Kommune Bygaden 22</v>
      </c>
      <c r="E3581" s="1" t="s">
        <v>10593</v>
      </c>
      <c r="F3581" s="1" t="s">
        <v>10594</v>
      </c>
      <c r="G3581" s="1">
        <v>1945</v>
      </c>
      <c r="H3581" s="1" t="s">
        <v>15</v>
      </c>
      <c r="I3581" s="6" cm="1">
        <f t="array" ref="I3581">GetLatitude(D3581)</f>
        <v>551105099</v>
      </c>
      <c r="J3581" s="1" cm="1">
        <f t="array" ref="J3581">GetLongitude(D3581)</f>
        <v>118231369</v>
      </c>
      <c r="K3581" s="1">
        <f t="shared" si="166"/>
        <v>55.110509899999997</v>
      </c>
      <c r="L3581" s="1">
        <f t="shared" si="167"/>
        <v>11.8231369</v>
      </c>
    </row>
    <row r="3582" spans="1:12" ht="16" x14ac:dyDescent="0.2">
      <c r="A3582" s="1">
        <v>3581</v>
      </c>
      <c r="B3582" s="1" t="s">
        <v>10573</v>
      </c>
      <c r="C3582" s="1" t="s">
        <v>10595</v>
      </c>
      <c r="D3582" s="1" t="str">
        <f t="shared" si="165"/>
        <v>Vordingborg Kommune Bygaden 27</v>
      </c>
      <c r="E3582" s="1" t="s">
        <v>10596</v>
      </c>
      <c r="F3582" s="1" t="s">
        <v>10597</v>
      </c>
      <c r="G3582" s="1">
        <v>1945</v>
      </c>
      <c r="H3582" s="1" t="s">
        <v>11</v>
      </c>
      <c r="I3582" s="6" cm="1">
        <f t="array" ref="I3582">GetLatitude(D3582)</f>
        <v>551097189</v>
      </c>
      <c r="J3582" s="1" cm="1">
        <f t="array" ref="J3582">GetLongitude(D3582)</f>
        <v>118256948</v>
      </c>
      <c r="K3582" s="1">
        <f t="shared" si="166"/>
        <v>55.109718899999997</v>
      </c>
      <c r="L3582" s="1">
        <f t="shared" si="167"/>
        <v>11.825694800000001</v>
      </c>
    </row>
    <row r="3583" spans="1:12" ht="16" x14ac:dyDescent="0.2">
      <c r="A3583" s="1">
        <v>3582</v>
      </c>
      <c r="B3583" s="1" t="s">
        <v>10573</v>
      </c>
      <c r="C3583" s="1" t="s">
        <v>10598</v>
      </c>
      <c r="D3583" s="1" t="str">
        <f t="shared" si="165"/>
        <v>Vordingborg Kommune Byvolden, mellem Stege Bugt og Stege Nor</v>
      </c>
      <c r="E3583" s="1" t="s">
        <v>10599</v>
      </c>
      <c r="F3583" s="1" t="s">
        <v>10600</v>
      </c>
      <c r="G3583" s="1">
        <v>1918</v>
      </c>
      <c r="H3583" s="1" t="s">
        <v>15</v>
      </c>
      <c r="I3583" s="6" cm="1">
        <f t="array" ref="I3583">GetLatitude(D3583)</f>
        <v>549789424</v>
      </c>
      <c r="J3583" s="1" cm="1">
        <f t="array" ref="J3583">GetLongitude(D3583)</f>
        <v>122967676</v>
      </c>
      <c r="K3583" s="1">
        <f t="shared" si="166"/>
        <v>54.978942400000001</v>
      </c>
      <c r="L3583" s="1">
        <f t="shared" si="167"/>
        <v>12.296767600000001</v>
      </c>
    </row>
    <row r="3584" spans="1:12" ht="16" x14ac:dyDescent="0.2">
      <c r="A3584" s="1">
        <v>3583</v>
      </c>
      <c r="B3584" s="1" t="s">
        <v>10573</v>
      </c>
      <c r="C3584" s="1" t="s">
        <v>10601</v>
      </c>
      <c r="D3584" s="1" t="str">
        <f t="shared" si="165"/>
        <v>Vordingborg Kommune Christinelundsvej 36 og 38</v>
      </c>
      <c r="E3584" s="1" t="s">
        <v>10602</v>
      </c>
      <c r="F3584" s="1" t="s">
        <v>10603</v>
      </c>
      <c r="G3584" s="1">
        <v>1978</v>
      </c>
      <c r="H3584" s="1" t="s">
        <v>15</v>
      </c>
      <c r="I3584" s="6" cm="1">
        <f t="array" ref="I3584">GetLatitude(D3584)</f>
        <v>551192190</v>
      </c>
      <c r="J3584" s="1" cm="1">
        <f t="array" ref="J3584">GetLongitude(D3584)</f>
        <v>120748400</v>
      </c>
      <c r="K3584" s="1">
        <f t="shared" si="166"/>
        <v>55.119219000000001</v>
      </c>
      <c r="L3584" s="1">
        <f t="shared" si="167"/>
        <v>12.07484</v>
      </c>
    </row>
    <row r="3585" spans="1:12" ht="16" x14ac:dyDescent="0.2">
      <c r="A3585" s="1">
        <v>3584</v>
      </c>
      <c r="B3585" s="1" t="s">
        <v>10573</v>
      </c>
      <c r="C3585" s="1" t="s">
        <v>10604</v>
      </c>
      <c r="D3585" s="1" t="str">
        <f t="shared" si="165"/>
        <v>Vordingborg Kommune Fæbyvej 121</v>
      </c>
      <c r="E3585" s="1" t="s">
        <v>10605</v>
      </c>
      <c r="F3585" s="1" t="s">
        <v>10606</v>
      </c>
      <c r="G3585" s="1">
        <v>1978</v>
      </c>
      <c r="H3585" s="1" t="s">
        <v>15</v>
      </c>
      <c r="I3585" s="6" cm="1">
        <f t="array" ref="I3585">GetLatitude(D3585)</f>
        <v>550654630</v>
      </c>
      <c r="J3585" s="1" cm="1">
        <f t="array" ref="J3585">GetLongitude(D3585)</f>
        <v>119197620</v>
      </c>
      <c r="K3585" s="1">
        <f t="shared" si="166"/>
        <v>55.065463000000001</v>
      </c>
      <c r="L3585" s="1">
        <f t="shared" si="167"/>
        <v>11.919762</v>
      </c>
    </row>
    <row r="3586" spans="1:12" ht="16" x14ac:dyDescent="0.2">
      <c r="A3586" s="1">
        <v>3585</v>
      </c>
      <c r="B3586" s="1" t="s">
        <v>10573</v>
      </c>
      <c r="C3586" s="1" t="s">
        <v>10607</v>
      </c>
      <c r="D3586" s="1" t="str">
        <f t="shared" si="165"/>
        <v>Vordingborg Kommune Færgegaardsvej 15</v>
      </c>
      <c r="E3586" s="1" t="s">
        <v>10608</v>
      </c>
      <c r="F3586" s="1" t="s">
        <v>10609</v>
      </c>
      <c r="G3586" s="1">
        <v>1945</v>
      </c>
      <c r="H3586" s="1" t="s">
        <v>15</v>
      </c>
      <c r="I3586" s="6" cm="1">
        <f t="array" ref="I3586">GetLatitude(D3586)</f>
        <v>550001155</v>
      </c>
      <c r="J3586" s="1" cm="1">
        <f t="array" ref="J3586">GetLongitude(D3586)</f>
        <v>119110728</v>
      </c>
      <c r="K3586" s="1">
        <f t="shared" si="166"/>
        <v>55.0001155</v>
      </c>
      <c r="L3586" s="1">
        <f t="shared" si="167"/>
        <v>11.911072799999999</v>
      </c>
    </row>
    <row r="3587" spans="1:12" ht="16" x14ac:dyDescent="0.2">
      <c r="A3587" s="1">
        <v>3586</v>
      </c>
      <c r="B3587" s="1" t="s">
        <v>10573</v>
      </c>
      <c r="C3587" s="1" t="s">
        <v>10610</v>
      </c>
      <c r="D3587" s="1" t="str">
        <f t="shared" ref="D3587:D3650" si="168">B3587&amp;C3587</f>
        <v>Vordingborg Kommune Grønnegade 1</v>
      </c>
      <c r="E3587" s="1" t="s">
        <v>10611</v>
      </c>
      <c r="F3587" s="1" t="s">
        <v>10612</v>
      </c>
      <c r="G3587" s="1">
        <v>1982</v>
      </c>
      <c r="H3587" s="1" t="s">
        <v>15</v>
      </c>
      <c r="I3587" s="6" cm="1">
        <f t="array" ref="I3587">GetLatitude(D3587)</f>
        <v>550517421</v>
      </c>
      <c r="J3587" s="1" cm="1">
        <f t="array" ref="J3587">GetLongitude(D3587)</f>
        <v>120293275</v>
      </c>
      <c r="K3587" s="1">
        <f t="shared" si="166"/>
        <v>55.051742099999998</v>
      </c>
      <c r="L3587" s="1">
        <f t="shared" si="167"/>
        <v>12.029327500000001</v>
      </c>
    </row>
    <row r="3588" spans="1:12" ht="16" x14ac:dyDescent="0.2">
      <c r="A3588" s="1">
        <v>3587</v>
      </c>
      <c r="B3588" s="1" t="s">
        <v>10573</v>
      </c>
      <c r="C3588" s="1" t="s">
        <v>10613</v>
      </c>
      <c r="D3588" s="1" t="str">
        <f t="shared" si="168"/>
        <v>Vordingborg Kommune Grønnegade 11</v>
      </c>
      <c r="E3588" s="1" t="s">
        <v>10614</v>
      </c>
      <c r="F3588" s="1" t="s">
        <v>10615</v>
      </c>
      <c r="G3588" s="1">
        <v>1982</v>
      </c>
      <c r="H3588" s="1" t="s">
        <v>11</v>
      </c>
      <c r="I3588" s="6" cm="1">
        <f t="array" ref="I3588">GetLatitude(D3588)</f>
        <v>551233326</v>
      </c>
      <c r="J3588" s="1" cm="1">
        <f t="array" ref="J3588">GetLongitude(D3588)</f>
        <v>120428522</v>
      </c>
      <c r="K3588" s="1">
        <f t="shared" ref="K3588:K3651" si="169">I3588/10000000</f>
        <v>55.123332599999998</v>
      </c>
      <c r="L3588" s="1">
        <f t="shared" ref="L3588:L3651" si="170">J3588/10000000</f>
        <v>12.0428522</v>
      </c>
    </row>
    <row r="3589" spans="1:12" ht="16" x14ac:dyDescent="0.2">
      <c r="A3589" s="1">
        <v>3588</v>
      </c>
      <c r="B3589" s="1" t="s">
        <v>10573</v>
      </c>
      <c r="C3589" s="1" t="s">
        <v>665</v>
      </c>
      <c r="D3589" s="1" t="str">
        <f t="shared" si="168"/>
        <v>Vordingborg Kommune Grønnegade 12</v>
      </c>
      <c r="E3589" s="1" t="s">
        <v>10616</v>
      </c>
      <c r="F3589" s="1" t="s">
        <v>10617</v>
      </c>
      <c r="G3589" s="1">
        <v>1982</v>
      </c>
      <c r="H3589" s="1" t="s">
        <v>11</v>
      </c>
      <c r="I3589" s="6" cm="1">
        <f t="array" ref="I3589">GetLatitude(D3589)</f>
        <v>551232270</v>
      </c>
      <c r="J3589" s="1" cm="1">
        <f t="array" ref="J3589">GetLongitude(D3589)</f>
        <v>120426740</v>
      </c>
      <c r="K3589" s="1">
        <f t="shared" si="169"/>
        <v>55.123227</v>
      </c>
      <c r="L3589" s="1">
        <f t="shared" si="170"/>
        <v>12.042674</v>
      </c>
    </row>
    <row r="3590" spans="1:12" ht="16" x14ac:dyDescent="0.2">
      <c r="A3590" s="1">
        <v>3589</v>
      </c>
      <c r="B3590" s="1" t="s">
        <v>10573</v>
      </c>
      <c r="C3590" s="1" t="s">
        <v>10618</v>
      </c>
      <c r="D3590" s="1" t="str">
        <f t="shared" si="168"/>
        <v>Vordingborg Kommune Grønnegade 9</v>
      </c>
      <c r="E3590" s="1" t="s">
        <v>10619</v>
      </c>
      <c r="F3590" s="1" t="s">
        <v>10620</v>
      </c>
      <c r="G3590" s="1">
        <v>1982</v>
      </c>
      <c r="H3590" s="1" t="s">
        <v>11</v>
      </c>
      <c r="I3590" s="6" cm="1">
        <f t="array" ref="I3590">GetLatitude(D3590)</f>
        <v>551233326</v>
      </c>
      <c r="J3590" s="1" cm="1">
        <f t="array" ref="J3590">GetLongitude(D3590)</f>
        <v>120428522</v>
      </c>
      <c r="K3590" s="1">
        <f t="shared" si="169"/>
        <v>55.123332599999998</v>
      </c>
      <c r="L3590" s="1">
        <f t="shared" si="170"/>
        <v>12.0428522</v>
      </c>
    </row>
    <row r="3591" spans="1:12" ht="16" x14ac:dyDescent="0.2">
      <c r="A3591" s="1">
        <v>3590</v>
      </c>
      <c r="B3591" s="1" t="s">
        <v>10573</v>
      </c>
      <c r="C3591" s="1" t="s">
        <v>10621</v>
      </c>
      <c r="D3591" s="1" t="str">
        <f t="shared" si="168"/>
        <v>Vordingborg Kommune Grønsundvej 50</v>
      </c>
      <c r="E3591" s="1" t="s">
        <v>10622</v>
      </c>
      <c r="F3591" s="1" t="s">
        <v>10623</v>
      </c>
      <c r="G3591" s="1">
        <v>1972</v>
      </c>
      <c r="H3591" s="1" t="s">
        <v>11</v>
      </c>
      <c r="I3591" s="6" cm="1">
        <f t="array" ref="I3591">GetLatitude(D3591)</f>
        <v>549717504</v>
      </c>
      <c r="J3591" s="1" cm="1">
        <f t="array" ref="J3591">GetLongitude(D3591)</f>
        <v>122573946</v>
      </c>
      <c r="K3591" s="1">
        <f t="shared" si="169"/>
        <v>54.971750399999998</v>
      </c>
      <c r="L3591" s="1">
        <f t="shared" si="170"/>
        <v>12.2573946</v>
      </c>
    </row>
    <row r="3592" spans="1:12" ht="16" x14ac:dyDescent="0.2">
      <c r="A3592" s="1">
        <v>3591</v>
      </c>
      <c r="B3592" s="1" t="s">
        <v>10573</v>
      </c>
      <c r="C3592" s="1" t="s">
        <v>10624</v>
      </c>
      <c r="D3592" s="1" t="str">
        <f t="shared" si="168"/>
        <v>Vordingborg Kommune Hastrupvej 1</v>
      </c>
      <c r="E3592" s="1" t="s">
        <v>10625</v>
      </c>
      <c r="F3592" s="1" t="s">
        <v>10626</v>
      </c>
      <c r="G3592" s="1">
        <v>1918</v>
      </c>
      <c r="H3592" s="1" t="s">
        <v>10627</v>
      </c>
      <c r="I3592" s="6" cm="1">
        <f t="array" ref="I3592">GetLatitude(D3592)</f>
        <v>551060388</v>
      </c>
      <c r="J3592" s="1" cm="1">
        <f t="array" ref="J3592">GetLongitude(D3592)</f>
        <v>119921266</v>
      </c>
      <c r="K3592" s="1">
        <f t="shared" si="169"/>
        <v>55.1060388</v>
      </c>
      <c r="L3592" s="1">
        <f t="shared" si="170"/>
        <v>11.992126600000001</v>
      </c>
    </row>
    <row r="3593" spans="1:12" ht="16" x14ac:dyDescent="0.2">
      <c r="A3593" s="1">
        <v>3592</v>
      </c>
      <c r="B3593" s="1" t="s">
        <v>10573</v>
      </c>
      <c r="C3593" s="1" t="s">
        <v>10628</v>
      </c>
      <c r="D3593" s="1" t="str">
        <f t="shared" si="168"/>
        <v>Vordingborg Kommune Havnepladsen 12</v>
      </c>
      <c r="E3593" s="1" t="s">
        <v>10629</v>
      </c>
      <c r="F3593" s="1" t="s">
        <v>10630</v>
      </c>
      <c r="G3593" s="1">
        <v>1979</v>
      </c>
      <c r="H3593" s="1" t="s">
        <v>11</v>
      </c>
      <c r="I3593" s="6" cm="1">
        <f t="array" ref="I3593">GetLatitude(D3593)</f>
        <v>551240906</v>
      </c>
      <c r="J3593" s="1" cm="1">
        <f t="array" ref="J3593">GetLongitude(D3593)</f>
        <v>120415170</v>
      </c>
      <c r="K3593" s="1">
        <f t="shared" si="169"/>
        <v>55.124090600000002</v>
      </c>
      <c r="L3593" s="1">
        <f t="shared" si="170"/>
        <v>12.041517000000001</v>
      </c>
    </row>
    <row r="3594" spans="1:12" ht="16" x14ac:dyDescent="0.2">
      <c r="A3594" s="1">
        <v>3593</v>
      </c>
      <c r="B3594" s="1" t="s">
        <v>10573</v>
      </c>
      <c r="C3594" s="1" t="s">
        <v>10631</v>
      </c>
      <c r="D3594" s="1" t="str">
        <f t="shared" si="168"/>
        <v>Vordingborg Kommune Havnepladsen 8</v>
      </c>
      <c r="E3594" s="1" t="s">
        <v>10632</v>
      </c>
      <c r="F3594" s="1" t="s">
        <v>10633</v>
      </c>
      <c r="G3594" s="1">
        <v>1982</v>
      </c>
      <c r="H3594" s="1" t="s">
        <v>15</v>
      </c>
      <c r="I3594" s="6" cm="1">
        <f t="array" ref="I3594">GetLatitude(D3594)</f>
        <v>551241378</v>
      </c>
      <c r="J3594" s="1" cm="1">
        <f t="array" ref="J3594">GetLongitude(D3594)</f>
        <v>120423554</v>
      </c>
      <c r="K3594" s="1">
        <f t="shared" si="169"/>
        <v>55.1241378</v>
      </c>
      <c r="L3594" s="1">
        <f t="shared" si="170"/>
        <v>12.0423554</v>
      </c>
    </row>
    <row r="3595" spans="1:12" ht="16" x14ac:dyDescent="0.2">
      <c r="A3595" s="1">
        <v>3594</v>
      </c>
      <c r="B3595" s="1" t="s">
        <v>10573</v>
      </c>
      <c r="C3595" s="1" t="s">
        <v>10634</v>
      </c>
      <c r="D3595" s="1" t="str">
        <f t="shared" si="168"/>
        <v>Vordingborg Kommune Havnestræde 2, 4 B og 4 C</v>
      </c>
      <c r="E3595" s="1" t="s">
        <v>10635</v>
      </c>
      <c r="F3595" s="1" t="s">
        <v>10636</v>
      </c>
      <c r="G3595" s="1">
        <v>1982</v>
      </c>
      <c r="H3595" s="1" t="s">
        <v>11</v>
      </c>
      <c r="I3595" s="6" cm="1">
        <f t="array" ref="I3595">GetLatitude(D3595)</f>
        <v>551214286</v>
      </c>
      <c r="J3595" s="1" cm="1">
        <f t="array" ref="J3595">GetLongitude(D3595)</f>
        <v>120392663</v>
      </c>
      <c r="K3595" s="1">
        <f t="shared" si="169"/>
        <v>55.121428600000002</v>
      </c>
      <c r="L3595" s="1">
        <f t="shared" si="170"/>
        <v>12.0392663</v>
      </c>
    </row>
    <row r="3596" spans="1:12" ht="16" x14ac:dyDescent="0.2">
      <c r="A3596" s="1">
        <v>3595</v>
      </c>
      <c r="B3596" s="1" t="s">
        <v>10573</v>
      </c>
      <c r="C3596" s="1" t="s">
        <v>10637</v>
      </c>
      <c r="D3596" s="1" t="str">
        <f t="shared" si="168"/>
        <v>Vordingborg Kommune Havnevej 15</v>
      </c>
      <c r="E3596" s="1" t="s">
        <v>10638</v>
      </c>
      <c r="F3596" s="1" t="s">
        <v>6517</v>
      </c>
      <c r="G3596" s="1">
        <v>1982</v>
      </c>
      <c r="H3596" s="1" t="s">
        <v>15</v>
      </c>
      <c r="I3596" s="6" cm="1">
        <f t="array" ref="I3596">GetLatitude(D3596)</f>
        <v>551234002</v>
      </c>
      <c r="J3596" s="1" cm="1">
        <f t="array" ref="J3596">GetLongitude(D3596)</f>
        <v>120405469</v>
      </c>
      <c r="K3596" s="1">
        <f t="shared" si="169"/>
        <v>55.123400199999999</v>
      </c>
      <c r="L3596" s="1">
        <f t="shared" si="170"/>
        <v>12.040546900000001</v>
      </c>
    </row>
    <row r="3597" spans="1:12" ht="16" x14ac:dyDescent="0.2">
      <c r="A3597" s="1">
        <v>3596</v>
      </c>
      <c r="B3597" s="1" t="s">
        <v>10573</v>
      </c>
      <c r="C3597" s="1" t="s">
        <v>10639</v>
      </c>
      <c r="D3597" s="1" t="str">
        <f t="shared" si="168"/>
        <v>Vordingborg Kommune Jomfrustræde 4</v>
      </c>
      <c r="E3597" s="1" t="s">
        <v>10640</v>
      </c>
      <c r="F3597" s="1" t="s">
        <v>10641</v>
      </c>
      <c r="G3597" s="1">
        <v>1982</v>
      </c>
      <c r="H3597" s="1" t="s">
        <v>11</v>
      </c>
      <c r="I3597" s="6" cm="1">
        <f t="array" ref="I3597">GetLatitude(D3597)</f>
        <v>551233923</v>
      </c>
      <c r="J3597" s="1" cm="1">
        <f t="array" ref="J3597">GetLongitude(D3597)</f>
        <v>120463074</v>
      </c>
      <c r="K3597" s="1">
        <f t="shared" si="169"/>
        <v>55.123392299999999</v>
      </c>
      <c r="L3597" s="1">
        <f t="shared" si="170"/>
        <v>12.0463074</v>
      </c>
    </row>
    <row r="3598" spans="1:12" ht="16" x14ac:dyDescent="0.2">
      <c r="A3598" s="1">
        <v>3597</v>
      </c>
      <c r="B3598" s="1" t="s">
        <v>10573</v>
      </c>
      <c r="C3598" s="1" t="s">
        <v>10642</v>
      </c>
      <c r="D3598" s="1" t="str">
        <f t="shared" si="168"/>
        <v>Vordingborg Kommune Jomfrustræde 8</v>
      </c>
      <c r="E3598" s="1" t="s">
        <v>10643</v>
      </c>
      <c r="F3598" s="1" t="s">
        <v>10644</v>
      </c>
      <c r="G3598" s="1">
        <v>1982</v>
      </c>
      <c r="H3598" s="1" t="s">
        <v>15</v>
      </c>
      <c r="I3598" s="6" cm="1">
        <f t="array" ref="I3598">GetLatitude(D3598)</f>
        <v>551238848</v>
      </c>
      <c r="J3598" s="1" cm="1">
        <f t="array" ref="J3598">GetLongitude(D3598)</f>
        <v>120459869</v>
      </c>
      <c r="K3598" s="1">
        <f t="shared" si="169"/>
        <v>55.123884799999999</v>
      </c>
      <c r="L3598" s="1">
        <f t="shared" si="170"/>
        <v>12.045986900000001</v>
      </c>
    </row>
    <row r="3599" spans="1:12" ht="16" x14ac:dyDescent="0.2">
      <c r="A3599" s="1">
        <v>3598</v>
      </c>
      <c r="B3599" s="1" t="s">
        <v>10573</v>
      </c>
      <c r="C3599" s="1" t="s">
        <v>10645</v>
      </c>
      <c r="D3599" s="1" t="str">
        <f t="shared" si="168"/>
        <v>Vordingborg Kommune Kirkepladsen 1 og Dybsbrostræde 1, tidl Langgade 1</v>
      </c>
      <c r="E3599" s="1" t="s">
        <v>10646</v>
      </c>
      <c r="F3599" s="1" t="s">
        <v>10647</v>
      </c>
      <c r="G3599" s="1">
        <v>1971</v>
      </c>
      <c r="H3599" s="1" t="s">
        <v>10648</v>
      </c>
      <c r="I3599" s="6" cm="1">
        <f t="array" ref="I3599">GetLatitude(D3599)</f>
        <v>549845344</v>
      </c>
      <c r="J3599" s="1" cm="1">
        <f t="array" ref="J3599">GetLongitude(D3599)</f>
        <v>122834347</v>
      </c>
      <c r="K3599" s="1">
        <f t="shared" si="169"/>
        <v>54.984534400000001</v>
      </c>
      <c r="L3599" s="1">
        <f t="shared" si="170"/>
        <v>12.283434700000001</v>
      </c>
    </row>
    <row r="3600" spans="1:12" ht="16" x14ac:dyDescent="0.2">
      <c r="A3600" s="1">
        <v>3599</v>
      </c>
      <c r="B3600" s="1" t="s">
        <v>10573</v>
      </c>
      <c r="C3600" s="1" t="s">
        <v>10649</v>
      </c>
      <c r="D3600" s="1" t="str">
        <f t="shared" si="168"/>
        <v>Vordingborg Kommune Klintevej 502</v>
      </c>
      <c r="E3600" s="1" t="s">
        <v>10650</v>
      </c>
      <c r="F3600" s="1" t="s">
        <v>10651</v>
      </c>
      <c r="G3600" s="1">
        <v>1953</v>
      </c>
      <c r="H3600" s="1" t="s">
        <v>15</v>
      </c>
      <c r="I3600" s="6" cm="1">
        <f t="array" ref="I3600">GetLatitude(D3600)</f>
        <v>549839668</v>
      </c>
      <c r="J3600" s="1" cm="1">
        <f t="array" ref="J3600">GetLongitude(D3600)</f>
        <v>124848764</v>
      </c>
      <c r="K3600" s="1">
        <f t="shared" si="169"/>
        <v>54.983966799999997</v>
      </c>
      <c r="L3600" s="1">
        <f t="shared" si="170"/>
        <v>12.484876399999999</v>
      </c>
    </row>
    <row r="3601" spans="1:12" ht="16" x14ac:dyDescent="0.2">
      <c r="A3601" s="1">
        <v>3600</v>
      </c>
      <c r="B3601" s="1" t="s">
        <v>10573</v>
      </c>
      <c r="C3601" s="1" t="s">
        <v>10652</v>
      </c>
      <c r="D3601" s="1" t="str">
        <f t="shared" si="168"/>
        <v>Vordingborg Kommune Klintholm Allé 1 M</v>
      </c>
      <c r="E3601" s="1" t="s">
        <v>10653</v>
      </c>
      <c r="F3601" s="1" t="s">
        <v>10654</v>
      </c>
      <c r="G3601" s="1">
        <v>1964</v>
      </c>
      <c r="H3601" s="1" t="s">
        <v>15</v>
      </c>
      <c r="I3601" s="6" cm="1">
        <f t="array" ref="I3601">GetLatitude(D3601)</f>
        <v>549781840</v>
      </c>
      <c r="J3601" s="1" cm="1">
        <f t="array" ref="J3601">GetLongitude(D3601)</f>
        <v>125035160</v>
      </c>
      <c r="K3601" s="1">
        <f t="shared" si="169"/>
        <v>54.978183999999999</v>
      </c>
      <c r="L3601" s="1">
        <f t="shared" si="170"/>
        <v>12.503515999999999</v>
      </c>
    </row>
    <row r="3602" spans="1:12" ht="16" x14ac:dyDescent="0.2">
      <c r="A3602" s="1">
        <v>3601</v>
      </c>
      <c r="B3602" s="1" t="s">
        <v>10573</v>
      </c>
      <c r="C3602" s="1" t="s">
        <v>10655</v>
      </c>
      <c r="D3602" s="1" t="str">
        <f t="shared" si="168"/>
        <v>Vordingborg Kommune Klosternakken 1</v>
      </c>
      <c r="E3602" s="1" t="s">
        <v>10656</v>
      </c>
      <c r="F3602" s="1" t="s">
        <v>10657</v>
      </c>
      <c r="G3602" s="1">
        <v>1982</v>
      </c>
      <c r="H3602" s="1" t="s">
        <v>1319</v>
      </c>
      <c r="I3602" s="6" cm="1">
        <f t="array" ref="I3602">GetLatitude(D3602)</f>
        <v>551241476</v>
      </c>
      <c r="J3602" s="1" cm="1">
        <f t="array" ref="J3602">GetLongitude(D3602)</f>
        <v>120457543</v>
      </c>
      <c r="K3602" s="1">
        <f t="shared" si="169"/>
        <v>55.124147600000001</v>
      </c>
      <c r="L3602" s="1">
        <f t="shared" si="170"/>
        <v>12.0457543</v>
      </c>
    </row>
    <row r="3603" spans="1:12" ht="16" x14ac:dyDescent="0.2">
      <c r="A3603" s="1">
        <v>3602</v>
      </c>
      <c r="B3603" s="1" t="s">
        <v>10573</v>
      </c>
      <c r="C3603" s="1" t="s">
        <v>10658</v>
      </c>
      <c r="D3603" s="1" t="str">
        <f t="shared" si="168"/>
        <v>Vordingborg Kommune Klosternakken 3</v>
      </c>
      <c r="E3603" s="1" t="s">
        <v>10659</v>
      </c>
      <c r="F3603" s="1" t="s">
        <v>10660</v>
      </c>
      <c r="G3603" s="1">
        <v>1982</v>
      </c>
      <c r="H3603" s="1" t="s">
        <v>15</v>
      </c>
      <c r="I3603" s="6" cm="1">
        <f t="array" ref="I3603">GetLatitude(D3603)</f>
        <v>551241830</v>
      </c>
      <c r="J3603" s="1" cm="1">
        <f t="array" ref="J3603">GetLongitude(D3603)</f>
        <v>120459466</v>
      </c>
      <c r="K3603" s="1">
        <f t="shared" si="169"/>
        <v>55.124183000000002</v>
      </c>
      <c r="L3603" s="1">
        <f t="shared" si="170"/>
        <v>12.045946600000001</v>
      </c>
    </row>
    <row r="3604" spans="1:12" ht="16" x14ac:dyDescent="0.2">
      <c r="A3604" s="1">
        <v>3603</v>
      </c>
      <c r="B3604" s="1" t="s">
        <v>10573</v>
      </c>
      <c r="C3604" s="1" t="s">
        <v>10661</v>
      </c>
      <c r="D3604" s="1" t="str">
        <f t="shared" si="168"/>
        <v>Vordingborg Kommune  Klosternakken 5</v>
      </c>
      <c r="E3604" s="1" t="s">
        <v>10662</v>
      </c>
      <c r="F3604" s="1" t="s">
        <v>10660</v>
      </c>
      <c r="G3604" s="1">
        <v>1982</v>
      </c>
      <c r="H3604" s="1" t="s">
        <v>99</v>
      </c>
      <c r="I3604" s="6" cm="1">
        <f t="array" ref="I3604">GetLatitude(D3604)</f>
        <v>551242305</v>
      </c>
      <c r="J3604" s="1" cm="1">
        <f t="array" ref="J3604">GetLongitude(D3604)</f>
        <v>120461283</v>
      </c>
      <c r="K3604" s="1">
        <f t="shared" si="169"/>
        <v>55.124230500000003</v>
      </c>
      <c r="L3604" s="1">
        <f t="shared" si="170"/>
        <v>12.046128299999999</v>
      </c>
    </row>
    <row r="3605" spans="1:12" ht="16" x14ac:dyDescent="0.2">
      <c r="A3605" s="1">
        <v>3604</v>
      </c>
      <c r="B3605" s="1" t="s">
        <v>10573</v>
      </c>
      <c r="C3605" s="1" t="s">
        <v>10663</v>
      </c>
      <c r="D3605" s="1" t="str">
        <f t="shared" si="168"/>
        <v>Vordingborg Kommune Kragevigvej 13</v>
      </c>
      <c r="E3605" s="1" t="s">
        <v>10664</v>
      </c>
      <c r="F3605" s="1" t="s">
        <v>10665</v>
      </c>
      <c r="G3605" s="1">
        <v>1979</v>
      </c>
      <c r="H3605" s="1" t="s">
        <v>15</v>
      </c>
      <c r="I3605" s="6" cm="1">
        <f t="array" ref="I3605">GetLatitude(D3605)</f>
        <v>550728354</v>
      </c>
      <c r="J3605" s="1" cm="1">
        <f t="array" ref="J3605">GetLongitude(D3605)</f>
        <v>120977246</v>
      </c>
      <c r="K3605" s="1">
        <f t="shared" si="169"/>
        <v>55.072835400000002</v>
      </c>
      <c r="L3605" s="1">
        <f t="shared" si="170"/>
        <v>12.097724599999999</v>
      </c>
    </row>
    <row r="3606" spans="1:12" ht="16" x14ac:dyDescent="0.2">
      <c r="A3606" s="1">
        <v>3605</v>
      </c>
      <c r="B3606" s="1" t="s">
        <v>10573</v>
      </c>
      <c r="C3606" s="1" t="s">
        <v>10666</v>
      </c>
      <c r="D3606" s="1" t="str">
        <f t="shared" si="168"/>
        <v>Vordingborg Kommune Kragevigvej 17</v>
      </c>
      <c r="E3606" s="1" t="s">
        <v>10667</v>
      </c>
      <c r="F3606" s="1" t="s">
        <v>10668</v>
      </c>
      <c r="G3606" s="1">
        <v>1989</v>
      </c>
      <c r="H3606" s="1" t="s">
        <v>15</v>
      </c>
      <c r="I3606" s="6" cm="1">
        <f t="array" ref="I3606">GetLatitude(D3606)</f>
        <v>550724788</v>
      </c>
      <c r="J3606" s="1" cm="1">
        <f t="array" ref="J3606">GetLongitude(D3606)</f>
        <v>121051780</v>
      </c>
      <c r="K3606" s="1">
        <f t="shared" si="169"/>
        <v>55.072478799999999</v>
      </c>
      <c r="L3606" s="1">
        <f t="shared" si="170"/>
        <v>12.105178</v>
      </c>
    </row>
    <row r="3607" spans="1:12" ht="16" x14ac:dyDescent="0.2">
      <c r="A3607" s="1">
        <v>3606</v>
      </c>
      <c r="B3607" s="1" t="s">
        <v>10573</v>
      </c>
      <c r="C3607" s="1" t="s">
        <v>10669</v>
      </c>
      <c r="D3607" s="1" t="str">
        <f t="shared" si="168"/>
        <v>Vordingborg Kommune Langebjergvej 4, 6 og 8</v>
      </c>
      <c r="E3607" s="1" t="s">
        <v>8901</v>
      </c>
      <c r="F3607" s="1" t="s">
        <v>10670</v>
      </c>
      <c r="G3607" s="1">
        <v>1918</v>
      </c>
      <c r="H3607" s="1" t="s">
        <v>10671</v>
      </c>
      <c r="I3607" s="6" cm="1">
        <f t="array" ref="I3607">GetLatitude(D3607)</f>
        <v>550005836</v>
      </c>
      <c r="J3607" s="1" cm="1">
        <f t="array" ref="J3607">GetLongitude(D3607)</f>
        <v>125232271</v>
      </c>
      <c r="K3607" s="1">
        <f t="shared" si="169"/>
        <v>55.000583599999999</v>
      </c>
      <c r="L3607" s="1">
        <f t="shared" si="170"/>
        <v>12.5232271</v>
      </c>
    </row>
    <row r="3608" spans="1:12" ht="16" x14ac:dyDescent="0.2">
      <c r="A3608" s="1">
        <v>3607</v>
      </c>
      <c r="B3608" s="1" t="s">
        <v>10573</v>
      </c>
      <c r="C3608" s="1" t="s">
        <v>10672</v>
      </c>
      <c r="D3608" s="1" t="str">
        <f t="shared" si="168"/>
        <v>Vordingborg Kommune Langebjergvej 6</v>
      </c>
      <c r="E3608" s="1" t="s">
        <v>10673</v>
      </c>
      <c r="F3608" s="1" t="s">
        <v>10674</v>
      </c>
      <c r="G3608" s="1">
        <v>1990</v>
      </c>
      <c r="H3608" s="1" t="s">
        <v>10675</v>
      </c>
      <c r="I3608" s="6" cm="1">
        <f t="array" ref="I3608">GetLatitude(D3608)</f>
        <v>550001577</v>
      </c>
      <c r="J3608" s="1" cm="1">
        <f t="array" ref="J3608">GetLongitude(D3608)</f>
        <v>125216638</v>
      </c>
      <c r="K3608" s="1">
        <f t="shared" si="169"/>
        <v>55.000157700000003</v>
      </c>
      <c r="L3608" s="1">
        <f t="shared" si="170"/>
        <v>12.521663800000001</v>
      </c>
    </row>
    <row r="3609" spans="1:12" ht="16" x14ac:dyDescent="0.2">
      <c r="A3609" s="1">
        <v>3608</v>
      </c>
      <c r="B3609" s="1" t="s">
        <v>10573</v>
      </c>
      <c r="C3609" s="1" t="s">
        <v>10676</v>
      </c>
      <c r="D3609" s="1" t="str">
        <f t="shared" si="168"/>
        <v>Vordingborg Kommune Lundbygårdsvej 100</v>
      </c>
      <c r="E3609" s="1" t="s">
        <v>10677</v>
      </c>
      <c r="F3609" s="1" t="s">
        <v>10678</v>
      </c>
      <c r="G3609" s="1">
        <v>1918</v>
      </c>
      <c r="H3609" s="1" t="s">
        <v>15</v>
      </c>
      <c r="I3609" s="6" cm="1">
        <f t="array" ref="I3609">GetLatitude(D3609)</f>
        <v>551261342</v>
      </c>
      <c r="J3609" s="1" cm="1">
        <f t="array" ref="J3609">GetLongitude(D3609)</f>
        <v>118956115</v>
      </c>
      <c r="K3609" s="1">
        <f t="shared" si="169"/>
        <v>55.126134200000003</v>
      </c>
      <c r="L3609" s="1">
        <f t="shared" si="170"/>
        <v>11.895611499999999</v>
      </c>
    </row>
    <row r="3610" spans="1:12" ht="16" x14ac:dyDescent="0.2">
      <c r="A3610" s="1">
        <v>3609</v>
      </c>
      <c r="B3610" s="1" t="s">
        <v>10573</v>
      </c>
      <c r="C3610" s="1" t="s">
        <v>10679</v>
      </c>
      <c r="D3610" s="1" t="str">
        <f t="shared" si="168"/>
        <v>Vordingborg Kommune Nordfeldvej 48-56</v>
      </c>
      <c r="E3610" s="1" t="s">
        <v>10680</v>
      </c>
      <c r="F3610" s="1" t="s">
        <v>10681</v>
      </c>
      <c r="G3610" s="1">
        <v>1987</v>
      </c>
      <c r="H3610" s="1" t="s">
        <v>15</v>
      </c>
      <c r="I3610" s="6" cm="1">
        <f t="array" ref="I3610">GetLatitude(D3610)</f>
        <v>550192826</v>
      </c>
      <c r="J3610" s="1" cm="1">
        <f t="array" ref="J3610">GetLongitude(D3610)</f>
        <v>123944897</v>
      </c>
      <c r="K3610" s="1">
        <f t="shared" si="169"/>
        <v>55.019282599999997</v>
      </c>
      <c r="L3610" s="1">
        <f t="shared" si="170"/>
        <v>12.394489699999999</v>
      </c>
    </row>
    <row r="3611" spans="1:12" ht="16" x14ac:dyDescent="0.2">
      <c r="A3611" s="1">
        <v>3610</v>
      </c>
      <c r="B3611" s="1" t="s">
        <v>10573</v>
      </c>
      <c r="C3611" s="1" t="s">
        <v>10682</v>
      </c>
      <c r="D3611" s="1" t="str">
        <f t="shared" si="168"/>
        <v>Vordingborg Kommune Nordgade 7</v>
      </c>
      <c r="E3611" s="1" t="s">
        <v>10683</v>
      </c>
      <c r="F3611" s="1" t="s">
        <v>10684</v>
      </c>
      <c r="G3611" s="1">
        <v>1972</v>
      </c>
      <c r="H3611" s="1" t="s">
        <v>11</v>
      </c>
      <c r="I3611" s="6" cm="1">
        <f t="array" ref="I3611">GetLatitude(D3611)</f>
        <v>550420587</v>
      </c>
      <c r="J3611" s="1" cm="1">
        <f t="array" ref="J3611">GetLongitude(D3611)</f>
        <v>121959044</v>
      </c>
      <c r="K3611" s="1">
        <f t="shared" si="169"/>
        <v>55.042058699999998</v>
      </c>
      <c r="L3611" s="1">
        <f t="shared" si="170"/>
        <v>12.1959044</v>
      </c>
    </row>
    <row r="3612" spans="1:12" ht="16" x14ac:dyDescent="0.2">
      <c r="A3612" s="1">
        <v>3611</v>
      </c>
      <c r="B3612" s="1" t="s">
        <v>10573</v>
      </c>
      <c r="C3612" s="1" t="s">
        <v>10685</v>
      </c>
      <c r="D3612" s="1" t="str">
        <f t="shared" si="168"/>
        <v>Vordingborg Kommune Nordgade 9</v>
      </c>
      <c r="E3612" s="1" t="s">
        <v>10686</v>
      </c>
      <c r="F3612" s="1" t="s">
        <v>10687</v>
      </c>
      <c r="G3612" s="1">
        <v>1971</v>
      </c>
      <c r="H3612" s="1" t="s">
        <v>11</v>
      </c>
      <c r="I3612" s="6" cm="1">
        <f t="array" ref="I3612">GetLatitude(D3612)</f>
        <v>550416668</v>
      </c>
      <c r="J3612" s="1" cm="1">
        <f t="array" ref="J3612">GetLongitude(D3612)</f>
        <v>121959962</v>
      </c>
      <c r="K3612" s="1">
        <f t="shared" si="169"/>
        <v>55.041666800000002</v>
      </c>
      <c r="L3612" s="1">
        <f t="shared" si="170"/>
        <v>12.1959962</v>
      </c>
    </row>
    <row r="3613" spans="1:12" ht="16" x14ac:dyDescent="0.2">
      <c r="A3613" s="1">
        <v>3612</v>
      </c>
      <c r="B3613" s="1" t="s">
        <v>10573</v>
      </c>
      <c r="C3613" s="1" t="s">
        <v>10688</v>
      </c>
      <c r="D3613" s="1" t="str">
        <f t="shared" si="168"/>
        <v>Vordingborg Kommune Nysøvej 1-3</v>
      </c>
      <c r="E3613" s="1" t="s">
        <v>10689</v>
      </c>
      <c r="F3613" s="1" t="s">
        <v>10690</v>
      </c>
      <c r="G3613" s="1">
        <v>1918</v>
      </c>
      <c r="H3613" s="1" t="s">
        <v>1283</v>
      </c>
      <c r="I3613" s="6" cm="1">
        <f t="array" ref="I3613">GetLatitude(D3613)</f>
        <v>551267540</v>
      </c>
      <c r="J3613" s="1" cm="1">
        <f t="array" ref="J3613">GetLongitude(D3613)</f>
        <v>120314100</v>
      </c>
      <c r="K3613" s="1">
        <f t="shared" si="169"/>
        <v>55.126753999999998</v>
      </c>
      <c r="L3613" s="1">
        <f t="shared" si="170"/>
        <v>12.031409999999999</v>
      </c>
    </row>
    <row r="3614" spans="1:12" ht="16" x14ac:dyDescent="0.2">
      <c r="A3614" s="1">
        <v>3613</v>
      </c>
      <c r="B3614" s="1" t="s">
        <v>10573</v>
      </c>
      <c r="C3614" s="1" t="s">
        <v>10691</v>
      </c>
      <c r="D3614" s="1" t="str">
        <f t="shared" si="168"/>
        <v>Vordingborg Kommune Petersgaards Allé 3</v>
      </c>
      <c r="E3614" s="1" t="s">
        <v>10692</v>
      </c>
      <c r="F3614" s="1" t="s">
        <v>10693</v>
      </c>
      <c r="G3614" s="1">
        <v>1918</v>
      </c>
      <c r="H3614" s="1" t="s">
        <v>15</v>
      </c>
      <c r="I3614" s="6" cm="1">
        <f t="array" ref="I3614">GetLatitude(D3614)</f>
        <v>550030773</v>
      </c>
      <c r="J3614" s="1" cm="1">
        <f t="array" ref="J3614">GetLongitude(D3614)</f>
        <v>121029593</v>
      </c>
      <c r="K3614" s="1">
        <f t="shared" si="169"/>
        <v>55.003077300000001</v>
      </c>
      <c r="L3614" s="1">
        <f t="shared" si="170"/>
        <v>12.1029593</v>
      </c>
    </row>
    <row r="3615" spans="1:12" ht="16" x14ac:dyDescent="0.2">
      <c r="A3615" s="1">
        <v>3614</v>
      </c>
      <c r="B3615" s="1" t="s">
        <v>10573</v>
      </c>
      <c r="C3615" s="1" t="s">
        <v>10694</v>
      </c>
      <c r="D3615" s="1" t="str">
        <f t="shared" si="168"/>
        <v>Vordingborg Kommune Petersværft 2</v>
      </c>
      <c r="E3615" s="1" t="s">
        <v>10695</v>
      </c>
      <c r="F3615" s="1" t="s">
        <v>10696</v>
      </c>
      <c r="G3615" s="1">
        <v>1994</v>
      </c>
      <c r="H3615" s="1" t="s">
        <v>15</v>
      </c>
      <c r="I3615" s="6" cm="1">
        <f t="array" ref="I3615">GetLatitude(D3615)</f>
        <v>549697432</v>
      </c>
      <c r="J3615" s="1" cm="1">
        <f t="array" ref="J3615">GetLongitude(D3615)</f>
        <v>120761001</v>
      </c>
      <c r="K3615" s="1">
        <f t="shared" si="169"/>
        <v>54.969743200000003</v>
      </c>
      <c r="L3615" s="1">
        <f t="shared" si="170"/>
        <v>12.0761001</v>
      </c>
    </row>
    <row r="3616" spans="1:12" ht="16" x14ac:dyDescent="0.2">
      <c r="A3616" s="1">
        <v>3615</v>
      </c>
      <c r="B3616" s="1" t="s">
        <v>10573</v>
      </c>
      <c r="C3616" s="1" t="s">
        <v>10697</v>
      </c>
      <c r="D3616" s="1" t="str">
        <f t="shared" si="168"/>
        <v>Vordingborg Kommune Petersværft 3</v>
      </c>
      <c r="E3616" s="1" t="s">
        <v>10698</v>
      </c>
      <c r="F3616" s="1" t="s">
        <v>10699</v>
      </c>
      <c r="G3616" s="1">
        <v>1994</v>
      </c>
      <c r="H3616" s="1" t="s">
        <v>15</v>
      </c>
      <c r="I3616" s="6" cm="1">
        <f t="array" ref="I3616">GetLatitude(D3616)</f>
        <v>549697432</v>
      </c>
      <c r="J3616" s="1" cm="1">
        <f t="array" ref="J3616">GetLongitude(D3616)</f>
        <v>120761001</v>
      </c>
      <c r="K3616" s="1">
        <f t="shared" si="169"/>
        <v>54.969743200000003</v>
      </c>
      <c r="L3616" s="1">
        <f t="shared" si="170"/>
        <v>12.0761001</v>
      </c>
    </row>
    <row r="3617" spans="1:12" ht="16" x14ac:dyDescent="0.2">
      <c r="A3617" s="1">
        <v>3616</v>
      </c>
      <c r="B3617" s="1" t="s">
        <v>10573</v>
      </c>
      <c r="C3617" s="1" t="s">
        <v>10700</v>
      </c>
      <c r="D3617" s="1" t="str">
        <f t="shared" si="168"/>
        <v>Vordingborg Kommune Petersværft 4</v>
      </c>
      <c r="E3617" s="1" t="s">
        <v>10701</v>
      </c>
      <c r="F3617" s="1" t="s">
        <v>10702</v>
      </c>
      <c r="G3617" s="1">
        <v>1994</v>
      </c>
      <c r="H3617" s="1" t="s">
        <v>15</v>
      </c>
      <c r="I3617" s="6" cm="1">
        <f t="array" ref="I3617">GetLatitude(D3617)</f>
        <v>549697432</v>
      </c>
      <c r="J3617" s="1" cm="1">
        <f t="array" ref="J3617">GetLongitude(D3617)</f>
        <v>120761001</v>
      </c>
      <c r="K3617" s="1">
        <f t="shared" si="169"/>
        <v>54.969743200000003</v>
      </c>
      <c r="L3617" s="1">
        <f t="shared" si="170"/>
        <v>12.0761001</v>
      </c>
    </row>
    <row r="3618" spans="1:12" ht="16" x14ac:dyDescent="0.2">
      <c r="A3618" s="1">
        <v>3617</v>
      </c>
      <c r="B3618" s="1" t="s">
        <v>10573</v>
      </c>
      <c r="C3618" s="1" t="s">
        <v>10703</v>
      </c>
      <c r="D3618" s="1" t="str">
        <f t="shared" si="168"/>
        <v>Vordingborg Kommune Petersværft   5   A   og   5   B</v>
      </c>
      <c r="E3618" s="1" t="s">
        <v>10704</v>
      </c>
      <c r="F3618" s="1" t="s">
        <v>10705</v>
      </c>
      <c r="G3618" s="1">
        <v>1994</v>
      </c>
      <c r="H3618" s="1" t="s">
        <v>15</v>
      </c>
      <c r="I3618" s="6" cm="1">
        <f t="array" ref="I3618">GetLatitude(D3618)</f>
        <v>549697432</v>
      </c>
      <c r="J3618" s="1" cm="1">
        <f t="array" ref="J3618">GetLongitude(D3618)</f>
        <v>120761001</v>
      </c>
      <c r="K3618" s="1">
        <f t="shared" si="169"/>
        <v>54.969743200000003</v>
      </c>
      <c r="L3618" s="1">
        <f t="shared" si="170"/>
        <v>12.0761001</v>
      </c>
    </row>
    <row r="3619" spans="1:12" ht="16" x14ac:dyDescent="0.2">
      <c r="A3619" s="1">
        <v>3618</v>
      </c>
      <c r="B3619" s="1" t="s">
        <v>10573</v>
      </c>
      <c r="C3619" s="1" t="s">
        <v>10706</v>
      </c>
      <c r="D3619" s="1" t="str">
        <f t="shared" si="168"/>
        <v>Vordingborg Kommune Provstestræde 2</v>
      </c>
      <c r="E3619" s="1" t="s">
        <v>10707</v>
      </c>
      <c r="F3619" s="1" t="s">
        <v>10708</v>
      </c>
      <c r="G3619" s="1">
        <v>1924</v>
      </c>
      <c r="H3619" s="1" t="s">
        <v>15</v>
      </c>
      <c r="I3619" s="6" cm="1">
        <f t="array" ref="I3619">GetLatitude(D3619)</f>
        <v>549838320</v>
      </c>
      <c r="J3619" s="1" cm="1">
        <f t="array" ref="J3619">GetLongitude(D3619)</f>
        <v>122835734</v>
      </c>
      <c r="K3619" s="1">
        <f t="shared" si="169"/>
        <v>54.983832</v>
      </c>
      <c r="L3619" s="1">
        <f t="shared" si="170"/>
        <v>12.2835734</v>
      </c>
    </row>
    <row r="3620" spans="1:12" ht="16" x14ac:dyDescent="0.2">
      <c r="A3620" s="1">
        <v>3619</v>
      </c>
      <c r="B3620" s="1" t="s">
        <v>10573</v>
      </c>
      <c r="C3620" s="1" t="s">
        <v>10709</v>
      </c>
      <c r="D3620" s="1" t="str">
        <f t="shared" si="168"/>
        <v>Vordingborg Kommune Rosenfeldt 1</v>
      </c>
      <c r="E3620" s="1" t="s">
        <v>10710</v>
      </c>
      <c r="F3620" s="1" t="s">
        <v>10711</v>
      </c>
      <c r="G3620" s="1">
        <v>1932</v>
      </c>
      <c r="H3620" s="1" t="s">
        <v>4663</v>
      </c>
      <c r="I3620" s="6" cm="1">
        <f t="array" ref="I3620">GetLatitude(D3620)</f>
        <v>550171551</v>
      </c>
      <c r="J3620" s="1" cm="1">
        <f t="array" ref="J3620">GetLongitude(D3620)</f>
        <v>118780273</v>
      </c>
      <c r="K3620" s="1">
        <f t="shared" si="169"/>
        <v>55.017155099999997</v>
      </c>
      <c r="L3620" s="1">
        <f t="shared" si="170"/>
        <v>11.878027299999999</v>
      </c>
    </row>
    <row r="3621" spans="1:12" ht="16" x14ac:dyDescent="0.2">
      <c r="A3621" s="1">
        <v>3620</v>
      </c>
      <c r="B3621" s="1" t="s">
        <v>10573</v>
      </c>
      <c r="C3621" s="1" t="s">
        <v>10712</v>
      </c>
      <c r="D3621" s="1" t="str">
        <f t="shared" si="168"/>
        <v>Vordingborg Kommune Rødeledvej 1</v>
      </c>
      <c r="E3621" s="1" t="s">
        <v>10713</v>
      </c>
      <c r="F3621" s="1" t="s">
        <v>10714</v>
      </c>
      <c r="G3621" s="1">
        <v>2002</v>
      </c>
      <c r="H3621" s="1" t="s">
        <v>11</v>
      </c>
      <c r="I3621" s="6" cm="1">
        <f t="array" ref="I3621">GetLatitude(D3621)</f>
        <v>551196347</v>
      </c>
      <c r="J3621" s="1" cm="1">
        <f t="array" ref="J3621">GetLongitude(D3621)</f>
        <v>120257097</v>
      </c>
      <c r="K3621" s="1">
        <f t="shared" si="169"/>
        <v>55.119634699999999</v>
      </c>
      <c r="L3621" s="1">
        <f t="shared" si="170"/>
        <v>12.0257097</v>
      </c>
    </row>
    <row r="3622" spans="1:12" ht="16" x14ac:dyDescent="0.2">
      <c r="A3622" s="1">
        <v>3621</v>
      </c>
      <c r="B3622" s="1" t="s">
        <v>10573</v>
      </c>
      <c r="C3622" s="1" t="s">
        <v>10715</v>
      </c>
      <c r="D3622" s="1" t="str">
        <f t="shared" si="168"/>
        <v>Vordingborg Kommune Rødkildevej 42 A, D og E</v>
      </c>
      <c r="E3622" s="1" t="s">
        <v>10716</v>
      </c>
      <c r="F3622" s="1" t="s">
        <v>10717</v>
      </c>
      <c r="G3622" s="1">
        <v>1982</v>
      </c>
      <c r="H3622" s="1" t="s">
        <v>4267</v>
      </c>
      <c r="I3622" s="6" cm="1">
        <f t="array" ref="I3622">GetLatitude(D3622)</f>
        <v>549684845</v>
      </c>
      <c r="J3622" s="1" cm="1">
        <f t="array" ref="J3622">GetLongitude(D3622)</f>
        <v>122694766</v>
      </c>
      <c r="K3622" s="1">
        <f t="shared" si="169"/>
        <v>54.968484500000002</v>
      </c>
      <c r="L3622" s="1">
        <f t="shared" si="170"/>
        <v>12.269476600000001</v>
      </c>
    </row>
    <row r="3623" spans="1:12" ht="16" x14ac:dyDescent="0.2">
      <c r="A3623" s="1">
        <v>3622</v>
      </c>
      <c r="B3623" s="1" t="s">
        <v>10573</v>
      </c>
      <c r="C3623" s="1" t="s">
        <v>10718</v>
      </c>
      <c r="D3623" s="1" t="str">
        <f t="shared" si="168"/>
        <v>Vordingborg Kommune Skullebjergvej 15</v>
      </c>
      <c r="E3623" s="1" t="s">
        <v>10719</v>
      </c>
      <c r="F3623" s="1" t="s">
        <v>10720</v>
      </c>
      <c r="G3623" s="1">
        <v>2001</v>
      </c>
      <c r="H3623" s="1" t="s">
        <v>15</v>
      </c>
      <c r="I3623" s="6" cm="1">
        <f t="array" ref="I3623">GetLatitude(D3623)</f>
        <v>549696082</v>
      </c>
      <c r="J3623" s="1" cm="1">
        <f t="array" ref="J3623">GetLongitude(D3623)</f>
        <v>123507468</v>
      </c>
      <c r="K3623" s="1">
        <f t="shared" si="169"/>
        <v>54.969608200000003</v>
      </c>
      <c r="L3623" s="1">
        <f t="shared" si="170"/>
        <v>12.3507468</v>
      </c>
    </row>
    <row r="3624" spans="1:12" ht="16" x14ac:dyDescent="0.2">
      <c r="A3624" s="1">
        <v>3623</v>
      </c>
      <c r="B3624" s="1" t="s">
        <v>10573</v>
      </c>
      <c r="C3624" s="1" t="s">
        <v>10721</v>
      </c>
      <c r="D3624" s="1" t="str">
        <f t="shared" si="168"/>
        <v>Vordingborg Kommune Slotstorvet 5</v>
      </c>
      <c r="E3624" s="1" t="s">
        <v>10722</v>
      </c>
      <c r="F3624" s="1" t="s">
        <v>10723</v>
      </c>
      <c r="G3624" s="1">
        <v>1970</v>
      </c>
      <c r="H3624" s="1" t="s">
        <v>15</v>
      </c>
      <c r="I3624" s="6" cm="1">
        <f t="array" ref="I3624">GetLatitude(D3624)</f>
        <v>550076902</v>
      </c>
      <c r="J3624" s="1" cm="1">
        <f t="array" ref="J3624">GetLongitude(D3624)</f>
        <v>119102290</v>
      </c>
      <c r="K3624" s="1">
        <f t="shared" si="169"/>
        <v>55.007690199999999</v>
      </c>
      <c r="L3624" s="1">
        <f t="shared" si="170"/>
        <v>11.910228999999999</v>
      </c>
    </row>
    <row r="3625" spans="1:12" ht="16" x14ac:dyDescent="0.2">
      <c r="A3625" s="1">
        <v>3624</v>
      </c>
      <c r="B3625" s="1" t="s">
        <v>10573</v>
      </c>
      <c r="C3625" s="1" t="s">
        <v>10724</v>
      </c>
      <c r="D3625" s="1" t="str">
        <f t="shared" si="168"/>
        <v>Vordingborg Kommune Slotstorvet 9</v>
      </c>
      <c r="E3625" s="1" t="s">
        <v>10725</v>
      </c>
      <c r="F3625" s="1" t="s">
        <v>10726</v>
      </c>
      <c r="G3625" s="1">
        <v>1950</v>
      </c>
      <c r="H3625" s="1" t="s">
        <v>15</v>
      </c>
      <c r="I3625" s="6" cm="1">
        <f t="array" ref="I3625">GetLatitude(D3625)</f>
        <v>550070198</v>
      </c>
      <c r="J3625" s="1" cm="1">
        <f t="array" ref="J3625">GetLongitude(D3625)</f>
        <v>119108661</v>
      </c>
      <c r="K3625" s="1">
        <f t="shared" si="169"/>
        <v>55.007019800000002</v>
      </c>
      <c r="L3625" s="1">
        <f t="shared" si="170"/>
        <v>11.9108661</v>
      </c>
    </row>
    <row r="3626" spans="1:12" ht="16" x14ac:dyDescent="0.2">
      <c r="A3626" s="1">
        <v>3625</v>
      </c>
      <c r="B3626" s="1" t="s">
        <v>10573</v>
      </c>
      <c r="C3626" s="1" t="s">
        <v>10727</v>
      </c>
      <c r="D3626" s="1" t="str">
        <f t="shared" si="168"/>
        <v>Vordingborg Kommune Spangsvej 174</v>
      </c>
      <c r="E3626" s="1" t="s">
        <v>10728</v>
      </c>
      <c r="F3626" s="1" t="s">
        <v>10729</v>
      </c>
      <c r="G3626" s="1">
        <v>1944</v>
      </c>
      <c r="H3626" s="1" t="s">
        <v>15</v>
      </c>
      <c r="I3626" s="6" cm="1">
        <f t="array" ref="I3626">GetLatitude(D3626)</f>
        <v>550758993</v>
      </c>
      <c r="J3626" s="1" cm="1">
        <f t="array" ref="J3626">GetLongitude(D3626)</f>
        <v>119485715</v>
      </c>
      <c r="K3626" s="1">
        <f t="shared" si="169"/>
        <v>55.075899300000003</v>
      </c>
      <c r="L3626" s="1">
        <f t="shared" si="170"/>
        <v>11.9485715</v>
      </c>
    </row>
    <row r="3627" spans="1:12" ht="16" x14ac:dyDescent="0.2">
      <c r="A3627" s="1">
        <v>3626</v>
      </c>
      <c r="B3627" s="1" t="s">
        <v>10573</v>
      </c>
      <c r="C3627" s="1" t="s">
        <v>10730</v>
      </c>
      <c r="D3627" s="1" t="str">
        <f t="shared" si="168"/>
        <v>Vordingborg Kommune Storegade 35 A</v>
      </c>
      <c r="E3627" s="1" t="s">
        <v>10731</v>
      </c>
      <c r="F3627" s="1" t="s">
        <v>10732</v>
      </c>
      <c r="G3627" s="1">
        <v>1924</v>
      </c>
      <c r="H3627" s="1" t="s">
        <v>11</v>
      </c>
      <c r="I3627" s="6" cm="1">
        <f t="array" ref="I3627">GetLatitude(D3627)</f>
        <v>550517421</v>
      </c>
      <c r="J3627" s="1" cm="1">
        <f t="array" ref="J3627">GetLongitude(D3627)</f>
        <v>120293275</v>
      </c>
      <c r="K3627" s="1">
        <f t="shared" si="169"/>
        <v>55.051742099999998</v>
      </c>
      <c r="L3627" s="1">
        <f t="shared" si="170"/>
        <v>12.029327500000001</v>
      </c>
    </row>
    <row r="3628" spans="1:12" ht="16" x14ac:dyDescent="0.2">
      <c r="A3628" s="1">
        <v>3627</v>
      </c>
      <c r="B3628" s="1" t="s">
        <v>10573</v>
      </c>
      <c r="C3628" s="1" t="s">
        <v>10733</v>
      </c>
      <c r="D3628" s="1" t="str">
        <f t="shared" si="168"/>
        <v>Vordingborg Kommune Storegade 39</v>
      </c>
      <c r="E3628" s="1" t="s">
        <v>10734</v>
      </c>
      <c r="F3628" s="1" t="s">
        <v>10735</v>
      </c>
      <c r="G3628" s="1">
        <v>1971</v>
      </c>
      <c r="H3628" s="1" t="s">
        <v>701</v>
      </c>
      <c r="I3628" s="6" cm="1">
        <f t="array" ref="I3628">GetLatitude(D3628)</f>
        <v>549851374</v>
      </c>
      <c r="J3628" s="1" cm="1">
        <f t="array" ref="J3628">GetLongitude(D3628)</f>
        <v>122860827</v>
      </c>
      <c r="K3628" s="1">
        <f t="shared" si="169"/>
        <v>54.985137399999999</v>
      </c>
      <c r="L3628" s="1">
        <f t="shared" si="170"/>
        <v>12.2860827</v>
      </c>
    </row>
    <row r="3629" spans="1:12" ht="16" x14ac:dyDescent="0.2">
      <c r="A3629" s="1">
        <v>3628</v>
      </c>
      <c r="B3629" s="1" t="s">
        <v>10573</v>
      </c>
      <c r="C3629" s="1" t="s">
        <v>10736</v>
      </c>
      <c r="D3629" s="1" t="str">
        <f t="shared" si="168"/>
        <v>Vordingborg Kommune Storegade 4</v>
      </c>
      <c r="E3629" s="1" t="s">
        <v>10737</v>
      </c>
      <c r="F3629" s="1" t="s">
        <v>10738</v>
      </c>
      <c r="G3629" s="1">
        <v>1924</v>
      </c>
      <c r="H3629" s="1" t="s">
        <v>15</v>
      </c>
      <c r="I3629" s="6" cm="1">
        <f t="array" ref="I3629">GetLatitude(D3629)</f>
        <v>549826803</v>
      </c>
      <c r="J3629" s="1" cm="1">
        <f t="array" ref="J3629">GetLongitude(D3629)</f>
        <v>122831934</v>
      </c>
      <c r="K3629" s="1">
        <f t="shared" si="169"/>
        <v>54.982680299999998</v>
      </c>
      <c r="L3629" s="1">
        <f t="shared" si="170"/>
        <v>12.2831934</v>
      </c>
    </row>
    <row r="3630" spans="1:12" ht="16" x14ac:dyDescent="0.2">
      <c r="A3630" s="1">
        <v>3629</v>
      </c>
      <c r="B3630" s="1" t="s">
        <v>10573</v>
      </c>
      <c r="C3630" s="1" t="s">
        <v>2664</v>
      </c>
      <c r="D3630" s="1" t="str">
        <f t="shared" si="168"/>
        <v>Vordingborg Kommune Storegade 48</v>
      </c>
      <c r="E3630" s="1" t="s">
        <v>10739</v>
      </c>
      <c r="F3630" s="1" t="s">
        <v>10740</v>
      </c>
      <c r="G3630" s="1">
        <v>1924</v>
      </c>
      <c r="H3630" s="1" t="s">
        <v>4589</v>
      </c>
      <c r="I3630" s="6" cm="1">
        <f t="array" ref="I3630">GetLatitude(D3630)</f>
        <v>549847244</v>
      </c>
      <c r="J3630" s="1" cm="1">
        <f t="array" ref="J3630">GetLongitude(D3630)</f>
        <v>122862754</v>
      </c>
      <c r="K3630" s="1">
        <f t="shared" si="169"/>
        <v>54.984724399999998</v>
      </c>
      <c r="L3630" s="1">
        <f t="shared" si="170"/>
        <v>12.286275399999999</v>
      </c>
    </row>
    <row r="3631" spans="1:12" ht="16" x14ac:dyDescent="0.2">
      <c r="A3631" s="1">
        <v>3630</v>
      </c>
      <c r="B3631" s="1" t="s">
        <v>10573</v>
      </c>
      <c r="C3631" s="1" t="s">
        <v>10741</v>
      </c>
      <c r="D3631" s="1" t="str">
        <f t="shared" si="168"/>
        <v>Vordingborg Kommune Storegade 73-75</v>
      </c>
      <c r="E3631" s="1" t="s">
        <v>10742</v>
      </c>
      <c r="F3631" s="1" t="s">
        <v>10743</v>
      </c>
      <c r="G3631" s="1">
        <v>1918</v>
      </c>
      <c r="H3631" s="1" t="s">
        <v>11</v>
      </c>
      <c r="I3631" s="6" cm="1">
        <f t="array" ref="I3631">GetLatitude(D3631)</f>
        <v>549869523</v>
      </c>
      <c r="J3631" s="1" cm="1">
        <f t="array" ref="J3631">GetLongitude(D3631)</f>
        <v>122888445</v>
      </c>
      <c r="K3631" s="1">
        <f t="shared" si="169"/>
        <v>54.986952299999999</v>
      </c>
      <c r="L3631" s="1">
        <f t="shared" si="170"/>
        <v>12.2888445</v>
      </c>
    </row>
    <row r="3632" spans="1:12" ht="16" x14ac:dyDescent="0.2">
      <c r="A3632" s="1">
        <v>3631</v>
      </c>
      <c r="B3632" s="1" t="s">
        <v>10573</v>
      </c>
      <c r="C3632" s="1" t="s">
        <v>10744</v>
      </c>
      <c r="D3632" s="1" t="str">
        <f t="shared" si="168"/>
        <v>Vordingborg Kommune Storegade 75 A</v>
      </c>
      <c r="E3632" s="1" t="s">
        <v>10745</v>
      </c>
      <c r="F3632" s="1" t="s">
        <v>10746</v>
      </c>
      <c r="G3632" s="1">
        <v>1918</v>
      </c>
      <c r="H3632" s="1" t="s">
        <v>15</v>
      </c>
      <c r="I3632" s="6" cm="1">
        <f t="array" ref="I3632">GetLatitude(D3632)</f>
        <v>549872128</v>
      </c>
      <c r="J3632" s="1" cm="1">
        <f t="array" ref="J3632">GetLongitude(D3632)</f>
        <v>122892639</v>
      </c>
      <c r="K3632" s="1">
        <f t="shared" si="169"/>
        <v>54.987212800000002</v>
      </c>
      <c r="L3632" s="1">
        <f t="shared" si="170"/>
        <v>12.2892639</v>
      </c>
    </row>
    <row r="3633" spans="1:12" ht="16" x14ac:dyDescent="0.2">
      <c r="A3633" s="1">
        <v>3632</v>
      </c>
      <c r="B3633" s="1" t="s">
        <v>10573</v>
      </c>
      <c r="C3633" s="1" t="s">
        <v>10747</v>
      </c>
      <c r="D3633" s="1" t="str">
        <f t="shared" si="168"/>
        <v>Vordingborg Kommune  Storegade 88, hj af. Lohmannsvej</v>
      </c>
      <c r="E3633" s="1" t="s">
        <v>10748</v>
      </c>
      <c r="F3633" s="1" t="s">
        <v>10749</v>
      </c>
      <c r="G3633" s="1">
        <v>1982</v>
      </c>
      <c r="H3633" s="1" t="s">
        <v>15</v>
      </c>
      <c r="I3633" s="6" cm="1">
        <f t="array" ref="I3633">GetLatitude(D3633)</f>
        <v>550517421</v>
      </c>
      <c r="J3633" s="1" cm="1">
        <f t="array" ref="J3633">GetLongitude(D3633)</f>
        <v>120293275</v>
      </c>
      <c r="K3633" s="1">
        <f t="shared" si="169"/>
        <v>55.051742099999998</v>
      </c>
      <c r="L3633" s="1">
        <f t="shared" si="170"/>
        <v>12.029327500000001</v>
      </c>
    </row>
    <row r="3634" spans="1:12" ht="16" x14ac:dyDescent="0.2">
      <c r="A3634" s="1">
        <v>3633</v>
      </c>
      <c r="B3634" s="1" t="s">
        <v>10573</v>
      </c>
      <c r="C3634" s="1" t="s">
        <v>10750</v>
      </c>
      <c r="D3634" s="1" t="str">
        <f t="shared" si="168"/>
        <v>Vordingborg Kommune Søvej 19</v>
      </c>
      <c r="E3634" s="1" t="s">
        <v>10751</v>
      </c>
      <c r="F3634" s="1" t="s">
        <v>10752</v>
      </c>
      <c r="G3634" s="1">
        <v>2002</v>
      </c>
      <c r="H3634" s="1" t="s">
        <v>15</v>
      </c>
      <c r="I3634" s="6" cm="1">
        <f t="array" ref="I3634">GetLatitude(D3634)</f>
        <v>550065724</v>
      </c>
      <c r="J3634" s="1" cm="1">
        <f t="array" ref="J3634">GetLongitude(D3634)</f>
        <v>118714287</v>
      </c>
      <c r="K3634" s="1">
        <f t="shared" si="169"/>
        <v>55.006572400000003</v>
      </c>
      <c r="L3634" s="1">
        <f t="shared" si="170"/>
        <v>11.871428699999999</v>
      </c>
    </row>
    <row r="3635" spans="1:12" ht="16" x14ac:dyDescent="0.2">
      <c r="A3635" s="1">
        <v>3634</v>
      </c>
      <c r="B3635" s="1" t="s">
        <v>10573</v>
      </c>
      <c r="C3635" s="1" t="s">
        <v>10753</v>
      </c>
      <c r="D3635" s="1" t="str">
        <f t="shared" si="168"/>
        <v>Vordingborg Kommune Torvestræde 7</v>
      </c>
      <c r="E3635" s="1" t="s">
        <v>10754</v>
      </c>
      <c r="F3635" s="1" t="s">
        <v>10755</v>
      </c>
      <c r="G3635" s="1">
        <v>1982</v>
      </c>
      <c r="H3635" s="1" t="s">
        <v>11</v>
      </c>
      <c r="I3635" s="6" cm="1">
        <f t="array" ref="I3635">GetLatitude(D3635)</f>
        <v>551230094</v>
      </c>
      <c r="J3635" s="1" cm="1">
        <f t="array" ref="J3635">GetLongitude(D3635)</f>
        <v>120415111</v>
      </c>
      <c r="K3635" s="1">
        <f t="shared" si="169"/>
        <v>55.123009400000001</v>
      </c>
      <c r="L3635" s="1">
        <f t="shared" si="170"/>
        <v>12.041511099999999</v>
      </c>
    </row>
    <row r="3636" spans="1:12" ht="16" x14ac:dyDescent="0.2">
      <c r="A3636" s="1">
        <v>3635</v>
      </c>
      <c r="B3636" s="1" t="s">
        <v>10573</v>
      </c>
      <c r="C3636" s="1" t="s">
        <v>7951</v>
      </c>
      <c r="D3636" s="1" t="str">
        <f t="shared" si="168"/>
        <v>Vordingborg Kommune Torvet 10</v>
      </c>
      <c r="E3636" s="1" t="s">
        <v>10756</v>
      </c>
      <c r="F3636" s="1" t="s">
        <v>10757</v>
      </c>
      <c r="G3636" s="1">
        <v>1977</v>
      </c>
      <c r="H3636" s="1" t="s">
        <v>794</v>
      </c>
      <c r="I3636" s="6" cm="1">
        <f t="array" ref="I3636">GetLatitude(D3636)</f>
        <v>551236892</v>
      </c>
      <c r="J3636" s="1" cm="1">
        <f t="array" ref="J3636">GetLongitude(D3636)</f>
        <v>120442851</v>
      </c>
      <c r="K3636" s="1">
        <f t="shared" si="169"/>
        <v>55.123689200000001</v>
      </c>
      <c r="L3636" s="1">
        <f t="shared" si="170"/>
        <v>12.0442851</v>
      </c>
    </row>
    <row r="3637" spans="1:12" ht="16" x14ac:dyDescent="0.2">
      <c r="A3637" s="1">
        <v>3636</v>
      </c>
      <c r="B3637" s="1" t="s">
        <v>10573</v>
      </c>
      <c r="C3637" s="1" t="s">
        <v>968</v>
      </c>
      <c r="D3637" s="1" t="str">
        <f t="shared" si="168"/>
        <v>Vordingborg Kommune Torvet 11</v>
      </c>
      <c r="E3637" s="1" t="s">
        <v>10758</v>
      </c>
      <c r="F3637" s="1" t="s">
        <v>10759</v>
      </c>
      <c r="G3637" s="1">
        <v>1982</v>
      </c>
      <c r="H3637" s="1" t="s">
        <v>11</v>
      </c>
      <c r="I3637" s="6" cm="1">
        <f t="array" ref="I3637">GetLatitude(D3637)</f>
        <v>550517421</v>
      </c>
      <c r="J3637" s="1" cm="1">
        <f t="array" ref="J3637">GetLongitude(D3637)</f>
        <v>120293275</v>
      </c>
      <c r="K3637" s="1">
        <f t="shared" si="169"/>
        <v>55.051742099999998</v>
      </c>
      <c r="L3637" s="1">
        <f t="shared" si="170"/>
        <v>12.029327500000001</v>
      </c>
    </row>
    <row r="3638" spans="1:12" ht="16" x14ac:dyDescent="0.2">
      <c r="A3638" s="1">
        <v>3637</v>
      </c>
      <c r="B3638" s="1" t="s">
        <v>10573</v>
      </c>
      <c r="C3638" s="1" t="s">
        <v>3731</v>
      </c>
      <c r="D3638" s="1" t="str">
        <f t="shared" si="168"/>
        <v>Vordingborg Kommune Torvet 12</v>
      </c>
      <c r="E3638" s="1" t="s">
        <v>10760</v>
      </c>
      <c r="F3638" s="1" t="s">
        <v>10761</v>
      </c>
      <c r="G3638" s="1">
        <v>1982</v>
      </c>
      <c r="H3638" s="1" t="s">
        <v>11</v>
      </c>
      <c r="I3638" s="6" cm="1">
        <f t="array" ref="I3638">GetLatitude(D3638)</f>
        <v>551234987</v>
      </c>
      <c r="J3638" s="1" cm="1">
        <f t="array" ref="J3638">GetLongitude(D3638)</f>
        <v>120443704</v>
      </c>
      <c r="K3638" s="1">
        <f t="shared" si="169"/>
        <v>55.123498699999999</v>
      </c>
      <c r="L3638" s="1">
        <f t="shared" si="170"/>
        <v>12.0443704</v>
      </c>
    </row>
    <row r="3639" spans="1:12" ht="16" x14ac:dyDescent="0.2">
      <c r="A3639" s="1">
        <v>3638</v>
      </c>
      <c r="B3639" s="1" t="s">
        <v>10573</v>
      </c>
      <c r="C3639" s="1" t="s">
        <v>981</v>
      </c>
      <c r="D3639" s="1" t="str">
        <f t="shared" si="168"/>
        <v>Vordingborg Kommune Torvet 20</v>
      </c>
      <c r="E3639" s="1" t="s">
        <v>10762</v>
      </c>
      <c r="F3639" s="1" t="s">
        <v>10763</v>
      </c>
      <c r="G3639" s="1">
        <v>1982</v>
      </c>
      <c r="H3639" s="1" t="s">
        <v>11</v>
      </c>
      <c r="I3639" s="6" cm="1">
        <f t="array" ref="I3639">GetLatitude(D3639)</f>
        <v>551236892</v>
      </c>
      <c r="J3639" s="1" cm="1">
        <f t="array" ref="J3639">GetLongitude(D3639)</f>
        <v>120442851</v>
      </c>
      <c r="K3639" s="1">
        <f t="shared" si="169"/>
        <v>55.123689200000001</v>
      </c>
      <c r="L3639" s="1">
        <f t="shared" si="170"/>
        <v>12.0442851</v>
      </c>
    </row>
    <row r="3640" spans="1:12" ht="16" x14ac:dyDescent="0.2">
      <c r="A3640" s="1">
        <v>3639</v>
      </c>
      <c r="B3640" s="1" t="s">
        <v>10573</v>
      </c>
      <c r="C3640" s="1" t="s">
        <v>10764</v>
      </c>
      <c r="D3640" s="1" t="str">
        <f t="shared" si="168"/>
        <v>Vordingborg Kommune Torvet 23</v>
      </c>
      <c r="E3640" s="1" t="s">
        <v>10765</v>
      </c>
      <c r="F3640" s="1" t="s">
        <v>10766</v>
      </c>
      <c r="G3640" s="1">
        <v>1982</v>
      </c>
      <c r="H3640" s="1" t="s">
        <v>99</v>
      </c>
      <c r="I3640" s="6" cm="1">
        <f t="array" ref="I3640">GetLatitude(D3640)</f>
        <v>551236892</v>
      </c>
      <c r="J3640" s="1" cm="1">
        <f t="array" ref="J3640">GetLongitude(D3640)</f>
        <v>120442851</v>
      </c>
      <c r="K3640" s="1">
        <f t="shared" si="169"/>
        <v>55.123689200000001</v>
      </c>
      <c r="L3640" s="1">
        <f t="shared" si="170"/>
        <v>12.0442851</v>
      </c>
    </row>
    <row r="3641" spans="1:12" ht="16" x14ac:dyDescent="0.2">
      <c r="A3641" s="1">
        <v>3640</v>
      </c>
      <c r="B3641" s="1" t="s">
        <v>10573</v>
      </c>
      <c r="C3641" s="1" t="s">
        <v>10767</v>
      </c>
      <c r="D3641" s="1" t="str">
        <f t="shared" si="168"/>
        <v>Vordingborg Kommune Torvet 24</v>
      </c>
      <c r="E3641" s="1" t="s">
        <v>10768</v>
      </c>
      <c r="F3641" s="1" t="s">
        <v>10769</v>
      </c>
      <c r="G3641" s="1">
        <v>1982</v>
      </c>
      <c r="H3641" s="1" t="s">
        <v>11</v>
      </c>
      <c r="I3641" s="6" cm="1">
        <f t="array" ref="I3641">GetLatitude(D3641)</f>
        <v>551236892</v>
      </c>
      <c r="J3641" s="1" cm="1">
        <f t="array" ref="J3641">GetLongitude(D3641)</f>
        <v>120442851</v>
      </c>
      <c r="K3641" s="1">
        <f t="shared" si="169"/>
        <v>55.123689200000001</v>
      </c>
      <c r="L3641" s="1">
        <f t="shared" si="170"/>
        <v>12.0442851</v>
      </c>
    </row>
    <row r="3642" spans="1:12" ht="16" x14ac:dyDescent="0.2">
      <c r="A3642" s="1">
        <v>3641</v>
      </c>
      <c r="B3642" s="1" t="s">
        <v>10573</v>
      </c>
      <c r="C3642" s="1" t="s">
        <v>2049</v>
      </c>
      <c r="D3642" s="1" t="str">
        <f t="shared" si="168"/>
        <v>Vordingborg Kommune Torvet 5</v>
      </c>
      <c r="E3642" s="1" t="s">
        <v>10770</v>
      </c>
      <c r="F3642" s="1" t="s">
        <v>621</v>
      </c>
      <c r="G3642" s="1">
        <v>1982</v>
      </c>
      <c r="H3642" s="1" t="s">
        <v>11</v>
      </c>
      <c r="I3642" s="6" cm="1">
        <f t="array" ref="I3642">GetLatitude(D3642)</f>
        <v>550517421</v>
      </c>
      <c r="J3642" s="1" cm="1">
        <f t="array" ref="J3642">GetLongitude(D3642)</f>
        <v>120293275</v>
      </c>
      <c r="K3642" s="1">
        <f t="shared" si="169"/>
        <v>55.051742099999998</v>
      </c>
      <c r="L3642" s="1">
        <f t="shared" si="170"/>
        <v>12.029327500000001</v>
      </c>
    </row>
    <row r="3643" spans="1:12" ht="16" x14ac:dyDescent="0.2">
      <c r="A3643" s="1">
        <v>3642</v>
      </c>
      <c r="B3643" s="1" t="s">
        <v>10573</v>
      </c>
      <c r="C3643" s="1" t="s">
        <v>2706</v>
      </c>
      <c r="D3643" s="1" t="str">
        <f t="shared" si="168"/>
        <v>Vordingborg Kommune Torvet 7</v>
      </c>
      <c r="E3643" s="1" t="s">
        <v>10771</v>
      </c>
      <c r="F3643" s="1" t="s">
        <v>10772</v>
      </c>
      <c r="G3643" s="1">
        <v>1982</v>
      </c>
      <c r="H3643" s="1" t="s">
        <v>11</v>
      </c>
      <c r="I3643" s="6" cm="1">
        <f t="array" ref="I3643">GetLatitude(D3643)</f>
        <v>550517421</v>
      </c>
      <c r="J3643" s="1" cm="1">
        <f t="array" ref="J3643">GetLongitude(D3643)</f>
        <v>120293275</v>
      </c>
      <c r="K3643" s="1">
        <f t="shared" si="169"/>
        <v>55.051742099999998</v>
      </c>
      <c r="L3643" s="1">
        <f t="shared" si="170"/>
        <v>12.029327500000001</v>
      </c>
    </row>
    <row r="3644" spans="1:12" ht="16" x14ac:dyDescent="0.2">
      <c r="A3644" s="1">
        <v>3643</v>
      </c>
      <c r="B3644" s="1" t="s">
        <v>10573</v>
      </c>
      <c r="C3644" s="1" t="s">
        <v>10773</v>
      </c>
      <c r="D3644" s="1" t="str">
        <f t="shared" si="168"/>
        <v>Vordingborg Kommune Vintersbølle Strand 7</v>
      </c>
      <c r="E3644" s="1" t="s">
        <v>10774</v>
      </c>
      <c r="F3644" s="1" t="s">
        <v>10775</v>
      </c>
      <c r="G3644" s="1">
        <v>2010</v>
      </c>
      <c r="H3644" s="1" t="s">
        <v>11</v>
      </c>
      <c r="I3644" s="6" cm="1">
        <f t="array" ref="I3644">GetLatitude(D3644)</f>
        <v>549998730</v>
      </c>
      <c r="J3644" s="1" cm="1">
        <f t="array" ref="J3644">GetLongitude(D3644)</f>
        <v>119530187</v>
      </c>
      <c r="K3644" s="1">
        <f t="shared" si="169"/>
        <v>54.999873000000001</v>
      </c>
      <c r="L3644" s="1">
        <f t="shared" si="170"/>
        <v>11.953018699999999</v>
      </c>
    </row>
    <row r="3645" spans="1:12" ht="16" x14ac:dyDescent="0.2">
      <c r="A3645" s="1">
        <v>3644</v>
      </c>
      <c r="B3645" s="1" t="s">
        <v>10573</v>
      </c>
      <c r="C3645" s="1" t="s">
        <v>10776</v>
      </c>
      <c r="D3645" s="1" t="str">
        <f t="shared" si="168"/>
        <v>Vordingborg Kommune Ørslevvej 134</v>
      </c>
      <c r="E3645" s="1" t="s">
        <v>10777</v>
      </c>
      <c r="F3645" s="1" t="s">
        <v>98</v>
      </c>
      <c r="G3645" s="1">
        <v>1950</v>
      </c>
      <c r="H3645" s="1" t="s">
        <v>15</v>
      </c>
      <c r="I3645" s="6" cm="1">
        <f t="array" ref="I3645">GetLatitude(D3645)</f>
        <v>550437802</v>
      </c>
      <c r="J3645" s="1" cm="1">
        <f t="array" ref="J3645">GetLongitude(D3645)</f>
        <v>119737019</v>
      </c>
      <c r="K3645" s="1">
        <f t="shared" si="169"/>
        <v>55.0437802</v>
      </c>
      <c r="L3645" s="1">
        <f t="shared" si="170"/>
        <v>11.9737019</v>
      </c>
    </row>
    <row r="3646" spans="1:12" ht="16" x14ac:dyDescent="0.2">
      <c r="A3646" s="1">
        <v>3645</v>
      </c>
      <c r="B3646" s="1" t="s">
        <v>10573</v>
      </c>
      <c r="C3646" s="1" t="s">
        <v>10778</v>
      </c>
      <c r="D3646" s="1" t="str">
        <f t="shared" si="168"/>
        <v>Vordingborg Kommune Øster Egesborgvej 6</v>
      </c>
      <c r="E3646" s="1" t="s">
        <v>10779</v>
      </c>
      <c r="F3646" s="1" t="s">
        <v>98</v>
      </c>
      <c r="G3646" s="1">
        <v>1964</v>
      </c>
      <c r="H3646" s="1" t="s">
        <v>11</v>
      </c>
      <c r="I3646" s="6" cm="1">
        <f t="array" ref="I3646">GetLatitude(D3646)</f>
        <v>550409316</v>
      </c>
      <c r="J3646" s="1" cm="1">
        <f t="array" ref="J3646">GetLongitude(D3646)</f>
        <v>120192184</v>
      </c>
      <c r="K3646" s="1">
        <f t="shared" si="169"/>
        <v>55.0409316</v>
      </c>
      <c r="L3646" s="1">
        <f t="shared" si="170"/>
        <v>12.0192184</v>
      </c>
    </row>
    <row r="3647" spans="1:12" ht="16" x14ac:dyDescent="0.2">
      <c r="A3647" s="1">
        <v>3646</v>
      </c>
      <c r="B3647" s="1" t="s">
        <v>10573</v>
      </c>
      <c r="C3647" s="1" t="s">
        <v>10780</v>
      </c>
      <c r="D3647" s="1" t="str">
        <f t="shared" si="168"/>
        <v>Vordingborg Kommune Østergade 7 og Nordgade 11</v>
      </c>
      <c r="E3647" s="1" t="s">
        <v>10781</v>
      </c>
      <c r="F3647" s="1" t="s">
        <v>10687</v>
      </c>
      <c r="G3647" s="1">
        <v>1971</v>
      </c>
      <c r="H3647" s="1" t="s">
        <v>15</v>
      </c>
      <c r="I3647" s="6" cm="1">
        <f t="array" ref="I3647">GetLatitude(D3647)</f>
        <v>550420587</v>
      </c>
      <c r="J3647" s="1" cm="1">
        <f t="array" ref="J3647">GetLongitude(D3647)</f>
        <v>121959044</v>
      </c>
      <c r="K3647" s="1">
        <f t="shared" si="169"/>
        <v>55.042058699999998</v>
      </c>
      <c r="L3647" s="1">
        <f t="shared" si="170"/>
        <v>12.1959044</v>
      </c>
    </row>
    <row r="3648" spans="1:12" ht="16" x14ac:dyDescent="0.2">
      <c r="A3648" s="1">
        <v>3647</v>
      </c>
      <c r="B3648" s="1" t="s">
        <v>10573</v>
      </c>
      <c r="C3648" s="1" t="s">
        <v>2473</v>
      </c>
      <c r="D3648" s="1" t="str">
        <f t="shared" si="168"/>
        <v>Vordingborg Kommune Østergade 9</v>
      </c>
      <c r="E3648" s="1" t="s">
        <v>10782</v>
      </c>
      <c r="F3648" s="1" t="s">
        <v>10783</v>
      </c>
      <c r="G3648" s="1">
        <v>1972</v>
      </c>
      <c r="H3648" s="1" t="s">
        <v>15</v>
      </c>
      <c r="I3648" s="6" cm="1">
        <f t="array" ref="I3648">GetLatitude(D3648)</f>
        <v>550517421</v>
      </c>
      <c r="J3648" s="1" cm="1">
        <f t="array" ref="J3648">GetLongitude(D3648)</f>
        <v>120293275</v>
      </c>
      <c r="K3648" s="1">
        <f t="shared" si="169"/>
        <v>55.051742099999998</v>
      </c>
      <c r="L3648" s="1">
        <f t="shared" si="170"/>
        <v>12.029327500000001</v>
      </c>
    </row>
    <row r="3649" spans="1:12" ht="16" x14ac:dyDescent="0.2">
      <c r="A3649" s="1">
        <v>3648</v>
      </c>
      <c r="B3649" s="1" t="s">
        <v>10784</v>
      </c>
      <c r="C3649" s="1" t="s">
        <v>10785</v>
      </c>
      <c r="D3649" s="1" t="str">
        <f t="shared" si="168"/>
        <v>Ærø KommuneBorgnæsvej 16</v>
      </c>
      <c r="E3649" s="1" t="s">
        <v>10786</v>
      </c>
      <c r="F3649" s="1" t="s">
        <v>10787</v>
      </c>
      <c r="G3649" s="1">
        <v>2003</v>
      </c>
      <c r="H3649" s="1" t="s">
        <v>15</v>
      </c>
      <c r="I3649" s="6" cm="1">
        <f t="array" ref="I3649">GetLatitude(D3649)</f>
        <v>548945684</v>
      </c>
      <c r="J3649" s="1" cm="1">
        <f t="array" ref="J3649">GetLongitude(D3649)</f>
        <v>103502063</v>
      </c>
      <c r="K3649" s="1">
        <f t="shared" si="169"/>
        <v>54.894568399999997</v>
      </c>
      <c r="L3649" s="1">
        <f t="shared" si="170"/>
        <v>10.3502063</v>
      </c>
    </row>
    <row r="3650" spans="1:12" ht="16" x14ac:dyDescent="0.2">
      <c r="A3650" s="1">
        <v>3649</v>
      </c>
      <c r="B3650" s="1" t="s">
        <v>10784</v>
      </c>
      <c r="C3650" s="1" t="s">
        <v>10788</v>
      </c>
      <c r="D3650" s="1" t="str">
        <f t="shared" si="168"/>
        <v>Ærø KommuneBrogade 20</v>
      </c>
      <c r="E3650" s="1" t="s">
        <v>10789</v>
      </c>
      <c r="F3650" s="1" t="s">
        <v>10790</v>
      </c>
      <c r="G3650" s="1">
        <v>1919</v>
      </c>
      <c r="H3650" s="1" t="s">
        <v>15</v>
      </c>
      <c r="I3650" s="6" cm="1">
        <f t="array" ref="I3650">GetLatitude(D3650)</f>
        <v>548887750</v>
      </c>
      <c r="J3650" s="1" cm="1">
        <f t="array" ref="J3650">GetLongitude(D3650)</f>
        <v>104116760</v>
      </c>
      <c r="K3650" s="1">
        <f t="shared" si="169"/>
        <v>54.888775000000003</v>
      </c>
      <c r="L3650" s="1">
        <f t="shared" si="170"/>
        <v>10.411676</v>
      </c>
    </row>
    <row r="3651" spans="1:12" ht="16" x14ac:dyDescent="0.2">
      <c r="A3651" s="1">
        <v>3650</v>
      </c>
      <c r="B3651" s="1" t="s">
        <v>10784</v>
      </c>
      <c r="C3651" s="1" t="s">
        <v>10791</v>
      </c>
      <c r="D3651" s="1" t="str">
        <f t="shared" ref="D3651:D3714" si="171">B3651&amp;C3651</f>
        <v>Ærø KommuneBrogade 21</v>
      </c>
      <c r="E3651" s="1" t="s">
        <v>10792</v>
      </c>
      <c r="F3651" s="1" t="s">
        <v>10793</v>
      </c>
      <c r="G3651" s="1">
        <v>1919</v>
      </c>
      <c r="H3651" s="1" t="s">
        <v>11</v>
      </c>
      <c r="I3651" s="6" cm="1">
        <f t="array" ref="I3651">GetLatitude(D3651)</f>
        <v>548883938</v>
      </c>
      <c r="J3651" s="1" cm="1">
        <f t="array" ref="J3651">GetLongitude(D3651)</f>
        <v>104115103</v>
      </c>
      <c r="K3651" s="1">
        <f t="shared" si="169"/>
        <v>54.888393800000003</v>
      </c>
      <c r="L3651" s="1">
        <f t="shared" si="170"/>
        <v>10.4115103</v>
      </c>
    </row>
    <row r="3652" spans="1:12" ht="16" x14ac:dyDescent="0.2">
      <c r="A3652" s="1">
        <v>3651</v>
      </c>
      <c r="B3652" s="1" t="s">
        <v>10784</v>
      </c>
      <c r="C3652" s="1" t="s">
        <v>10794</v>
      </c>
      <c r="D3652" s="1" t="str">
        <f t="shared" si="171"/>
        <v>Ærø KommuneBrogade 28</v>
      </c>
      <c r="E3652" s="1" t="s">
        <v>10795</v>
      </c>
      <c r="F3652" s="1" t="s">
        <v>10796</v>
      </c>
      <c r="G3652" s="1">
        <v>1919</v>
      </c>
      <c r="H3652" s="1" t="s">
        <v>15</v>
      </c>
      <c r="I3652" s="6" cm="1">
        <f t="array" ref="I3652">GetLatitude(D3652)</f>
        <v>548884669</v>
      </c>
      <c r="J3652" s="1" cm="1">
        <f t="array" ref="J3652">GetLongitude(D3652)</f>
        <v>104111674</v>
      </c>
      <c r="K3652" s="1">
        <f t="shared" ref="K3652:K3715" si="172">I3652/10000000</f>
        <v>54.888466899999997</v>
      </c>
      <c r="L3652" s="1">
        <f t="shared" ref="L3652:L3715" si="173">J3652/10000000</f>
        <v>10.4111674</v>
      </c>
    </row>
    <row r="3653" spans="1:12" ht="16" x14ac:dyDescent="0.2">
      <c r="A3653" s="1">
        <v>3652</v>
      </c>
      <c r="B3653" s="1" t="s">
        <v>10784</v>
      </c>
      <c r="C3653" s="1" t="s">
        <v>10797</v>
      </c>
      <c r="D3653" s="1" t="str">
        <f t="shared" si="171"/>
        <v>Ærø KommuneBrogade 3-5</v>
      </c>
      <c r="E3653" s="1" t="s">
        <v>10798</v>
      </c>
      <c r="F3653" s="1" t="s">
        <v>10799</v>
      </c>
      <c r="G3653" s="1">
        <v>1919</v>
      </c>
      <c r="H3653" s="1" t="s">
        <v>15</v>
      </c>
      <c r="I3653" s="6" cm="1">
        <f t="array" ref="I3653">GetLatitude(D3653)</f>
        <v>548589026</v>
      </c>
      <c r="J3653" s="1" cm="1">
        <f t="array" ref="J3653">GetLongitude(D3653)</f>
        <v>103874813</v>
      </c>
      <c r="K3653" s="1">
        <f t="shared" si="172"/>
        <v>54.8589026</v>
      </c>
      <c r="L3653" s="1">
        <f t="shared" si="173"/>
        <v>10.387481299999999</v>
      </c>
    </row>
    <row r="3654" spans="1:12" ht="16" x14ac:dyDescent="0.2">
      <c r="A3654" s="1">
        <v>3653</v>
      </c>
      <c r="B3654" s="1" t="s">
        <v>10784</v>
      </c>
      <c r="C3654" s="1" t="s">
        <v>10800</v>
      </c>
      <c r="D3654" s="1" t="str">
        <f t="shared" si="171"/>
        <v>Ærø KommuneGydeagre 2</v>
      </c>
      <c r="E3654" s="1" t="s">
        <v>10801</v>
      </c>
      <c r="F3654" s="1" t="s">
        <v>10802</v>
      </c>
      <c r="G3654" s="1">
        <v>1994</v>
      </c>
      <c r="H3654" s="1" t="s">
        <v>15</v>
      </c>
      <c r="I3654" s="6" cm="1">
        <f t="array" ref="I3654">GetLatitude(D3654)</f>
        <v>548684240</v>
      </c>
      <c r="J3654" s="1" cm="1">
        <f t="array" ref="J3654">GetLongitude(D3654)</f>
        <v>104057130</v>
      </c>
      <c r="K3654" s="1">
        <f t="shared" si="172"/>
        <v>54.868423999999997</v>
      </c>
      <c r="L3654" s="1">
        <f t="shared" si="173"/>
        <v>10.405713</v>
      </c>
    </row>
    <row r="3655" spans="1:12" ht="16" x14ac:dyDescent="0.2">
      <c r="A3655" s="1">
        <v>3654</v>
      </c>
      <c r="B3655" s="1" t="s">
        <v>10784</v>
      </c>
      <c r="C3655" s="1" t="s">
        <v>10803</v>
      </c>
      <c r="D3655" s="1" t="str">
        <f t="shared" si="171"/>
        <v>Ærø KommuneGyden 16</v>
      </c>
      <c r="E3655" s="1" t="s">
        <v>10804</v>
      </c>
      <c r="F3655" s="1" t="s">
        <v>10805</v>
      </c>
      <c r="G3655" s="1">
        <v>1940</v>
      </c>
      <c r="H3655" s="1" t="s">
        <v>15</v>
      </c>
      <c r="I3655" s="6" cm="1">
        <f t="array" ref="I3655">GetLatitude(D3655)</f>
        <v>548888516</v>
      </c>
      <c r="J3655" s="1" cm="1">
        <f t="array" ref="J3655">GetLongitude(D3655)</f>
        <v>104111164</v>
      </c>
      <c r="K3655" s="1">
        <f t="shared" si="172"/>
        <v>54.888851600000002</v>
      </c>
      <c r="L3655" s="1">
        <f t="shared" si="173"/>
        <v>10.411116399999999</v>
      </c>
    </row>
    <row r="3656" spans="1:12" ht="16" x14ac:dyDescent="0.2">
      <c r="A3656" s="1">
        <v>3655</v>
      </c>
      <c r="B3656" s="1" t="s">
        <v>10784</v>
      </c>
      <c r="C3656" s="1" t="s">
        <v>10806</v>
      </c>
      <c r="D3656" s="1" t="str">
        <f t="shared" si="171"/>
        <v>Ærø KommuneGyden 20</v>
      </c>
      <c r="E3656" s="1" t="s">
        <v>10807</v>
      </c>
      <c r="F3656" s="1" t="s">
        <v>10808</v>
      </c>
      <c r="G3656" s="1">
        <v>1919</v>
      </c>
      <c r="H3656" s="1" t="s">
        <v>15</v>
      </c>
      <c r="I3656" s="6" cm="1">
        <f t="array" ref="I3656">GetLatitude(D3656)</f>
        <v>548887560</v>
      </c>
      <c r="J3656" s="1" cm="1">
        <f t="array" ref="J3656">GetLongitude(D3656)</f>
        <v>104113422</v>
      </c>
      <c r="K3656" s="1">
        <f t="shared" si="172"/>
        <v>54.888756000000001</v>
      </c>
      <c r="L3656" s="1">
        <f t="shared" si="173"/>
        <v>10.4113422</v>
      </c>
    </row>
    <row r="3657" spans="1:12" ht="16" x14ac:dyDescent="0.2">
      <c r="A3657" s="1">
        <v>3656</v>
      </c>
      <c r="B3657" s="1" t="s">
        <v>10784</v>
      </c>
      <c r="C3657" s="1" t="s">
        <v>10809</v>
      </c>
      <c r="D3657" s="1" t="str">
        <f t="shared" si="171"/>
        <v>Ærø KommuneGyden 22 (Brogade)</v>
      </c>
      <c r="E3657" s="1" t="s">
        <v>10810</v>
      </c>
      <c r="F3657" s="1" t="s">
        <v>10811</v>
      </c>
      <c r="G3657" s="1">
        <v>1919</v>
      </c>
      <c r="H3657" s="1" t="s">
        <v>15</v>
      </c>
      <c r="I3657" s="6" cm="1">
        <f t="array" ref="I3657">GetLatitude(D3657)</f>
        <v>548886446</v>
      </c>
      <c r="J3657" s="1" cm="1">
        <f t="array" ref="J3657">GetLongitude(D3657)</f>
        <v>104114999</v>
      </c>
      <c r="K3657" s="1">
        <f t="shared" si="172"/>
        <v>54.888644599999999</v>
      </c>
      <c r="L3657" s="1">
        <f t="shared" si="173"/>
        <v>10.411499900000001</v>
      </c>
    </row>
    <row r="3658" spans="1:12" ht="16" x14ac:dyDescent="0.2">
      <c r="A3658" s="1">
        <v>3657</v>
      </c>
      <c r="B3658" s="1" t="s">
        <v>10784</v>
      </c>
      <c r="C3658" s="1" t="s">
        <v>3950</v>
      </c>
      <c r="D3658" s="1" t="str">
        <f t="shared" si="171"/>
        <v>Ærø KommuneNørregade 1</v>
      </c>
      <c r="E3658" s="1" t="s">
        <v>10812</v>
      </c>
      <c r="F3658" s="1" t="s">
        <v>10813</v>
      </c>
      <c r="G3658" s="1">
        <v>1919</v>
      </c>
      <c r="H3658" s="1" t="s">
        <v>15</v>
      </c>
      <c r="I3658" s="6" cm="1">
        <f t="array" ref="I3658">GetLatitude(D3658)</f>
        <v>548589026</v>
      </c>
      <c r="J3658" s="1" cm="1">
        <f t="array" ref="J3658">GetLongitude(D3658)</f>
        <v>103874813</v>
      </c>
      <c r="K3658" s="1">
        <f t="shared" si="172"/>
        <v>54.8589026</v>
      </c>
      <c r="L3658" s="1">
        <f t="shared" si="173"/>
        <v>10.387481299999999</v>
      </c>
    </row>
    <row r="3659" spans="1:12" ht="16" x14ac:dyDescent="0.2">
      <c r="A3659" s="1">
        <v>3658</v>
      </c>
      <c r="B3659" s="1" t="s">
        <v>10784</v>
      </c>
      <c r="C3659" s="1" t="s">
        <v>5832</v>
      </c>
      <c r="D3659" s="1" t="str">
        <f t="shared" si="171"/>
        <v>Ærø KommuneNørregade 13</v>
      </c>
      <c r="E3659" s="1" t="s">
        <v>5833</v>
      </c>
      <c r="F3659" s="1" t="s">
        <v>8541</v>
      </c>
      <c r="G3659" s="1">
        <v>1919</v>
      </c>
      <c r="H3659" s="1" t="s">
        <v>11</v>
      </c>
      <c r="I3659" s="6" cm="1">
        <f t="array" ref="I3659">GetLatitude(D3659)</f>
        <v>548914560</v>
      </c>
      <c r="J3659" s="1" cm="1">
        <f t="array" ref="J3659">GetLongitude(D3659)</f>
        <v>104046840</v>
      </c>
      <c r="K3659" s="1">
        <f t="shared" si="172"/>
        <v>54.891455999999998</v>
      </c>
      <c r="L3659" s="1">
        <f t="shared" si="173"/>
        <v>10.404684</v>
      </c>
    </row>
    <row r="3660" spans="1:12" ht="16" x14ac:dyDescent="0.2">
      <c r="A3660" s="1">
        <v>3659</v>
      </c>
      <c r="B3660" s="1" t="s">
        <v>10784</v>
      </c>
      <c r="C3660" s="1" t="s">
        <v>7003</v>
      </c>
      <c r="D3660" s="1" t="str">
        <f t="shared" si="171"/>
        <v>Ærø KommuneNørregade 41</v>
      </c>
      <c r="E3660" s="1" t="s">
        <v>10814</v>
      </c>
      <c r="F3660" s="1" t="s">
        <v>10815</v>
      </c>
      <c r="G3660" s="1">
        <v>1919</v>
      </c>
      <c r="H3660" s="1" t="s">
        <v>11</v>
      </c>
      <c r="I3660" s="6" cm="1">
        <f t="array" ref="I3660">GetLatitude(D3660)</f>
        <v>548876137</v>
      </c>
      <c r="J3660" s="1" cm="1">
        <f t="array" ref="J3660">GetLongitude(D3660)</f>
        <v>104134962</v>
      </c>
      <c r="K3660" s="1">
        <f t="shared" si="172"/>
        <v>54.887613700000003</v>
      </c>
      <c r="L3660" s="1">
        <f t="shared" si="173"/>
        <v>10.413496200000001</v>
      </c>
    </row>
    <row r="3661" spans="1:12" ht="16" x14ac:dyDescent="0.2">
      <c r="A3661" s="1">
        <v>3660</v>
      </c>
      <c r="B3661" s="1" t="s">
        <v>10784</v>
      </c>
      <c r="C3661" s="1" t="s">
        <v>10816</v>
      </c>
      <c r="D3661" s="1" t="str">
        <f t="shared" si="171"/>
        <v>Ærø KommuneNørregade 47</v>
      </c>
      <c r="E3661" s="1" t="s">
        <v>10817</v>
      </c>
      <c r="F3661" s="1" t="s">
        <v>10818</v>
      </c>
      <c r="G3661" s="1">
        <v>1919</v>
      </c>
      <c r="H3661" s="1" t="s">
        <v>15</v>
      </c>
      <c r="I3661" s="6" cm="1">
        <f t="array" ref="I3661">GetLatitude(D3661)</f>
        <v>548879621</v>
      </c>
      <c r="J3661" s="1" cm="1">
        <f t="array" ref="J3661">GetLongitude(D3661)</f>
        <v>104130978</v>
      </c>
      <c r="K3661" s="1">
        <f t="shared" si="172"/>
        <v>54.887962100000003</v>
      </c>
      <c r="L3661" s="1">
        <f t="shared" si="173"/>
        <v>10.413097799999999</v>
      </c>
    </row>
    <row r="3662" spans="1:12" ht="16" x14ac:dyDescent="0.2">
      <c r="A3662" s="1">
        <v>3661</v>
      </c>
      <c r="B3662" s="1" t="s">
        <v>10784</v>
      </c>
      <c r="C3662" s="1" t="s">
        <v>10819</v>
      </c>
      <c r="D3662" s="1" t="str">
        <f t="shared" si="171"/>
        <v>Ærø KommuneRisemarksvej 8</v>
      </c>
      <c r="E3662" s="1" t="s">
        <v>10820</v>
      </c>
      <c r="F3662" s="1" t="s">
        <v>10821</v>
      </c>
      <c r="G3662" s="1">
        <v>1994</v>
      </c>
      <c r="H3662" s="1" t="s">
        <v>11</v>
      </c>
      <c r="I3662" s="6" cm="1">
        <f t="array" ref="I3662">GetLatitude(D3662)</f>
        <v>548496397</v>
      </c>
      <c r="J3662" s="1" cm="1">
        <f t="array" ref="J3662">GetLongitude(D3662)</f>
        <v>103954020</v>
      </c>
      <c r="K3662" s="1">
        <f t="shared" si="172"/>
        <v>54.849639699999997</v>
      </c>
      <c r="L3662" s="1">
        <f t="shared" si="173"/>
        <v>10.395402000000001</v>
      </c>
    </row>
    <row r="3663" spans="1:12" ht="16" x14ac:dyDescent="0.2">
      <c r="A3663" s="1">
        <v>3662</v>
      </c>
      <c r="B3663" s="1" t="s">
        <v>10784</v>
      </c>
      <c r="C3663" s="1" t="s">
        <v>10822</v>
      </c>
      <c r="D3663" s="1" t="str">
        <f t="shared" si="171"/>
        <v>Ærø KommuneSmedegade 22</v>
      </c>
      <c r="E3663" s="1" t="s">
        <v>10823</v>
      </c>
      <c r="F3663" s="1" t="s">
        <v>10824</v>
      </c>
      <c r="G3663" s="1">
        <v>1919</v>
      </c>
      <c r="H3663" s="1" t="s">
        <v>11</v>
      </c>
      <c r="I3663" s="6" cm="1">
        <f t="array" ref="I3663">GetLatitude(D3663)</f>
        <v>548896224</v>
      </c>
      <c r="J3663" s="1" cm="1">
        <f t="array" ref="J3663">GetLongitude(D3663)</f>
        <v>104120378</v>
      </c>
      <c r="K3663" s="1">
        <f t="shared" si="172"/>
        <v>54.8896224</v>
      </c>
      <c r="L3663" s="1">
        <f t="shared" si="173"/>
        <v>10.4120378</v>
      </c>
    </row>
    <row r="3664" spans="1:12" ht="16" x14ac:dyDescent="0.2">
      <c r="A3664" s="1">
        <v>3663</v>
      </c>
      <c r="B3664" s="1" t="s">
        <v>10784</v>
      </c>
      <c r="C3664" s="1" t="s">
        <v>10825</v>
      </c>
      <c r="D3664" s="1" t="str">
        <f t="shared" si="171"/>
        <v>Ærø KommuneSmedegade 29</v>
      </c>
      <c r="E3664" s="1" t="s">
        <v>10826</v>
      </c>
      <c r="F3664" s="1" t="s">
        <v>416</v>
      </c>
      <c r="G3664" s="1">
        <v>1999</v>
      </c>
      <c r="H3664" s="1" t="s">
        <v>11</v>
      </c>
      <c r="I3664" s="6" cm="1">
        <f t="array" ref="I3664">GetLatitude(D3664)</f>
        <v>548895393</v>
      </c>
      <c r="J3664" s="1" cm="1">
        <f t="array" ref="J3664">GetLongitude(D3664)</f>
        <v>104122987</v>
      </c>
      <c r="K3664" s="1">
        <f t="shared" si="172"/>
        <v>54.889539300000003</v>
      </c>
      <c r="L3664" s="1">
        <f t="shared" si="173"/>
        <v>10.412298699999999</v>
      </c>
    </row>
    <row r="3665" spans="1:12" ht="16" x14ac:dyDescent="0.2">
      <c r="A3665" s="1">
        <v>3664</v>
      </c>
      <c r="B3665" s="1" t="s">
        <v>10784</v>
      </c>
      <c r="C3665" s="1" t="s">
        <v>10827</v>
      </c>
      <c r="D3665" s="1" t="str">
        <f t="shared" si="171"/>
        <v>Ærø KommuneSmedegade 37</v>
      </c>
      <c r="E3665" s="1" t="s">
        <v>10828</v>
      </c>
      <c r="F3665" s="1" t="s">
        <v>416</v>
      </c>
      <c r="G3665" s="1">
        <v>1919</v>
      </c>
      <c r="H3665" s="1" t="s">
        <v>15</v>
      </c>
      <c r="I3665" s="6" cm="1">
        <f t="array" ref="I3665">GetLatitude(D3665)</f>
        <v>548892402</v>
      </c>
      <c r="J3665" s="1" cm="1">
        <f t="array" ref="J3665">GetLongitude(D3665)</f>
        <v>104124914</v>
      </c>
      <c r="K3665" s="1">
        <f t="shared" si="172"/>
        <v>54.889240200000003</v>
      </c>
      <c r="L3665" s="1">
        <f t="shared" si="173"/>
        <v>10.4124914</v>
      </c>
    </row>
    <row r="3666" spans="1:12" ht="16" x14ac:dyDescent="0.2">
      <c r="A3666" s="1">
        <v>3665</v>
      </c>
      <c r="B3666" s="1" t="s">
        <v>10784</v>
      </c>
      <c r="C3666" s="1" t="s">
        <v>10829</v>
      </c>
      <c r="D3666" s="1" t="str">
        <f t="shared" si="171"/>
        <v>Ærø KommuneStore Rise Landevej 9</v>
      </c>
      <c r="E3666" s="1" t="s">
        <v>10830</v>
      </c>
      <c r="F3666" s="1" t="s">
        <v>10831</v>
      </c>
      <c r="G3666" s="1" t="s">
        <v>10832</v>
      </c>
      <c r="H3666" s="1" t="s">
        <v>10833</v>
      </c>
      <c r="I3666" s="6" cm="1">
        <f t="array" ref="I3666">GetLatitude(D3666)</f>
        <v>548527712</v>
      </c>
      <c r="J3666" s="1" cm="1">
        <f t="array" ref="J3666">GetLongitude(D3666)</f>
        <v>104028173</v>
      </c>
      <c r="K3666" s="1">
        <f t="shared" si="172"/>
        <v>54.852771199999999</v>
      </c>
      <c r="L3666" s="1">
        <f t="shared" si="173"/>
        <v>10.402817300000001</v>
      </c>
    </row>
    <row r="3667" spans="1:12" ht="16" x14ac:dyDescent="0.2">
      <c r="A3667" s="1">
        <v>3666</v>
      </c>
      <c r="B3667" s="1" t="s">
        <v>10784</v>
      </c>
      <c r="C3667" s="1" t="s">
        <v>10834</v>
      </c>
      <c r="D3667" s="1" t="str">
        <f t="shared" si="171"/>
        <v>Ærø KommuneSøbygårdsvej 2-4</v>
      </c>
      <c r="E3667" s="1" t="s">
        <v>1303</v>
      </c>
      <c r="F3667" s="1" t="s">
        <v>10835</v>
      </c>
      <c r="G3667" s="1">
        <v>1978</v>
      </c>
      <c r="H3667" s="1" t="s">
        <v>10836</v>
      </c>
      <c r="I3667" s="6" cm="1">
        <f t="array" ref="I3667">GetLatitude(D3667)</f>
        <v>549198740</v>
      </c>
      <c r="J3667" s="1" cm="1">
        <f t="array" ref="J3667">GetLongitude(D3667)</f>
        <v>102822673</v>
      </c>
      <c r="K3667" s="1">
        <f t="shared" si="172"/>
        <v>54.919874</v>
      </c>
      <c r="L3667" s="1">
        <f t="shared" si="173"/>
        <v>10.282267300000001</v>
      </c>
    </row>
    <row r="3668" spans="1:12" ht="16" x14ac:dyDescent="0.2">
      <c r="A3668" s="1">
        <v>3667</v>
      </c>
      <c r="B3668" s="1" t="s">
        <v>10784</v>
      </c>
      <c r="C3668" s="1" t="s">
        <v>10837</v>
      </c>
      <c r="D3668" s="1" t="str">
        <f t="shared" si="171"/>
        <v>Ærø KommuneSøndergade 18</v>
      </c>
      <c r="E3668" s="1" t="s">
        <v>10838</v>
      </c>
      <c r="F3668" s="1" t="s">
        <v>10839</v>
      </c>
      <c r="G3668" s="1">
        <v>1983</v>
      </c>
      <c r="H3668" s="1" t="s">
        <v>15</v>
      </c>
      <c r="I3668" s="6" cm="1">
        <f t="array" ref="I3668">GetLatitude(D3668)</f>
        <v>548589026</v>
      </c>
      <c r="J3668" s="1" cm="1">
        <f t="array" ref="J3668">GetLongitude(D3668)</f>
        <v>103874813</v>
      </c>
      <c r="K3668" s="1">
        <f t="shared" si="172"/>
        <v>54.8589026</v>
      </c>
      <c r="L3668" s="1">
        <f t="shared" si="173"/>
        <v>10.387481299999999</v>
      </c>
    </row>
    <row r="3669" spans="1:12" ht="16" x14ac:dyDescent="0.2">
      <c r="A3669" s="1">
        <v>3668</v>
      </c>
      <c r="B3669" s="1" t="s">
        <v>10784</v>
      </c>
      <c r="C3669" s="1" t="s">
        <v>10840</v>
      </c>
      <c r="D3669" s="1" t="str">
        <f t="shared" si="171"/>
        <v>Ærø KommuneSøndergade 32</v>
      </c>
      <c r="E3669" s="1" t="s">
        <v>10841</v>
      </c>
      <c r="F3669" s="1" t="s">
        <v>10842</v>
      </c>
      <c r="G3669" s="1">
        <v>1919</v>
      </c>
      <c r="H3669" s="1" t="s">
        <v>99</v>
      </c>
      <c r="I3669" s="6" cm="1">
        <f t="array" ref="I3669">GetLatitude(D3669)</f>
        <v>548875529</v>
      </c>
      <c r="J3669" s="1" cm="1">
        <f t="array" ref="J3669">GetLongitude(D3669)</f>
        <v>104119867</v>
      </c>
      <c r="K3669" s="1">
        <f t="shared" si="172"/>
        <v>54.887552900000003</v>
      </c>
      <c r="L3669" s="1">
        <f t="shared" si="173"/>
        <v>10.4119867</v>
      </c>
    </row>
    <row r="3670" spans="1:12" ht="16" x14ac:dyDescent="0.2">
      <c r="A3670" s="1">
        <v>3669</v>
      </c>
      <c r="B3670" s="1" t="s">
        <v>10784</v>
      </c>
      <c r="C3670" s="1" t="s">
        <v>10843</v>
      </c>
      <c r="D3670" s="1" t="str">
        <f t="shared" si="171"/>
        <v>Ærø KommuneSøndergade 36</v>
      </c>
      <c r="E3670" s="1" t="s">
        <v>10844</v>
      </c>
      <c r="F3670" s="1" t="s">
        <v>10845</v>
      </c>
      <c r="G3670" s="1">
        <v>1919</v>
      </c>
      <c r="H3670" s="1" t="s">
        <v>11</v>
      </c>
      <c r="I3670" s="6" cm="1">
        <f t="array" ref="I3670">GetLatitude(D3670)</f>
        <v>548589026</v>
      </c>
      <c r="J3670" s="1" cm="1">
        <f t="array" ref="J3670">GetLongitude(D3670)</f>
        <v>103874813</v>
      </c>
      <c r="K3670" s="1">
        <f t="shared" si="172"/>
        <v>54.8589026</v>
      </c>
      <c r="L3670" s="1">
        <f t="shared" si="173"/>
        <v>10.387481299999999</v>
      </c>
    </row>
    <row r="3671" spans="1:12" ht="16" x14ac:dyDescent="0.2">
      <c r="A3671" s="1">
        <v>3670</v>
      </c>
      <c r="B3671" s="1" t="s">
        <v>10784</v>
      </c>
      <c r="C3671" s="1" t="s">
        <v>10846</v>
      </c>
      <c r="D3671" s="1" t="str">
        <f t="shared" si="171"/>
        <v>Ærø KommuneSøndergade 4</v>
      </c>
      <c r="E3671" s="1" t="s">
        <v>10847</v>
      </c>
      <c r="F3671" s="1" t="s">
        <v>10848</v>
      </c>
      <c r="G3671" s="1">
        <v>1919</v>
      </c>
      <c r="H3671" s="1" t="s">
        <v>15</v>
      </c>
      <c r="I3671" s="6" cm="1">
        <f t="array" ref="I3671">GetLatitude(D3671)</f>
        <v>548589026</v>
      </c>
      <c r="J3671" s="1" cm="1">
        <f t="array" ref="J3671">GetLongitude(D3671)</f>
        <v>103874813</v>
      </c>
      <c r="K3671" s="1">
        <f t="shared" si="172"/>
        <v>54.8589026</v>
      </c>
      <c r="L3671" s="1">
        <f t="shared" si="173"/>
        <v>10.387481299999999</v>
      </c>
    </row>
    <row r="3672" spans="1:12" ht="16" x14ac:dyDescent="0.2">
      <c r="A3672" s="1">
        <v>3671</v>
      </c>
      <c r="B3672" s="1" t="s">
        <v>10784</v>
      </c>
      <c r="C3672" s="1" t="s">
        <v>10849</v>
      </c>
      <c r="D3672" s="1" t="str">
        <f t="shared" si="171"/>
        <v>Ærø KommuneSøndergade 42</v>
      </c>
      <c r="E3672" s="1" t="s">
        <v>10850</v>
      </c>
      <c r="F3672" s="1" t="s">
        <v>10851</v>
      </c>
      <c r="G3672" s="1">
        <v>1919</v>
      </c>
      <c r="H3672" s="1" t="s">
        <v>15</v>
      </c>
      <c r="I3672" s="6" cm="1">
        <f t="array" ref="I3672">GetLatitude(D3672)</f>
        <v>548875529</v>
      </c>
      <c r="J3672" s="1" cm="1">
        <f t="array" ref="J3672">GetLongitude(D3672)</f>
        <v>104119867</v>
      </c>
      <c r="K3672" s="1">
        <f t="shared" si="172"/>
        <v>54.887552900000003</v>
      </c>
      <c r="L3672" s="1">
        <f t="shared" si="173"/>
        <v>10.4119867</v>
      </c>
    </row>
    <row r="3673" spans="1:12" ht="16" x14ac:dyDescent="0.2">
      <c r="A3673" s="1">
        <v>3672</v>
      </c>
      <c r="B3673" s="1" t="s">
        <v>10784</v>
      </c>
      <c r="C3673" s="1" t="s">
        <v>10852</v>
      </c>
      <c r="D3673" s="1" t="str">
        <f t="shared" si="171"/>
        <v>Ærø KommuneSøndergade 55 (Gåsetorvet)</v>
      </c>
      <c r="E3673" s="1" t="s">
        <v>10853</v>
      </c>
      <c r="F3673" s="1" t="s">
        <v>10854</v>
      </c>
      <c r="G3673" s="1">
        <v>1919</v>
      </c>
      <c r="H3673" s="1" t="s">
        <v>15</v>
      </c>
      <c r="I3673" s="6" cm="1">
        <f t="array" ref="I3673">GetLatitude(D3673)</f>
        <v>548589026</v>
      </c>
      <c r="J3673" s="1" cm="1">
        <f t="array" ref="J3673">GetLongitude(D3673)</f>
        <v>103874813</v>
      </c>
      <c r="K3673" s="1">
        <f t="shared" si="172"/>
        <v>54.8589026</v>
      </c>
      <c r="L3673" s="1">
        <f t="shared" si="173"/>
        <v>10.387481299999999</v>
      </c>
    </row>
    <row r="3674" spans="1:12" ht="16" x14ac:dyDescent="0.2">
      <c r="A3674" s="1">
        <v>3673</v>
      </c>
      <c r="B3674" s="1" t="s">
        <v>10784</v>
      </c>
      <c r="C3674" s="1" t="s">
        <v>10855</v>
      </c>
      <c r="D3674" s="1" t="str">
        <f t="shared" si="171"/>
        <v>Ærø KommuneSøndergade 57 (Gåsetorvet)</v>
      </c>
      <c r="E3674" s="1" t="s">
        <v>10856</v>
      </c>
      <c r="F3674" s="1" t="s">
        <v>10857</v>
      </c>
      <c r="G3674" s="1">
        <v>1919</v>
      </c>
      <c r="H3674" s="1" t="s">
        <v>15</v>
      </c>
      <c r="I3674" s="6" cm="1">
        <f t="array" ref="I3674">GetLatitude(D3674)</f>
        <v>548589026</v>
      </c>
      <c r="J3674" s="1" cm="1">
        <f t="array" ref="J3674">GetLongitude(D3674)</f>
        <v>103874813</v>
      </c>
      <c r="K3674" s="1">
        <f t="shared" si="172"/>
        <v>54.8589026</v>
      </c>
      <c r="L3674" s="1">
        <f t="shared" si="173"/>
        <v>10.387481299999999</v>
      </c>
    </row>
    <row r="3675" spans="1:12" ht="16" x14ac:dyDescent="0.2">
      <c r="A3675" s="1">
        <v>3674</v>
      </c>
      <c r="B3675" s="1" t="s">
        <v>10784</v>
      </c>
      <c r="C3675" s="1" t="s">
        <v>3261</v>
      </c>
      <c r="D3675" s="1" t="str">
        <f t="shared" si="171"/>
        <v>Ærø KommuneSøndergade 9</v>
      </c>
      <c r="E3675" s="1" t="s">
        <v>3262</v>
      </c>
      <c r="F3675" s="1" t="s">
        <v>10858</v>
      </c>
      <c r="G3675" s="1">
        <v>1919</v>
      </c>
      <c r="H3675" s="1" t="s">
        <v>15</v>
      </c>
      <c r="I3675" s="6" cm="1">
        <f t="array" ref="I3675">GetLatitude(D3675)</f>
        <v>548914560</v>
      </c>
      <c r="J3675" s="1" cm="1">
        <f t="array" ref="J3675">GetLongitude(D3675)</f>
        <v>104046840</v>
      </c>
      <c r="K3675" s="1">
        <f t="shared" si="172"/>
        <v>54.891455999999998</v>
      </c>
      <c r="L3675" s="1">
        <f t="shared" si="173"/>
        <v>10.404684</v>
      </c>
    </row>
    <row r="3676" spans="1:12" ht="16" x14ac:dyDescent="0.2">
      <c r="A3676" s="1">
        <v>3675</v>
      </c>
      <c r="B3676" s="1" t="s">
        <v>10784</v>
      </c>
      <c r="C3676" s="1" t="s">
        <v>10859</v>
      </c>
      <c r="D3676" s="1" t="str">
        <f t="shared" si="171"/>
        <v>Ærø KommuneTivoli 4</v>
      </c>
      <c r="E3676" s="1" t="s">
        <v>10860</v>
      </c>
      <c r="F3676" s="1" t="s">
        <v>10861</v>
      </c>
      <c r="G3676" s="1">
        <v>1964</v>
      </c>
      <c r="H3676" s="1" t="s">
        <v>15</v>
      </c>
      <c r="I3676" s="6" cm="1">
        <f t="array" ref="I3676">GetLatitude(D3676)</f>
        <v>548589026</v>
      </c>
      <c r="J3676" s="1" cm="1">
        <f t="array" ref="J3676">GetLongitude(D3676)</f>
        <v>103874813</v>
      </c>
      <c r="K3676" s="1">
        <f t="shared" si="172"/>
        <v>54.8589026</v>
      </c>
      <c r="L3676" s="1">
        <f t="shared" si="173"/>
        <v>10.387481299999999</v>
      </c>
    </row>
    <row r="3677" spans="1:12" ht="16" x14ac:dyDescent="0.2">
      <c r="A3677" s="1">
        <v>3676</v>
      </c>
      <c r="B3677" s="1" t="s">
        <v>10784</v>
      </c>
      <c r="C3677" s="1" t="s">
        <v>10862</v>
      </c>
      <c r="D3677" s="1" t="str">
        <f t="shared" si="171"/>
        <v>Ærø KommuneTorvet 9</v>
      </c>
      <c r="E3677" s="1" t="s">
        <v>10863</v>
      </c>
      <c r="F3677" s="1" t="s">
        <v>10864</v>
      </c>
      <c r="G3677" s="1">
        <v>1919</v>
      </c>
      <c r="H3677" s="1" t="s">
        <v>15</v>
      </c>
      <c r="I3677" s="6" cm="1">
        <f t="array" ref="I3677">GetLatitude(D3677)</f>
        <v>548879735</v>
      </c>
      <c r="J3677" s="1" cm="1">
        <f t="array" ref="J3677">GetLongitude(D3677)</f>
        <v>104113581</v>
      </c>
      <c r="K3677" s="1">
        <f t="shared" si="172"/>
        <v>54.887973500000001</v>
      </c>
      <c r="L3677" s="1">
        <f t="shared" si="173"/>
        <v>10.411358099999999</v>
      </c>
    </row>
    <row r="3678" spans="1:12" ht="16" x14ac:dyDescent="0.2">
      <c r="A3678" s="1">
        <v>3677</v>
      </c>
      <c r="B3678" s="1" t="s">
        <v>10784</v>
      </c>
      <c r="C3678" s="1" t="s">
        <v>2465</v>
      </c>
      <c r="D3678" s="1" t="str">
        <f t="shared" si="171"/>
        <v>Ærø KommuneVestergade 16</v>
      </c>
      <c r="E3678" s="1" t="s">
        <v>7031</v>
      </c>
      <c r="F3678" s="1" t="s">
        <v>10865</v>
      </c>
      <c r="G3678" s="1">
        <v>1919</v>
      </c>
      <c r="H3678" s="1" t="s">
        <v>15</v>
      </c>
      <c r="I3678" s="6" cm="1">
        <f t="array" ref="I3678">GetLatitude(D3678)</f>
        <v>548589026</v>
      </c>
      <c r="J3678" s="1" cm="1">
        <f t="array" ref="J3678">GetLongitude(D3678)</f>
        <v>103874813</v>
      </c>
      <c r="K3678" s="1">
        <f t="shared" si="172"/>
        <v>54.8589026</v>
      </c>
      <c r="L3678" s="1">
        <f t="shared" si="173"/>
        <v>10.387481299999999</v>
      </c>
    </row>
    <row r="3679" spans="1:12" ht="16" x14ac:dyDescent="0.2">
      <c r="A3679" s="1">
        <v>3678</v>
      </c>
      <c r="B3679" s="1" t="s">
        <v>10784</v>
      </c>
      <c r="C3679" s="1" t="s">
        <v>10866</v>
      </c>
      <c r="D3679" s="1" t="str">
        <f t="shared" si="171"/>
        <v>Ærø KommuneVestergade 18</v>
      </c>
      <c r="E3679" s="1" t="s">
        <v>10867</v>
      </c>
      <c r="F3679" s="1" t="s">
        <v>10868</v>
      </c>
      <c r="G3679" s="1">
        <v>1919</v>
      </c>
      <c r="H3679" s="1" t="s">
        <v>15</v>
      </c>
      <c r="I3679" s="6" cm="1">
        <f t="array" ref="I3679">GetLatitude(D3679)</f>
        <v>548589026</v>
      </c>
      <c r="J3679" s="1" cm="1">
        <f t="array" ref="J3679">GetLongitude(D3679)</f>
        <v>103874813</v>
      </c>
      <c r="K3679" s="1">
        <f t="shared" si="172"/>
        <v>54.8589026</v>
      </c>
      <c r="L3679" s="1">
        <f t="shared" si="173"/>
        <v>10.387481299999999</v>
      </c>
    </row>
    <row r="3680" spans="1:12" ht="16" x14ac:dyDescent="0.2">
      <c r="A3680" s="1">
        <v>3679</v>
      </c>
      <c r="B3680" s="1" t="s">
        <v>10784</v>
      </c>
      <c r="C3680" s="1" t="s">
        <v>6745</v>
      </c>
      <c r="D3680" s="1" t="str">
        <f t="shared" si="171"/>
        <v>Ærø KommuneVestergade 22</v>
      </c>
      <c r="E3680" s="1" t="s">
        <v>10869</v>
      </c>
      <c r="F3680" s="1" t="s">
        <v>10870</v>
      </c>
      <c r="G3680" s="1">
        <v>1919</v>
      </c>
      <c r="H3680" s="1" t="s">
        <v>15</v>
      </c>
      <c r="I3680" s="6" cm="1">
        <f t="array" ref="I3680">GetLatitude(D3680)</f>
        <v>548589026</v>
      </c>
      <c r="J3680" s="1" cm="1">
        <f t="array" ref="J3680">GetLongitude(D3680)</f>
        <v>103874813</v>
      </c>
      <c r="K3680" s="1">
        <f t="shared" si="172"/>
        <v>54.8589026</v>
      </c>
      <c r="L3680" s="1">
        <f t="shared" si="173"/>
        <v>10.387481299999999</v>
      </c>
    </row>
    <row r="3681" spans="1:12" ht="16" x14ac:dyDescent="0.2">
      <c r="A3681" s="1">
        <v>3680</v>
      </c>
      <c r="B3681" s="1" t="s">
        <v>10784</v>
      </c>
      <c r="C3681" s="1" t="s">
        <v>10871</v>
      </c>
      <c r="D3681" s="1" t="str">
        <f t="shared" si="171"/>
        <v>Ærø KommuneVestergade 23</v>
      </c>
      <c r="E3681" s="1" t="s">
        <v>10872</v>
      </c>
      <c r="F3681" s="1" t="s">
        <v>10873</v>
      </c>
      <c r="G3681" s="1">
        <v>1919</v>
      </c>
      <c r="H3681" s="1" t="s">
        <v>15</v>
      </c>
      <c r="I3681" s="6" cm="1">
        <f t="array" ref="I3681">GetLatitude(D3681)</f>
        <v>548892216</v>
      </c>
      <c r="J3681" s="1" cm="1">
        <f t="array" ref="J3681">GetLongitude(D3681)</f>
        <v>104100331</v>
      </c>
      <c r="K3681" s="1">
        <f t="shared" si="172"/>
        <v>54.889221599999999</v>
      </c>
      <c r="L3681" s="1">
        <f t="shared" si="173"/>
        <v>10.4100331</v>
      </c>
    </row>
    <row r="3682" spans="1:12" ht="16" x14ac:dyDescent="0.2">
      <c r="A3682" s="1">
        <v>3681</v>
      </c>
      <c r="B3682" s="1" t="s">
        <v>10784</v>
      </c>
      <c r="C3682" s="1" t="s">
        <v>10874</v>
      </c>
      <c r="D3682" s="1" t="str">
        <f t="shared" si="171"/>
        <v>Ærø KommuneVestergade 28</v>
      </c>
      <c r="E3682" s="1" t="s">
        <v>10875</v>
      </c>
      <c r="F3682" s="1" t="s">
        <v>1871</v>
      </c>
      <c r="G3682" s="1">
        <v>1919</v>
      </c>
      <c r="H3682" s="1" t="s">
        <v>11</v>
      </c>
      <c r="I3682" s="6" cm="1">
        <f t="array" ref="I3682">GetLatitude(D3682)</f>
        <v>548589026</v>
      </c>
      <c r="J3682" s="1" cm="1">
        <f t="array" ref="J3682">GetLongitude(D3682)</f>
        <v>103874813</v>
      </c>
      <c r="K3682" s="1">
        <f t="shared" si="172"/>
        <v>54.8589026</v>
      </c>
      <c r="L3682" s="1">
        <f t="shared" si="173"/>
        <v>10.387481299999999</v>
      </c>
    </row>
    <row r="3683" spans="1:12" ht="16" x14ac:dyDescent="0.2">
      <c r="A3683" s="1">
        <v>3682</v>
      </c>
      <c r="B3683" s="1" t="s">
        <v>10784</v>
      </c>
      <c r="C3683" s="1" t="s">
        <v>10876</v>
      </c>
      <c r="D3683" s="1" t="str">
        <f t="shared" si="171"/>
        <v>Ærø KommuneVestergade 29</v>
      </c>
      <c r="E3683" s="1" t="s">
        <v>10877</v>
      </c>
      <c r="F3683" s="1" t="s">
        <v>10878</v>
      </c>
      <c r="G3683" s="1">
        <v>1919</v>
      </c>
      <c r="H3683" s="1" t="s">
        <v>15</v>
      </c>
      <c r="I3683" s="6" cm="1">
        <f t="array" ref="I3683">GetLatitude(D3683)</f>
        <v>548589026</v>
      </c>
      <c r="J3683" s="1" cm="1">
        <f t="array" ref="J3683">GetLongitude(D3683)</f>
        <v>103874813</v>
      </c>
      <c r="K3683" s="1">
        <f t="shared" si="172"/>
        <v>54.8589026</v>
      </c>
      <c r="L3683" s="1">
        <f t="shared" si="173"/>
        <v>10.387481299999999</v>
      </c>
    </row>
    <row r="3684" spans="1:12" ht="16" x14ac:dyDescent="0.2">
      <c r="A3684" s="1">
        <v>3683</v>
      </c>
      <c r="B3684" s="1" t="s">
        <v>10784</v>
      </c>
      <c r="C3684" s="1" t="s">
        <v>10879</v>
      </c>
      <c r="D3684" s="1" t="str">
        <f t="shared" si="171"/>
        <v>Ærø KommuneVestergade 30</v>
      </c>
      <c r="E3684" s="1" t="s">
        <v>10880</v>
      </c>
      <c r="F3684" s="1" t="s">
        <v>10881</v>
      </c>
      <c r="G3684" s="1">
        <v>1919</v>
      </c>
      <c r="H3684" s="1" t="s">
        <v>15</v>
      </c>
      <c r="I3684" s="6" cm="1">
        <f t="array" ref="I3684">GetLatitude(D3684)</f>
        <v>548589026</v>
      </c>
      <c r="J3684" s="1" cm="1">
        <f t="array" ref="J3684">GetLongitude(D3684)</f>
        <v>103874813</v>
      </c>
      <c r="K3684" s="1">
        <f t="shared" si="172"/>
        <v>54.8589026</v>
      </c>
      <c r="L3684" s="1">
        <f t="shared" si="173"/>
        <v>10.387481299999999</v>
      </c>
    </row>
    <row r="3685" spans="1:12" ht="16" x14ac:dyDescent="0.2">
      <c r="A3685" s="1">
        <v>3684</v>
      </c>
      <c r="B3685" s="1" t="s">
        <v>10784</v>
      </c>
      <c r="C3685" s="1" t="s">
        <v>10882</v>
      </c>
      <c r="D3685" s="1" t="str">
        <f t="shared" si="171"/>
        <v>Ærø KommuneVestergade 41 A-C</v>
      </c>
      <c r="E3685" s="1" t="s">
        <v>10883</v>
      </c>
      <c r="F3685" s="1" t="s">
        <v>10884</v>
      </c>
      <c r="G3685" s="1">
        <v>1919</v>
      </c>
      <c r="H3685" s="1" t="s">
        <v>701</v>
      </c>
      <c r="I3685" s="6" cm="1">
        <f t="array" ref="I3685">GetLatitude(D3685)</f>
        <v>548589026</v>
      </c>
      <c r="J3685" s="1" cm="1">
        <f t="array" ref="J3685">GetLongitude(D3685)</f>
        <v>103874813</v>
      </c>
      <c r="K3685" s="1">
        <f t="shared" si="172"/>
        <v>54.8589026</v>
      </c>
      <c r="L3685" s="1">
        <f t="shared" si="173"/>
        <v>10.387481299999999</v>
      </c>
    </row>
    <row r="3686" spans="1:12" ht="16" x14ac:dyDescent="0.2">
      <c r="A3686" s="1">
        <v>3685</v>
      </c>
      <c r="B3686" s="1" t="s">
        <v>10784</v>
      </c>
      <c r="C3686" s="1" t="s">
        <v>10885</v>
      </c>
      <c r="D3686" s="1" t="str">
        <f t="shared" si="171"/>
        <v>Ærø KommuneVestergade 44-46</v>
      </c>
      <c r="E3686" s="1" t="s">
        <v>180</v>
      </c>
      <c r="F3686" s="1" t="s">
        <v>10886</v>
      </c>
      <c r="G3686" s="1">
        <v>1919</v>
      </c>
      <c r="H3686" s="1" t="s">
        <v>11</v>
      </c>
      <c r="I3686" s="6" cm="1">
        <f t="array" ref="I3686">GetLatitude(D3686)</f>
        <v>548892321</v>
      </c>
      <c r="J3686" s="1" cm="1">
        <f t="array" ref="J3686">GetLongitude(D3686)</f>
        <v>104098566</v>
      </c>
      <c r="K3686" s="1">
        <f t="shared" si="172"/>
        <v>54.889232100000001</v>
      </c>
      <c r="L3686" s="1">
        <f t="shared" si="173"/>
        <v>10.409856599999999</v>
      </c>
    </row>
    <row r="3687" spans="1:12" ht="16" x14ac:dyDescent="0.2">
      <c r="A3687" s="1">
        <v>3686</v>
      </c>
      <c r="B3687" s="1" t="s">
        <v>10784</v>
      </c>
      <c r="C3687" s="1" t="s">
        <v>2073</v>
      </c>
      <c r="D3687" s="1" t="str">
        <f t="shared" si="171"/>
        <v>Ærø KommuneVestergade 5</v>
      </c>
      <c r="E3687" s="1" t="s">
        <v>6754</v>
      </c>
      <c r="F3687" s="1" t="s">
        <v>10887</v>
      </c>
      <c r="G3687" s="1">
        <v>1919</v>
      </c>
      <c r="H3687" s="1" t="s">
        <v>15</v>
      </c>
      <c r="I3687" s="6" cm="1">
        <f t="array" ref="I3687">GetLatitude(D3687)</f>
        <v>548589026</v>
      </c>
      <c r="J3687" s="1" cm="1">
        <f t="array" ref="J3687">GetLongitude(D3687)</f>
        <v>103874813</v>
      </c>
      <c r="K3687" s="1">
        <f t="shared" si="172"/>
        <v>54.8589026</v>
      </c>
      <c r="L3687" s="1">
        <f t="shared" si="173"/>
        <v>10.387481299999999</v>
      </c>
    </row>
    <row r="3688" spans="1:12" ht="16" x14ac:dyDescent="0.2">
      <c r="A3688" s="1">
        <v>3687</v>
      </c>
      <c r="B3688" s="1" t="s">
        <v>10784</v>
      </c>
      <c r="C3688" s="1" t="s">
        <v>10888</v>
      </c>
      <c r="D3688" s="1" t="str">
        <f t="shared" si="171"/>
        <v>Ærø KommuneVester Møllebakke 4-6</v>
      </c>
      <c r="E3688" s="1" t="s">
        <v>1925</v>
      </c>
      <c r="F3688" s="1" t="s">
        <v>10889</v>
      </c>
      <c r="G3688" s="1">
        <v>1964</v>
      </c>
      <c r="H3688" s="1" t="s">
        <v>15</v>
      </c>
      <c r="I3688" s="6" cm="1">
        <f t="array" ref="I3688">GetLatitude(D3688)</f>
        <v>549241379</v>
      </c>
      <c r="J3688" s="1" cm="1">
        <f t="array" ref="J3688">GetLongitude(D3688)</f>
        <v>102781789</v>
      </c>
      <c r="K3688" s="1">
        <f t="shared" si="172"/>
        <v>54.924137899999998</v>
      </c>
      <c r="L3688" s="1">
        <f t="shared" si="173"/>
        <v>10.2781789</v>
      </c>
    </row>
    <row r="3689" spans="1:12" ht="16" x14ac:dyDescent="0.2">
      <c r="A3689" s="1">
        <v>3688</v>
      </c>
      <c r="B3689" s="1" t="s">
        <v>10784</v>
      </c>
      <c r="C3689" s="1" t="s">
        <v>10890</v>
      </c>
      <c r="D3689" s="1" t="str">
        <f t="shared" si="171"/>
        <v>Ærø KommuneVitsø 33</v>
      </c>
      <c r="E3689" s="1" t="s">
        <v>10891</v>
      </c>
      <c r="F3689" s="1" t="s">
        <v>10892</v>
      </c>
      <c r="G3689" s="1">
        <v>1959</v>
      </c>
      <c r="H3689" s="1" t="s">
        <v>11</v>
      </c>
      <c r="I3689" s="6" cm="1">
        <f t="array" ref="I3689">GetLatitude(D3689)</f>
        <v>549245323</v>
      </c>
      <c r="J3689" s="1" cm="1">
        <f t="array" ref="J3689">GetLongitude(D3689)</f>
        <v>102463788</v>
      </c>
      <c r="K3689" s="1">
        <f t="shared" si="172"/>
        <v>54.924532300000003</v>
      </c>
      <c r="L3689" s="1">
        <f t="shared" si="173"/>
        <v>10.2463788</v>
      </c>
    </row>
    <row r="3690" spans="1:12" ht="16" x14ac:dyDescent="0.2">
      <c r="A3690" s="1">
        <v>3689</v>
      </c>
      <c r="B3690" s="1" t="s">
        <v>10784</v>
      </c>
      <c r="C3690" s="1" t="s">
        <v>10893</v>
      </c>
      <c r="D3690" s="1" t="str">
        <f t="shared" si="171"/>
        <v>Ærø KommuneÆrøskøbing Havn 3 A</v>
      </c>
      <c r="E3690" s="1" t="s">
        <v>10894</v>
      </c>
      <c r="F3690" s="1" t="s">
        <v>10895</v>
      </c>
      <c r="G3690" s="1">
        <v>1979</v>
      </c>
      <c r="H3690" s="1" t="s">
        <v>15</v>
      </c>
      <c r="I3690" s="6" cm="1">
        <f t="array" ref="I3690">GetLatitude(D3690)</f>
        <v>548897640</v>
      </c>
      <c r="J3690" s="1" cm="1">
        <f t="array" ref="J3690">GetLongitude(D3690)</f>
        <v>104147200</v>
      </c>
      <c r="K3690" s="1">
        <f t="shared" si="172"/>
        <v>54.889764</v>
      </c>
      <c r="L3690" s="1">
        <f t="shared" si="173"/>
        <v>10.414720000000001</v>
      </c>
    </row>
    <row r="3691" spans="1:12" ht="16" x14ac:dyDescent="0.2">
      <c r="A3691" s="1">
        <v>3690</v>
      </c>
      <c r="B3691" s="1" t="s">
        <v>10784</v>
      </c>
      <c r="C3691" s="1" t="s">
        <v>2473</v>
      </c>
      <c r="D3691" s="1" t="str">
        <f t="shared" si="171"/>
        <v>Ærø KommuneØstergade 9</v>
      </c>
      <c r="E3691" s="1" t="s">
        <v>10896</v>
      </c>
      <c r="F3691" s="1" t="s">
        <v>10897</v>
      </c>
      <c r="G3691" s="1">
        <v>1991</v>
      </c>
      <c r="H3691" s="1" t="s">
        <v>11</v>
      </c>
      <c r="I3691" s="6" cm="1">
        <f t="array" ref="I3691">GetLatitude(D3691)</f>
        <v>548589026</v>
      </c>
      <c r="J3691" s="1" cm="1">
        <f t="array" ref="J3691">GetLongitude(D3691)</f>
        <v>103874813</v>
      </c>
      <c r="K3691" s="1">
        <f t="shared" si="172"/>
        <v>54.8589026</v>
      </c>
      <c r="L3691" s="1">
        <f t="shared" si="173"/>
        <v>10.387481299999999</v>
      </c>
    </row>
    <row r="3692" spans="1:12" ht="16" x14ac:dyDescent="0.2">
      <c r="A3692" s="1">
        <v>3691</v>
      </c>
      <c r="B3692" s="1" t="s">
        <v>10898</v>
      </c>
      <c r="C3692" s="1" t="s">
        <v>10899</v>
      </c>
      <c r="D3692" s="1" t="str">
        <f t="shared" si="171"/>
        <v>Aabenraa KommuneBrundlund Slot 1</v>
      </c>
      <c r="E3692" s="1" t="s">
        <v>10900</v>
      </c>
      <c r="F3692" s="1" t="s">
        <v>10901</v>
      </c>
      <c r="G3692" s="1">
        <v>1921</v>
      </c>
      <c r="H3692" s="1" t="s">
        <v>15</v>
      </c>
      <c r="I3692" s="6" cm="1">
        <f t="array" ref="I3692">GetLatitude(D3692)</f>
        <v>550393435</v>
      </c>
      <c r="J3692" s="1" cm="1">
        <f t="array" ref="J3692">GetLongitude(D3692)</f>
        <v>94140010</v>
      </c>
      <c r="K3692" s="1">
        <f t="shared" si="172"/>
        <v>55.039343500000001</v>
      </c>
      <c r="L3692" s="1">
        <f t="shared" si="173"/>
        <v>9.4140010000000007</v>
      </c>
    </row>
    <row r="3693" spans="1:12" ht="16" x14ac:dyDescent="0.2">
      <c r="A3693" s="1">
        <v>3692</v>
      </c>
      <c r="B3693" s="1" t="s">
        <v>10898</v>
      </c>
      <c r="C3693" s="1" t="s">
        <v>10902</v>
      </c>
      <c r="D3693" s="1" t="str">
        <f t="shared" si="171"/>
        <v>Aabenraa KommuneDyrhave 101</v>
      </c>
      <c r="E3693" s="1" t="s">
        <v>10903</v>
      </c>
      <c r="F3693" s="1" t="s">
        <v>10904</v>
      </c>
      <c r="G3693" s="1">
        <v>2000</v>
      </c>
      <c r="H3693" s="1" t="s">
        <v>11</v>
      </c>
      <c r="I3693" s="6" cm="1">
        <f t="array" ref="I3693">GetLatitude(D3693)</f>
        <v>550495439</v>
      </c>
      <c r="J3693" s="1" cm="1">
        <f t="array" ref="J3693">GetLongitude(D3693)</f>
        <v>94808845</v>
      </c>
      <c r="K3693" s="1">
        <f t="shared" si="172"/>
        <v>55.049543900000003</v>
      </c>
      <c r="L3693" s="1">
        <f t="shared" si="173"/>
        <v>9.4808845000000002</v>
      </c>
    </row>
    <row r="3694" spans="1:12" ht="16" x14ac:dyDescent="0.2">
      <c r="A3694" s="1">
        <v>3693</v>
      </c>
      <c r="B3694" s="1" t="s">
        <v>10898</v>
      </c>
      <c r="C3694" s="1" t="s">
        <v>10905</v>
      </c>
      <c r="D3694" s="1" t="str">
        <f t="shared" si="171"/>
        <v>Aabenraa KommuneEgvadvej 20</v>
      </c>
      <c r="E3694" s="1" t="s">
        <v>10906</v>
      </c>
      <c r="F3694" s="1" t="s">
        <v>10907</v>
      </c>
      <c r="G3694" s="1">
        <v>1971</v>
      </c>
      <c r="H3694" s="1" t="s">
        <v>11</v>
      </c>
      <c r="I3694" s="6" cm="1">
        <f t="array" ref="I3694">GetLatitude(D3694)</f>
        <v>550765760</v>
      </c>
      <c r="J3694" s="1" cm="1">
        <f t="array" ref="J3694">GetLongitude(D3694)</f>
        <v>92529310</v>
      </c>
      <c r="K3694" s="1">
        <f t="shared" si="172"/>
        <v>55.076576000000003</v>
      </c>
      <c r="L3694" s="1">
        <f t="shared" si="173"/>
        <v>9.2529310000000002</v>
      </c>
    </row>
    <row r="3695" spans="1:12" ht="16" x14ac:dyDescent="0.2">
      <c r="A3695" s="1">
        <v>3694</v>
      </c>
      <c r="B3695" s="1" t="s">
        <v>10898</v>
      </c>
      <c r="C3695" s="1" t="s">
        <v>10908</v>
      </c>
      <c r="D3695" s="1" t="str">
        <f t="shared" si="171"/>
        <v>Aabenraa KommuneFiskergade 3 A</v>
      </c>
      <c r="E3695" s="1" t="s">
        <v>10909</v>
      </c>
      <c r="F3695" s="1" t="s">
        <v>10910</v>
      </c>
      <c r="G3695" s="1">
        <v>1977</v>
      </c>
      <c r="H3695" s="1" t="s">
        <v>11</v>
      </c>
      <c r="I3695" s="6" cm="1">
        <f t="array" ref="I3695">GetLatitude(D3695)</f>
        <v>550417673</v>
      </c>
      <c r="J3695" s="1" cm="1">
        <f t="array" ref="J3695">GetLongitude(D3695)</f>
        <v>94204381</v>
      </c>
      <c r="K3695" s="1">
        <f t="shared" si="172"/>
        <v>55.041767299999997</v>
      </c>
      <c r="L3695" s="1">
        <f t="shared" si="173"/>
        <v>9.4204381000000001</v>
      </c>
    </row>
    <row r="3696" spans="1:12" ht="16" x14ac:dyDescent="0.2">
      <c r="A3696" s="1">
        <v>3695</v>
      </c>
      <c r="B3696" s="1" t="s">
        <v>10898</v>
      </c>
      <c r="C3696" s="1" t="s">
        <v>10911</v>
      </c>
      <c r="D3696" s="1" t="str">
        <f t="shared" si="171"/>
        <v>Aabenraa KommuneFiskergade 8</v>
      </c>
      <c r="E3696" s="1" t="s">
        <v>10912</v>
      </c>
      <c r="F3696" s="1" t="s">
        <v>10913</v>
      </c>
      <c r="G3696" s="1">
        <v>1971</v>
      </c>
      <c r="H3696" s="1" t="s">
        <v>11</v>
      </c>
      <c r="I3696" s="6" cm="1">
        <f t="array" ref="I3696">GetLatitude(D3696)</f>
        <v>550417354</v>
      </c>
      <c r="J3696" s="1" cm="1">
        <f t="array" ref="J3696">GetLongitude(D3696)</f>
        <v>94201098</v>
      </c>
      <c r="K3696" s="1">
        <f t="shared" si="172"/>
        <v>55.0417354</v>
      </c>
      <c r="L3696" s="1">
        <f t="shared" si="173"/>
        <v>9.4201098000000005</v>
      </c>
    </row>
    <row r="3697" spans="1:12" ht="16" x14ac:dyDescent="0.2">
      <c r="A3697" s="1">
        <v>3696</v>
      </c>
      <c r="B3697" s="1" t="s">
        <v>10898</v>
      </c>
      <c r="C3697" s="1" t="s">
        <v>10914</v>
      </c>
      <c r="D3697" s="1" t="str">
        <f t="shared" si="171"/>
        <v>Aabenraa KommuneFlensborgvej 158</v>
      </c>
      <c r="E3697" s="1" t="s">
        <v>10915</v>
      </c>
      <c r="F3697" s="1" t="s">
        <v>10916</v>
      </c>
      <c r="G3697" s="1">
        <v>1992</v>
      </c>
      <c r="H3697" s="1" t="s">
        <v>11</v>
      </c>
      <c r="I3697" s="6" cm="1">
        <f t="array" ref="I3697">GetLatitude(D3697)</f>
        <v>550224047</v>
      </c>
      <c r="J3697" s="1" cm="1">
        <f t="array" ref="J3697">GetLongitude(D3697)</f>
        <v>94306583</v>
      </c>
      <c r="K3697" s="1">
        <f t="shared" si="172"/>
        <v>55.022404700000003</v>
      </c>
      <c r="L3697" s="1">
        <f t="shared" si="173"/>
        <v>9.4306582999999993</v>
      </c>
    </row>
    <row r="3698" spans="1:12" ht="16" x14ac:dyDescent="0.2">
      <c r="A3698" s="1">
        <v>3697</v>
      </c>
      <c r="B3698" s="1" t="s">
        <v>10898</v>
      </c>
      <c r="C3698" s="1" t="s">
        <v>10917</v>
      </c>
      <c r="D3698" s="1" t="str">
        <f t="shared" si="171"/>
        <v>Aabenraa KommuneGildegade 15</v>
      </c>
      <c r="E3698" s="1" t="s">
        <v>10918</v>
      </c>
      <c r="F3698" s="1" t="s">
        <v>10919</v>
      </c>
      <c r="G3698" s="1">
        <v>1921</v>
      </c>
      <c r="H3698" s="1" t="s">
        <v>11</v>
      </c>
      <c r="I3698" s="6" cm="1">
        <f t="array" ref="I3698">GetLatitude(D3698)</f>
        <v>550422481</v>
      </c>
      <c r="J3698" s="1" cm="1">
        <f t="array" ref="J3698">GetLongitude(D3698)</f>
        <v>94207806</v>
      </c>
      <c r="K3698" s="1">
        <f t="shared" si="172"/>
        <v>55.042248100000002</v>
      </c>
      <c r="L3698" s="1">
        <f t="shared" si="173"/>
        <v>9.4207806000000005</v>
      </c>
    </row>
    <row r="3699" spans="1:12" ht="16" x14ac:dyDescent="0.2">
      <c r="A3699" s="1">
        <v>3698</v>
      </c>
      <c r="B3699" s="1" t="s">
        <v>10898</v>
      </c>
      <c r="C3699" s="1" t="s">
        <v>10920</v>
      </c>
      <c r="D3699" s="1" t="str">
        <f t="shared" si="171"/>
        <v>Aabenraa KommuneGildegade 5</v>
      </c>
      <c r="E3699" s="1" t="s">
        <v>10921</v>
      </c>
      <c r="F3699" s="1" t="s">
        <v>10922</v>
      </c>
      <c r="G3699" s="1">
        <v>1921</v>
      </c>
      <c r="H3699" s="1" t="s">
        <v>15</v>
      </c>
      <c r="I3699" s="6" cm="1">
        <f t="array" ref="I3699">GetLatitude(D3699)</f>
        <v>550426875</v>
      </c>
      <c r="J3699" s="1" cm="1">
        <f t="array" ref="J3699">GetLongitude(D3699)</f>
        <v>94209650</v>
      </c>
      <c r="K3699" s="1">
        <f t="shared" si="172"/>
        <v>55.0426875</v>
      </c>
      <c r="L3699" s="1">
        <f t="shared" si="173"/>
        <v>9.4209650000000007</v>
      </c>
    </row>
    <row r="3700" spans="1:12" ht="16" x14ac:dyDescent="0.2">
      <c r="A3700" s="1">
        <v>3699</v>
      </c>
      <c r="B3700" s="1" t="s">
        <v>10898</v>
      </c>
      <c r="C3700" s="1" t="s">
        <v>10923</v>
      </c>
      <c r="D3700" s="1" t="str">
        <f t="shared" si="171"/>
        <v>Aabenraa KommuneGildegade 6</v>
      </c>
      <c r="E3700" s="1" t="s">
        <v>10924</v>
      </c>
      <c r="F3700" s="1" t="s">
        <v>10925</v>
      </c>
      <c r="G3700" s="1">
        <v>1977</v>
      </c>
      <c r="H3700" s="1" t="s">
        <v>11</v>
      </c>
      <c r="I3700" s="6" cm="1">
        <f t="array" ref="I3700">GetLatitude(D3700)</f>
        <v>550427260</v>
      </c>
      <c r="J3700" s="1" cm="1">
        <f t="array" ref="J3700">GetLongitude(D3700)</f>
        <v>94208076</v>
      </c>
      <c r="K3700" s="1">
        <f t="shared" si="172"/>
        <v>55.042726000000002</v>
      </c>
      <c r="L3700" s="1">
        <f t="shared" si="173"/>
        <v>9.4208075999999998</v>
      </c>
    </row>
    <row r="3701" spans="1:12" ht="16" x14ac:dyDescent="0.2">
      <c r="A3701" s="1">
        <v>3700</v>
      </c>
      <c r="B3701" s="1" t="s">
        <v>10898</v>
      </c>
      <c r="C3701" s="1" t="s">
        <v>10926</v>
      </c>
      <c r="D3701" s="1" t="str">
        <f t="shared" si="171"/>
        <v>Aabenraa KommuneH.P. Hanssens Gade 42</v>
      </c>
      <c r="E3701" s="1" t="s">
        <v>10927</v>
      </c>
      <c r="F3701" s="1" t="s">
        <v>10928</v>
      </c>
      <c r="G3701" s="1">
        <v>2013</v>
      </c>
      <c r="H3701" s="1" t="s">
        <v>11</v>
      </c>
      <c r="I3701" s="6" cm="1">
        <f t="array" ref="I3701">GetLatitude(D3701)</f>
        <v>550441178</v>
      </c>
      <c r="J3701" s="1" cm="1">
        <f t="array" ref="J3701">GetLongitude(D3701)</f>
        <v>94210434</v>
      </c>
      <c r="K3701" s="1">
        <f t="shared" si="172"/>
        <v>55.044117800000002</v>
      </c>
      <c r="L3701" s="1">
        <f t="shared" si="173"/>
        <v>9.4210434000000003</v>
      </c>
    </row>
    <row r="3702" spans="1:12" ht="16" x14ac:dyDescent="0.2">
      <c r="A3702" s="1">
        <v>3701</v>
      </c>
      <c r="B3702" s="1" t="s">
        <v>10898</v>
      </c>
      <c r="C3702" s="1" t="s">
        <v>10929</v>
      </c>
      <c r="D3702" s="1" t="str">
        <f t="shared" si="171"/>
        <v>Aabenraa KommuneJernbanegade 2</v>
      </c>
      <c r="E3702" s="1" t="s">
        <v>10930</v>
      </c>
      <c r="F3702" s="1" t="s">
        <v>10931</v>
      </c>
      <c r="G3702" s="1">
        <v>1988</v>
      </c>
      <c r="H3702" s="1" t="s">
        <v>15</v>
      </c>
      <c r="I3702" s="6" cm="1">
        <f t="array" ref="I3702">GetLatitude(D3702)</f>
        <v>550037600</v>
      </c>
      <c r="J3702" s="1" cm="1">
        <f t="array" ref="J3702">GetLongitude(D3702)</f>
        <v>92931471</v>
      </c>
      <c r="K3702" s="1">
        <f t="shared" si="172"/>
        <v>55.00376</v>
      </c>
      <c r="L3702" s="1">
        <f t="shared" si="173"/>
        <v>9.2931471000000005</v>
      </c>
    </row>
    <row r="3703" spans="1:12" ht="16" x14ac:dyDescent="0.2">
      <c r="A3703" s="1">
        <v>3702</v>
      </c>
      <c r="B3703" s="1" t="s">
        <v>10898</v>
      </c>
      <c r="C3703" s="1" t="s">
        <v>10932</v>
      </c>
      <c r="D3703" s="1" t="str">
        <f t="shared" si="171"/>
        <v>Aabenraa KommuneKirkeplads 7</v>
      </c>
      <c r="E3703" s="1" t="s">
        <v>10933</v>
      </c>
      <c r="F3703" s="1" t="s">
        <v>10934</v>
      </c>
      <c r="G3703" s="1">
        <v>1983</v>
      </c>
      <c r="H3703" s="1" t="s">
        <v>15</v>
      </c>
      <c r="I3703" s="6" cm="1">
        <f t="array" ref="I3703">GetLatitude(D3703)</f>
        <v>550446265</v>
      </c>
      <c r="J3703" s="1" cm="1">
        <f t="array" ref="J3703">GetLongitude(D3703)</f>
        <v>94175805</v>
      </c>
      <c r="K3703" s="1">
        <f t="shared" si="172"/>
        <v>55.0446265</v>
      </c>
      <c r="L3703" s="1">
        <f t="shared" si="173"/>
        <v>9.4175804999999997</v>
      </c>
    </row>
    <row r="3704" spans="1:12" ht="16" x14ac:dyDescent="0.2">
      <c r="A3704" s="1">
        <v>3703</v>
      </c>
      <c r="B3704" s="1" t="s">
        <v>10898</v>
      </c>
      <c r="C3704" s="1" t="s">
        <v>10935</v>
      </c>
      <c r="D3704" s="1" t="str">
        <f t="shared" si="171"/>
        <v>Aabenraa KommuneKirkeplads 8 A-C</v>
      </c>
      <c r="E3704" s="1" t="s">
        <v>10936</v>
      </c>
      <c r="F3704" s="1" t="s">
        <v>10937</v>
      </c>
      <c r="G3704" s="1">
        <v>1978</v>
      </c>
      <c r="H3704" s="1" t="s">
        <v>10627</v>
      </c>
      <c r="I3704" s="6" cm="1">
        <f t="array" ref="I3704">GetLatitude(D3704)</f>
        <v>550445840</v>
      </c>
      <c r="J3704" s="1" cm="1">
        <f t="array" ref="J3704">GetLongitude(D3704)</f>
        <v>94178827</v>
      </c>
      <c r="K3704" s="1">
        <f t="shared" si="172"/>
        <v>55.044584</v>
      </c>
      <c r="L3704" s="1">
        <f t="shared" si="173"/>
        <v>9.4178826999999998</v>
      </c>
    </row>
    <row r="3705" spans="1:12" ht="16" x14ac:dyDescent="0.2">
      <c r="A3705" s="1">
        <v>3704</v>
      </c>
      <c r="B3705" s="1" t="s">
        <v>10898</v>
      </c>
      <c r="C3705" s="1" t="s">
        <v>10938</v>
      </c>
      <c r="D3705" s="1" t="str">
        <f t="shared" si="171"/>
        <v>Aabenraa KommuneKlinkbjerg 1</v>
      </c>
      <c r="E3705" s="1" t="s">
        <v>10939</v>
      </c>
      <c r="F3705" s="1" t="s">
        <v>10940</v>
      </c>
      <c r="G3705" s="1">
        <v>1921</v>
      </c>
      <c r="H3705" s="1" t="s">
        <v>15</v>
      </c>
      <c r="I3705" s="6" cm="1">
        <f t="array" ref="I3705">GetLatitude(D3705)</f>
        <v>550467250</v>
      </c>
      <c r="J3705" s="1" cm="1">
        <f t="array" ref="J3705">GetLongitude(D3705)</f>
        <v>94163015</v>
      </c>
      <c r="K3705" s="1">
        <f t="shared" si="172"/>
        <v>55.046725000000002</v>
      </c>
      <c r="L3705" s="1">
        <f t="shared" si="173"/>
        <v>9.4163014999999994</v>
      </c>
    </row>
    <row r="3706" spans="1:12" ht="16" x14ac:dyDescent="0.2">
      <c r="A3706" s="1">
        <v>3705</v>
      </c>
      <c r="B3706" s="1" t="s">
        <v>10898</v>
      </c>
      <c r="C3706" s="1" t="s">
        <v>10941</v>
      </c>
      <c r="D3706" s="1" t="str">
        <f t="shared" si="171"/>
        <v>Aabenraa KommuneKlinkbjerg 2</v>
      </c>
      <c r="E3706" s="1" t="s">
        <v>10942</v>
      </c>
      <c r="F3706" s="1" t="s">
        <v>10943</v>
      </c>
      <c r="G3706" s="1">
        <v>1972</v>
      </c>
      <c r="H3706" s="1" t="s">
        <v>11</v>
      </c>
      <c r="I3706" s="6" cm="1">
        <f t="array" ref="I3706">GetLatitude(D3706)</f>
        <v>550468286</v>
      </c>
      <c r="J3706" s="1" cm="1">
        <f t="array" ref="J3706">GetLongitude(D3706)</f>
        <v>94166442</v>
      </c>
      <c r="K3706" s="1">
        <f t="shared" si="172"/>
        <v>55.046828599999998</v>
      </c>
      <c r="L3706" s="1">
        <f t="shared" si="173"/>
        <v>9.4166442000000004</v>
      </c>
    </row>
    <row r="3707" spans="1:12" ht="16" x14ac:dyDescent="0.2">
      <c r="A3707" s="1">
        <v>3706</v>
      </c>
      <c r="B3707" s="1" t="s">
        <v>10898</v>
      </c>
      <c r="C3707" s="1" t="s">
        <v>10944</v>
      </c>
      <c r="D3707" s="1" t="str">
        <f t="shared" si="171"/>
        <v>Aabenraa KommuneLille Pottergade 4</v>
      </c>
      <c r="E3707" s="1" t="s">
        <v>10945</v>
      </c>
      <c r="F3707" s="1" t="s">
        <v>10864</v>
      </c>
      <c r="G3707" s="1">
        <v>1977</v>
      </c>
      <c r="H3707" s="1" t="s">
        <v>11</v>
      </c>
      <c r="I3707" s="6" cm="1">
        <f t="array" ref="I3707">GetLatitude(D3707)</f>
        <v>550446445</v>
      </c>
      <c r="J3707" s="1" cm="1">
        <f t="array" ref="J3707">GetLongitude(D3707)</f>
        <v>94167911</v>
      </c>
      <c r="K3707" s="1">
        <f t="shared" si="172"/>
        <v>55.044644499999997</v>
      </c>
      <c r="L3707" s="1">
        <f t="shared" si="173"/>
        <v>9.4167910999999993</v>
      </c>
    </row>
    <row r="3708" spans="1:12" ht="16" x14ac:dyDescent="0.2">
      <c r="A3708" s="1">
        <v>3707</v>
      </c>
      <c r="B3708" s="1" t="s">
        <v>10898</v>
      </c>
      <c r="C3708" s="1" t="s">
        <v>10946</v>
      </c>
      <c r="D3708" s="1" t="str">
        <f t="shared" si="171"/>
        <v>Aabenraa KommuneLille Pottergade 5</v>
      </c>
      <c r="E3708" s="1" t="s">
        <v>10947</v>
      </c>
      <c r="F3708" s="1" t="s">
        <v>10948</v>
      </c>
      <c r="G3708" s="1">
        <v>1977</v>
      </c>
      <c r="H3708" s="1" t="s">
        <v>11</v>
      </c>
      <c r="I3708" s="6" cm="1">
        <f t="array" ref="I3708">GetLatitude(D3708)</f>
        <v>550445250</v>
      </c>
      <c r="J3708" s="1" cm="1">
        <f t="array" ref="J3708">GetLongitude(D3708)</f>
        <v>94170703</v>
      </c>
      <c r="K3708" s="1">
        <f t="shared" si="172"/>
        <v>55.044525</v>
      </c>
      <c r="L3708" s="1">
        <f t="shared" si="173"/>
        <v>9.4170703000000007</v>
      </c>
    </row>
    <row r="3709" spans="1:12" ht="16" x14ac:dyDescent="0.2">
      <c r="A3709" s="1">
        <v>3708</v>
      </c>
      <c r="B3709" s="1" t="s">
        <v>10898</v>
      </c>
      <c r="C3709" s="1" t="s">
        <v>10949</v>
      </c>
      <c r="D3709" s="1" t="str">
        <f t="shared" si="171"/>
        <v>Aabenraa KommuneLindsnakkevej 95</v>
      </c>
      <c r="E3709" s="1" t="s">
        <v>10950</v>
      </c>
      <c r="F3709" s="1" t="s">
        <v>10951</v>
      </c>
      <c r="G3709" s="1">
        <v>2018</v>
      </c>
      <c r="H3709" s="1" t="s">
        <v>15</v>
      </c>
      <c r="I3709" s="6" cm="1">
        <f t="array" ref="I3709">GetLatitude(D3709)</f>
        <v>550418306</v>
      </c>
      <c r="J3709" s="1" cm="1">
        <f t="array" ref="J3709">GetLongitude(D3709)</f>
        <v>94381127</v>
      </c>
      <c r="K3709" s="1">
        <f t="shared" si="172"/>
        <v>55.041830599999997</v>
      </c>
      <c r="L3709" s="1">
        <f t="shared" si="173"/>
        <v>9.4381126999999996</v>
      </c>
    </row>
    <row r="3710" spans="1:12" ht="16" x14ac:dyDescent="0.2">
      <c r="A3710" s="1">
        <v>3709</v>
      </c>
      <c r="B3710" s="1" t="s">
        <v>10898</v>
      </c>
      <c r="C3710" s="1" t="s">
        <v>10952</v>
      </c>
      <c r="D3710" s="1" t="str">
        <f t="shared" si="171"/>
        <v>Aabenraa KommuneNybro 14</v>
      </c>
      <c r="E3710" s="1" t="s">
        <v>10953</v>
      </c>
      <c r="F3710" s="1" t="s">
        <v>10954</v>
      </c>
      <c r="G3710" s="1">
        <v>1921</v>
      </c>
      <c r="H3710" s="1" t="s">
        <v>11</v>
      </c>
      <c r="I3710" s="6" cm="1">
        <f t="array" ref="I3710">GetLatitude(D3710)</f>
        <v>550420412</v>
      </c>
      <c r="J3710" s="1" cm="1">
        <f t="array" ref="J3710">GetLongitude(D3710)</f>
        <v>94156268</v>
      </c>
      <c r="K3710" s="1">
        <f t="shared" si="172"/>
        <v>55.0420412</v>
      </c>
      <c r="L3710" s="1">
        <f t="shared" si="173"/>
        <v>9.4156268000000001</v>
      </c>
    </row>
    <row r="3711" spans="1:12" ht="16" x14ac:dyDescent="0.2">
      <c r="A3711" s="1">
        <v>3710</v>
      </c>
      <c r="B3711" s="1" t="s">
        <v>10898</v>
      </c>
      <c r="C3711" s="1" t="s">
        <v>10955</v>
      </c>
      <c r="D3711" s="1" t="str">
        <f t="shared" si="171"/>
        <v>Aabenraa KommuneNygade 44</v>
      </c>
      <c r="E3711" s="1" t="s">
        <v>10956</v>
      </c>
      <c r="F3711" s="1" t="s">
        <v>10957</v>
      </c>
      <c r="G3711" s="1">
        <v>1977</v>
      </c>
      <c r="H3711" s="1" t="s">
        <v>11</v>
      </c>
      <c r="I3711" s="6" cm="1">
        <f t="array" ref="I3711">GetLatitude(D3711)</f>
        <v>550446003</v>
      </c>
      <c r="J3711" s="1" cm="1">
        <f t="array" ref="J3711">GetLongitude(D3711)</f>
        <v>94155275</v>
      </c>
      <c r="K3711" s="1">
        <f t="shared" si="172"/>
        <v>55.044600299999999</v>
      </c>
      <c r="L3711" s="1">
        <f t="shared" si="173"/>
        <v>9.4155274999999996</v>
      </c>
    </row>
    <row r="3712" spans="1:12" ht="16" x14ac:dyDescent="0.2">
      <c r="A3712" s="1">
        <v>3711</v>
      </c>
      <c r="B3712" s="1" t="s">
        <v>10898</v>
      </c>
      <c r="C3712" s="1" t="s">
        <v>10958</v>
      </c>
      <c r="D3712" s="1" t="str">
        <f t="shared" si="171"/>
        <v>Aabenraa KommuneNygade 45</v>
      </c>
      <c r="E3712" s="1" t="s">
        <v>10959</v>
      </c>
      <c r="F3712" s="1" t="s">
        <v>10960</v>
      </c>
      <c r="G3712" s="1">
        <v>1977</v>
      </c>
      <c r="H3712" s="1" t="s">
        <v>11</v>
      </c>
      <c r="I3712" s="6" cm="1">
        <f t="array" ref="I3712">GetLatitude(D3712)</f>
        <v>550439487</v>
      </c>
      <c r="J3712" s="1" cm="1">
        <f t="array" ref="J3712">GetLongitude(D3712)</f>
        <v>94163544</v>
      </c>
      <c r="K3712" s="1">
        <f t="shared" si="172"/>
        <v>55.043948700000001</v>
      </c>
      <c r="L3712" s="1">
        <f t="shared" si="173"/>
        <v>9.4163543999999995</v>
      </c>
    </row>
    <row r="3713" spans="1:12" ht="16" x14ac:dyDescent="0.2">
      <c r="A3713" s="1">
        <v>3712</v>
      </c>
      <c r="B3713" s="1" t="s">
        <v>10898</v>
      </c>
      <c r="C3713" s="1" t="s">
        <v>10961</v>
      </c>
      <c r="D3713" s="1" t="str">
        <f t="shared" si="171"/>
        <v>Aabenraa KommuneNygade 59</v>
      </c>
      <c r="E3713" s="1" t="s">
        <v>10962</v>
      </c>
      <c r="F3713" s="1" t="s">
        <v>10963</v>
      </c>
      <c r="G3713" s="1">
        <v>1977</v>
      </c>
      <c r="H3713" s="1" t="s">
        <v>11</v>
      </c>
      <c r="I3713" s="6" cm="1">
        <f t="array" ref="I3713">GetLatitude(D3713)</f>
        <v>550408520</v>
      </c>
      <c r="J3713" s="1" cm="1">
        <f t="array" ref="J3713">GetLongitude(D3713)</f>
        <v>94151589</v>
      </c>
      <c r="K3713" s="1">
        <f t="shared" si="172"/>
        <v>55.040852000000001</v>
      </c>
      <c r="L3713" s="1">
        <f t="shared" si="173"/>
        <v>9.4151588999999998</v>
      </c>
    </row>
    <row r="3714" spans="1:12" ht="16" x14ac:dyDescent="0.2">
      <c r="A3714" s="1">
        <v>3713</v>
      </c>
      <c r="B3714" s="1" t="s">
        <v>10898</v>
      </c>
      <c r="C3714" s="1" t="s">
        <v>10964</v>
      </c>
      <c r="D3714" s="1" t="str">
        <f t="shared" si="171"/>
        <v>Aabenraa KommuneNygade 62</v>
      </c>
      <c r="E3714" s="1" t="s">
        <v>10965</v>
      </c>
      <c r="F3714" s="1" t="s">
        <v>10966</v>
      </c>
      <c r="G3714" s="1">
        <v>1979</v>
      </c>
      <c r="H3714" s="1" t="s">
        <v>11</v>
      </c>
      <c r="I3714" s="6" cm="1">
        <f t="array" ref="I3714">GetLatitude(D3714)</f>
        <v>550434831</v>
      </c>
      <c r="J3714" s="1" cm="1">
        <f t="array" ref="J3714">GetLongitude(D3714)</f>
        <v>94155239</v>
      </c>
      <c r="K3714" s="1">
        <f t="shared" si="172"/>
        <v>55.043483100000003</v>
      </c>
      <c r="L3714" s="1">
        <f t="shared" si="173"/>
        <v>9.4155239000000002</v>
      </c>
    </row>
    <row r="3715" spans="1:12" ht="16" x14ac:dyDescent="0.2">
      <c r="A3715" s="1">
        <v>3714</v>
      </c>
      <c r="B3715" s="1" t="s">
        <v>10898</v>
      </c>
      <c r="C3715" s="1" t="s">
        <v>10967</v>
      </c>
      <c r="D3715" s="1" t="str">
        <f t="shared" ref="D3715:D3778" si="174">B3715&amp;C3715</f>
        <v>Aabenraa KommuneNygade 66</v>
      </c>
      <c r="E3715" s="1" t="s">
        <v>10968</v>
      </c>
      <c r="F3715" s="1" t="s">
        <v>10969</v>
      </c>
      <c r="G3715" s="1">
        <v>1977</v>
      </c>
      <c r="H3715" s="1" t="s">
        <v>11</v>
      </c>
      <c r="I3715" s="6" cm="1">
        <f t="array" ref="I3715">GetLatitude(D3715)</f>
        <v>550433516</v>
      </c>
      <c r="J3715" s="1" cm="1">
        <f t="array" ref="J3715">GetLongitude(D3715)</f>
        <v>94155387</v>
      </c>
      <c r="K3715" s="1">
        <f t="shared" si="172"/>
        <v>55.043351600000001</v>
      </c>
      <c r="L3715" s="1">
        <f t="shared" si="173"/>
        <v>9.4155387000000008</v>
      </c>
    </row>
    <row r="3716" spans="1:12" ht="16" x14ac:dyDescent="0.2">
      <c r="A3716" s="1">
        <v>3715</v>
      </c>
      <c r="B3716" s="1" t="s">
        <v>10898</v>
      </c>
      <c r="C3716" s="1" t="s">
        <v>10970</v>
      </c>
      <c r="D3716" s="1" t="str">
        <f t="shared" si="174"/>
        <v>Aabenraa KommuneNygade 70</v>
      </c>
      <c r="E3716" s="1" t="s">
        <v>10971</v>
      </c>
      <c r="F3716" s="1" t="s">
        <v>10972</v>
      </c>
      <c r="G3716" s="1">
        <v>1977</v>
      </c>
      <c r="H3716" s="1" t="s">
        <v>15</v>
      </c>
      <c r="I3716" s="6" cm="1">
        <f t="array" ref="I3716">GetLatitude(D3716)</f>
        <v>550427364</v>
      </c>
      <c r="J3716" s="1" cm="1">
        <f t="array" ref="J3716">GetLongitude(D3716)</f>
        <v>94156275</v>
      </c>
      <c r="K3716" s="1">
        <f t="shared" ref="K3716:K3779" si="175">I3716/10000000</f>
        <v>55.042736400000003</v>
      </c>
      <c r="L3716" s="1">
        <f t="shared" ref="L3716:L3779" si="176">J3716/10000000</f>
        <v>9.4156274999999994</v>
      </c>
    </row>
    <row r="3717" spans="1:12" ht="16" x14ac:dyDescent="0.2">
      <c r="A3717" s="1">
        <v>3716</v>
      </c>
      <c r="B3717" s="1" t="s">
        <v>10898</v>
      </c>
      <c r="C3717" s="1" t="s">
        <v>10973</v>
      </c>
      <c r="D3717" s="1" t="str">
        <f t="shared" si="174"/>
        <v>Aabenraa KommunePersillegade 1</v>
      </c>
      <c r="E3717" s="1" t="s">
        <v>10974</v>
      </c>
      <c r="F3717" s="1" t="s">
        <v>10975</v>
      </c>
      <c r="G3717" s="1">
        <v>1977</v>
      </c>
      <c r="H3717" s="1" t="s">
        <v>11</v>
      </c>
      <c r="I3717" s="6" cm="1">
        <f t="array" ref="I3717">GetLatitude(D3717)</f>
        <v>550444418</v>
      </c>
      <c r="J3717" s="1" cm="1">
        <f t="array" ref="J3717">GetLongitude(D3717)</f>
        <v>94149997</v>
      </c>
      <c r="K3717" s="1">
        <f t="shared" si="175"/>
        <v>55.044441800000001</v>
      </c>
      <c r="L3717" s="1">
        <f t="shared" si="176"/>
        <v>9.4149996999999992</v>
      </c>
    </row>
    <row r="3718" spans="1:12" ht="16" x14ac:dyDescent="0.2">
      <c r="A3718" s="1">
        <v>3717</v>
      </c>
      <c r="B3718" s="1" t="s">
        <v>10898</v>
      </c>
      <c r="C3718" s="1" t="s">
        <v>10976</v>
      </c>
      <c r="D3718" s="1" t="str">
        <f t="shared" si="174"/>
        <v>Aabenraa KommunePersillegade 3 A-B</v>
      </c>
      <c r="E3718" s="1" t="s">
        <v>10977</v>
      </c>
      <c r="F3718" s="1" t="s">
        <v>10978</v>
      </c>
      <c r="G3718" s="1">
        <v>1977</v>
      </c>
      <c r="H3718" s="1" t="s">
        <v>11</v>
      </c>
      <c r="I3718" s="6" cm="1">
        <f t="array" ref="I3718">GetLatitude(D3718)</f>
        <v>550444851</v>
      </c>
      <c r="J3718" s="1" cm="1">
        <f t="array" ref="J3718">GetLongitude(D3718)</f>
        <v>94148579</v>
      </c>
      <c r="K3718" s="1">
        <f t="shared" si="175"/>
        <v>55.044485100000003</v>
      </c>
      <c r="L3718" s="1">
        <f t="shared" si="176"/>
        <v>9.4148578999999994</v>
      </c>
    </row>
    <row r="3719" spans="1:12" ht="16" x14ac:dyDescent="0.2">
      <c r="A3719" s="1">
        <v>3718</v>
      </c>
      <c r="B3719" s="1" t="s">
        <v>10898</v>
      </c>
      <c r="C3719" s="1" t="s">
        <v>10979</v>
      </c>
      <c r="D3719" s="1" t="str">
        <f t="shared" si="174"/>
        <v>Aabenraa KommunePersillegade 5</v>
      </c>
      <c r="E3719" s="1" t="s">
        <v>10980</v>
      </c>
      <c r="F3719" s="1" t="s">
        <v>10981</v>
      </c>
      <c r="G3719" s="1">
        <v>1977</v>
      </c>
      <c r="H3719" s="1" t="s">
        <v>11</v>
      </c>
      <c r="I3719" s="6" cm="1">
        <f t="array" ref="I3719">GetLatitude(D3719)</f>
        <v>550444780</v>
      </c>
      <c r="J3719" s="1" cm="1">
        <f t="array" ref="J3719">GetLongitude(D3719)</f>
        <v>94146050</v>
      </c>
      <c r="K3719" s="1">
        <f t="shared" si="175"/>
        <v>55.044477999999998</v>
      </c>
      <c r="L3719" s="1">
        <f t="shared" si="176"/>
        <v>9.4146049999999999</v>
      </c>
    </row>
    <row r="3720" spans="1:12" ht="16" x14ac:dyDescent="0.2">
      <c r="A3720" s="1">
        <v>3719</v>
      </c>
      <c r="B3720" s="1" t="s">
        <v>10898</v>
      </c>
      <c r="C3720" s="1" t="s">
        <v>10982</v>
      </c>
      <c r="D3720" s="1" t="str">
        <f t="shared" si="174"/>
        <v>Aabenraa KommunePræstegaardsvej 7</v>
      </c>
      <c r="E3720" s="1" t="s">
        <v>10983</v>
      </c>
      <c r="F3720" s="1" t="s">
        <v>10984</v>
      </c>
      <c r="G3720" s="1">
        <v>1932</v>
      </c>
      <c r="H3720" s="1" t="s">
        <v>11</v>
      </c>
      <c r="I3720" s="6" cm="1">
        <f t="array" ref="I3720">GetLatitude(D3720)</f>
        <v>550037600</v>
      </c>
      <c r="J3720" s="1" cm="1">
        <f t="array" ref="J3720">GetLongitude(D3720)</f>
        <v>92931471</v>
      </c>
      <c r="K3720" s="1">
        <f t="shared" si="175"/>
        <v>55.00376</v>
      </c>
      <c r="L3720" s="1">
        <f t="shared" si="176"/>
        <v>9.2931471000000005</v>
      </c>
    </row>
    <row r="3721" spans="1:12" ht="16" x14ac:dyDescent="0.2">
      <c r="A3721" s="1">
        <v>3720</v>
      </c>
      <c r="B3721" s="1" t="s">
        <v>10898</v>
      </c>
      <c r="C3721" s="1" t="s">
        <v>10985</v>
      </c>
      <c r="D3721" s="1" t="str">
        <f t="shared" si="174"/>
        <v>Aabenraa KommuneRøllum Bygade 41</v>
      </c>
      <c r="E3721" s="1" t="s">
        <v>10986</v>
      </c>
      <c r="F3721" s="1" t="s">
        <v>10987</v>
      </c>
      <c r="G3721" s="1">
        <v>1986</v>
      </c>
      <c r="H3721" s="1" t="s">
        <v>11</v>
      </c>
      <c r="I3721" s="6" cm="1">
        <f t="array" ref="I3721">GetLatitude(D3721)</f>
        <v>549902719</v>
      </c>
      <c r="J3721" s="1" cm="1">
        <f t="array" ref="J3721">GetLongitude(D3721)</f>
        <v>93904056</v>
      </c>
      <c r="K3721" s="1">
        <f t="shared" si="175"/>
        <v>54.990271900000003</v>
      </c>
      <c r="L3721" s="1">
        <f t="shared" si="176"/>
        <v>9.3904055999999994</v>
      </c>
    </row>
    <row r="3722" spans="1:12" ht="16" x14ac:dyDescent="0.2">
      <c r="A3722" s="1">
        <v>3721</v>
      </c>
      <c r="B3722" s="1" t="s">
        <v>10898</v>
      </c>
      <c r="C3722" s="1" t="s">
        <v>10988</v>
      </c>
      <c r="D3722" s="1" t="str">
        <f t="shared" si="174"/>
        <v>Aabenraa KommuneSkibbroen 20-22</v>
      </c>
      <c r="E3722" s="1" t="s">
        <v>3803</v>
      </c>
      <c r="F3722" s="1" t="s">
        <v>10989</v>
      </c>
      <c r="G3722" s="1">
        <v>1977</v>
      </c>
      <c r="H3722" s="1" t="s">
        <v>11</v>
      </c>
      <c r="I3722" s="6" cm="1">
        <f t="array" ref="I3722">GetLatitude(D3722)</f>
        <v>550415435</v>
      </c>
      <c r="J3722" s="1" cm="1">
        <f t="array" ref="J3722">GetLongitude(D3722)</f>
        <v>94222805</v>
      </c>
      <c r="K3722" s="1">
        <f t="shared" si="175"/>
        <v>55.041543500000003</v>
      </c>
      <c r="L3722" s="1">
        <f t="shared" si="176"/>
        <v>9.4222804999999994</v>
      </c>
    </row>
    <row r="3723" spans="1:12" ht="16" x14ac:dyDescent="0.2">
      <c r="A3723" s="1">
        <v>3722</v>
      </c>
      <c r="B3723" s="1" t="s">
        <v>10898</v>
      </c>
      <c r="C3723" s="1" t="s">
        <v>10990</v>
      </c>
      <c r="D3723" s="1" t="str">
        <f t="shared" si="174"/>
        <v>Aabenraa KommuneSkibbrogade 14</v>
      </c>
      <c r="E3723" s="1" t="s">
        <v>10991</v>
      </c>
      <c r="F3723" s="1" t="s">
        <v>10992</v>
      </c>
      <c r="G3723" s="1">
        <v>1977</v>
      </c>
      <c r="H3723" s="1" t="s">
        <v>11</v>
      </c>
      <c r="I3723" s="6" cm="1">
        <f t="array" ref="I3723">GetLatitude(D3723)</f>
        <v>550419207</v>
      </c>
      <c r="J3723" s="1" cm="1">
        <f t="array" ref="J3723">GetLongitude(D3723)</f>
        <v>94207093</v>
      </c>
      <c r="K3723" s="1">
        <f t="shared" si="175"/>
        <v>55.041920699999999</v>
      </c>
      <c r="L3723" s="1">
        <f t="shared" si="176"/>
        <v>9.4207093000000004</v>
      </c>
    </row>
    <row r="3724" spans="1:12" ht="16" x14ac:dyDescent="0.2">
      <c r="A3724" s="1">
        <v>3723</v>
      </c>
      <c r="B3724" s="1" t="s">
        <v>10898</v>
      </c>
      <c r="C3724" s="1" t="s">
        <v>10993</v>
      </c>
      <c r="D3724" s="1" t="str">
        <f t="shared" si="174"/>
        <v>Aabenraa KommuneSkibbrogade 16</v>
      </c>
      <c r="E3724" s="1" t="s">
        <v>10994</v>
      </c>
      <c r="F3724" s="1" t="s">
        <v>10995</v>
      </c>
      <c r="G3724" s="1">
        <v>1977</v>
      </c>
      <c r="H3724" s="1" t="s">
        <v>11</v>
      </c>
      <c r="I3724" s="6" cm="1">
        <f t="array" ref="I3724">GetLatitude(D3724)</f>
        <v>550419629</v>
      </c>
      <c r="J3724" s="1" cm="1">
        <f t="array" ref="J3724">GetLongitude(D3724)</f>
        <v>94207975</v>
      </c>
      <c r="K3724" s="1">
        <f t="shared" si="175"/>
        <v>55.041962900000001</v>
      </c>
      <c r="L3724" s="1">
        <f t="shared" si="176"/>
        <v>9.4207975000000008</v>
      </c>
    </row>
    <row r="3725" spans="1:12" ht="16" x14ac:dyDescent="0.2">
      <c r="A3725" s="1">
        <v>3724</v>
      </c>
      <c r="B3725" s="1" t="s">
        <v>10898</v>
      </c>
      <c r="C3725" s="1" t="s">
        <v>10996</v>
      </c>
      <c r="D3725" s="1" t="str">
        <f t="shared" si="174"/>
        <v>Aabenraa KommuneSkibbrogade 3</v>
      </c>
      <c r="E3725" s="1" t="s">
        <v>10997</v>
      </c>
      <c r="F3725" s="1" t="s">
        <v>10998</v>
      </c>
      <c r="G3725" s="1">
        <v>1972</v>
      </c>
      <c r="H3725" s="1" t="s">
        <v>11</v>
      </c>
      <c r="I3725" s="6" cm="1">
        <f t="array" ref="I3725">GetLatitude(D3725)</f>
        <v>550037600</v>
      </c>
      <c r="J3725" s="1" cm="1">
        <f t="array" ref="J3725">GetLongitude(D3725)</f>
        <v>92931471</v>
      </c>
      <c r="K3725" s="1">
        <f t="shared" si="175"/>
        <v>55.00376</v>
      </c>
      <c r="L3725" s="1">
        <f t="shared" si="176"/>
        <v>9.2931471000000005</v>
      </c>
    </row>
    <row r="3726" spans="1:12" ht="16" x14ac:dyDescent="0.2">
      <c r="A3726" s="1">
        <v>3725</v>
      </c>
      <c r="B3726" s="1" t="s">
        <v>10898</v>
      </c>
      <c r="C3726" s="1" t="s">
        <v>10999</v>
      </c>
      <c r="D3726" s="1" t="str">
        <f t="shared" si="174"/>
        <v>Aabenraa KommuneSkibbrogade 5</v>
      </c>
      <c r="E3726" s="1" t="s">
        <v>11000</v>
      </c>
      <c r="F3726" s="1" t="s">
        <v>11001</v>
      </c>
      <c r="G3726" s="1">
        <v>1977</v>
      </c>
      <c r="H3726" s="1" t="s">
        <v>11</v>
      </c>
      <c r="I3726" s="6" cm="1">
        <f t="array" ref="I3726">GetLatitude(D3726)</f>
        <v>550419629</v>
      </c>
      <c r="J3726" s="1" cm="1">
        <f t="array" ref="J3726">GetLongitude(D3726)</f>
        <v>94207975</v>
      </c>
      <c r="K3726" s="1">
        <f t="shared" si="175"/>
        <v>55.041962900000001</v>
      </c>
      <c r="L3726" s="1">
        <f t="shared" si="176"/>
        <v>9.4207975000000008</v>
      </c>
    </row>
    <row r="3727" spans="1:12" ht="16" x14ac:dyDescent="0.2">
      <c r="A3727" s="1">
        <v>3726</v>
      </c>
      <c r="B3727" s="1" t="s">
        <v>10898</v>
      </c>
      <c r="C3727" s="1" t="s">
        <v>10009</v>
      </c>
      <c r="D3727" s="1" t="str">
        <f t="shared" si="174"/>
        <v>Aabenraa KommuneSkibbrogade 8</v>
      </c>
      <c r="E3727" s="1" t="s">
        <v>10010</v>
      </c>
      <c r="F3727" s="1" t="s">
        <v>11002</v>
      </c>
      <c r="G3727" s="1">
        <v>1971</v>
      </c>
      <c r="H3727" s="1" t="s">
        <v>11</v>
      </c>
      <c r="I3727" s="6" cm="1">
        <f t="array" ref="I3727">GetLatitude(D3727)</f>
        <v>550420378</v>
      </c>
      <c r="J3727" s="1" cm="1">
        <f t="array" ref="J3727">GetLongitude(D3727)</f>
        <v>94199929</v>
      </c>
      <c r="K3727" s="1">
        <f t="shared" si="175"/>
        <v>55.042037800000003</v>
      </c>
      <c r="L3727" s="1">
        <f t="shared" si="176"/>
        <v>9.4199929000000004</v>
      </c>
    </row>
    <row r="3728" spans="1:12" ht="16" x14ac:dyDescent="0.2">
      <c r="A3728" s="1">
        <v>3727</v>
      </c>
      <c r="B3728" s="1" t="s">
        <v>10898</v>
      </c>
      <c r="C3728" s="1" t="s">
        <v>11003</v>
      </c>
      <c r="D3728" s="1" t="str">
        <f t="shared" si="174"/>
        <v>Aabenraa KommuneSkolevej 1C (tidl Ramsherred 40)</v>
      </c>
      <c r="E3728" s="1" t="s">
        <v>11004</v>
      </c>
      <c r="F3728" s="1" t="s">
        <v>11005</v>
      </c>
      <c r="G3728" s="1">
        <v>1977</v>
      </c>
      <c r="H3728" s="1" t="s">
        <v>15</v>
      </c>
      <c r="I3728" s="6" cm="1">
        <f t="array" ref="I3728">GetLatitude(D3728)</f>
        <v>550452567</v>
      </c>
      <c r="J3728" s="1" cm="1">
        <f t="array" ref="J3728">GetLongitude(D3728)</f>
        <v>94184154</v>
      </c>
      <c r="K3728" s="1">
        <f t="shared" si="175"/>
        <v>55.045256700000003</v>
      </c>
      <c r="L3728" s="1">
        <f t="shared" si="176"/>
        <v>9.4184154000000007</v>
      </c>
    </row>
    <row r="3729" spans="1:12" ht="16" x14ac:dyDescent="0.2">
      <c r="A3729" s="1">
        <v>3728</v>
      </c>
      <c r="B3729" s="1" t="s">
        <v>10898</v>
      </c>
      <c r="C3729" s="1" t="s">
        <v>11006</v>
      </c>
      <c r="D3729" s="1" t="str">
        <f t="shared" si="174"/>
        <v>Aabenraa KommuneSkovbølgaardvej 10</v>
      </c>
      <c r="E3729" s="1" t="s">
        <v>11007</v>
      </c>
      <c r="F3729" s="1" t="s">
        <v>11008</v>
      </c>
      <c r="G3729" s="1">
        <v>1925</v>
      </c>
      <c r="H3729" s="1" t="s">
        <v>11</v>
      </c>
      <c r="I3729" s="6" cm="1">
        <f t="array" ref="I3729">GetLatitude(D3729)</f>
        <v>550054655</v>
      </c>
      <c r="J3729" s="1" cm="1">
        <f t="array" ref="J3729">GetLongitude(D3729)</f>
        <v>95536755</v>
      </c>
      <c r="K3729" s="1">
        <f t="shared" si="175"/>
        <v>55.0054655</v>
      </c>
      <c r="L3729" s="1">
        <f t="shared" si="176"/>
        <v>9.5536755000000007</v>
      </c>
    </row>
    <row r="3730" spans="1:12" ht="16" x14ac:dyDescent="0.2">
      <c r="A3730" s="1">
        <v>3729</v>
      </c>
      <c r="B3730" s="1" t="s">
        <v>10898</v>
      </c>
      <c r="C3730" s="1" t="s">
        <v>11009</v>
      </c>
      <c r="D3730" s="1" t="str">
        <f t="shared" si="174"/>
        <v>Aabenraa KommuneSkrænten 50, (tidl Storegade 11 B) (tidl 7-9)</v>
      </c>
      <c r="E3730" s="1" t="s">
        <v>11010</v>
      </c>
      <c r="F3730" s="1" t="s">
        <v>11011</v>
      </c>
      <c r="G3730" s="1">
        <v>1978</v>
      </c>
      <c r="H3730" s="1" t="s">
        <v>11</v>
      </c>
      <c r="I3730" s="6" cm="1">
        <f t="array" ref="I3730">GetLatitude(D3730)</f>
        <v>550444357</v>
      </c>
      <c r="J3730" s="1" cm="1">
        <f t="array" ref="J3730">GetLongitude(D3730)</f>
        <v>94194721</v>
      </c>
      <c r="K3730" s="1">
        <f t="shared" si="175"/>
        <v>55.044435700000001</v>
      </c>
      <c r="L3730" s="1">
        <f t="shared" si="176"/>
        <v>9.4194721000000001</v>
      </c>
    </row>
    <row r="3731" spans="1:12" ht="16" x14ac:dyDescent="0.2">
      <c r="A3731" s="1">
        <v>3730</v>
      </c>
      <c r="B3731" s="1" t="s">
        <v>10898</v>
      </c>
      <c r="C3731" s="1" t="s">
        <v>1376</v>
      </c>
      <c r="D3731" s="1" t="str">
        <f t="shared" si="174"/>
        <v>Aabenraa KommuneSlotsgade 11</v>
      </c>
      <c r="E3731" s="1" t="s">
        <v>11012</v>
      </c>
      <c r="F3731" s="1" t="s">
        <v>11013</v>
      </c>
      <c r="G3731" s="1">
        <v>1921</v>
      </c>
      <c r="H3731" s="1" t="s">
        <v>11</v>
      </c>
      <c r="I3731" s="6" cm="1">
        <f t="array" ref="I3731">GetLatitude(D3731)</f>
        <v>550414220</v>
      </c>
      <c r="J3731" s="1" cm="1">
        <f t="array" ref="J3731">GetLongitude(D3731)</f>
        <v>94169723</v>
      </c>
      <c r="K3731" s="1">
        <f t="shared" si="175"/>
        <v>55.041421999999997</v>
      </c>
      <c r="L3731" s="1">
        <f t="shared" si="176"/>
        <v>9.4169722999999994</v>
      </c>
    </row>
    <row r="3732" spans="1:12" ht="16" x14ac:dyDescent="0.2">
      <c r="A3732" s="1">
        <v>3731</v>
      </c>
      <c r="B3732" s="1" t="s">
        <v>10898</v>
      </c>
      <c r="C3732" s="1" t="s">
        <v>11014</v>
      </c>
      <c r="D3732" s="1" t="str">
        <f t="shared" si="174"/>
        <v>Aabenraa KommuneSlotsgade 14</v>
      </c>
      <c r="E3732" s="1" t="s">
        <v>11015</v>
      </c>
      <c r="F3732" s="1" t="s">
        <v>7611</v>
      </c>
      <c r="G3732" s="1">
        <v>1921</v>
      </c>
      <c r="H3732" s="1" t="s">
        <v>11</v>
      </c>
      <c r="I3732" s="6" cm="1">
        <f t="array" ref="I3732">GetLatitude(D3732)</f>
        <v>550414797</v>
      </c>
      <c r="J3732" s="1" cm="1">
        <f t="array" ref="J3732">GetLongitude(D3732)</f>
        <v>94176303</v>
      </c>
      <c r="K3732" s="1">
        <f t="shared" si="175"/>
        <v>55.041479699999996</v>
      </c>
      <c r="L3732" s="1">
        <f t="shared" si="176"/>
        <v>9.4176303000000008</v>
      </c>
    </row>
    <row r="3733" spans="1:12" ht="16" x14ac:dyDescent="0.2">
      <c r="A3733" s="1">
        <v>3732</v>
      </c>
      <c r="B3733" s="1" t="s">
        <v>10898</v>
      </c>
      <c r="C3733" s="1" t="s">
        <v>2617</v>
      </c>
      <c r="D3733" s="1" t="str">
        <f t="shared" si="174"/>
        <v>Aabenraa KommuneSlotsgade 15</v>
      </c>
      <c r="E3733" s="1" t="s">
        <v>2618</v>
      </c>
      <c r="F3733" s="1" t="s">
        <v>11016</v>
      </c>
      <c r="G3733" s="1">
        <v>1921</v>
      </c>
      <c r="H3733" s="1" t="s">
        <v>11</v>
      </c>
      <c r="I3733" s="6" cm="1">
        <f t="array" ref="I3733">GetLatitude(D3733)</f>
        <v>550414196</v>
      </c>
      <c r="J3733" s="1" cm="1">
        <f t="array" ref="J3733">GetLongitude(D3733)</f>
        <v>94177940</v>
      </c>
      <c r="K3733" s="1">
        <f t="shared" si="175"/>
        <v>55.041419599999998</v>
      </c>
      <c r="L3733" s="1">
        <f t="shared" si="176"/>
        <v>9.4177940000000007</v>
      </c>
    </row>
    <row r="3734" spans="1:12" ht="16" x14ac:dyDescent="0.2">
      <c r="A3734" s="1">
        <v>3733</v>
      </c>
      <c r="B3734" s="1" t="s">
        <v>10898</v>
      </c>
      <c r="C3734" s="1" t="s">
        <v>1382</v>
      </c>
      <c r="D3734" s="1" t="str">
        <f t="shared" si="174"/>
        <v>Aabenraa KommuneSlotsgade 20</v>
      </c>
      <c r="E3734" s="1" t="s">
        <v>2621</v>
      </c>
      <c r="F3734" s="1" t="s">
        <v>11017</v>
      </c>
      <c r="G3734" s="1">
        <v>1971</v>
      </c>
      <c r="H3734" s="1" t="s">
        <v>11</v>
      </c>
      <c r="I3734" s="6" cm="1">
        <f t="array" ref="I3734">GetLatitude(D3734)</f>
        <v>550415307</v>
      </c>
      <c r="J3734" s="1" cm="1">
        <f t="array" ref="J3734">GetLongitude(D3734)</f>
        <v>94171605</v>
      </c>
      <c r="K3734" s="1">
        <f t="shared" si="175"/>
        <v>55.041530700000003</v>
      </c>
      <c r="L3734" s="1">
        <f t="shared" si="176"/>
        <v>9.4171604999999996</v>
      </c>
    </row>
    <row r="3735" spans="1:12" ht="16" x14ac:dyDescent="0.2">
      <c r="A3735" s="1">
        <v>3734</v>
      </c>
      <c r="B3735" s="1" t="s">
        <v>10898</v>
      </c>
      <c r="C3735" s="1" t="s">
        <v>1385</v>
      </c>
      <c r="D3735" s="1" t="str">
        <f t="shared" si="174"/>
        <v>Aabenraa KommuneSlotsgade 21</v>
      </c>
      <c r="E3735" s="1" t="s">
        <v>2623</v>
      </c>
      <c r="F3735" s="1" t="s">
        <v>11018</v>
      </c>
      <c r="G3735" s="1">
        <v>1921</v>
      </c>
      <c r="H3735" s="1" t="s">
        <v>11</v>
      </c>
      <c r="I3735" s="6" cm="1">
        <f t="array" ref="I3735">GetLatitude(D3735)</f>
        <v>550037600</v>
      </c>
      <c r="J3735" s="1" cm="1">
        <f t="array" ref="J3735">GetLongitude(D3735)</f>
        <v>92931471</v>
      </c>
      <c r="K3735" s="1">
        <f t="shared" si="175"/>
        <v>55.00376</v>
      </c>
      <c r="L3735" s="1">
        <f t="shared" si="176"/>
        <v>9.2931471000000005</v>
      </c>
    </row>
    <row r="3736" spans="1:12" ht="16" x14ac:dyDescent="0.2">
      <c r="A3736" s="1">
        <v>3735</v>
      </c>
      <c r="B3736" s="1" t="s">
        <v>10898</v>
      </c>
      <c r="C3736" s="1" t="s">
        <v>2629</v>
      </c>
      <c r="D3736" s="1" t="str">
        <f t="shared" si="174"/>
        <v>Aabenraa KommuneSlotsgade 24</v>
      </c>
      <c r="E3736" s="1" t="s">
        <v>2630</v>
      </c>
      <c r="F3736" s="1" t="s">
        <v>11019</v>
      </c>
      <c r="G3736" s="1">
        <v>1977</v>
      </c>
      <c r="H3736" s="1" t="s">
        <v>11</v>
      </c>
      <c r="I3736" s="6" cm="1">
        <f t="array" ref="I3736">GetLatitude(D3736)</f>
        <v>550413760</v>
      </c>
      <c r="J3736" s="1" cm="1">
        <f t="array" ref="J3736">GetLongitude(D3736)</f>
        <v>94166855</v>
      </c>
      <c r="K3736" s="1">
        <f t="shared" si="175"/>
        <v>55.041376</v>
      </c>
      <c r="L3736" s="1">
        <f t="shared" si="176"/>
        <v>9.4166854999999998</v>
      </c>
    </row>
    <row r="3737" spans="1:12" ht="16" x14ac:dyDescent="0.2">
      <c r="A3737" s="1">
        <v>3736</v>
      </c>
      <c r="B3737" s="1" t="s">
        <v>10898</v>
      </c>
      <c r="C3737" s="1" t="s">
        <v>11020</v>
      </c>
      <c r="D3737" s="1" t="str">
        <f t="shared" si="174"/>
        <v>Aabenraa KommuneSlotsgade 28</v>
      </c>
      <c r="E3737" s="1" t="s">
        <v>11021</v>
      </c>
      <c r="F3737" s="1" t="s">
        <v>11022</v>
      </c>
      <c r="G3737" s="1">
        <v>1971</v>
      </c>
      <c r="H3737" s="1" t="s">
        <v>11</v>
      </c>
      <c r="I3737" s="6" cm="1">
        <f t="array" ref="I3737">GetLatitude(D3737)</f>
        <v>550412996</v>
      </c>
      <c r="J3737" s="1" cm="1">
        <f t="array" ref="J3737">GetLongitude(D3737)</f>
        <v>94162219</v>
      </c>
      <c r="K3737" s="1">
        <f t="shared" si="175"/>
        <v>55.041299600000002</v>
      </c>
      <c r="L3737" s="1">
        <f t="shared" si="176"/>
        <v>9.4162219</v>
      </c>
    </row>
    <row r="3738" spans="1:12" ht="16" x14ac:dyDescent="0.2">
      <c r="A3738" s="1">
        <v>3737</v>
      </c>
      <c r="B3738" s="1" t="s">
        <v>10898</v>
      </c>
      <c r="C3738" s="1" t="s">
        <v>2635</v>
      </c>
      <c r="D3738" s="1" t="str">
        <f t="shared" si="174"/>
        <v>Aabenraa KommuneSlotsgade 29</v>
      </c>
      <c r="E3738" s="1" t="s">
        <v>2636</v>
      </c>
      <c r="F3738" s="1" t="s">
        <v>11023</v>
      </c>
      <c r="G3738" s="1">
        <v>1921</v>
      </c>
      <c r="H3738" s="1" t="s">
        <v>11</v>
      </c>
      <c r="I3738" s="6" cm="1">
        <f t="array" ref="I3738">GetLatitude(D3738)</f>
        <v>550412486</v>
      </c>
      <c r="J3738" s="1" cm="1">
        <f t="array" ref="J3738">GetLongitude(D3738)</f>
        <v>94168772</v>
      </c>
      <c r="K3738" s="1">
        <f t="shared" si="175"/>
        <v>55.041248600000003</v>
      </c>
      <c r="L3738" s="1">
        <f t="shared" si="176"/>
        <v>9.4168772000000001</v>
      </c>
    </row>
    <row r="3739" spans="1:12" ht="16" x14ac:dyDescent="0.2">
      <c r="A3739" s="1">
        <v>3738</v>
      </c>
      <c r="B3739" s="1" t="s">
        <v>10898</v>
      </c>
      <c r="C3739" s="1" t="s">
        <v>11024</v>
      </c>
      <c r="D3739" s="1" t="str">
        <f t="shared" si="174"/>
        <v>Aabenraa KommuneSlotsgade 3</v>
      </c>
      <c r="E3739" s="1" t="s">
        <v>11025</v>
      </c>
      <c r="F3739" s="1" t="s">
        <v>11026</v>
      </c>
      <c r="G3739" s="1">
        <v>1978</v>
      </c>
      <c r="H3739" s="1" t="s">
        <v>11</v>
      </c>
      <c r="I3739" s="6" cm="1">
        <f t="array" ref="I3739">GetLatitude(D3739)</f>
        <v>550037600</v>
      </c>
      <c r="J3739" s="1" cm="1">
        <f t="array" ref="J3739">GetLongitude(D3739)</f>
        <v>92931471</v>
      </c>
      <c r="K3739" s="1">
        <f t="shared" si="175"/>
        <v>55.00376</v>
      </c>
      <c r="L3739" s="1">
        <f t="shared" si="176"/>
        <v>9.2931471000000005</v>
      </c>
    </row>
    <row r="3740" spans="1:12" ht="16" x14ac:dyDescent="0.2">
      <c r="A3740" s="1">
        <v>3739</v>
      </c>
      <c r="B3740" s="1" t="s">
        <v>10898</v>
      </c>
      <c r="C3740" s="1" t="s">
        <v>2638</v>
      </c>
      <c r="D3740" s="1" t="str">
        <f t="shared" si="174"/>
        <v>Aabenraa KommuneSlotsgade 31</v>
      </c>
      <c r="E3740" s="1" t="s">
        <v>2639</v>
      </c>
      <c r="F3740" s="1" t="s">
        <v>11027</v>
      </c>
      <c r="G3740" s="1">
        <v>1971</v>
      </c>
      <c r="H3740" s="1" t="s">
        <v>11</v>
      </c>
      <c r="I3740" s="6" cm="1">
        <f t="array" ref="I3740">GetLatitude(D3740)</f>
        <v>550411973</v>
      </c>
      <c r="J3740" s="1" cm="1">
        <f t="array" ref="J3740">GetLongitude(D3740)</f>
        <v>94164215</v>
      </c>
      <c r="K3740" s="1">
        <f t="shared" si="175"/>
        <v>55.0411973</v>
      </c>
      <c r="L3740" s="1">
        <f t="shared" si="176"/>
        <v>9.4164215000000002</v>
      </c>
    </row>
    <row r="3741" spans="1:12" ht="16" x14ac:dyDescent="0.2">
      <c r="A3741" s="1">
        <v>3740</v>
      </c>
      <c r="B3741" s="1" t="s">
        <v>10898</v>
      </c>
      <c r="C3741" s="1" t="s">
        <v>11028</v>
      </c>
      <c r="D3741" s="1" t="str">
        <f t="shared" si="174"/>
        <v>Aabenraa KommuneSlotsgade 33</v>
      </c>
      <c r="E3741" s="1" t="s">
        <v>11029</v>
      </c>
      <c r="F3741" s="1" t="s">
        <v>11030</v>
      </c>
      <c r="G3741" s="1">
        <v>1971</v>
      </c>
      <c r="H3741" s="1" t="s">
        <v>11</v>
      </c>
      <c r="I3741" s="6" cm="1">
        <f t="array" ref="I3741">GetLatitude(D3741)</f>
        <v>550414220</v>
      </c>
      <c r="J3741" s="1" cm="1">
        <f t="array" ref="J3741">GetLongitude(D3741)</f>
        <v>94169723</v>
      </c>
      <c r="K3741" s="1">
        <f t="shared" si="175"/>
        <v>55.041421999999997</v>
      </c>
      <c r="L3741" s="1">
        <f t="shared" si="176"/>
        <v>9.4169722999999994</v>
      </c>
    </row>
    <row r="3742" spans="1:12" ht="16" x14ac:dyDescent="0.2">
      <c r="A3742" s="1">
        <v>3741</v>
      </c>
      <c r="B3742" s="1" t="s">
        <v>10898</v>
      </c>
      <c r="C3742" s="1" t="s">
        <v>11031</v>
      </c>
      <c r="D3742" s="1" t="str">
        <f t="shared" si="174"/>
        <v>Aabenraa KommuneSlotsgade 5</v>
      </c>
      <c r="E3742" s="1" t="s">
        <v>11032</v>
      </c>
      <c r="F3742" s="1" t="s">
        <v>11033</v>
      </c>
      <c r="G3742" s="1">
        <v>1921</v>
      </c>
      <c r="H3742" s="1" t="s">
        <v>11</v>
      </c>
      <c r="I3742" s="6" cm="1">
        <f t="array" ref="I3742">GetLatitude(D3742)</f>
        <v>550414383</v>
      </c>
      <c r="J3742" s="1" cm="1">
        <f t="array" ref="J3742">GetLongitude(D3742)</f>
        <v>94187652</v>
      </c>
      <c r="K3742" s="1">
        <f t="shared" si="175"/>
        <v>55.041438300000003</v>
      </c>
      <c r="L3742" s="1">
        <f t="shared" si="176"/>
        <v>9.4187651999999993</v>
      </c>
    </row>
    <row r="3743" spans="1:12" ht="16" x14ac:dyDescent="0.2">
      <c r="A3743" s="1">
        <v>3742</v>
      </c>
      <c r="B3743" s="1" t="s">
        <v>10898</v>
      </c>
      <c r="C3743" s="1" t="s">
        <v>1394</v>
      </c>
      <c r="D3743" s="1" t="str">
        <f t="shared" si="174"/>
        <v>Aabenraa KommuneSlotsgade 9</v>
      </c>
      <c r="E3743" s="1" t="s">
        <v>11034</v>
      </c>
      <c r="F3743" s="1" t="s">
        <v>11035</v>
      </c>
      <c r="G3743" s="1">
        <v>1921</v>
      </c>
      <c r="H3743" s="1" t="s">
        <v>11</v>
      </c>
      <c r="I3743" s="6" cm="1">
        <f t="array" ref="I3743">GetLatitude(D3743)</f>
        <v>550413440</v>
      </c>
      <c r="J3743" s="1" cm="1">
        <f t="array" ref="J3743">GetLongitude(D3743)</f>
        <v>94184412</v>
      </c>
      <c r="K3743" s="1">
        <f t="shared" si="175"/>
        <v>55.041344000000002</v>
      </c>
      <c r="L3743" s="1">
        <f t="shared" si="176"/>
        <v>9.4184412000000002</v>
      </c>
    </row>
    <row r="3744" spans="1:12" ht="16" x14ac:dyDescent="0.2">
      <c r="A3744" s="1">
        <v>3743</v>
      </c>
      <c r="B3744" s="1" t="s">
        <v>10898</v>
      </c>
      <c r="C3744" s="1" t="s">
        <v>11036</v>
      </c>
      <c r="D3744" s="1" t="str">
        <f t="shared" si="174"/>
        <v>Aabenraa KommuneSnorhavevej 28</v>
      </c>
      <c r="E3744" s="1" t="s">
        <v>11037</v>
      </c>
      <c r="F3744" s="1" t="s">
        <v>11038</v>
      </c>
      <c r="G3744" s="1">
        <v>1991</v>
      </c>
      <c r="H3744" s="1" t="s">
        <v>11</v>
      </c>
      <c r="I3744" s="6" cm="1">
        <f t="array" ref="I3744">GetLatitude(D3744)</f>
        <v>550700649</v>
      </c>
      <c r="J3744" s="1" cm="1">
        <f t="array" ref="J3744">GetLongitude(D3744)</f>
        <v>94608355</v>
      </c>
      <c r="K3744" s="1">
        <f t="shared" si="175"/>
        <v>55.070064899999998</v>
      </c>
      <c r="L3744" s="1">
        <f t="shared" si="176"/>
        <v>9.4608355</v>
      </c>
    </row>
    <row r="3745" spans="1:12" ht="16" x14ac:dyDescent="0.2">
      <c r="A3745" s="1">
        <v>3744</v>
      </c>
      <c r="B3745" s="1" t="s">
        <v>10898</v>
      </c>
      <c r="C3745" s="1" t="s">
        <v>8397</v>
      </c>
      <c r="D3745" s="1" t="str">
        <f t="shared" si="174"/>
        <v>Aabenraa KommuneStoregade 11</v>
      </c>
      <c r="E3745" s="1" t="s">
        <v>8398</v>
      </c>
      <c r="F3745" s="1" t="s">
        <v>11039</v>
      </c>
      <c r="G3745" s="1">
        <v>1977</v>
      </c>
      <c r="H3745" s="1" t="s">
        <v>11</v>
      </c>
      <c r="I3745" s="6" cm="1">
        <f t="array" ref="I3745">GetLatitude(D3745)</f>
        <v>550442898</v>
      </c>
      <c r="J3745" s="1" cm="1">
        <f t="array" ref="J3745">GetLongitude(D3745)</f>
        <v>94191145</v>
      </c>
      <c r="K3745" s="1">
        <f t="shared" si="175"/>
        <v>55.044289800000001</v>
      </c>
      <c r="L3745" s="1">
        <f t="shared" si="176"/>
        <v>9.4191144999999992</v>
      </c>
    </row>
    <row r="3746" spans="1:12" ht="16" x14ac:dyDescent="0.2">
      <c r="A3746" s="1">
        <v>3745</v>
      </c>
      <c r="B3746" s="1" t="s">
        <v>10898</v>
      </c>
      <c r="C3746" s="1" t="s">
        <v>8064</v>
      </c>
      <c r="D3746" s="1" t="str">
        <f t="shared" si="174"/>
        <v>Aabenraa KommuneStoregade 24</v>
      </c>
      <c r="E3746" s="1" t="s">
        <v>11040</v>
      </c>
      <c r="F3746" s="1" t="s">
        <v>11041</v>
      </c>
      <c r="G3746" s="1">
        <v>1977</v>
      </c>
      <c r="H3746" s="1" t="s">
        <v>11</v>
      </c>
      <c r="I3746" s="6" cm="1">
        <f t="array" ref="I3746">GetLatitude(D3746)</f>
        <v>550435848</v>
      </c>
      <c r="J3746" s="1" cm="1">
        <f t="array" ref="J3746">GetLongitude(D3746)</f>
        <v>94186818</v>
      </c>
      <c r="K3746" s="1">
        <f t="shared" si="175"/>
        <v>55.043584799999998</v>
      </c>
      <c r="L3746" s="1">
        <f t="shared" si="176"/>
        <v>9.4186817999999999</v>
      </c>
    </row>
    <row r="3747" spans="1:12" ht="16" x14ac:dyDescent="0.2">
      <c r="A3747" s="1">
        <v>3746</v>
      </c>
      <c r="B3747" s="1" t="s">
        <v>10898</v>
      </c>
      <c r="C3747" s="1" t="s">
        <v>11042</v>
      </c>
      <c r="D3747" s="1" t="str">
        <f t="shared" si="174"/>
        <v>Aabenraa KommuneStoregade 2 B</v>
      </c>
      <c r="E3747" s="1" t="s">
        <v>11043</v>
      </c>
      <c r="F3747" s="1" t="s">
        <v>11044</v>
      </c>
      <c r="G3747" s="1">
        <v>1950</v>
      </c>
      <c r="H3747" s="1" t="s">
        <v>15</v>
      </c>
      <c r="I3747" s="6" cm="1">
        <f t="array" ref="I3747">GetLatitude(D3747)</f>
        <v>550446755</v>
      </c>
      <c r="J3747" s="1" cm="1">
        <f t="array" ref="J3747">GetLongitude(D3747)</f>
        <v>94186530</v>
      </c>
      <c r="K3747" s="1">
        <f t="shared" si="175"/>
        <v>55.044675499999997</v>
      </c>
      <c r="L3747" s="1">
        <f t="shared" si="176"/>
        <v>9.4186530000000008</v>
      </c>
    </row>
    <row r="3748" spans="1:12" ht="16" x14ac:dyDescent="0.2">
      <c r="A3748" s="1">
        <v>3747</v>
      </c>
      <c r="B3748" s="1" t="s">
        <v>10898</v>
      </c>
      <c r="C3748" s="1" t="s">
        <v>11045</v>
      </c>
      <c r="D3748" s="1" t="str">
        <f t="shared" si="174"/>
        <v>Aabenraa KommuneStoregade 30</v>
      </c>
      <c r="E3748" s="1" t="s">
        <v>11046</v>
      </c>
      <c r="F3748" s="1" t="s">
        <v>11047</v>
      </c>
      <c r="G3748" s="1">
        <v>1932</v>
      </c>
      <c r="H3748" s="1" t="s">
        <v>15</v>
      </c>
      <c r="I3748" s="6" cm="1">
        <f t="array" ref="I3748">GetLatitude(D3748)</f>
        <v>550431774</v>
      </c>
      <c r="J3748" s="1" cm="1">
        <f t="array" ref="J3748">GetLongitude(D3748)</f>
        <v>94186480</v>
      </c>
      <c r="K3748" s="1">
        <f t="shared" si="175"/>
        <v>55.043177399999998</v>
      </c>
      <c r="L3748" s="1">
        <f t="shared" si="176"/>
        <v>9.4186479999999992</v>
      </c>
    </row>
    <row r="3749" spans="1:12" ht="16" x14ac:dyDescent="0.2">
      <c r="A3749" s="1">
        <v>3748</v>
      </c>
      <c r="B3749" s="1" t="s">
        <v>10898</v>
      </c>
      <c r="C3749" s="1" t="s">
        <v>11048</v>
      </c>
      <c r="D3749" s="1" t="str">
        <f t="shared" si="174"/>
        <v>Aabenraa KommuneStore Pottergade 11</v>
      </c>
      <c r="E3749" s="1" t="s">
        <v>11049</v>
      </c>
      <c r="F3749" s="1" t="s">
        <v>11050</v>
      </c>
      <c r="G3749" s="1">
        <v>1977</v>
      </c>
      <c r="H3749" s="1" t="s">
        <v>11</v>
      </c>
      <c r="I3749" s="6" cm="1">
        <f t="array" ref="I3749">GetLatitude(D3749)</f>
        <v>550448004</v>
      </c>
      <c r="J3749" s="1" cm="1">
        <f t="array" ref="J3749">GetLongitude(D3749)</f>
        <v>94177185</v>
      </c>
      <c r="K3749" s="1">
        <f t="shared" si="175"/>
        <v>55.0448004</v>
      </c>
      <c r="L3749" s="1">
        <f t="shared" si="176"/>
        <v>9.4177184999999994</v>
      </c>
    </row>
    <row r="3750" spans="1:12" ht="16" x14ac:dyDescent="0.2">
      <c r="A3750" s="1">
        <v>3749</v>
      </c>
      <c r="B3750" s="1" t="s">
        <v>10898</v>
      </c>
      <c r="C3750" s="1" t="s">
        <v>11051</v>
      </c>
      <c r="D3750" s="1" t="str">
        <f t="shared" si="174"/>
        <v>Aabenraa KommuneStore Pottergade 9</v>
      </c>
      <c r="E3750" s="1" t="s">
        <v>11052</v>
      </c>
      <c r="F3750" s="1" t="s">
        <v>11053</v>
      </c>
      <c r="G3750" s="1">
        <v>1977</v>
      </c>
      <c r="H3750" s="1" t="s">
        <v>11</v>
      </c>
      <c r="I3750" s="6" cm="1">
        <f t="array" ref="I3750">GetLatitude(D3750)</f>
        <v>550448075</v>
      </c>
      <c r="J3750" s="1" cm="1">
        <f t="array" ref="J3750">GetLongitude(D3750)</f>
        <v>94177107</v>
      </c>
      <c r="K3750" s="1">
        <f t="shared" si="175"/>
        <v>55.044807499999997</v>
      </c>
      <c r="L3750" s="1">
        <f t="shared" si="176"/>
        <v>9.4177107000000007</v>
      </c>
    </row>
    <row r="3751" spans="1:12" ht="16" x14ac:dyDescent="0.2">
      <c r="A3751" s="1">
        <v>3750</v>
      </c>
      <c r="B3751" s="1" t="s">
        <v>10898</v>
      </c>
      <c r="C3751" s="1" t="s">
        <v>11054</v>
      </c>
      <c r="D3751" s="1" t="str">
        <f t="shared" si="174"/>
        <v>Aabenraa KommuneStoretorv 9, hj af Søndergade</v>
      </c>
      <c r="E3751" s="1" t="s">
        <v>11055</v>
      </c>
      <c r="F3751" s="1" t="s">
        <v>11056</v>
      </c>
      <c r="G3751" s="1">
        <v>1971</v>
      </c>
      <c r="H3751" s="1" t="s">
        <v>11</v>
      </c>
      <c r="I3751" s="6" cm="1">
        <f t="array" ref="I3751">GetLatitude(D3751)</f>
        <v>550421500</v>
      </c>
      <c r="J3751" s="1" cm="1">
        <f t="array" ref="J3751">GetLongitude(D3751)</f>
        <v>94189337</v>
      </c>
      <c r="K3751" s="1">
        <f t="shared" si="175"/>
        <v>55.042149999999999</v>
      </c>
      <c r="L3751" s="1">
        <f t="shared" si="176"/>
        <v>9.4189337000000002</v>
      </c>
    </row>
    <row r="3752" spans="1:12" ht="16" x14ac:dyDescent="0.2">
      <c r="A3752" s="1">
        <v>3751</v>
      </c>
      <c r="B3752" s="1" t="s">
        <v>10898</v>
      </c>
      <c r="C3752" s="1" t="s">
        <v>11057</v>
      </c>
      <c r="D3752" s="1" t="str">
        <f t="shared" si="174"/>
        <v>Aabenraa KommuneSøgård Hovvej 1</v>
      </c>
      <c r="E3752" s="1" t="s">
        <v>11058</v>
      </c>
      <c r="F3752" s="1" t="s">
        <v>11059</v>
      </c>
      <c r="G3752" s="1">
        <v>1927</v>
      </c>
      <c r="H3752" s="1" t="s">
        <v>15</v>
      </c>
      <c r="I3752" s="6" cm="1">
        <f t="array" ref="I3752">GetLatitude(D3752)</f>
        <v>549408920</v>
      </c>
      <c r="J3752" s="1" cm="1">
        <f t="array" ref="J3752">GetLongitude(D3752)</f>
        <v>94510720</v>
      </c>
      <c r="K3752" s="1">
        <f t="shared" si="175"/>
        <v>54.940891999999998</v>
      </c>
      <c r="L3752" s="1">
        <f t="shared" si="176"/>
        <v>9.4510719999999999</v>
      </c>
    </row>
    <row r="3753" spans="1:12" ht="16" x14ac:dyDescent="0.2">
      <c r="A3753" s="1">
        <v>3752</v>
      </c>
      <c r="B3753" s="1" t="s">
        <v>10898</v>
      </c>
      <c r="C3753" s="1" t="s">
        <v>11060</v>
      </c>
      <c r="D3753" s="1" t="str">
        <f t="shared" si="174"/>
        <v>Aabenraa KommuneSøndergade 10</v>
      </c>
      <c r="E3753" s="1" t="s">
        <v>11061</v>
      </c>
      <c r="F3753" s="1" t="s">
        <v>11062</v>
      </c>
      <c r="G3753" s="1">
        <v>1924</v>
      </c>
      <c r="H3753" s="1" t="s">
        <v>15</v>
      </c>
      <c r="I3753" s="6" cm="1">
        <f t="array" ref="I3753">GetLatitude(D3753)</f>
        <v>550408520</v>
      </c>
      <c r="J3753" s="1" cm="1">
        <f t="array" ref="J3753">GetLongitude(D3753)</f>
        <v>94151589</v>
      </c>
      <c r="K3753" s="1">
        <f t="shared" si="175"/>
        <v>55.040852000000001</v>
      </c>
      <c r="L3753" s="1">
        <f t="shared" si="176"/>
        <v>9.4151588999999998</v>
      </c>
    </row>
    <row r="3754" spans="1:12" ht="16" x14ac:dyDescent="0.2">
      <c r="A3754" s="1">
        <v>3753</v>
      </c>
      <c r="B3754" s="1" t="s">
        <v>10898</v>
      </c>
      <c r="C3754" s="1" t="s">
        <v>11063</v>
      </c>
      <c r="D3754" s="1" t="str">
        <f t="shared" si="174"/>
        <v>Aabenraa KommuneSøndergade 20</v>
      </c>
      <c r="E3754" s="1" t="s">
        <v>11064</v>
      </c>
      <c r="F3754" s="1" t="s">
        <v>11065</v>
      </c>
      <c r="G3754" s="1">
        <v>1921</v>
      </c>
      <c r="H3754" s="1" t="s">
        <v>794</v>
      </c>
      <c r="I3754" s="6" cm="1">
        <f t="array" ref="I3754">GetLatitude(D3754)</f>
        <v>550037600</v>
      </c>
      <c r="J3754" s="1" cm="1">
        <f t="array" ref="J3754">GetLongitude(D3754)</f>
        <v>92931471</v>
      </c>
      <c r="K3754" s="1">
        <f t="shared" si="175"/>
        <v>55.00376</v>
      </c>
      <c r="L3754" s="1">
        <f t="shared" si="176"/>
        <v>9.2931471000000005</v>
      </c>
    </row>
    <row r="3755" spans="1:12" ht="16" x14ac:dyDescent="0.2">
      <c r="A3755" s="1">
        <v>3754</v>
      </c>
      <c r="B3755" s="1" t="s">
        <v>10898</v>
      </c>
      <c r="C3755" s="1" t="s">
        <v>3261</v>
      </c>
      <c r="D3755" s="1" t="str">
        <f t="shared" si="174"/>
        <v>Aabenraa KommuneSøndergade 9</v>
      </c>
      <c r="E3755" s="1" t="s">
        <v>11066</v>
      </c>
      <c r="F3755" s="1" t="s">
        <v>11067</v>
      </c>
      <c r="G3755" s="1">
        <v>1979</v>
      </c>
      <c r="H3755" s="1" t="s">
        <v>15</v>
      </c>
      <c r="I3755" s="6" cm="1">
        <f t="array" ref="I3755">GetLatitude(D3755)</f>
        <v>550408520</v>
      </c>
      <c r="J3755" s="1" cm="1">
        <f t="array" ref="J3755">GetLongitude(D3755)</f>
        <v>94151589</v>
      </c>
      <c r="K3755" s="1">
        <f t="shared" si="175"/>
        <v>55.040852000000001</v>
      </c>
      <c r="L3755" s="1">
        <f t="shared" si="176"/>
        <v>9.4151588999999998</v>
      </c>
    </row>
    <row r="3756" spans="1:12" ht="16" x14ac:dyDescent="0.2">
      <c r="A3756" s="1">
        <v>3755</v>
      </c>
      <c r="B3756" s="1" t="s">
        <v>10898</v>
      </c>
      <c r="C3756" s="1" t="s">
        <v>11068</v>
      </c>
      <c r="D3756" s="1" t="str">
        <f t="shared" si="174"/>
        <v>Aabenraa KommuneSønderport 1 A</v>
      </c>
      <c r="E3756" s="1" t="s">
        <v>11069</v>
      </c>
      <c r="F3756" s="1" t="s">
        <v>3489</v>
      </c>
      <c r="G3756" s="1">
        <v>1921</v>
      </c>
      <c r="H3756" s="1" t="s">
        <v>11</v>
      </c>
      <c r="I3756" s="6" cm="1">
        <f t="array" ref="I3756">GetLatitude(D3756)</f>
        <v>550406055</v>
      </c>
      <c r="J3756" s="1" cm="1">
        <f t="array" ref="J3756">GetLongitude(D3756)</f>
        <v>94199585</v>
      </c>
      <c r="K3756" s="1">
        <f t="shared" si="175"/>
        <v>55.040605499999998</v>
      </c>
      <c r="L3756" s="1">
        <f t="shared" si="176"/>
        <v>9.4199584999999999</v>
      </c>
    </row>
    <row r="3757" spans="1:12" ht="16" x14ac:dyDescent="0.2">
      <c r="A3757" s="1">
        <v>3756</v>
      </c>
      <c r="B3757" s="1" t="s">
        <v>10898</v>
      </c>
      <c r="C3757" s="1" t="s">
        <v>11070</v>
      </c>
      <c r="D3757" s="1" t="str">
        <f t="shared" si="174"/>
        <v>Aabenraa KommuneToften 37 A</v>
      </c>
      <c r="E3757" s="1" t="s">
        <v>11071</v>
      </c>
      <c r="F3757" s="1" t="s">
        <v>11072</v>
      </c>
      <c r="G3757" s="1">
        <v>1988</v>
      </c>
      <c r="H3757" s="1" t="s">
        <v>15</v>
      </c>
      <c r="I3757" s="6" cm="1">
        <f t="array" ref="I3757">GetLatitude(D3757)</f>
        <v>548303410</v>
      </c>
      <c r="J3757" s="1" cm="1">
        <f t="array" ref="J3757">GetLongitude(D3757)</f>
        <v>93617958</v>
      </c>
      <c r="K3757" s="1">
        <f t="shared" si="175"/>
        <v>54.830340999999997</v>
      </c>
      <c r="L3757" s="1">
        <f t="shared" si="176"/>
        <v>9.3617957999999994</v>
      </c>
    </row>
    <row r="3758" spans="1:12" ht="16" x14ac:dyDescent="0.2">
      <c r="A3758" s="1">
        <v>3757</v>
      </c>
      <c r="B3758" s="1" t="s">
        <v>10898</v>
      </c>
      <c r="C3758" s="1" t="s">
        <v>978</v>
      </c>
      <c r="D3758" s="1" t="str">
        <f t="shared" si="174"/>
        <v>Aabenraa KommuneTorvet 2</v>
      </c>
      <c r="E3758" s="1" t="s">
        <v>11073</v>
      </c>
      <c r="F3758" s="1" t="s">
        <v>11074</v>
      </c>
      <c r="G3758" s="1">
        <v>1950</v>
      </c>
      <c r="H3758" s="1" t="s">
        <v>701</v>
      </c>
      <c r="I3758" s="6" cm="1">
        <f t="array" ref="I3758">GetLatitude(D3758)</f>
        <v>550037600</v>
      </c>
      <c r="J3758" s="1" cm="1">
        <f t="array" ref="J3758">GetLongitude(D3758)</f>
        <v>92931471</v>
      </c>
      <c r="K3758" s="1">
        <f t="shared" si="175"/>
        <v>55.00376</v>
      </c>
      <c r="L3758" s="1">
        <f t="shared" si="176"/>
        <v>9.2931471000000005</v>
      </c>
    </row>
    <row r="3759" spans="1:12" ht="16" x14ac:dyDescent="0.2">
      <c r="A3759" s="1">
        <v>3758</v>
      </c>
      <c r="B3759" s="1" t="s">
        <v>10898</v>
      </c>
      <c r="C3759" s="1" t="s">
        <v>11075</v>
      </c>
      <c r="D3759" s="1" t="str">
        <f t="shared" si="174"/>
        <v>Aabenraa KommuneVarnæsvej 700</v>
      </c>
      <c r="E3759" s="1" t="s">
        <v>11076</v>
      </c>
      <c r="F3759" s="1" t="s">
        <v>11077</v>
      </c>
      <c r="G3759" s="1">
        <v>1954</v>
      </c>
      <c r="H3759" s="1" t="s">
        <v>15</v>
      </c>
      <c r="I3759" s="6" cm="1">
        <f t="array" ref="I3759">GetLatitude(D3759)</f>
        <v>550080214</v>
      </c>
      <c r="J3759" s="1" cm="1">
        <f t="array" ref="J3759">GetLongitude(D3759)</f>
        <v>95732546</v>
      </c>
      <c r="K3759" s="1">
        <f t="shared" si="175"/>
        <v>55.008021399999997</v>
      </c>
      <c r="L3759" s="1">
        <f t="shared" si="176"/>
        <v>9.5732546000000003</v>
      </c>
    </row>
    <row r="3760" spans="1:12" ht="16" x14ac:dyDescent="0.2">
      <c r="A3760" s="1">
        <v>3759</v>
      </c>
      <c r="B3760" s="1" t="s">
        <v>10898</v>
      </c>
      <c r="C3760" s="1" t="s">
        <v>11078</v>
      </c>
      <c r="D3760" s="1" t="str">
        <f t="shared" si="174"/>
        <v>Aabenraa KommuneVed Slottet 1</v>
      </c>
      <c r="E3760" s="1" t="s">
        <v>11079</v>
      </c>
      <c r="F3760" s="1" t="s">
        <v>11080</v>
      </c>
      <c r="G3760" s="1">
        <v>1921</v>
      </c>
      <c r="H3760" s="1" t="s">
        <v>11</v>
      </c>
      <c r="I3760" s="6" cm="1">
        <f t="array" ref="I3760">GetLatitude(D3760)</f>
        <v>550400247</v>
      </c>
      <c r="J3760" s="1" cm="1">
        <f t="array" ref="J3760">GetLongitude(D3760)</f>
        <v>94141803</v>
      </c>
      <c r="K3760" s="1">
        <f t="shared" si="175"/>
        <v>55.040024699999996</v>
      </c>
      <c r="L3760" s="1">
        <f t="shared" si="176"/>
        <v>9.4141802999999999</v>
      </c>
    </row>
    <row r="3761" spans="1:12" ht="16" x14ac:dyDescent="0.2">
      <c r="A3761" s="1">
        <v>3760</v>
      </c>
      <c r="B3761" s="1" t="s">
        <v>10898</v>
      </c>
      <c r="C3761" s="1" t="s">
        <v>11081</v>
      </c>
      <c r="D3761" s="1" t="str">
        <f t="shared" si="174"/>
        <v>Aabenraa KommuneVægterpladsen 1</v>
      </c>
      <c r="E3761" s="1" t="s">
        <v>11082</v>
      </c>
      <c r="F3761" s="1" t="s">
        <v>11083</v>
      </c>
      <c r="G3761" s="1">
        <v>1921</v>
      </c>
      <c r="H3761" s="1" t="s">
        <v>11</v>
      </c>
      <c r="I3761" s="6" cm="1">
        <f t="array" ref="I3761">GetLatitude(D3761)</f>
        <v>550450061</v>
      </c>
      <c r="J3761" s="1" cm="1">
        <f t="array" ref="J3761">GetLongitude(D3761)</f>
        <v>94166127</v>
      </c>
      <c r="K3761" s="1">
        <f t="shared" si="175"/>
        <v>55.045006100000002</v>
      </c>
      <c r="L3761" s="1">
        <f t="shared" si="176"/>
        <v>9.4166126999999999</v>
      </c>
    </row>
    <row r="3762" spans="1:12" ht="16" x14ac:dyDescent="0.2">
      <c r="A3762" s="1">
        <v>3761</v>
      </c>
      <c r="B3762" s="1" t="s">
        <v>10898</v>
      </c>
      <c r="C3762" s="1" t="s">
        <v>11084</v>
      </c>
      <c r="D3762" s="1" t="str">
        <f t="shared" si="174"/>
        <v>Aabenraa KommuneVægterpladsen 1 A</v>
      </c>
      <c r="E3762" s="1" t="s">
        <v>11085</v>
      </c>
      <c r="F3762" s="1" t="s">
        <v>11086</v>
      </c>
      <c r="G3762" s="1">
        <v>1921</v>
      </c>
      <c r="H3762" s="1" t="s">
        <v>11</v>
      </c>
      <c r="I3762" s="6" cm="1">
        <f t="array" ref="I3762">GetLatitude(D3762)</f>
        <v>550449225</v>
      </c>
      <c r="J3762" s="1" cm="1">
        <f t="array" ref="J3762">GetLongitude(D3762)</f>
        <v>94163195</v>
      </c>
      <c r="K3762" s="1">
        <f t="shared" si="175"/>
        <v>55.044922499999998</v>
      </c>
      <c r="L3762" s="1">
        <f t="shared" si="176"/>
        <v>9.4163195000000002</v>
      </c>
    </row>
    <row r="3763" spans="1:12" ht="16" x14ac:dyDescent="0.2">
      <c r="A3763" s="1">
        <v>3762</v>
      </c>
      <c r="B3763" s="1" t="s">
        <v>10898</v>
      </c>
      <c r="C3763" s="1" t="s">
        <v>11087</v>
      </c>
      <c r="D3763" s="1" t="str">
        <f t="shared" si="174"/>
        <v>Aabenraa KommuneVægterpladsen 2, hj af Jomfrugangen</v>
      </c>
      <c r="E3763" s="1" t="s">
        <v>11088</v>
      </c>
      <c r="F3763" s="1" t="s">
        <v>11089</v>
      </c>
      <c r="G3763" s="1">
        <v>1921</v>
      </c>
      <c r="H3763" s="1" t="s">
        <v>11</v>
      </c>
      <c r="I3763" s="6" cm="1">
        <f t="array" ref="I3763">GetLatitude(D3763)</f>
        <v>550449422</v>
      </c>
      <c r="J3763" s="1" cm="1">
        <f t="array" ref="J3763">GetLongitude(D3763)</f>
        <v>94162908</v>
      </c>
      <c r="K3763" s="1">
        <f t="shared" si="175"/>
        <v>55.044942200000001</v>
      </c>
      <c r="L3763" s="1">
        <f t="shared" si="176"/>
        <v>9.4162908000000005</v>
      </c>
    </row>
    <row r="3764" spans="1:12" ht="16" x14ac:dyDescent="0.2">
      <c r="A3764" s="1">
        <v>3763</v>
      </c>
      <c r="B3764" s="1" t="s">
        <v>10898</v>
      </c>
      <c r="C3764" s="1" t="s">
        <v>11090</v>
      </c>
      <c r="D3764" s="1" t="str">
        <f t="shared" si="174"/>
        <v>Aabenraa KommuneVægterpladsen 3</v>
      </c>
      <c r="E3764" s="1" t="s">
        <v>11091</v>
      </c>
      <c r="F3764" s="1" t="s">
        <v>11092</v>
      </c>
      <c r="G3764" s="1">
        <v>1921</v>
      </c>
      <c r="H3764" s="1" t="s">
        <v>11</v>
      </c>
      <c r="I3764" s="6" cm="1">
        <f t="array" ref="I3764">GetLatitude(D3764)</f>
        <v>550448909</v>
      </c>
      <c r="J3764" s="1" cm="1">
        <f t="array" ref="J3764">GetLongitude(D3764)</f>
        <v>94163112</v>
      </c>
      <c r="K3764" s="1">
        <f t="shared" si="175"/>
        <v>55.044890899999999</v>
      </c>
      <c r="L3764" s="1">
        <f t="shared" si="176"/>
        <v>9.4163112000000009</v>
      </c>
    </row>
    <row r="3765" spans="1:12" ht="16" x14ac:dyDescent="0.2">
      <c r="A3765" s="1">
        <v>3764</v>
      </c>
      <c r="B3765" s="1" t="s">
        <v>10898</v>
      </c>
      <c r="C3765" s="1" t="s">
        <v>11093</v>
      </c>
      <c r="D3765" s="1" t="str">
        <f t="shared" si="174"/>
        <v>Aabenraa KommuneVægterpladsen 5, hj af Store Pottergade</v>
      </c>
      <c r="E3765" s="1" t="s">
        <v>11094</v>
      </c>
      <c r="F3765" s="1" t="s">
        <v>11095</v>
      </c>
      <c r="G3765" s="1">
        <v>1971</v>
      </c>
      <c r="H3765" s="1" t="s">
        <v>11</v>
      </c>
      <c r="I3765" s="6" cm="1">
        <f t="array" ref="I3765">GetLatitude(D3765)</f>
        <v>550447991</v>
      </c>
      <c r="J3765" s="1" cm="1">
        <f t="array" ref="J3765">GetLongitude(D3765)</f>
        <v>94163406</v>
      </c>
      <c r="K3765" s="1">
        <f t="shared" si="175"/>
        <v>55.044799099999999</v>
      </c>
      <c r="L3765" s="1">
        <f t="shared" si="176"/>
        <v>9.4163405999999998</v>
      </c>
    </row>
    <row r="3766" spans="1:12" ht="16" x14ac:dyDescent="0.2">
      <c r="A3766" s="1">
        <v>3765</v>
      </c>
      <c r="B3766" s="1" t="s">
        <v>11096</v>
      </c>
      <c r="C3766" s="1" t="s">
        <v>11097</v>
      </c>
      <c r="D3766" s="1" t="str">
        <f t="shared" si="174"/>
        <v>Aalborg KommuneAdelgade 14, hj af Latinergyden og Klosterjordet</v>
      </c>
      <c r="E3766" s="1" t="s">
        <v>11098</v>
      </c>
      <c r="F3766" s="1" t="s">
        <v>11099</v>
      </c>
      <c r="G3766" s="1">
        <v>1918</v>
      </c>
      <c r="H3766" s="1" t="s">
        <v>11</v>
      </c>
      <c r="I3766" s="6" cm="1">
        <f t="array" ref="I3766">GetLatitude(D3766)</f>
        <v>570486341</v>
      </c>
      <c r="J3766" s="1" cm="1">
        <f t="array" ref="J3766">GetLongitude(D3766)</f>
        <v>99177778</v>
      </c>
      <c r="K3766" s="1">
        <f t="shared" si="175"/>
        <v>57.048634100000001</v>
      </c>
      <c r="L3766" s="1">
        <f t="shared" si="176"/>
        <v>9.9177777999999996</v>
      </c>
    </row>
    <row r="3767" spans="1:12" ht="16" x14ac:dyDescent="0.2">
      <c r="A3767" s="1">
        <v>3766</v>
      </c>
      <c r="B3767" s="1" t="s">
        <v>11096</v>
      </c>
      <c r="C3767" s="1" t="s">
        <v>11100</v>
      </c>
      <c r="D3767" s="1" t="str">
        <f t="shared" si="174"/>
        <v>Aalborg KommuneAdelgade 4-6</v>
      </c>
      <c r="E3767" s="1" t="s">
        <v>11101</v>
      </c>
      <c r="F3767" s="1" t="s">
        <v>11102</v>
      </c>
      <c r="G3767" s="1">
        <v>1919</v>
      </c>
      <c r="H3767" s="1" t="s">
        <v>11</v>
      </c>
      <c r="I3767" s="6" cm="1">
        <f t="array" ref="I3767">GetLatitude(D3767)</f>
        <v>569961921</v>
      </c>
      <c r="J3767" s="1" cm="1">
        <f t="array" ref="J3767">GetLongitude(D3767)</f>
        <v>99907108</v>
      </c>
      <c r="K3767" s="1">
        <f t="shared" si="175"/>
        <v>56.996192100000002</v>
      </c>
      <c r="L3767" s="1">
        <f t="shared" si="176"/>
        <v>9.9907108000000004</v>
      </c>
    </row>
    <row r="3768" spans="1:12" ht="16" x14ac:dyDescent="0.2">
      <c r="A3768" s="1">
        <v>3767</v>
      </c>
      <c r="B3768" s="1" t="s">
        <v>11096</v>
      </c>
      <c r="C3768" s="1" t="s">
        <v>11103</v>
      </c>
      <c r="D3768" s="1" t="str">
        <f t="shared" si="174"/>
        <v>Aalborg KommuneAlgade 42-44</v>
      </c>
      <c r="E3768" s="1" t="s">
        <v>11104</v>
      </c>
      <c r="F3768" s="1" t="s">
        <v>11105</v>
      </c>
      <c r="G3768" s="1">
        <v>1988</v>
      </c>
      <c r="H3768" s="1" t="s">
        <v>11</v>
      </c>
      <c r="I3768" s="6" cm="1">
        <f t="array" ref="I3768">GetLatitude(D3768)</f>
        <v>569961921</v>
      </c>
      <c r="J3768" s="1" cm="1">
        <f t="array" ref="J3768">GetLongitude(D3768)</f>
        <v>99907108</v>
      </c>
      <c r="K3768" s="1">
        <f t="shared" si="175"/>
        <v>56.996192100000002</v>
      </c>
      <c r="L3768" s="1">
        <f t="shared" si="176"/>
        <v>9.9907108000000004</v>
      </c>
    </row>
    <row r="3769" spans="1:12" ht="16" x14ac:dyDescent="0.2">
      <c r="A3769" s="1">
        <v>3768</v>
      </c>
      <c r="B3769" s="1" t="s">
        <v>11096</v>
      </c>
      <c r="C3769" s="1" t="s">
        <v>11106</v>
      </c>
      <c r="D3769" s="1" t="str">
        <f t="shared" si="174"/>
        <v>Aalborg KommuneBakmøllevej 241</v>
      </c>
      <c r="E3769" s="1" t="s">
        <v>11107</v>
      </c>
      <c r="F3769" s="1" t="s">
        <v>11108</v>
      </c>
      <c r="G3769" s="1">
        <v>1932</v>
      </c>
      <c r="H3769" s="1" t="s">
        <v>15</v>
      </c>
      <c r="I3769" s="6" cm="1">
        <f t="array" ref="I3769">GetLatitude(D3769)</f>
        <v>571420699</v>
      </c>
      <c r="J3769" s="1" cm="1">
        <f t="array" ref="J3769">GetLongitude(D3769)</f>
        <v>99380310</v>
      </c>
      <c r="K3769" s="1">
        <f t="shared" si="175"/>
        <v>57.142069900000003</v>
      </c>
      <c r="L3769" s="1">
        <f t="shared" si="176"/>
        <v>9.9380310000000005</v>
      </c>
    </row>
    <row r="3770" spans="1:12" ht="16" x14ac:dyDescent="0.2">
      <c r="A3770" s="1">
        <v>3769</v>
      </c>
      <c r="B3770" s="1" t="s">
        <v>11096</v>
      </c>
      <c r="C3770" s="1" t="s">
        <v>11109</v>
      </c>
      <c r="D3770" s="1" t="str">
        <f t="shared" si="174"/>
        <v>Aalborg KommuneC.A. Olesens Gade 1, Strandvejen 16 og Vestre Havnepromenade 21</v>
      </c>
      <c r="E3770" s="1" t="s">
        <v>11110</v>
      </c>
      <c r="F3770" s="1" t="s">
        <v>11395</v>
      </c>
      <c r="G3770" s="1">
        <v>2015</v>
      </c>
      <c r="H3770" s="1" t="s">
        <v>701</v>
      </c>
      <c r="I3770" s="6" cm="1">
        <f t="array" ref="I3770">GetLatitude(D3770)</f>
        <v>570560949</v>
      </c>
      <c r="J3770" s="1" cm="1">
        <f t="array" ref="J3770">GetLongitude(D3770)</f>
        <v>99094078</v>
      </c>
      <c r="K3770" s="1">
        <f t="shared" si="175"/>
        <v>57.056094899999998</v>
      </c>
      <c r="L3770" s="1">
        <f t="shared" si="176"/>
        <v>9.9094078000000003</v>
      </c>
    </row>
    <row r="3771" spans="1:12" ht="16" x14ac:dyDescent="0.2">
      <c r="A3771" s="1">
        <v>3770</v>
      </c>
      <c r="B3771" s="1" t="s">
        <v>11096</v>
      </c>
      <c r="C3771" s="1" t="s">
        <v>11111</v>
      </c>
      <c r="D3771" s="1" t="str">
        <f t="shared" si="174"/>
        <v>Aalborg KommuneEgensevej 155</v>
      </c>
      <c r="E3771" s="1" t="s">
        <v>11112</v>
      </c>
      <c r="F3771" s="1" t="s">
        <v>11113</v>
      </c>
      <c r="G3771" s="1">
        <v>1939</v>
      </c>
      <c r="H3771" s="1" t="s">
        <v>15</v>
      </c>
      <c r="I3771" s="6" cm="1">
        <f t="array" ref="I3771">GetLatitude(D3771)</f>
        <v>570183352</v>
      </c>
      <c r="J3771" s="1" cm="1">
        <f t="array" ref="J3771">GetLongitude(D3771)</f>
        <v>100641329</v>
      </c>
      <c r="K3771" s="1">
        <f t="shared" si="175"/>
        <v>57.018335200000003</v>
      </c>
      <c r="L3771" s="1">
        <f t="shared" si="176"/>
        <v>10.064132900000001</v>
      </c>
    </row>
    <row r="3772" spans="1:12" ht="16" x14ac:dyDescent="0.2">
      <c r="A3772" s="1">
        <v>3771</v>
      </c>
      <c r="B3772" s="1" t="s">
        <v>11096</v>
      </c>
      <c r="C3772" s="1" t="s">
        <v>11114</v>
      </c>
      <c r="D3772" s="1" t="str">
        <f t="shared" si="174"/>
        <v>Aalborg KommuneFjordgade 2</v>
      </c>
      <c r="E3772" s="1" t="s">
        <v>11115</v>
      </c>
      <c r="F3772" s="1" t="s">
        <v>1276</v>
      </c>
      <c r="G3772" s="1">
        <v>1972</v>
      </c>
      <c r="H3772" s="1" t="s">
        <v>11</v>
      </c>
      <c r="I3772" s="6" cm="1">
        <f t="array" ref="I3772">GetLatitude(D3772)</f>
        <v>570468421</v>
      </c>
      <c r="J3772" s="1" cm="1">
        <f t="array" ref="J3772">GetLongitude(D3772)</f>
        <v>99253430</v>
      </c>
      <c r="K3772" s="1">
        <f t="shared" si="175"/>
        <v>57.046842099999999</v>
      </c>
      <c r="L3772" s="1">
        <f t="shared" si="176"/>
        <v>9.9253429999999998</v>
      </c>
    </row>
    <row r="3773" spans="1:12" ht="16" x14ac:dyDescent="0.2">
      <c r="A3773" s="1">
        <v>3772</v>
      </c>
      <c r="B3773" s="1" t="s">
        <v>11096</v>
      </c>
      <c r="C3773" s="1" t="s">
        <v>11116</v>
      </c>
      <c r="D3773" s="1" t="str">
        <f t="shared" si="174"/>
        <v>Aalborg KommuneGammeltorv 10</v>
      </c>
      <c r="E3773" s="1" t="s">
        <v>11117</v>
      </c>
      <c r="F3773" s="1" t="s">
        <v>11118</v>
      </c>
      <c r="G3773" s="1">
        <v>1978</v>
      </c>
      <c r="H3773" s="1" t="s">
        <v>11</v>
      </c>
      <c r="I3773" s="6" cm="1">
        <f t="array" ref="I3773">GetLatitude(D3773)</f>
        <v>570483150</v>
      </c>
      <c r="J3773" s="1" cm="1">
        <f t="array" ref="J3773">GetLongitude(D3773)</f>
        <v>99196700</v>
      </c>
      <c r="K3773" s="1">
        <f t="shared" si="175"/>
        <v>57.048315000000002</v>
      </c>
      <c r="L3773" s="1">
        <f t="shared" si="176"/>
        <v>9.91967</v>
      </c>
    </row>
    <row r="3774" spans="1:12" ht="16" x14ac:dyDescent="0.2">
      <c r="A3774" s="1">
        <v>3773</v>
      </c>
      <c r="B3774" s="1" t="s">
        <v>11096</v>
      </c>
      <c r="C3774" s="1" t="s">
        <v>11119</v>
      </c>
      <c r="D3774" s="1" t="str">
        <f t="shared" si="174"/>
        <v>Aalborg KommuneGammeltorv 2</v>
      </c>
      <c r="E3774" s="1" t="s">
        <v>11120</v>
      </c>
      <c r="F3774" s="1" t="s">
        <v>11121</v>
      </c>
      <c r="G3774" s="1">
        <v>1918</v>
      </c>
      <c r="H3774" s="1" t="s">
        <v>11</v>
      </c>
      <c r="I3774" s="6" cm="1">
        <f t="array" ref="I3774">GetLatitude(D3774)</f>
        <v>570482759</v>
      </c>
      <c r="J3774" s="1" cm="1">
        <f t="array" ref="J3774">GetLongitude(D3774)</f>
        <v>99207509</v>
      </c>
      <c r="K3774" s="1">
        <f t="shared" si="175"/>
        <v>57.0482759</v>
      </c>
      <c r="L3774" s="1">
        <f t="shared" si="176"/>
        <v>9.9207508999999998</v>
      </c>
    </row>
    <row r="3775" spans="1:12" ht="16" x14ac:dyDescent="0.2">
      <c r="A3775" s="1">
        <v>3774</v>
      </c>
      <c r="B3775" s="1" t="s">
        <v>11096</v>
      </c>
      <c r="C3775" s="1" t="s">
        <v>11122</v>
      </c>
      <c r="D3775" s="1" t="str">
        <f t="shared" si="174"/>
        <v>Aalborg KommuneGammeltorv 4 (tidl nr 6)</v>
      </c>
      <c r="E3775" s="1" t="s">
        <v>3172</v>
      </c>
      <c r="F3775" s="1" t="s">
        <v>11123</v>
      </c>
      <c r="G3775" s="1">
        <v>1988</v>
      </c>
      <c r="H3775" s="1" t="s">
        <v>701</v>
      </c>
      <c r="I3775" s="6" cm="1">
        <f t="array" ref="I3775">GetLatitude(D3775)</f>
        <v>570482920</v>
      </c>
      <c r="J3775" s="1" cm="1">
        <f t="array" ref="J3775">GetLongitude(D3775)</f>
        <v>99203119</v>
      </c>
      <c r="K3775" s="1">
        <f t="shared" si="175"/>
        <v>57.048292000000004</v>
      </c>
      <c r="L3775" s="1">
        <f t="shared" si="176"/>
        <v>9.9203118999999997</v>
      </c>
    </row>
    <row r="3776" spans="1:12" ht="16" x14ac:dyDescent="0.2">
      <c r="A3776" s="1">
        <v>3775</v>
      </c>
      <c r="B3776" s="1" t="s">
        <v>11096</v>
      </c>
      <c r="C3776" s="1" t="s">
        <v>11124</v>
      </c>
      <c r="D3776" s="1" t="str">
        <f t="shared" si="174"/>
        <v>Aalborg KommuneGammel Østergade 8</v>
      </c>
      <c r="E3776" s="1" t="s">
        <v>7761</v>
      </c>
      <c r="F3776" s="1" t="s">
        <v>11125</v>
      </c>
      <c r="G3776" s="1">
        <v>1919</v>
      </c>
      <c r="H3776" s="1" t="s">
        <v>15</v>
      </c>
      <c r="I3776" s="6" cm="1">
        <f t="array" ref="I3776">GetLatitude(D3776)</f>
        <v>570590097</v>
      </c>
      <c r="J3776" s="1" cm="1">
        <f t="array" ref="J3776">GetLongitude(D3776)</f>
        <v>99242882</v>
      </c>
      <c r="K3776" s="1">
        <f t="shared" si="175"/>
        <v>57.059009699999997</v>
      </c>
      <c r="L3776" s="1">
        <f t="shared" si="176"/>
        <v>9.9242881999999994</v>
      </c>
    </row>
    <row r="3777" spans="1:12" ht="16" x14ac:dyDescent="0.2">
      <c r="A3777" s="1">
        <v>3776</v>
      </c>
      <c r="B3777" s="1" t="s">
        <v>11096</v>
      </c>
      <c r="C3777" s="1" t="s">
        <v>11126</v>
      </c>
      <c r="D3777" s="1" t="str">
        <f t="shared" si="174"/>
        <v>Aalborg KommuneHalkærvej 3</v>
      </c>
      <c r="E3777" s="1" t="s">
        <v>11127</v>
      </c>
      <c r="F3777" s="1" t="s">
        <v>11128</v>
      </c>
      <c r="G3777" s="1">
        <v>1918</v>
      </c>
      <c r="H3777" s="1" t="s">
        <v>15</v>
      </c>
      <c r="I3777" s="6" cm="1">
        <f t="array" ref="I3777">GetLatitude(D3777)</f>
        <v>569615734</v>
      </c>
      <c r="J3777" s="1" cm="1">
        <f t="array" ref="J3777">GetLongitude(D3777)</f>
        <v>96093101</v>
      </c>
      <c r="K3777" s="1">
        <f t="shared" si="175"/>
        <v>56.961573399999999</v>
      </c>
      <c r="L3777" s="1">
        <f t="shared" si="176"/>
        <v>9.6093101000000001</v>
      </c>
    </row>
    <row r="3778" spans="1:12" ht="16" x14ac:dyDescent="0.2">
      <c r="A3778" s="1">
        <v>3777</v>
      </c>
      <c r="B3778" s="1" t="s">
        <v>11096</v>
      </c>
      <c r="C3778" s="1" t="s">
        <v>11129</v>
      </c>
      <c r="D3778" s="1" t="str">
        <f t="shared" si="174"/>
        <v>Aalborg KommuneHasserisvej 168</v>
      </c>
      <c r="E3778" s="1" t="s">
        <v>11130</v>
      </c>
      <c r="F3778" s="1" t="s">
        <v>11131</v>
      </c>
      <c r="G3778" s="1">
        <v>1988</v>
      </c>
      <c r="H3778" s="1" t="s">
        <v>11</v>
      </c>
      <c r="I3778" s="6" cm="1">
        <f t="array" ref="I3778">GetLatitude(D3778)</f>
        <v>570409484</v>
      </c>
      <c r="J3778" s="1" cm="1">
        <f t="array" ref="J3778">GetLongitude(D3778)</f>
        <v>98871761</v>
      </c>
      <c r="K3778" s="1">
        <f t="shared" si="175"/>
        <v>57.040948399999998</v>
      </c>
      <c r="L3778" s="1">
        <f t="shared" si="176"/>
        <v>9.8871760999999996</v>
      </c>
    </row>
    <row r="3779" spans="1:12" ht="16" x14ac:dyDescent="0.2">
      <c r="A3779" s="1">
        <v>3778</v>
      </c>
      <c r="B3779" s="1" t="s">
        <v>11096</v>
      </c>
      <c r="C3779" s="1" t="s">
        <v>11132</v>
      </c>
      <c r="D3779" s="1" t="str">
        <f t="shared" ref="D3779:D3842" si="177">B3779&amp;C3779</f>
        <v>Aalborg KommuneHvorupgårdvej 82</v>
      </c>
      <c r="E3779" s="1" t="s">
        <v>11133</v>
      </c>
      <c r="F3779" s="1" t="s">
        <v>11134</v>
      </c>
      <c r="G3779" s="1">
        <v>1939</v>
      </c>
      <c r="H3779" s="1" t="s">
        <v>15</v>
      </c>
      <c r="I3779" s="6" cm="1">
        <f t="array" ref="I3779">GetLatitude(D3779)</f>
        <v>571227247</v>
      </c>
      <c r="J3779" s="1" cm="1">
        <f t="array" ref="J3779">GetLongitude(D3779)</f>
        <v>99230967</v>
      </c>
      <c r="K3779" s="1">
        <f t="shared" si="175"/>
        <v>57.122724699999999</v>
      </c>
      <c r="L3779" s="1">
        <f t="shared" si="176"/>
        <v>9.9230967000000003</v>
      </c>
    </row>
    <row r="3780" spans="1:12" ht="16" x14ac:dyDescent="0.2">
      <c r="A3780" s="1">
        <v>3779</v>
      </c>
      <c r="B3780" s="1" t="s">
        <v>11096</v>
      </c>
      <c r="C3780" s="1" t="s">
        <v>11396</v>
      </c>
      <c r="D3780" s="1" t="str">
        <f t="shared" si="177"/>
        <v>Aalborg KommuneJohn   Kennedys Plads 3</v>
      </c>
      <c r="E3780" s="1" t="s">
        <v>11135</v>
      </c>
      <c r="F3780" s="1" t="s">
        <v>11136</v>
      </c>
      <c r="G3780" s="1">
        <v>1992</v>
      </c>
      <c r="H3780" s="1" t="s">
        <v>15</v>
      </c>
      <c r="I3780" s="6" cm="1">
        <f t="array" ref="I3780">GetLatitude(D3780)</f>
        <v>570430451</v>
      </c>
      <c r="J3780" s="1" cm="1">
        <f t="array" ref="J3780">GetLongitude(D3780)</f>
        <v>99169344</v>
      </c>
      <c r="K3780" s="1">
        <f t="shared" ref="K3780:K3843" si="178">I3780/10000000</f>
        <v>57.043045100000001</v>
      </c>
      <c r="L3780" s="1">
        <f t="shared" ref="L3780:L3843" si="179">J3780/10000000</f>
        <v>9.9169344000000006</v>
      </c>
    </row>
    <row r="3781" spans="1:12" ht="16" x14ac:dyDescent="0.2">
      <c r="A3781" s="1">
        <v>3780</v>
      </c>
      <c r="B3781" s="1" t="s">
        <v>11096</v>
      </c>
      <c r="C3781" s="1" t="s">
        <v>11137</v>
      </c>
      <c r="D3781" s="1" t="str">
        <f t="shared" si="177"/>
        <v>Aalborg KommuneKattesundet 20, hj af Borgergade</v>
      </c>
      <c r="E3781" s="1" t="s">
        <v>11138</v>
      </c>
      <c r="F3781" s="1" t="s">
        <v>11139</v>
      </c>
      <c r="G3781" s="1">
        <v>1983</v>
      </c>
      <c r="H3781" s="1" t="s">
        <v>11</v>
      </c>
      <c r="I3781" s="6" cm="1">
        <f t="array" ref="I3781">GetLatitude(D3781)</f>
        <v>570509704</v>
      </c>
      <c r="J3781" s="1" cm="1">
        <f t="array" ref="J3781">GetLongitude(D3781)</f>
        <v>99176304</v>
      </c>
      <c r="K3781" s="1">
        <f t="shared" si="178"/>
        <v>57.050970399999997</v>
      </c>
      <c r="L3781" s="1">
        <f t="shared" si="179"/>
        <v>9.9176304000000002</v>
      </c>
    </row>
    <row r="3782" spans="1:12" ht="16" x14ac:dyDescent="0.2">
      <c r="A3782" s="1">
        <v>3781</v>
      </c>
      <c r="B3782" s="1" t="s">
        <v>11096</v>
      </c>
      <c r="C3782" s="1" t="s">
        <v>11140</v>
      </c>
      <c r="D3782" s="1" t="str">
        <f t="shared" si="177"/>
        <v>Aalborg KommuneKirkegårdsgade 3</v>
      </c>
      <c r="E3782" s="1" t="s">
        <v>11141</v>
      </c>
      <c r="F3782" s="1" t="s">
        <v>11142</v>
      </c>
      <c r="G3782" s="3">
        <v>1954</v>
      </c>
      <c r="H3782" s="1" t="s">
        <v>11</v>
      </c>
      <c r="I3782" s="6" cm="1">
        <f t="array" ref="I3782">GetLatitude(D3782)</f>
        <v>570458303</v>
      </c>
      <c r="J3782" s="1" cm="1">
        <f t="array" ref="J3782">GetLongitude(D3782)</f>
        <v>99118390</v>
      </c>
      <c r="K3782" s="1">
        <f t="shared" si="178"/>
        <v>57.045830299999999</v>
      </c>
      <c r="L3782" s="1">
        <f t="shared" si="179"/>
        <v>9.9118390000000005</v>
      </c>
    </row>
    <row r="3783" spans="1:12" ht="16" x14ac:dyDescent="0.2">
      <c r="A3783" s="1">
        <v>3782</v>
      </c>
      <c r="B3783" s="1" t="s">
        <v>11096</v>
      </c>
      <c r="C3783" s="1" t="s">
        <v>11143</v>
      </c>
      <c r="D3783" s="1" t="str">
        <f t="shared" si="177"/>
        <v>Aalborg KommuneKong Christians Allé 50</v>
      </c>
      <c r="E3783" s="1" t="s">
        <v>11144</v>
      </c>
      <c r="F3783" s="1" t="s">
        <v>11145</v>
      </c>
      <c r="G3783" s="1">
        <v>1995</v>
      </c>
      <c r="H3783" s="1" t="s">
        <v>15</v>
      </c>
      <c r="I3783" s="6" cm="1">
        <f t="array" ref="I3783">GetLatitude(D3783)</f>
        <v>570425654</v>
      </c>
      <c r="J3783" s="1" cm="1">
        <f t="array" ref="J3783">GetLongitude(D3783)</f>
        <v>99057395</v>
      </c>
      <c r="K3783" s="1">
        <f t="shared" si="178"/>
        <v>57.042565400000001</v>
      </c>
      <c r="L3783" s="1">
        <f t="shared" si="179"/>
        <v>9.9057394999999993</v>
      </c>
    </row>
    <row r="3784" spans="1:12" ht="16" x14ac:dyDescent="0.2">
      <c r="A3784" s="1">
        <v>3783</v>
      </c>
      <c r="B3784" s="1" t="s">
        <v>11096</v>
      </c>
      <c r="C3784" s="1" t="s">
        <v>11146</v>
      </c>
      <c r="D3784" s="1" t="str">
        <f t="shared" si="177"/>
        <v>Aalborg KommuneKong Hansgade 18</v>
      </c>
      <c r="E3784" s="1" t="s">
        <v>1468</v>
      </c>
      <c r="F3784" s="1" t="s">
        <v>11147</v>
      </c>
      <c r="G3784" s="1">
        <v>1988</v>
      </c>
      <c r="H3784" s="1" t="s">
        <v>15</v>
      </c>
      <c r="I3784" s="6" cm="1">
        <f t="array" ref="I3784">GetLatitude(D3784)</f>
        <v>570467393</v>
      </c>
      <c r="J3784" s="1" cm="1">
        <f t="array" ref="J3784">GetLongitude(D3784)</f>
        <v>99074090</v>
      </c>
      <c r="K3784" s="1">
        <f t="shared" si="178"/>
        <v>57.046739299999999</v>
      </c>
      <c r="L3784" s="1">
        <f t="shared" si="179"/>
        <v>9.9074089999999995</v>
      </c>
    </row>
    <row r="3785" spans="1:12" ht="16" x14ac:dyDescent="0.2">
      <c r="A3785" s="1">
        <v>3784</v>
      </c>
      <c r="B3785" s="1" t="s">
        <v>11096</v>
      </c>
      <c r="C3785" s="1" t="s">
        <v>11148</v>
      </c>
      <c r="D3785" s="1" t="str">
        <f t="shared" si="177"/>
        <v>Aalborg KommuneKongstedlundvej 18</v>
      </c>
      <c r="E3785" s="1" t="s">
        <v>11149</v>
      </c>
      <c r="F3785" s="1" t="s">
        <v>11150</v>
      </c>
      <c r="G3785" s="1">
        <v>1918</v>
      </c>
      <c r="H3785" s="1" t="s">
        <v>11</v>
      </c>
      <c r="I3785" s="6" cm="1">
        <f t="array" ref="I3785">GetLatitude(D3785)</f>
        <v>570180426</v>
      </c>
      <c r="J3785" s="1" cm="1">
        <f t="array" ref="J3785">GetLongitude(D3785)</f>
        <v>98885528</v>
      </c>
      <c r="K3785" s="1">
        <f t="shared" si="178"/>
        <v>57.018042600000001</v>
      </c>
      <c r="L3785" s="1">
        <f t="shared" si="179"/>
        <v>9.8885527999999994</v>
      </c>
    </row>
    <row r="3786" spans="1:12" ht="16" x14ac:dyDescent="0.2">
      <c r="A3786" s="1">
        <v>3785</v>
      </c>
      <c r="B3786" s="1" t="s">
        <v>11096</v>
      </c>
      <c r="C3786" s="1" t="s">
        <v>11151</v>
      </c>
      <c r="D3786" s="1" t="str">
        <f t="shared" si="177"/>
        <v>Aalborg KommuneMellemgade 52, Nibe</v>
      </c>
      <c r="E3786" s="1" t="s">
        <v>11152</v>
      </c>
      <c r="F3786" s="1" t="s">
        <v>11153</v>
      </c>
      <c r="G3786" s="1">
        <v>1979</v>
      </c>
      <c r="H3786" s="1" t="s">
        <v>11</v>
      </c>
      <c r="I3786" s="6" cm="1">
        <f t="array" ref="I3786">GetLatitude(D3786)</f>
        <v>569842496</v>
      </c>
      <c r="J3786" s="1" cm="1">
        <f t="array" ref="J3786">GetLongitude(D3786)</f>
        <v>96340095</v>
      </c>
      <c r="K3786" s="1">
        <f t="shared" si="178"/>
        <v>56.984249599999998</v>
      </c>
      <c r="L3786" s="1">
        <f t="shared" si="179"/>
        <v>9.6340094999999994</v>
      </c>
    </row>
    <row r="3787" spans="1:12" ht="16" x14ac:dyDescent="0.2">
      <c r="A3787" s="1">
        <v>3786</v>
      </c>
      <c r="B3787" s="1" t="s">
        <v>11096</v>
      </c>
      <c r="C3787" s="1" t="s">
        <v>11154</v>
      </c>
      <c r="D3787" s="1" t="str">
        <f t="shared" si="177"/>
        <v>Aalborg KommuneMøllebrovej 2</v>
      </c>
      <c r="E3787" s="1" t="s">
        <v>11155</v>
      </c>
      <c r="F3787" s="1" t="s">
        <v>11156</v>
      </c>
      <c r="G3787" s="1">
        <v>1983</v>
      </c>
      <c r="H3787" s="1" t="s">
        <v>11157</v>
      </c>
      <c r="I3787" s="6" cm="1">
        <f t="array" ref="I3787">GetLatitude(D3787)</f>
        <v>569402107</v>
      </c>
      <c r="J3787" s="1" cm="1">
        <f t="array" ref="J3787">GetLongitude(D3787)</f>
        <v>101054110</v>
      </c>
      <c r="K3787" s="1">
        <f t="shared" si="178"/>
        <v>56.940210700000002</v>
      </c>
      <c r="L3787" s="1">
        <f t="shared" si="179"/>
        <v>10.105411</v>
      </c>
    </row>
    <row r="3788" spans="1:12" ht="16" x14ac:dyDescent="0.2">
      <c r="A3788" s="1">
        <v>3787</v>
      </c>
      <c r="B3788" s="1" t="s">
        <v>11096</v>
      </c>
      <c r="C3788" s="1" t="s">
        <v>11158</v>
      </c>
      <c r="D3788" s="1" t="str">
        <f t="shared" si="177"/>
        <v>Aalborg KommuneNørregade 1, hj af Fjordgade</v>
      </c>
      <c r="E3788" s="1" t="s">
        <v>10812</v>
      </c>
      <c r="F3788" s="1" t="s">
        <v>11159</v>
      </c>
      <c r="G3788" s="1">
        <v>1972</v>
      </c>
      <c r="H3788" s="1" t="s">
        <v>11</v>
      </c>
      <c r="I3788" s="6" cm="1">
        <f t="array" ref="I3788">GetLatitude(D3788)</f>
        <v>570475416</v>
      </c>
      <c r="J3788" s="1" cm="1">
        <f t="array" ref="J3788">GetLongitude(D3788)</f>
        <v>99256688</v>
      </c>
      <c r="K3788" s="1">
        <f t="shared" si="178"/>
        <v>57.047541600000002</v>
      </c>
      <c r="L3788" s="1">
        <f t="shared" si="179"/>
        <v>9.9256688000000004</v>
      </c>
    </row>
    <row r="3789" spans="1:12" ht="16" x14ac:dyDescent="0.2">
      <c r="A3789" s="1">
        <v>3788</v>
      </c>
      <c r="B3789" s="1" t="s">
        <v>11096</v>
      </c>
      <c r="C3789" s="1" t="s">
        <v>1337</v>
      </c>
      <c r="D3789" s="1" t="str">
        <f t="shared" si="177"/>
        <v>Aalborg KommuneNørregade 9</v>
      </c>
      <c r="E3789" s="1" t="s">
        <v>11160</v>
      </c>
      <c r="F3789" s="1" t="s">
        <v>11161</v>
      </c>
      <c r="G3789" s="1">
        <v>1919</v>
      </c>
      <c r="H3789" s="1" t="s">
        <v>11</v>
      </c>
      <c r="I3789" s="6" cm="1">
        <f t="array" ref="I3789">GetLatitude(D3789)</f>
        <v>570488195</v>
      </c>
      <c r="J3789" s="1" cm="1">
        <f t="array" ref="J3789">GetLongitude(D3789)</f>
        <v>99217470</v>
      </c>
      <c r="K3789" s="1">
        <f t="shared" si="178"/>
        <v>57.0488195</v>
      </c>
      <c r="L3789" s="1">
        <f t="shared" si="179"/>
        <v>9.9217469999999999</v>
      </c>
    </row>
    <row r="3790" spans="1:12" ht="16" x14ac:dyDescent="0.2">
      <c r="A3790" s="1">
        <v>3789</v>
      </c>
      <c r="B3790" s="1" t="s">
        <v>11096</v>
      </c>
      <c r="C3790" s="1" t="s">
        <v>11162</v>
      </c>
      <c r="D3790" s="1" t="str">
        <f t="shared" si="177"/>
        <v>Aalborg KommunePostgårdsvej 9-11</v>
      </c>
      <c r="E3790" s="1" t="s">
        <v>11163</v>
      </c>
      <c r="F3790" s="1" t="s">
        <v>11164</v>
      </c>
      <c r="G3790" s="1">
        <v>1939</v>
      </c>
      <c r="H3790" s="1" t="s">
        <v>15</v>
      </c>
      <c r="I3790" s="6" cm="1">
        <f t="array" ref="I3790">GetLatitude(D3790)</f>
        <v>570116512</v>
      </c>
      <c r="J3790" s="1" cm="1">
        <f t="array" ref="J3790">GetLongitude(D3790)</f>
        <v>99964401</v>
      </c>
      <c r="K3790" s="1">
        <f t="shared" si="178"/>
        <v>57.011651200000003</v>
      </c>
      <c r="L3790" s="1">
        <f t="shared" si="179"/>
        <v>9.9964400999999992</v>
      </c>
    </row>
    <row r="3791" spans="1:12" ht="16" x14ac:dyDescent="0.2">
      <c r="A3791" s="1">
        <v>3790</v>
      </c>
      <c r="B3791" s="1" t="s">
        <v>11096</v>
      </c>
      <c r="C3791" s="1" t="s">
        <v>11165</v>
      </c>
      <c r="D3791" s="1" t="str">
        <f t="shared" si="177"/>
        <v>Aalborg KommuneRefsnæsvej 3</v>
      </c>
      <c r="E3791" s="1" t="s">
        <v>11166</v>
      </c>
      <c r="F3791" s="1" t="s">
        <v>11167</v>
      </c>
      <c r="G3791" s="1">
        <v>1939</v>
      </c>
      <c r="H3791" s="1" t="s">
        <v>15</v>
      </c>
      <c r="I3791" s="6" cm="1">
        <f t="array" ref="I3791">GetLatitude(D3791)</f>
        <v>569094739</v>
      </c>
      <c r="J3791" s="1" cm="1">
        <f t="array" ref="J3791">GetLongitude(D3791)</f>
        <v>100913175</v>
      </c>
      <c r="K3791" s="1">
        <f t="shared" si="178"/>
        <v>56.909473900000002</v>
      </c>
      <c r="L3791" s="1">
        <f t="shared" si="179"/>
        <v>10.091317500000001</v>
      </c>
    </row>
    <row r="3792" spans="1:12" ht="16" x14ac:dyDescent="0.2">
      <c r="A3792" s="1">
        <v>3791</v>
      </c>
      <c r="B3792" s="1" t="s">
        <v>11096</v>
      </c>
      <c r="C3792" s="1" t="s">
        <v>11168</v>
      </c>
      <c r="D3792" s="1" t="str">
        <f t="shared" si="177"/>
        <v>Aalborg KommuneRestrup Kærvej 10</v>
      </c>
      <c r="E3792" s="1" t="s">
        <v>11169</v>
      </c>
      <c r="F3792" s="1" t="s">
        <v>11170</v>
      </c>
      <c r="G3792" s="1">
        <v>1918</v>
      </c>
      <c r="H3792" s="1" t="s">
        <v>11</v>
      </c>
      <c r="I3792" s="6" cm="1">
        <f t="array" ref="I3792">GetLatitude(D3792)</f>
        <v>570050686</v>
      </c>
      <c r="J3792" s="1" cm="1">
        <f t="array" ref="J3792">GetLongitude(D3792)</f>
        <v>97747397</v>
      </c>
      <c r="K3792" s="1">
        <f t="shared" si="178"/>
        <v>57.005068600000001</v>
      </c>
      <c r="L3792" s="1">
        <f t="shared" si="179"/>
        <v>9.7747396999999996</v>
      </c>
    </row>
    <row r="3793" spans="1:12" ht="16" x14ac:dyDescent="0.2">
      <c r="A3793" s="1">
        <v>3792</v>
      </c>
      <c r="B3793" s="1" t="s">
        <v>11096</v>
      </c>
      <c r="C3793" s="1" t="s">
        <v>11171</v>
      </c>
      <c r="D3793" s="1" t="str">
        <f t="shared" si="177"/>
        <v>Aalborg KommuneRiihimäkivej 3</v>
      </c>
      <c r="E3793" s="1" t="s">
        <v>11172</v>
      </c>
      <c r="F3793" s="1" t="s">
        <v>11173</v>
      </c>
      <c r="G3793" s="1">
        <v>2009</v>
      </c>
      <c r="H3793" s="1" t="s">
        <v>701</v>
      </c>
      <c r="I3793" s="6" cm="1">
        <f t="array" ref="I3793">GetLatitude(D3793)</f>
        <v>570488195</v>
      </c>
      <c r="J3793" s="1" cm="1">
        <f t="array" ref="J3793">GetLongitude(D3793)</f>
        <v>99217470</v>
      </c>
      <c r="K3793" s="1">
        <f t="shared" si="178"/>
        <v>57.0488195</v>
      </c>
      <c r="L3793" s="1">
        <f t="shared" si="179"/>
        <v>9.9217469999999999</v>
      </c>
    </row>
    <row r="3794" spans="1:12" ht="16" x14ac:dyDescent="0.2">
      <c r="A3794" s="1">
        <v>3793</v>
      </c>
      <c r="B3794" s="1" t="s">
        <v>11096</v>
      </c>
      <c r="C3794" s="1" t="s">
        <v>11174</v>
      </c>
      <c r="D3794" s="1" t="str">
        <f t="shared" si="177"/>
        <v>Aalborg KommuneRyesgade 52</v>
      </c>
      <c r="E3794" s="1" t="s">
        <v>11175</v>
      </c>
      <c r="F3794" s="1" t="s">
        <v>11176</v>
      </c>
      <c r="G3794" s="1">
        <v>1995</v>
      </c>
      <c r="H3794" s="1" t="s">
        <v>701</v>
      </c>
      <c r="I3794" s="6" cm="1">
        <f t="array" ref="I3794">GetLatitude(D3794)</f>
        <v>570544976</v>
      </c>
      <c r="J3794" s="1" cm="1">
        <f t="array" ref="J3794">GetLongitude(D3794)</f>
        <v>99037866</v>
      </c>
      <c r="K3794" s="1">
        <f t="shared" si="178"/>
        <v>57.054497599999998</v>
      </c>
      <c r="L3794" s="1">
        <f t="shared" si="179"/>
        <v>9.9037866000000001</v>
      </c>
    </row>
    <row r="3795" spans="1:12" ht="16" x14ac:dyDescent="0.2">
      <c r="A3795" s="1">
        <v>3794</v>
      </c>
      <c r="B3795" s="1" t="s">
        <v>11096</v>
      </c>
      <c r="C3795" s="1" t="s">
        <v>11177</v>
      </c>
      <c r="D3795" s="1" t="str">
        <f t="shared" si="177"/>
        <v>Aalborg KommuneSkansen 1</v>
      </c>
      <c r="E3795" s="1" t="s">
        <v>11178</v>
      </c>
      <c r="F3795" s="1" t="s">
        <v>11179</v>
      </c>
      <c r="G3795" s="1">
        <v>1918</v>
      </c>
      <c r="H3795" s="1" t="s">
        <v>15</v>
      </c>
      <c r="I3795" s="6" cm="1">
        <f t="array" ref="I3795">GetLatitude(D3795)</f>
        <v>570488195</v>
      </c>
      <c r="J3795" s="1" cm="1">
        <f t="array" ref="J3795">GetLongitude(D3795)</f>
        <v>99217470</v>
      </c>
      <c r="K3795" s="1">
        <f t="shared" si="178"/>
        <v>57.0488195</v>
      </c>
      <c r="L3795" s="1">
        <f t="shared" si="179"/>
        <v>9.9217469999999999</v>
      </c>
    </row>
    <row r="3796" spans="1:12" ht="16" x14ac:dyDescent="0.2">
      <c r="A3796" s="1">
        <v>3795</v>
      </c>
      <c r="B3796" s="1" t="s">
        <v>11096</v>
      </c>
      <c r="C3796" s="1" t="s">
        <v>11180</v>
      </c>
      <c r="D3796" s="1" t="str">
        <f t="shared" si="177"/>
        <v>Aalborg KommuneSlotspladsen 1</v>
      </c>
      <c r="E3796" s="1" t="s">
        <v>11181</v>
      </c>
      <c r="F3796" s="1" t="s">
        <v>11182</v>
      </c>
      <c r="G3796" s="1">
        <v>1918</v>
      </c>
      <c r="H3796" s="1" t="s">
        <v>15</v>
      </c>
      <c r="I3796" s="6" cm="1">
        <f t="array" ref="I3796">GetLatitude(D3796)</f>
        <v>570496370</v>
      </c>
      <c r="J3796" s="1" cm="1">
        <f t="array" ref="J3796">GetLongitude(D3796)</f>
        <v>99244170</v>
      </c>
      <c r="K3796" s="1">
        <f t="shared" si="178"/>
        <v>57.049636999999997</v>
      </c>
      <c r="L3796" s="1">
        <f t="shared" si="179"/>
        <v>9.924417</v>
      </c>
    </row>
    <row r="3797" spans="1:12" ht="16" x14ac:dyDescent="0.2">
      <c r="A3797" s="1">
        <v>3796</v>
      </c>
      <c r="B3797" s="1" t="s">
        <v>11096</v>
      </c>
      <c r="C3797" s="1" t="s">
        <v>11183</v>
      </c>
      <c r="D3797" s="1" t="str">
        <f t="shared" si="177"/>
        <v>Aalborg KommuneVesterbro 1-15</v>
      </c>
      <c r="E3797" s="1" t="s">
        <v>11184</v>
      </c>
      <c r="F3797" s="1" t="s">
        <v>11185</v>
      </c>
      <c r="G3797" s="1">
        <v>2014</v>
      </c>
      <c r="H3797" s="1" t="s">
        <v>11</v>
      </c>
      <c r="I3797" s="6" cm="1">
        <f t="array" ref="I3797">GetLatitude(D3797)</f>
        <v>570516042</v>
      </c>
      <c r="J3797" s="1" cm="1">
        <f t="array" ref="J3797">GetLongitude(D3797)</f>
        <v>99166536</v>
      </c>
      <c r="K3797" s="1">
        <f t="shared" si="178"/>
        <v>57.0516042</v>
      </c>
      <c r="L3797" s="1">
        <f t="shared" si="179"/>
        <v>9.9166536000000001</v>
      </c>
    </row>
    <row r="3798" spans="1:12" ht="16" x14ac:dyDescent="0.2">
      <c r="A3798" s="1">
        <v>3797</v>
      </c>
      <c r="B3798" s="1" t="s">
        <v>11096</v>
      </c>
      <c r="C3798" s="1" t="s">
        <v>11186</v>
      </c>
      <c r="D3798" s="1" t="str">
        <f t="shared" si="177"/>
        <v>Aalborg KommuneVår Skovvej 6</v>
      </c>
      <c r="E3798" s="1" t="s">
        <v>11187</v>
      </c>
      <c r="F3798" s="1" t="s">
        <v>11188</v>
      </c>
      <c r="G3798" s="1">
        <v>1964</v>
      </c>
      <c r="H3798" s="1" t="s">
        <v>11</v>
      </c>
      <c r="I3798" s="6" cm="1">
        <f t="array" ref="I3798">GetLatitude(D3798)</f>
        <v>570017196</v>
      </c>
      <c r="J3798" s="1" cm="1">
        <f t="array" ref="J3798">GetLongitude(D3798)</f>
        <v>94520349</v>
      </c>
      <c r="K3798" s="1">
        <f t="shared" si="178"/>
        <v>57.001719600000001</v>
      </c>
      <c r="L3798" s="1">
        <f t="shared" si="179"/>
        <v>9.4520348999999992</v>
      </c>
    </row>
    <row r="3799" spans="1:12" ht="16" x14ac:dyDescent="0.2">
      <c r="A3799" s="1">
        <v>3798</v>
      </c>
      <c r="B3799" s="1" t="s">
        <v>11096</v>
      </c>
      <c r="C3799" s="1" t="s">
        <v>11189</v>
      </c>
      <c r="D3799" s="1" t="str">
        <f t="shared" si="177"/>
        <v>Aalborg KommuneZincksvej 1, Godthåb</v>
      </c>
      <c r="E3799" s="1" t="s">
        <v>11190</v>
      </c>
      <c r="F3799" s="1" t="s">
        <v>11191</v>
      </c>
      <c r="G3799" s="1">
        <v>2005</v>
      </c>
      <c r="H3799" s="1" t="s">
        <v>15</v>
      </c>
      <c r="I3799" s="6" cm="1">
        <f t="array" ref="I3799">GetLatitude(D3799)</f>
        <v>569684130</v>
      </c>
      <c r="J3799" s="1" cm="1">
        <f t="array" ref="J3799">GetLongitude(D3799)</f>
        <v>98119443</v>
      </c>
      <c r="K3799" s="1">
        <f t="shared" si="178"/>
        <v>56.968412999999998</v>
      </c>
      <c r="L3799" s="1">
        <f t="shared" si="179"/>
        <v>9.8119443000000004</v>
      </c>
    </row>
    <row r="3800" spans="1:12" ht="16" x14ac:dyDescent="0.2">
      <c r="A3800" s="1">
        <v>3799</v>
      </c>
      <c r="B3800" s="1" t="s">
        <v>11096</v>
      </c>
      <c r="C3800" s="1" t="s">
        <v>11192</v>
      </c>
      <c r="D3800" s="1" t="str">
        <f t="shared" si="177"/>
        <v>Aalborg KommuneØsterågade 23 og Maren Turisgade 6</v>
      </c>
      <c r="E3800" s="1" t="s">
        <v>11193</v>
      </c>
      <c r="F3800" s="1" t="s">
        <v>11194</v>
      </c>
      <c r="G3800" s="1">
        <v>1918</v>
      </c>
      <c r="H3800" s="1" t="s">
        <v>11</v>
      </c>
      <c r="I3800" s="6" cm="1">
        <f t="array" ref="I3800">GetLatitude(D3800)</f>
        <v>570501860</v>
      </c>
      <c r="J3800" s="1" cm="1">
        <f t="array" ref="J3800">GetLongitude(D3800)</f>
        <v>99212771</v>
      </c>
      <c r="K3800" s="1">
        <f t="shared" si="178"/>
        <v>57.050185999999997</v>
      </c>
      <c r="L3800" s="1">
        <f t="shared" si="179"/>
        <v>9.9212770999999993</v>
      </c>
    </row>
    <row r="3801" spans="1:12" ht="16" x14ac:dyDescent="0.2">
      <c r="A3801" s="1">
        <v>3800</v>
      </c>
      <c r="B3801" s="1" t="s">
        <v>11096</v>
      </c>
      <c r="C3801" s="1" t="s">
        <v>11195</v>
      </c>
      <c r="D3801" s="1" t="str">
        <f t="shared" si="177"/>
        <v>Aalborg KommuneØsterågade 25</v>
      </c>
      <c r="E3801" s="1" t="s">
        <v>11196</v>
      </c>
      <c r="F3801" s="1" t="s">
        <v>11197</v>
      </c>
      <c r="G3801" s="1">
        <v>1918</v>
      </c>
      <c r="H3801" s="1" t="s">
        <v>11</v>
      </c>
      <c r="I3801" s="6" cm="1">
        <f t="array" ref="I3801">GetLatitude(D3801)</f>
        <v>570496683</v>
      </c>
      <c r="J3801" s="1" cm="1">
        <f t="array" ref="J3801">GetLongitude(D3801)</f>
        <v>99220121</v>
      </c>
      <c r="K3801" s="1">
        <f t="shared" si="178"/>
        <v>57.0496683</v>
      </c>
      <c r="L3801" s="1">
        <f t="shared" si="179"/>
        <v>9.9220120999999999</v>
      </c>
    </row>
    <row r="3802" spans="1:12" ht="16" x14ac:dyDescent="0.2">
      <c r="A3802" s="1">
        <v>3801</v>
      </c>
      <c r="B3802" s="1" t="s">
        <v>11096</v>
      </c>
      <c r="C3802" s="1" t="s">
        <v>11198</v>
      </c>
      <c r="D3802" s="1" t="str">
        <f t="shared" si="177"/>
        <v>Aalborg KommuneØsterågade 29</v>
      </c>
      <c r="E3802" s="1" t="s">
        <v>11199</v>
      </c>
      <c r="F3802" s="1" t="s">
        <v>11200</v>
      </c>
      <c r="G3802" s="1">
        <v>1988</v>
      </c>
      <c r="H3802" s="1" t="s">
        <v>15</v>
      </c>
      <c r="I3802" s="6" cm="1">
        <f t="array" ref="I3802">GetLatitude(D3802)</f>
        <v>570499283</v>
      </c>
      <c r="J3802" s="1" cm="1">
        <f t="array" ref="J3802">GetLongitude(D3802)</f>
        <v>99220958</v>
      </c>
      <c r="K3802" s="1">
        <f t="shared" si="178"/>
        <v>57.049928299999998</v>
      </c>
      <c r="L3802" s="1">
        <f t="shared" si="179"/>
        <v>9.9220957999999992</v>
      </c>
    </row>
    <row r="3803" spans="1:12" ht="16" x14ac:dyDescent="0.2">
      <c r="A3803" s="1">
        <v>3802</v>
      </c>
      <c r="B3803" s="1" t="s">
        <v>11096</v>
      </c>
      <c r="C3803" s="1" t="s">
        <v>11201</v>
      </c>
      <c r="D3803" s="1" t="str">
        <f t="shared" si="177"/>
        <v>Aalborg KommuneØsterågade 9</v>
      </c>
      <c r="E3803" s="1" t="s">
        <v>11202</v>
      </c>
      <c r="F3803" s="1" t="s">
        <v>11203</v>
      </c>
      <c r="G3803" s="1">
        <v>1918</v>
      </c>
      <c r="H3803" s="1" t="s">
        <v>11</v>
      </c>
      <c r="I3803" s="6" cm="1">
        <f t="array" ref="I3803">GetLatitude(D3803)</f>
        <v>570484763</v>
      </c>
      <c r="J3803" s="1" cm="1">
        <f t="array" ref="J3803">GetLongitude(D3803)</f>
        <v>99210254</v>
      </c>
      <c r="K3803" s="1">
        <f t="shared" si="178"/>
        <v>57.048476299999997</v>
      </c>
      <c r="L3803" s="1">
        <f t="shared" si="179"/>
        <v>9.9210253999999996</v>
      </c>
    </row>
    <row r="3804" spans="1:12" ht="16" x14ac:dyDescent="0.2">
      <c r="A3804" s="1">
        <v>3803</v>
      </c>
      <c r="B3804" s="1" t="s">
        <v>11204</v>
      </c>
      <c r="C3804" s="1" t="s">
        <v>11205</v>
      </c>
      <c r="D3804" s="1" t="str">
        <f t="shared" si="177"/>
        <v>Århus KommuneBadstuegade 1H</v>
      </c>
      <c r="E3804" s="1" t="s">
        <v>11206</v>
      </c>
      <c r="F3804" s="1" t="s">
        <v>11207</v>
      </c>
      <c r="G3804" s="1">
        <v>1970</v>
      </c>
      <c r="H3804" s="1" t="s">
        <v>11</v>
      </c>
      <c r="I3804" s="6" cm="1">
        <f t="array" ref="I3804">GetLatitude(D3804)</f>
        <v>561582146</v>
      </c>
      <c r="J3804" s="1" cm="1">
        <f t="array" ref="J3804">GetLongitude(D3804)</f>
        <v>102077590</v>
      </c>
      <c r="K3804" s="1">
        <f t="shared" si="178"/>
        <v>56.158214600000001</v>
      </c>
      <c r="L3804" s="1">
        <f t="shared" si="179"/>
        <v>10.207758999999999</v>
      </c>
    </row>
    <row r="3805" spans="1:12" ht="16" x14ac:dyDescent="0.2">
      <c r="A3805" s="1">
        <v>3804</v>
      </c>
      <c r="B3805" s="1" t="s">
        <v>11204</v>
      </c>
      <c r="C3805" s="1" t="s">
        <v>11208</v>
      </c>
      <c r="D3805" s="1" t="str">
        <f t="shared" si="177"/>
        <v>Århus KommuneBedervej 101, Vilhelmsborg Allé 1, Vilhelmsborgvej 4-12</v>
      </c>
      <c r="E3805" s="1" t="s">
        <v>11209</v>
      </c>
      <c r="F3805" s="1" t="s">
        <v>11210</v>
      </c>
      <c r="G3805" s="1">
        <v>1945</v>
      </c>
      <c r="H3805" s="1" t="s">
        <v>11</v>
      </c>
      <c r="I3805" s="6" cm="1">
        <f t="array" ref="I3805">GetLatitude(D3805)</f>
        <v>560668952</v>
      </c>
      <c r="J3805" s="1" cm="1">
        <f t="array" ref="J3805">GetLongitude(D3805)</f>
        <v>101878246</v>
      </c>
      <c r="K3805" s="1">
        <f t="shared" si="178"/>
        <v>56.066895199999998</v>
      </c>
      <c r="L3805" s="1">
        <f t="shared" si="179"/>
        <v>10.187824600000001</v>
      </c>
    </row>
    <row r="3806" spans="1:12" ht="16" x14ac:dyDescent="0.2">
      <c r="A3806" s="1">
        <v>3805</v>
      </c>
      <c r="B3806" s="1" t="s">
        <v>11204</v>
      </c>
      <c r="C3806" s="1" t="s">
        <v>2507</v>
      </c>
      <c r="D3806" s="1" t="str">
        <f t="shared" si="177"/>
        <v>Århus KommuneDomkirkepladsen 1</v>
      </c>
      <c r="E3806" s="1" t="s">
        <v>2508</v>
      </c>
      <c r="F3806" s="1" t="s">
        <v>11211</v>
      </c>
      <c r="G3806" s="1">
        <v>1996</v>
      </c>
      <c r="H3806" s="1" t="s">
        <v>701</v>
      </c>
      <c r="I3806" s="6" cm="1">
        <f t="array" ref="I3806">GetLatitude(D3806)</f>
        <v>561573133</v>
      </c>
      <c r="J3806" s="1" cm="1">
        <f t="array" ref="J3806">GetLongitude(D3806)</f>
        <v>102103251</v>
      </c>
      <c r="K3806" s="1">
        <f t="shared" si="178"/>
        <v>56.157313299999998</v>
      </c>
      <c r="L3806" s="1">
        <f t="shared" si="179"/>
        <v>10.2103251</v>
      </c>
    </row>
    <row r="3807" spans="1:12" ht="16" x14ac:dyDescent="0.2">
      <c r="A3807" s="1">
        <v>3806</v>
      </c>
      <c r="B3807" s="1" t="s">
        <v>11204</v>
      </c>
      <c r="C3807" s="1" t="s">
        <v>11212</v>
      </c>
      <c r="D3807" s="1" t="str">
        <f t="shared" si="177"/>
        <v>Århus KommuneDomkirkepladsen 5</v>
      </c>
      <c r="E3807" s="1" t="s">
        <v>11213</v>
      </c>
      <c r="F3807" s="1" t="s">
        <v>11214</v>
      </c>
      <c r="G3807" s="1">
        <v>1996</v>
      </c>
      <c r="H3807" s="1" t="s">
        <v>15</v>
      </c>
      <c r="I3807" s="6" cm="1">
        <f t="array" ref="I3807">GetLatitude(D3807)</f>
        <v>561572993</v>
      </c>
      <c r="J3807" s="1" cm="1">
        <f t="array" ref="J3807">GetLongitude(D3807)</f>
        <v>102114782</v>
      </c>
      <c r="K3807" s="1">
        <f t="shared" si="178"/>
        <v>56.157299299999998</v>
      </c>
      <c r="L3807" s="1">
        <f t="shared" si="179"/>
        <v>10.2114782</v>
      </c>
    </row>
    <row r="3808" spans="1:12" ht="16" x14ac:dyDescent="0.2">
      <c r="A3808" s="1">
        <v>3807</v>
      </c>
      <c r="B3808" s="1" t="s">
        <v>11204</v>
      </c>
      <c r="C3808" s="1" t="s">
        <v>11215</v>
      </c>
      <c r="D3808" s="1" t="str">
        <f t="shared" si="177"/>
        <v>Århus KommuneFenrisvej 31</v>
      </c>
      <c r="E3808" s="1" t="s">
        <v>11216</v>
      </c>
      <c r="F3808" s="1" t="s">
        <v>11217</v>
      </c>
      <c r="G3808" s="1">
        <v>2004</v>
      </c>
      <c r="H3808" s="1" t="s">
        <v>15</v>
      </c>
      <c r="I3808" s="6" cm="1">
        <f t="array" ref="I3808">GetLatitude(D3808)</f>
        <v>561612535</v>
      </c>
      <c r="J3808" s="1" cm="1">
        <f t="array" ref="J3808">GetLongitude(D3808)</f>
        <v>101706218</v>
      </c>
      <c r="K3808" s="1">
        <f t="shared" si="178"/>
        <v>56.161253500000001</v>
      </c>
      <c r="L3808" s="1">
        <f t="shared" si="179"/>
        <v>10.170621799999999</v>
      </c>
    </row>
    <row r="3809" spans="1:12" ht="16" x14ac:dyDescent="0.2">
      <c r="A3809" s="1">
        <v>3808</v>
      </c>
      <c r="B3809" s="1" t="s">
        <v>11204</v>
      </c>
      <c r="C3809" s="1" t="s">
        <v>11218</v>
      </c>
      <c r="D3809" s="1" t="str">
        <f t="shared" si="177"/>
        <v>Århus KommuneFredens Torv 3B</v>
      </c>
      <c r="E3809" s="1" t="s">
        <v>11219</v>
      </c>
      <c r="F3809" s="1" t="s">
        <v>11220</v>
      </c>
      <c r="G3809" s="1">
        <v>1970</v>
      </c>
      <c r="H3809" s="1" t="s">
        <v>7087</v>
      </c>
      <c r="I3809" s="6" cm="1">
        <f t="array" ref="I3809">GetLatitude(D3809)</f>
        <v>561538390</v>
      </c>
      <c r="J3809" s="1" cm="1">
        <f t="array" ref="J3809">GetLongitude(D3809)</f>
        <v>102099688</v>
      </c>
      <c r="K3809" s="1">
        <f t="shared" si="178"/>
        <v>56.153838999999998</v>
      </c>
      <c r="L3809" s="1">
        <f t="shared" si="179"/>
        <v>10.2099688</v>
      </c>
    </row>
    <row r="3810" spans="1:12" ht="16" x14ac:dyDescent="0.2">
      <c r="A3810" s="1">
        <v>3809</v>
      </c>
      <c r="B3810" s="1" t="s">
        <v>11204</v>
      </c>
      <c r="C3810" s="1" t="s">
        <v>11221</v>
      </c>
      <c r="D3810" s="1" t="str">
        <f t="shared" si="177"/>
        <v>Århus KommuneFrederiksgade 79</v>
      </c>
      <c r="E3810" s="1" t="s">
        <v>11222</v>
      </c>
      <c r="F3810" s="1" t="s">
        <v>11223</v>
      </c>
      <c r="G3810" s="1">
        <v>1970</v>
      </c>
      <c r="H3810" s="1" t="s">
        <v>11</v>
      </c>
      <c r="I3810" s="6" cm="1">
        <f t="array" ref="I3810">GetLatitude(D3810)</f>
        <v>561537276</v>
      </c>
      <c r="J3810" s="1" cm="1">
        <f t="array" ref="J3810">GetLongitude(D3810)</f>
        <v>102033685</v>
      </c>
      <c r="K3810" s="1">
        <f t="shared" si="178"/>
        <v>56.153727600000003</v>
      </c>
      <c r="L3810" s="1">
        <f t="shared" si="179"/>
        <v>10.2033685</v>
      </c>
    </row>
    <row r="3811" spans="1:12" ht="16" x14ac:dyDescent="0.2">
      <c r="A3811" s="1">
        <v>3810</v>
      </c>
      <c r="B3811" s="1" t="s">
        <v>11204</v>
      </c>
      <c r="C3811" s="1" t="s">
        <v>11224</v>
      </c>
      <c r="D3811" s="1" t="str">
        <f t="shared" si="177"/>
        <v>Århus KommuneGedingvej 2</v>
      </c>
      <c r="E3811" s="1" t="s">
        <v>11225</v>
      </c>
      <c r="F3811" s="1" t="s">
        <v>11226</v>
      </c>
      <c r="G3811" s="1">
        <v>2010</v>
      </c>
      <c r="H3811" s="1" t="s">
        <v>701</v>
      </c>
      <c r="I3811" s="6" cm="1">
        <f t="array" ref="I3811">GetLatitude(D3811)</f>
        <v>561934410</v>
      </c>
      <c r="J3811" s="1" cm="1">
        <f t="array" ref="J3811">GetLongitude(D3811)</f>
        <v>101113511</v>
      </c>
      <c r="K3811" s="1">
        <f t="shared" si="178"/>
        <v>56.193441</v>
      </c>
      <c r="L3811" s="1">
        <f t="shared" si="179"/>
        <v>10.1113511</v>
      </c>
    </row>
    <row r="3812" spans="1:12" ht="16" x14ac:dyDescent="0.2">
      <c r="A3812" s="1">
        <v>3811</v>
      </c>
      <c r="B3812" s="1" t="s">
        <v>11204</v>
      </c>
      <c r="C3812" s="1" t="s">
        <v>11227</v>
      </c>
      <c r="D3812" s="1" t="str">
        <f t="shared" si="177"/>
        <v>Århus KommuneHack Kampmanns Plads 10 (tidl Nordhavnsgade 4)</v>
      </c>
      <c r="E3812" s="1" t="s">
        <v>11228</v>
      </c>
      <c r="F3812" s="1" t="s">
        <v>11229</v>
      </c>
      <c r="G3812" s="1">
        <v>2001</v>
      </c>
      <c r="H3812" s="1" t="s">
        <v>15</v>
      </c>
      <c r="I3812" s="6" cm="1">
        <f t="array" ref="I3812">GetLatitude(D3812)</f>
        <v>561548968</v>
      </c>
      <c r="J3812" s="1" cm="1">
        <f t="array" ref="J3812">GetLongitude(D3812)</f>
        <v>102133447</v>
      </c>
      <c r="K3812" s="1">
        <f t="shared" si="178"/>
        <v>56.154896800000003</v>
      </c>
      <c r="L3812" s="1">
        <f t="shared" si="179"/>
        <v>10.2133447</v>
      </c>
    </row>
    <row r="3813" spans="1:12" ht="16" x14ac:dyDescent="0.2">
      <c r="A3813" s="1">
        <v>3812</v>
      </c>
      <c r="B3813" s="1" t="s">
        <v>11204</v>
      </c>
      <c r="C3813" s="1" t="s">
        <v>11230</v>
      </c>
      <c r="D3813" s="1" t="str">
        <f t="shared" si="177"/>
        <v>Århus KommuneHack Kampmanns Plads 1-3 (tidl Havnen 165)</v>
      </c>
      <c r="E3813" s="1" t="s">
        <v>1674</v>
      </c>
      <c r="F3813" s="1" t="s">
        <v>11231</v>
      </c>
      <c r="G3813" s="1">
        <v>1985</v>
      </c>
      <c r="H3813" s="1" t="s">
        <v>15</v>
      </c>
      <c r="I3813" s="6" cm="1">
        <f t="array" ref="I3813">GetLatitude(D3813)</f>
        <v>561552088</v>
      </c>
      <c r="J3813" s="1" cm="1">
        <f t="array" ref="J3813">GetLongitude(D3813)</f>
        <v>102128649</v>
      </c>
      <c r="K3813" s="1">
        <f t="shared" si="178"/>
        <v>56.155208799999997</v>
      </c>
      <c r="L3813" s="1">
        <f t="shared" si="179"/>
        <v>10.2128649</v>
      </c>
    </row>
    <row r="3814" spans="1:12" ht="16" x14ac:dyDescent="0.2">
      <c r="A3814" s="1">
        <v>3813</v>
      </c>
      <c r="B3814" s="1" t="s">
        <v>11204</v>
      </c>
      <c r="C3814" s="1" t="s">
        <v>11232</v>
      </c>
      <c r="D3814" s="1" t="str">
        <f t="shared" si="177"/>
        <v>Århus KommuneHans Hartvig Seedorffs Stræde 12</v>
      </c>
      <c r="E3814" s="1" t="s">
        <v>11233</v>
      </c>
      <c r="F3814" s="1" t="s">
        <v>11234</v>
      </c>
      <c r="G3814" s="1">
        <v>2009</v>
      </c>
      <c r="H3814" s="1" t="s">
        <v>15</v>
      </c>
      <c r="I3814" s="6" cm="1">
        <f t="array" ref="I3814">GetLatitude(D3814)</f>
        <v>561536550</v>
      </c>
      <c r="J3814" s="1" cm="1">
        <f t="array" ref="J3814">GetLongitude(D3814)</f>
        <v>102042402</v>
      </c>
      <c r="K3814" s="1">
        <f t="shared" si="178"/>
        <v>56.153655000000001</v>
      </c>
      <c r="L3814" s="1">
        <f t="shared" si="179"/>
        <v>10.204240199999999</v>
      </c>
    </row>
    <row r="3815" spans="1:12" ht="16" x14ac:dyDescent="0.2">
      <c r="A3815" s="1">
        <v>3814</v>
      </c>
      <c r="B3815" s="1" t="s">
        <v>11204</v>
      </c>
      <c r="C3815" s="1" t="s">
        <v>11235</v>
      </c>
      <c r="D3815" s="1" t="str">
        <f t="shared" si="177"/>
        <v>Århus KommuneHarlev Kirkevej 11</v>
      </c>
      <c r="E3815" s="1" t="s">
        <v>11236</v>
      </c>
      <c r="F3815" s="1" t="s">
        <v>11237</v>
      </c>
      <c r="G3815" s="1">
        <v>1950</v>
      </c>
      <c r="H3815" s="1" t="s">
        <v>15</v>
      </c>
      <c r="I3815" s="6" cm="1">
        <f t="array" ref="I3815">GetLatitude(D3815)</f>
        <v>561325150</v>
      </c>
      <c r="J3815" s="1" cm="1">
        <f t="array" ref="J3815">GetLongitude(D3815)</f>
        <v>100107240</v>
      </c>
      <c r="K3815" s="1">
        <f t="shared" si="178"/>
        <v>56.132514999999998</v>
      </c>
      <c r="L3815" s="1">
        <f t="shared" si="179"/>
        <v>10.010724</v>
      </c>
    </row>
    <row r="3816" spans="1:12" ht="16" x14ac:dyDescent="0.2">
      <c r="A3816" s="1">
        <v>3815</v>
      </c>
      <c r="B3816" s="1" t="s">
        <v>11204</v>
      </c>
      <c r="C3816" s="1" t="s">
        <v>11238</v>
      </c>
      <c r="D3816" s="1" t="str">
        <f t="shared" si="177"/>
        <v>Århus KommuneHøjen 13, Brabrand</v>
      </c>
      <c r="E3816" s="1" t="s">
        <v>11239</v>
      </c>
      <c r="F3816" s="1" t="s">
        <v>11240</v>
      </c>
      <c r="G3816" s="1">
        <v>2008</v>
      </c>
      <c r="H3816" s="1" t="s">
        <v>15</v>
      </c>
      <c r="I3816" s="6" cm="1">
        <f t="array" ref="I3816">GetLatitude(D3816)</f>
        <v>561572580</v>
      </c>
      <c r="J3816" s="1" cm="1">
        <f t="array" ref="J3816">GetLongitude(D3816)</f>
        <v>101114050</v>
      </c>
      <c r="K3816" s="1">
        <f t="shared" si="178"/>
        <v>56.157257999999999</v>
      </c>
      <c r="L3816" s="1">
        <f t="shared" si="179"/>
        <v>10.111405</v>
      </c>
    </row>
    <row r="3817" spans="1:12" ht="16" x14ac:dyDescent="0.2">
      <c r="A3817" s="1">
        <v>3816</v>
      </c>
      <c r="B3817" s="1" t="s">
        <v>11204</v>
      </c>
      <c r="C3817" s="1" t="s">
        <v>11241</v>
      </c>
      <c r="D3817" s="1" t="str">
        <f t="shared" si="177"/>
        <v>Århus KommuneJægergårdsgade  97</v>
      </c>
      <c r="E3817" s="1" t="s">
        <v>11242</v>
      </c>
      <c r="F3817" s="1" t="s">
        <v>11243</v>
      </c>
      <c r="G3817" s="1">
        <v>1996</v>
      </c>
      <c r="H3817" s="1" t="s">
        <v>15</v>
      </c>
      <c r="I3817" s="6" cm="1">
        <f t="array" ref="I3817">GetLatitude(D3817)</f>
        <v>561486469</v>
      </c>
      <c r="J3817" s="1" cm="1">
        <f t="array" ref="J3817">GetLongitude(D3817)</f>
        <v>102056337</v>
      </c>
      <c r="K3817" s="1">
        <f t="shared" si="178"/>
        <v>56.148646900000003</v>
      </c>
      <c r="L3817" s="1">
        <f t="shared" si="179"/>
        <v>10.2056337</v>
      </c>
    </row>
    <row r="3818" spans="1:12" ht="16" x14ac:dyDescent="0.2">
      <c r="A3818" s="1">
        <v>3817</v>
      </c>
      <c r="B3818" s="1" t="s">
        <v>11204</v>
      </c>
      <c r="C3818" s="1" t="s">
        <v>11244</v>
      </c>
      <c r="D3818" s="1" t="str">
        <f t="shared" si="177"/>
        <v>Århus KommuneKannikegade 1-3</v>
      </c>
      <c r="E3818" s="1" t="s">
        <v>11245</v>
      </c>
      <c r="F3818" s="1" t="s">
        <v>11246</v>
      </c>
      <c r="G3818" s="1">
        <v>1981</v>
      </c>
      <c r="H3818" s="1" t="s">
        <v>11</v>
      </c>
      <c r="I3818" s="6" cm="1">
        <f t="array" ref="I3818">GetLatitude(D3818)</f>
        <v>561559280</v>
      </c>
      <c r="J3818" s="1" cm="1">
        <f t="array" ref="J3818">GetLongitude(D3818)</f>
        <v>102105696</v>
      </c>
      <c r="K3818" s="1">
        <f t="shared" si="178"/>
        <v>56.155928000000003</v>
      </c>
      <c r="L3818" s="1">
        <f t="shared" si="179"/>
        <v>10.210569599999999</v>
      </c>
    </row>
    <row r="3819" spans="1:12" ht="16" x14ac:dyDescent="0.2">
      <c r="A3819" s="1">
        <v>3818</v>
      </c>
      <c r="B3819" s="1" t="s">
        <v>11204</v>
      </c>
      <c r="C3819" s="1" t="s">
        <v>11247</v>
      </c>
      <c r="D3819" s="1" t="str">
        <f t="shared" si="177"/>
        <v>Århus KommuneKlostergade 56</v>
      </c>
      <c r="E3819" s="1" t="s">
        <v>11248</v>
      </c>
      <c r="F3819" s="1" t="s">
        <v>11249</v>
      </c>
      <c r="G3819" s="1">
        <v>1970</v>
      </c>
      <c r="H3819" s="1" t="s">
        <v>11</v>
      </c>
      <c r="I3819" s="6" cm="1">
        <f t="array" ref="I3819">GetLatitude(D3819)</f>
        <v>561589412</v>
      </c>
      <c r="J3819" s="1" cm="1">
        <f t="array" ref="J3819">GetLongitude(D3819)</f>
        <v>102053331</v>
      </c>
      <c r="K3819" s="1">
        <f t="shared" si="178"/>
        <v>56.158941200000001</v>
      </c>
      <c r="L3819" s="1">
        <f t="shared" si="179"/>
        <v>10.205333100000001</v>
      </c>
    </row>
    <row r="3820" spans="1:12" ht="16" x14ac:dyDescent="0.2">
      <c r="A3820" s="1">
        <v>3819</v>
      </c>
      <c r="B3820" s="1" t="s">
        <v>11204</v>
      </c>
      <c r="C3820" s="1" t="s">
        <v>11250</v>
      </c>
      <c r="D3820" s="1" t="str">
        <f t="shared" si="177"/>
        <v>Århus KommuneKlostergade 58</v>
      </c>
      <c r="E3820" s="1" t="s">
        <v>11251</v>
      </c>
      <c r="F3820" s="1" t="s">
        <v>11252</v>
      </c>
      <c r="G3820" s="1">
        <v>1970</v>
      </c>
      <c r="H3820" s="1" t="s">
        <v>11</v>
      </c>
      <c r="I3820" s="6" cm="1">
        <f t="array" ref="I3820">GetLatitude(D3820)</f>
        <v>561589775</v>
      </c>
      <c r="J3820" s="1" cm="1">
        <f t="array" ref="J3820">GetLongitude(D3820)</f>
        <v>102048972</v>
      </c>
      <c r="K3820" s="1">
        <f t="shared" si="178"/>
        <v>56.158977499999999</v>
      </c>
      <c r="L3820" s="1">
        <f t="shared" si="179"/>
        <v>10.2048972</v>
      </c>
    </row>
    <row r="3821" spans="1:12" ht="16" x14ac:dyDescent="0.2">
      <c r="A3821" s="1">
        <v>3820</v>
      </c>
      <c r="B3821" s="1" t="s">
        <v>11204</v>
      </c>
      <c r="C3821" s="1" t="s">
        <v>11253</v>
      </c>
      <c r="D3821" s="1" t="str">
        <f t="shared" si="177"/>
        <v>Århus KommuneKlostergade 59</v>
      </c>
      <c r="E3821" s="1" t="s">
        <v>11254</v>
      </c>
      <c r="F3821" s="1" t="s">
        <v>11255</v>
      </c>
      <c r="G3821" s="1">
        <v>1918</v>
      </c>
      <c r="H3821" s="1" t="s">
        <v>11</v>
      </c>
      <c r="I3821" s="6" cm="1">
        <f t="array" ref="I3821">GetLatitude(D3821)</f>
        <v>561584210</v>
      </c>
      <c r="J3821" s="1" cm="1">
        <f t="array" ref="J3821">GetLongitude(D3821)</f>
        <v>102050330</v>
      </c>
      <c r="K3821" s="1">
        <f t="shared" si="178"/>
        <v>56.158420999999997</v>
      </c>
      <c r="L3821" s="1">
        <f t="shared" si="179"/>
        <v>10.205033</v>
      </c>
    </row>
    <row r="3822" spans="1:12" ht="16" x14ac:dyDescent="0.2">
      <c r="A3822" s="1">
        <v>3821</v>
      </c>
      <c r="B3822" s="1" t="s">
        <v>11204</v>
      </c>
      <c r="C3822" s="1" t="s">
        <v>11256</v>
      </c>
      <c r="D3822" s="1" t="str">
        <f t="shared" si="177"/>
        <v>Århus KommuneKærbyvej 9, 11 og 13</v>
      </c>
      <c r="E3822" s="1" t="s">
        <v>11257</v>
      </c>
      <c r="F3822" s="1" t="s">
        <v>11258</v>
      </c>
      <c r="G3822" s="1">
        <v>1990</v>
      </c>
      <c r="H3822" s="1" t="s">
        <v>15</v>
      </c>
      <c r="I3822" s="6" cm="1">
        <f t="array" ref="I3822">GetLatitude(D3822)</f>
        <v>562111290</v>
      </c>
      <c r="J3822" s="1" cm="1">
        <f t="array" ref="J3822">GetLongitude(D3822)</f>
        <v>101295665</v>
      </c>
      <c r="K3822" s="1">
        <f t="shared" si="178"/>
        <v>56.211129</v>
      </c>
      <c r="L3822" s="1">
        <f t="shared" si="179"/>
        <v>10.129566499999999</v>
      </c>
    </row>
    <row r="3823" spans="1:12" ht="16" x14ac:dyDescent="0.2">
      <c r="A3823" s="1">
        <v>3822</v>
      </c>
      <c r="B3823" s="1" t="s">
        <v>11204</v>
      </c>
      <c r="C3823" s="1" t="s">
        <v>11259</v>
      </c>
      <c r="D3823" s="1" t="str">
        <f t="shared" si="177"/>
        <v>Århus KommuneLille Torv 6</v>
      </c>
      <c r="E3823" s="1" t="s">
        <v>11260</v>
      </c>
      <c r="F3823" s="1" t="s">
        <v>11261</v>
      </c>
      <c r="G3823" s="1">
        <v>1996</v>
      </c>
      <c r="H3823" s="1" t="s">
        <v>11</v>
      </c>
      <c r="I3823" s="6" cm="1">
        <f t="array" ref="I3823">GetLatitude(D3823)</f>
        <v>561577933</v>
      </c>
      <c r="J3823" s="1" cm="1">
        <f t="array" ref="J3823">GetLongitude(D3823)</f>
        <v>102069437</v>
      </c>
      <c r="K3823" s="1">
        <f t="shared" si="178"/>
        <v>56.157793300000002</v>
      </c>
      <c r="L3823" s="1">
        <f t="shared" si="179"/>
        <v>10.2069437</v>
      </c>
    </row>
    <row r="3824" spans="1:12" ht="16" x14ac:dyDescent="0.2">
      <c r="A3824" s="1">
        <v>3823</v>
      </c>
      <c r="B3824" s="1" t="s">
        <v>11204</v>
      </c>
      <c r="C3824" s="1" t="s">
        <v>11262</v>
      </c>
      <c r="D3824" s="1" t="str">
        <f t="shared" si="177"/>
        <v>Århus KommuneLyngbygårdsvej 25</v>
      </c>
      <c r="E3824" s="1" t="s">
        <v>11263</v>
      </c>
      <c r="F3824" s="1" t="s">
        <v>11264</v>
      </c>
      <c r="G3824" s="1">
        <v>1918</v>
      </c>
      <c r="H3824" s="1" t="s">
        <v>15</v>
      </c>
      <c r="I3824" s="6" cm="1">
        <f t="array" ref="I3824">GetLatitude(D3824)</f>
        <v>561699250</v>
      </c>
      <c r="J3824" s="1" cm="1">
        <f t="array" ref="J3824">GetLongitude(D3824)</f>
        <v>100279095</v>
      </c>
      <c r="K3824" s="1">
        <f t="shared" si="178"/>
        <v>56.169924999999999</v>
      </c>
      <c r="L3824" s="1">
        <f t="shared" si="179"/>
        <v>10.0279095</v>
      </c>
    </row>
    <row r="3825" spans="1:12" ht="16" x14ac:dyDescent="0.2">
      <c r="A3825" s="1">
        <v>3824</v>
      </c>
      <c r="B3825" s="1" t="s">
        <v>11204</v>
      </c>
      <c r="C3825" s="1" t="s">
        <v>11265</v>
      </c>
      <c r="D3825" s="1" t="str">
        <f t="shared" si="177"/>
        <v>Århus KommuneMejlgade 19</v>
      </c>
      <c r="E3825" s="1" t="s">
        <v>11266</v>
      </c>
      <c r="F3825" s="1" t="s">
        <v>11267</v>
      </c>
      <c r="G3825" s="1">
        <v>1919</v>
      </c>
      <c r="H3825" s="1" t="s">
        <v>11268</v>
      </c>
      <c r="I3825" s="6" cm="1">
        <f t="array" ref="I3825">GetLatitude(D3825)</f>
        <v>561583590</v>
      </c>
      <c r="J3825" s="1" cm="1">
        <f t="array" ref="J3825">GetLongitude(D3825)</f>
        <v>102117932</v>
      </c>
      <c r="K3825" s="1">
        <f t="shared" si="178"/>
        <v>56.158358999999997</v>
      </c>
      <c r="L3825" s="1">
        <f t="shared" si="179"/>
        <v>10.211793200000001</v>
      </c>
    </row>
    <row r="3826" spans="1:12" ht="16" x14ac:dyDescent="0.2">
      <c r="A3826" s="1">
        <v>3825</v>
      </c>
      <c r="B3826" s="1" t="s">
        <v>11204</v>
      </c>
      <c r="C3826" s="1" t="s">
        <v>11269</v>
      </c>
      <c r="D3826" s="1" t="str">
        <f t="shared" si="177"/>
        <v>Århus KommuneMejlgade 25</v>
      </c>
      <c r="E3826" s="1" t="s">
        <v>11270</v>
      </c>
      <c r="F3826" s="1" t="s">
        <v>1276</v>
      </c>
      <c r="G3826" s="1">
        <v>1970</v>
      </c>
      <c r="H3826" s="1" t="s">
        <v>11</v>
      </c>
      <c r="I3826" s="6" cm="1">
        <f t="array" ref="I3826">GetLatitude(D3826)</f>
        <v>561585673</v>
      </c>
      <c r="J3826" s="1" cm="1">
        <f t="array" ref="J3826">GetLongitude(D3826)</f>
        <v>102119386</v>
      </c>
      <c r="K3826" s="1">
        <f t="shared" si="178"/>
        <v>56.158567300000001</v>
      </c>
      <c r="L3826" s="1">
        <f t="shared" si="179"/>
        <v>10.2119386</v>
      </c>
    </row>
    <row r="3827" spans="1:12" ht="16" x14ac:dyDescent="0.2">
      <c r="A3827" s="1">
        <v>3826</v>
      </c>
      <c r="B3827" s="1" t="s">
        <v>11204</v>
      </c>
      <c r="C3827" s="1" t="s">
        <v>11271</v>
      </c>
      <c r="D3827" s="1" t="str">
        <f t="shared" si="177"/>
        <v>Århus KommuneMejlgade 43</v>
      </c>
      <c r="E3827" s="1" t="s">
        <v>11272</v>
      </c>
      <c r="F3827" s="1" t="s">
        <v>11273</v>
      </c>
      <c r="G3827" s="1">
        <v>1970</v>
      </c>
      <c r="H3827" s="1" t="s">
        <v>11</v>
      </c>
      <c r="I3827" s="6" cm="1">
        <f t="array" ref="I3827">GetLatitude(D3827)</f>
        <v>561593723</v>
      </c>
      <c r="J3827" s="1" cm="1">
        <f t="array" ref="J3827">GetLongitude(D3827)</f>
        <v>102123009</v>
      </c>
      <c r="K3827" s="1">
        <f t="shared" si="178"/>
        <v>56.159372300000001</v>
      </c>
      <c r="L3827" s="1">
        <f t="shared" si="179"/>
        <v>10.212300900000001</v>
      </c>
    </row>
    <row r="3828" spans="1:12" ht="16" x14ac:dyDescent="0.2">
      <c r="A3828" s="1">
        <v>3827</v>
      </c>
      <c r="B3828" s="1" t="s">
        <v>11204</v>
      </c>
      <c r="C3828" s="1" t="s">
        <v>11274</v>
      </c>
      <c r="D3828" s="1" t="str">
        <f t="shared" si="177"/>
        <v>Århus KommuneMejlgade 45</v>
      </c>
      <c r="E3828" s="1" t="s">
        <v>11275</v>
      </c>
      <c r="F3828" s="1" t="s">
        <v>11276</v>
      </c>
      <c r="G3828" s="1">
        <v>1970</v>
      </c>
      <c r="H3828" s="1" t="s">
        <v>391</v>
      </c>
      <c r="I3828" s="6" cm="1">
        <f t="array" ref="I3828">GetLatitude(D3828)</f>
        <v>561597136</v>
      </c>
      <c r="J3828" s="1" cm="1">
        <f t="array" ref="J3828">GetLongitude(D3828)</f>
        <v>102119349</v>
      </c>
      <c r="K3828" s="1">
        <f t="shared" si="178"/>
        <v>56.159713600000003</v>
      </c>
      <c r="L3828" s="1">
        <f t="shared" si="179"/>
        <v>10.211934899999999</v>
      </c>
    </row>
    <row r="3829" spans="1:12" ht="16" x14ac:dyDescent="0.2">
      <c r="A3829" s="1">
        <v>3828</v>
      </c>
      <c r="B3829" s="1" t="s">
        <v>11204</v>
      </c>
      <c r="C3829" s="1" t="s">
        <v>11277</v>
      </c>
      <c r="D3829" s="1" t="str">
        <f t="shared" si="177"/>
        <v>Århus KommuneMejlgade 48</v>
      </c>
      <c r="E3829" s="1" t="s">
        <v>11278</v>
      </c>
      <c r="F3829" s="1" t="s">
        <v>1276</v>
      </c>
      <c r="G3829" s="1">
        <v>1970</v>
      </c>
      <c r="H3829" s="1" t="s">
        <v>11</v>
      </c>
      <c r="I3829" s="6" cm="1">
        <f t="array" ref="I3829">GetLatitude(D3829)</f>
        <v>561596362</v>
      </c>
      <c r="J3829" s="1" cm="1">
        <f t="array" ref="J3829">GetLongitude(D3829)</f>
        <v>102127969</v>
      </c>
      <c r="K3829" s="1">
        <f t="shared" si="178"/>
        <v>56.159636200000001</v>
      </c>
      <c r="L3829" s="1">
        <f t="shared" si="179"/>
        <v>10.212796900000001</v>
      </c>
    </row>
    <row r="3830" spans="1:12" ht="16" x14ac:dyDescent="0.2">
      <c r="A3830" s="1">
        <v>3829</v>
      </c>
      <c r="B3830" s="1" t="s">
        <v>11204</v>
      </c>
      <c r="C3830" s="1" t="s">
        <v>11279</v>
      </c>
      <c r="D3830" s="1" t="str">
        <f t="shared" si="177"/>
        <v>Århus KommuneMejlgade 52-54</v>
      </c>
      <c r="E3830" s="1" t="s">
        <v>11280</v>
      </c>
      <c r="F3830" s="1" t="s">
        <v>1276</v>
      </c>
      <c r="G3830" s="1">
        <v>1970</v>
      </c>
      <c r="H3830" s="1" t="s">
        <v>11</v>
      </c>
      <c r="I3830" s="6" cm="1">
        <f t="array" ref="I3830">GetLatitude(D3830)</f>
        <v>561600322</v>
      </c>
      <c r="J3830" s="1" cm="1">
        <f t="array" ref="J3830">GetLongitude(D3830)</f>
        <v>102131650</v>
      </c>
      <c r="K3830" s="1">
        <f t="shared" si="178"/>
        <v>56.160032200000003</v>
      </c>
      <c r="L3830" s="1">
        <f t="shared" si="179"/>
        <v>10.213165</v>
      </c>
    </row>
    <row r="3831" spans="1:12" ht="16" x14ac:dyDescent="0.2">
      <c r="A3831" s="1">
        <v>3830</v>
      </c>
      <c r="B3831" s="1" t="s">
        <v>11204</v>
      </c>
      <c r="C3831" s="1" t="s">
        <v>11281</v>
      </c>
      <c r="D3831" s="1" t="str">
        <f t="shared" si="177"/>
        <v>Århus KommuneMejlgade 7</v>
      </c>
      <c r="E3831" s="1" t="s">
        <v>11282</v>
      </c>
      <c r="F3831" s="1" t="s">
        <v>11283</v>
      </c>
      <c r="G3831" s="1">
        <v>1992</v>
      </c>
      <c r="H3831" s="1" t="s">
        <v>11</v>
      </c>
      <c r="I3831" s="6" cm="1">
        <f t="array" ref="I3831">GetLatitude(D3831)</f>
        <v>561578363</v>
      </c>
      <c r="J3831" s="1" cm="1">
        <f t="array" ref="J3831">GetLongitude(D3831)</f>
        <v>102117182</v>
      </c>
      <c r="K3831" s="1">
        <f t="shared" si="178"/>
        <v>56.1578363</v>
      </c>
      <c r="L3831" s="1">
        <f t="shared" si="179"/>
        <v>10.2117182</v>
      </c>
    </row>
    <row r="3832" spans="1:12" ht="16" x14ac:dyDescent="0.2">
      <c r="A3832" s="1">
        <v>3831</v>
      </c>
      <c r="B3832" s="1" t="s">
        <v>11204</v>
      </c>
      <c r="C3832" s="1" t="s">
        <v>11284</v>
      </c>
      <c r="D3832" s="1" t="str">
        <f t="shared" si="177"/>
        <v>Århus KommuneMindegade 8</v>
      </c>
      <c r="E3832" s="1" t="s">
        <v>11285</v>
      </c>
      <c r="F3832" s="1" t="s">
        <v>11286</v>
      </c>
      <c r="G3832" s="1">
        <v>1970</v>
      </c>
      <c r="H3832" s="1" t="s">
        <v>11</v>
      </c>
      <c r="I3832" s="6" cm="1">
        <f t="array" ref="I3832">GetLatitude(D3832)</f>
        <v>561537081</v>
      </c>
      <c r="J3832" s="1" cm="1">
        <f t="array" ref="J3832">GetLongitude(D3832)</f>
        <v>102110107</v>
      </c>
      <c r="K3832" s="1">
        <f t="shared" si="178"/>
        <v>56.153708100000003</v>
      </c>
      <c r="L3832" s="1">
        <f t="shared" si="179"/>
        <v>10.211010699999999</v>
      </c>
    </row>
    <row r="3833" spans="1:12" ht="16" x14ac:dyDescent="0.2">
      <c r="A3833" s="1">
        <v>3832</v>
      </c>
      <c r="B3833" s="1" t="s">
        <v>11204</v>
      </c>
      <c r="C3833" s="1" t="s">
        <v>11287</v>
      </c>
      <c r="D3833" s="1" t="str">
        <f t="shared" si="177"/>
        <v>Århus KommuneMoesgård Allé 18-20</v>
      </c>
      <c r="E3833" s="1" t="s">
        <v>11288</v>
      </c>
      <c r="F3833" s="1" t="s">
        <v>11289</v>
      </c>
      <c r="G3833" s="1">
        <v>1918</v>
      </c>
      <c r="H3833" s="1" t="s">
        <v>391</v>
      </c>
      <c r="I3833" s="6" cm="1">
        <f t="array" ref="I3833">GetLatitude(D3833)</f>
        <v>560853743</v>
      </c>
      <c r="J3833" s="1" cm="1">
        <f t="array" ref="J3833">GetLongitude(D3833)</f>
        <v>102199809</v>
      </c>
      <c r="K3833" s="1">
        <f t="shared" si="178"/>
        <v>56.085374299999998</v>
      </c>
      <c r="L3833" s="1">
        <f t="shared" si="179"/>
        <v>10.219980899999999</v>
      </c>
    </row>
    <row r="3834" spans="1:12" ht="16" x14ac:dyDescent="0.2">
      <c r="A3834" s="1">
        <v>3833</v>
      </c>
      <c r="B3834" s="1" t="s">
        <v>11204</v>
      </c>
      <c r="C3834" s="1" t="s">
        <v>11290</v>
      </c>
      <c r="D3834" s="1" t="str">
        <f t="shared" si="177"/>
        <v>Århus KommuneNørreport 20</v>
      </c>
      <c r="E3834" s="1" t="s">
        <v>11291</v>
      </c>
      <c r="F3834" s="1" t="s">
        <v>11292</v>
      </c>
      <c r="G3834" s="1">
        <v>1919</v>
      </c>
      <c r="H3834" s="1" t="s">
        <v>15</v>
      </c>
      <c r="I3834" s="6" cm="1">
        <f t="array" ref="I3834">GetLatitude(D3834)</f>
        <v>561612505</v>
      </c>
      <c r="J3834" s="1" cm="1">
        <f t="array" ref="J3834">GetLongitude(D3834)</f>
        <v>102125335</v>
      </c>
      <c r="K3834" s="1">
        <f t="shared" si="178"/>
        <v>56.161250500000001</v>
      </c>
      <c r="L3834" s="1">
        <f t="shared" si="179"/>
        <v>10.212533499999999</v>
      </c>
    </row>
    <row r="3835" spans="1:12" ht="16" x14ac:dyDescent="0.2">
      <c r="A3835" s="1">
        <v>3834</v>
      </c>
      <c r="B3835" s="1" t="s">
        <v>11204</v>
      </c>
      <c r="C3835" s="1" t="s">
        <v>11293</v>
      </c>
      <c r="D3835" s="1" t="str">
        <f t="shared" si="177"/>
        <v>Århus KommuneObservatorievejen 1 og 3</v>
      </c>
      <c r="E3835" s="1" t="s">
        <v>11294</v>
      </c>
      <c r="F3835" s="1" t="s">
        <v>11295</v>
      </c>
      <c r="G3835" s="1">
        <v>2005</v>
      </c>
      <c r="H3835" s="1" t="s">
        <v>15</v>
      </c>
      <c r="I3835" s="6" cm="1">
        <f t="array" ref="I3835">GetLatitude(D3835)</f>
        <v>561276894</v>
      </c>
      <c r="J3835" s="1" cm="1">
        <f t="array" ref="J3835">GetLongitude(D3835)</f>
        <v>101932441</v>
      </c>
      <c r="K3835" s="1">
        <f t="shared" si="178"/>
        <v>56.127689400000001</v>
      </c>
      <c r="L3835" s="1">
        <f t="shared" si="179"/>
        <v>10.193244099999999</v>
      </c>
    </row>
    <row r="3836" spans="1:12" ht="16" x14ac:dyDescent="0.2">
      <c r="A3836" s="1">
        <v>3835</v>
      </c>
      <c r="B3836" s="1" t="s">
        <v>11204</v>
      </c>
      <c r="C3836" s="1" t="s">
        <v>11296</v>
      </c>
      <c r="D3836" s="1" t="str">
        <f t="shared" si="177"/>
        <v>Århus KommuneParadisgade 5-7</v>
      </c>
      <c r="E3836" s="1" t="s">
        <v>11297</v>
      </c>
      <c r="F3836" s="1" t="s">
        <v>11298</v>
      </c>
      <c r="G3836" s="1">
        <v>1980</v>
      </c>
      <c r="H3836" s="1" t="s">
        <v>11</v>
      </c>
      <c r="I3836" s="6" cm="1">
        <f t="array" ref="I3836">GetLatitude(D3836)</f>
        <v>561600317</v>
      </c>
      <c r="J3836" s="1" cm="1">
        <f t="array" ref="J3836">GetLongitude(D3836)</f>
        <v>102097323</v>
      </c>
      <c r="K3836" s="1">
        <f t="shared" si="178"/>
        <v>56.160031699999998</v>
      </c>
      <c r="L3836" s="1">
        <f t="shared" si="179"/>
        <v>10.209732300000001</v>
      </c>
    </row>
    <row r="3837" spans="1:12" ht="16" x14ac:dyDescent="0.2">
      <c r="A3837" s="1">
        <v>3836</v>
      </c>
      <c r="B3837" s="1" t="s">
        <v>11204</v>
      </c>
      <c r="C3837" s="1" t="s">
        <v>11299</v>
      </c>
      <c r="D3837" s="1" t="str">
        <f t="shared" si="177"/>
        <v>Århus KommuneRosensgade 38 A-B</v>
      </c>
      <c r="E3837" s="1" t="s">
        <v>11300</v>
      </c>
      <c r="F3837" s="1" t="s">
        <v>11301</v>
      </c>
      <c r="G3837" s="1">
        <v>1970</v>
      </c>
      <c r="H3837" s="1" t="s">
        <v>11</v>
      </c>
      <c r="I3837" s="6" cm="1">
        <f t="array" ref="I3837">GetLatitude(D3837)</f>
        <v>561629390</v>
      </c>
      <c r="J3837" s="1" cm="1">
        <f t="array" ref="J3837">GetLongitude(D3837)</f>
        <v>102039210</v>
      </c>
      <c r="K3837" s="1">
        <f t="shared" si="178"/>
        <v>56.162939000000001</v>
      </c>
      <c r="L3837" s="1">
        <f t="shared" si="179"/>
        <v>10.203920999999999</v>
      </c>
    </row>
    <row r="3838" spans="1:12" ht="16" x14ac:dyDescent="0.2">
      <c r="A3838" s="1">
        <v>3837</v>
      </c>
      <c r="B3838" s="1" t="s">
        <v>11204</v>
      </c>
      <c r="C3838" s="1" t="s">
        <v>11302</v>
      </c>
      <c r="D3838" s="1" t="str">
        <f t="shared" si="177"/>
        <v>Århus KommuneRådhuspladsen 2 og Park Alle 2</v>
      </c>
      <c r="E3838" s="1" t="s">
        <v>11303</v>
      </c>
      <c r="F3838" s="1" t="s">
        <v>11304</v>
      </c>
      <c r="G3838" s="1">
        <v>1995</v>
      </c>
      <c r="H3838" s="1" t="s">
        <v>15</v>
      </c>
      <c r="I3838" s="6" cm="1">
        <f t="array" ref="I3838">GetLatitude(D3838)</f>
        <v>561518194</v>
      </c>
      <c r="J3838" s="1" cm="1">
        <f t="array" ref="J3838">GetLongitude(D3838)</f>
        <v>102029325</v>
      </c>
      <c r="K3838" s="1">
        <f t="shared" si="178"/>
        <v>56.151819400000001</v>
      </c>
      <c r="L3838" s="1">
        <f t="shared" si="179"/>
        <v>10.202932499999999</v>
      </c>
    </row>
    <row r="3839" spans="1:12" ht="16" x14ac:dyDescent="0.2">
      <c r="A3839" s="1">
        <v>3838</v>
      </c>
      <c r="B3839" s="1" t="s">
        <v>11204</v>
      </c>
      <c r="C3839" s="1" t="s">
        <v>11305</v>
      </c>
      <c r="D3839" s="1" t="str">
        <f t="shared" si="177"/>
        <v>Århus KommuneSkolegade 15-17</v>
      </c>
      <c r="E3839" s="1" t="s">
        <v>11306</v>
      </c>
      <c r="F3839" s="1" t="s">
        <v>11307</v>
      </c>
      <c r="G3839" s="1">
        <v>1924</v>
      </c>
      <c r="H3839" s="1" t="s">
        <v>11</v>
      </c>
      <c r="I3839" s="6" cm="1">
        <f t="array" ref="I3839">GetLatitude(D3839)</f>
        <v>561683931</v>
      </c>
      <c r="J3839" s="1" cm="1">
        <f t="array" ref="J3839">GetLongitude(D3839)</f>
        <v>101373728</v>
      </c>
      <c r="K3839" s="1">
        <f t="shared" si="178"/>
        <v>56.168393100000003</v>
      </c>
      <c r="L3839" s="1">
        <f t="shared" si="179"/>
        <v>10.1373728</v>
      </c>
    </row>
    <row r="3840" spans="1:12" ht="16" x14ac:dyDescent="0.2">
      <c r="A3840" s="1">
        <v>3839</v>
      </c>
      <c r="B3840" s="1" t="s">
        <v>11204</v>
      </c>
      <c r="C3840" s="1" t="s">
        <v>11308</v>
      </c>
      <c r="D3840" s="1" t="str">
        <f t="shared" si="177"/>
        <v>Århus KommuneSkolegade 19</v>
      </c>
      <c r="E3840" s="1" t="s">
        <v>11309</v>
      </c>
      <c r="F3840" s="1" t="s">
        <v>11310</v>
      </c>
      <c r="G3840" s="1">
        <v>1919</v>
      </c>
      <c r="H3840" s="1" t="s">
        <v>15</v>
      </c>
      <c r="I3840" s="6" cm="1">
        <f t="array" ref="I3840">GetLatitude(D3840)</f>
        <v>561555704</v>
      </c>
      <c r="J3840" s="1" cm="1">
        <f t="array" ref="J3840">GetLongitude(D3840)</f>
        <v>102114023</v>
      </c>
      <c r="K3840" s="1">
        <f t="shared" si="178"/>
        <v>56.155570400000002</v>
      </c>
      <c r="L3840" s="1">
        <f t="shared" si="179"/>
        <v>10.2114023</v>
      </c>
    </row>
    <row r="3841" spans="1:12" ht="16" x14ac:dyDescent="0.2">
      <c r="A3841" s="1">
        <v>3840</v>
      </c>
      <c r="B3841" s="1" t="s">
        <v>11204</v>
      </c>
      <c r="C3841" s="1" t="s">
        <v>11311</v>
      </c>
      <c r="D3841" s="1" t="str">
        <f t="shared" si="177"/>
        <v>Århus KommuneSkolegyde 1-3</v>
      </c>
      <c r="E3841" s="1" t="s">
        <v>11312</v>
      </c>
      <c r="F3841" s="1" t="s">
        <v>11313</v>
      </c>
      <c r="G3841" s="1">
        <v>1919</v>
      </c>
      <c r="H3841" s="1" t="s">
        <v>11397</v>
      </c>
      <c r="I3841" s="6" cm="1">
        <f t="array" ref="I3841">GetLatitude(D3841)</f>
        <v>561571680</v>
      </c>
      <c r="J3841" s="1" cm="1">
        <f t="array" ref="J3841">GetLongitude(D3841)</f>
        <v>102120688</v>
      </c>
      <c r="K3841" s="1">
        <f t="shared" si="178"/>
        <v>56.157167999999999</v>
      </c>
      <c r="L3841" s="1">
        <f t="shared" si="179"/>
        <v>10.212068800000001</v>
      </c>
    </row>
    <row r="3842" spans="1:12" ht="16" x14ac:dyDescent="0.2">
      <c r="A3842" s="1">
        <v>3841</v>
      </c>
      <c r="B3842" s="1" t="s">
        <v>11204</v>
      </c>
      <c r="C3842" s="1" t="s">
        <v>11314</v>
      </c>
      <c r="D3842" s="1" t="str">
        <f t="shared" si="177"/>
        <v>Århus KommuneSkovagervej 2</v>
      </c>
      <c r="E3842" s="1" t="s">
        <v>11315</v>
      </c>
      <c r="F3842" s="1" t="s">
        <v>11316</v>
      </c>
      <c r="G3842" s="1">
        <v>1979</v>
      </c>
      <c r="H3842" s="1" t="s">
        <v>10446</v>
      </c>
      <c r="I3842" s="6" cm="1">
        <f t="array" ref="I3842">GetLatitude(D3842)</f>
        <v>561860693</v>
      </c>
      <c r="J3842" s="1" cm="1">
        <f t="array" ref="J3842">GetLongitude(D3842)</f>
        <v>102291579</v>
      </c>
      <c r="K3842" s="1">
        <f t="shared" si="178"/>
        <v>56.1860693</v>
      </c>
      <c r="L3842" s="1">
        <f t="shared" si="179"/>
        <v>10.229157900000001</v>
      </c>
    </row>
    <row r="3843" spans="1:12" ht="16" x14ac:dyDescent="0.2">
      <c r="A3843" s="1">
        <v>3842</v>
      </c>
      <c r="B3843" s="1" t="s">
        <v>11204</v>
      </c>
      <c r="C3843" s="1" t="s">
        <v>11317</v>
      </c>
      <c r="D3843" s="1" t="str">
        <f t="shared" ref="D3843:D3861" si="180">B3843&amp;C3843</f>
        <v>Århus KommuneSkovmøllevej 51 og 53</v>
      </c>
      <c r="E3843" s="1" t="s">
        <v>11318</v>
      </c>
      <c r="F3843" s="1" t="s">
        <v>11319</v>
      </c>
      <c r="G3843" s="1">
        <v>1959</v>
      </c>
      <c r="H3843" s="1" t="s">
        <v>11</v>
      </c>
      <c r="I3843" s="6" cm="1">
        <f t="array" ref="I3843">GetLatitude(D3843)</f>
        <v>560932550</v>
      </c>
      <c r="J3843" s="1" cm="1">
        <f t="array" ref="J3843">GetLongitude(D3843)</f>
        <v>102387529</v>
      </c>
      <c r="K3843" s="1">
        <f t="shared" si="178"/>
        <v>56.093254999999999</v>
      </c>
      <c r="L3843" s="1">
        <f t="shared" si="179"/>
        <v>10.2387529</v>
      </c>
    </row>
    <row r="3844" spans="1:12" ht="16" x14ac:dyDescent="0.2">
      <c r="A3844" s="1">
        <v>3843</v>
      </c>
      <c r="B3844" s="1" t="s">
        <v>11204</v>
      </c>
      <c r="C3844" s="1" t="s">
        <v>11320</v>
      </c>
      <c r="D3844" s="1" t="str">
        <f t="shared" si="180"/>
        <v>Århus KommuneSkovvejen 44-46</v>
      </c>
      <c r="E3844" s="1" t="s">
        <v>11321</v>
      </c>
      <c r="F3844" s="1" t="s">
        <v>11322</v>
      </c>
      <c r="G3844" s="1">
        <v>2012</v>
      </c>
      <c r="H3844" s="1" t="s">
        <v>11</v>
      </c>
      <c r="I3844" s="6" cm="1">
        <f t="array" ref="I3844">GetLatitude(D3844)</f>
        <v>561680011</v>
      </c>
      <c r="J3844" s="1" cm="1">
        <f t="array" ref="J3844">GetLongitude(D3844)</f>
        <v>102188395</v>
      </c>
      <c r="K3844" s="1">
        <f t="shared" ref="K3844:K3862" si="181">I3844/10000000</f>
        <v>56.168001099999998</v>
      </c>
      <c r="L3844" s="1">
        <f t="shared" ref="L3844:L3862" si="182">J3844/10000000</f>
        <v>10.2188395</v>
      </c>
    </row>
    <row r="3845" spans="1:12" ht="16" x14ac:dyDescent="0.2">
      <c r="A3845" s="1">
        <v>3844</v>
      </c>
      <c r="B3845" s="1" t="s">
        <v>11204</v>
      </c>
      <c r="C3845" s="1" t="s">
        <v>11323</v>
      </c>
      <c r="D3845" s="1" t="str">
        <f t="shared" si="180"/>
        <v>Århus KommuneSpanien 3-7</v>
      </c>
      <c r="E3845" s="1" t="s">
        <v>11324</v>
      </c>
      <c r="F3845" s="1" t="s">
        <v>11325</v>
      </c>
      <c r="G3845" s="1">
        <v>1989</v>
      </c>
      <c r="H3845" s="1" t="s">
        <v>15</v>
      </c>
      <c r="I3845" s="6" cm="1">
        <f t="array" ref="I3845">GetLatitude(D3845)</f>
        <v>561683931</v>
      </c>
      <c r="J3845" s="1" cm="1">
        <f t="array" ref="J3845">GetLongitude(D3845)</f>
        <v>101373728</v>
      </c>
      <c r="K3845" s="1">
        <f t="shared" si="181"/>
        <v>56.168393100000003</v>
      </c>
      <c r="L3845" s="1">
        <f t="shared" si="182"/>
        <v>10.1373728</v>
      </c>
    </row>
    <row r="3846" spans="1:12" ht="16" x14ac:dyDescent="0.2">
      <c r="A3846" s="1">
        <v>3845</v>
      </c>
      <c r="B3846" s="1" t="s">
        <v>11204</v>
      </c>
      <c r="C3846" s="1" t="s">
        <v>11326</v>
      </c>
      <c r="D3846" s="1" t="str">
        <f t="shared" si="180"/>
        <v>Århus KommuneStoretorv 3</v>
      </c>
      <c r="E3846" s="1" t="s">
        <v>11327</v>
      </c>
      <c r="F3846" s="1" t="s">
        <v>11328</v>
      </c>
      <c r="G3846" s="1">
        <v>1954</v>
      </c>
      <c r="H3846" s="1" t="s">
        <v>15</v>
      </c>
      <c r="I3846" s="6" cm="1">
        <f t="array" ref="I3846">GetLatitude(D3846)</f>
        <v>561570386</v>
      </c>
      <c r="J3846" s="1" cm="1">
        <f t="array" ref="J3846">GetLongitude(D3846)</f>
        <v>102089344</v>
      </c>
      <c r="K3846" s="1">
        <f t="shared" si="181"/>
        <v>56.1570386</v>
      </c>
      <c r="L3846" s="1">
        <f t="shared" si="182"/>
        <v>10.2089344</v>
      </c>
    </row>
    <row r="3847" spans="1:12" ht="16" x14ac:dyDescent="0.2">
      <c r="A3847" s="1">
        <v>3846</v>
      </c>
      <c r="B3847" s="1" t="s">
        <v>11204</v>
      </c>
      <c r="C3847" s="1" t="s">
        <v>11329</v>
      </c>
      <c r="D3847" s="1" t="str">
        <f t="shared" si="180"/>
        <v>Århus KommuneStrandvejen 104</v>
      </c>
      <c r="E3847" s="1" t="s">
        <v>11330</v>
      </c>
      <c r="F3847" s="1" t="s">
        <v>11331</v>
      </c>
      <c r="G3847" s="1">
        <v>1983</v>
      </c>
      <c r="H3847" s="1" t="s">
        <v>11</v>
      </c>
      <c r="I3847" s="6" cm="1">
        <f t="array" ref="I3847">GetLatitude(D3847)</f>
        <v>561356449</v>
      </c>
      <c r="J3847" s="1" cm="1">
        <f t="array" ref="J3847">GetLongitude(D3847)</f>
        <v>102077869</v>
      </c>
      <c r="K3847" s="1">
        <f t="shared" si="181"/>
        <v>56.135644900000003</v>
      </c>
      <c r="L3847" s="1">
        <f t="shared" si="182"/>
        <v>10.2077869</v>
      </c>
    </row>
    <row r="3848" spans="1:12" ht="16" x14ac:dyDescent="0.2">
      <c r="A3848" s="1">
        <v>3847</v>
      </c>
      <c r="B3848" s="1" t="s">
        <v>11204</v>
      </c>
      <c r="C3848" s="1" t="s">
        <v>11332</v>
      </c>
      <c r="D3848" s="1" t="str">
        <f t="shared" si="180"/>
        <v>Århus KommuneStudsgade 29</v>
      </c>
      <c r="E3848" s="1" t="s">
        <v>11333</v>
      </c>
      <c r="F3848" s="1" t="s">
        <v>11334</v>
      </c>
      <c r="G3848" s="1">
        <v>1972</v>
      </c>
      <c r="H3848" s="1" t="s">
        <v>11</v>
      </c>
      <c r="I3848" s="6" cm="1">
        <f t="array" ref="I3848">GetLatitude(D3848)</f>
        <v>561600763</v>
      </c>
      <c r="J3848" s="1" cm="1">
        <f t="array" ref="J3848">GetLongitude(D3848)</f>
        <v>102111870</v>
      </c>
      <c r="K3848" s="1">
        <f t="shared" si="181"/>
        <v>56.1600763</v>
      </c>
      <c r="L3848" s="1">
        <f t="shared" si="182"/>
        <v>10.211187000000001</v>
      </c>
    </row>
    <row r="3849" spans="1:12" ht="16" x14ac:dyDescent="0.2">
      <c r="A3849" s="1">
        <v>3848</v>
      </c>
      <c r="B3849" s="1" t="s">
        <v>11204</v>
      </c>
      <c r="C3849" s="1" t="s">
        <v>11335</v>
      </c>
      <c r="D3849" s="1" t="str">
        <f t="shared" si="180"/>
        <v>Århus KommuneStudsgade 31</v>
      </c>
      <c r="E3849" s="1" t="s">
        <v>11336</v>
      </c>
      <c r="F3849" s="1" t="s">
        <v>11337</v>
      </c>
      <c r="G3849" s="1">
        <v>1972</v>
      </c>
      <c r="H3849" s="1" t="s">
        <v>11</v>
      </c>
      <c r="I3849" s="6" cm="1">
        <f t="array" ref="I3849">GetLatitude(D3849)</f>
        <v>561602351</v>
      </c>
      <c r="J3849" s="1" cm="1">
        <f t="array" ref="J3849">GetLongitude(D3849)</f>
        <v>102114950</v>
      </c>
      <c r="K3849" s="1">
        <f t="shared" si="181"/>
        <v>56.160235100000001</v>
      </c>
      <c r="L3849" s="1">
        <f t="shared" si="182"/>
        <v>10.211494999999999</v>
      </c>
    </row>
    <row r="3850" spans="1:12" ht="16" x14ac:dyDescent="0.2">
      <c r="A3850" s="1">
        <v>3849</v>
      </c>
      <c r="B3850" s="1" t="s">
        <v>11204</v>
      </c>
      <c r="C3850" s="1" t="s">
        <v>11338</v>
      </c>
      <c r="D3850" s="1" t="str">
        <f t="shared" si="180"/>
        <v>Århus KommuneStudsgade 33</v>
      </c>
      <c r="E3850" s="1" t="s">
        <v>11339</v>
      </c>
      <c r="F3850" s="1" t="s">
        <v>11340</v>
      </c>
      <c r="G3850" s="1">
        <v>1972</v>
      </c>
      <c r="H3850" s="1" t="s">
        <v>11341</v>
      </c>
      <c r="I3850" s="6" cm="1">
        <f t="array" ref="I3850">GetLatitude(D3850)</f>
        <v>561605144</v>
      </c>
      <c r="J3850" s="1" cm="1">
        <f t="array" ref="J3850">GetLongitude(D3850)</f>
        <v>102117631</v>
      </c>
      <c r="K3850" s="1">
        <f t="shared" si="181"/>
        <v>56.160514399999997</v>
      </c>
      <c r="L3850" s="1">
        <f t="shared" si="182"/>
        <v>10.211763100000001</v>
      </c>
    </row>
    <row r="3851" spans="1:12" ht="16" x14ac:dyDescent="0.2">
      <c r="A3851" s="1">
        <v>3850</v>
      </c>
      <c r="B3851" s="1" t="s">
        <v>11204</v>
      </c>
      <c r="C3851" s="1" t="s">
        <v>11342</v>
      </c>
      <c r="D3851" s="1" t="str">
        <f t="shared" si="180"/>
        <v>Århus KommuneStudsgade 35</v>
      </c>
      <c r="E3851" s="1" t="s">
        <v>11343</v>
      </c>
      <c r="F3851" s="1" t="s">
        <v>11344</v>
      </c>
      <c r="G3851" s="1">
        <v>1919</v>
      </c>
      <c r="H3851" s="1" t="s">
        <v>11</v>
      </c>
      <c r="I3851" s="6" cm="1">
        <f t="array" ref="I3851">GetLatitude(D3851)</f>
        <v>561605988</v>
      </c>
      <c r="J3851" s="1" cm="1">
        <f t="array" ref="J3851">GetLongitude(D3851)</f>
        <v>102117264</v>
      </c>
      <c r="K3851" s="1">
        <f t="shared" si="181"/>
        <v>56.160598800000002</v>
      </c>
      <c r="L3851" s="1">
        <f t="shared" si="182"/>
        <v>10.2117264</v>
      </c>
    </row>
    <row r="3852" spans="1:12" ht="16" x14ac:dyDescent="0.2">
      <c r="A3852" s="1">
        <v>3851</v>
      </c>
      <c r="B3852" s="1" t="s">
        <v>11204</v>
      </c>
      <c r="C3852" s="1" t="s">
        <v>11345</v>
      </c>
      <c r="D3852" s="1" t="str">
        <f t="shared" si="180"/>
        <v>Århus KommuneSøskrænten 4</v>
      </c>
      <c r="E3852" s="1" t="s">
        <v>11346</v>
      </c>
      <c r="F3852" s="1" t="s">
        <v>11347</v>
      </c>
      <c r="G3852" s="1">
        <v>1997</v>
      </c>
      <c r="H3852" s="1" t="s">
        <v>11</v>
      </c>
      <c r="I3852" s="6" cm="1">
        <f t="array" ref="I3852">GetLatitude(D3852)</f>
        <v>561328264</v>
      </c>
      <c r="J3852" s="1" cm="1">
        <f t="array" ref="J3852">GetLongitude(D3852)</f>
        <v>101275810</v>
      </c>
      <c r="K3852" s="1">
        <f t="shared" si="181"/>
        <v>56.132826399999999</v>
      </c>
      <c r="L3852" s="1">
        <f t="shared" si="182"/>
        <v>10.127580999999999</v>
      </c>
    </row>
    <row r="3853" spans="1:12" ht="16" x14ac:dyDescent="0.2">
      <c r="A3853" s="1">
        <v>3852</v>
      </c>
      <c r="B3853" s="1" t="s">
        <v>11204</v>
      </c>
      <c r="C3853" s="1" t="s">
        <v>11348</v>
      </c>
      <c r="D3853" s="1" t="str">
        <f t="shared" si="180"/>
        <v>Århus KommuneTarskovvej 1-3</v>
      </c>
      <c r="E3853" s="1" t="s">
        <v>11349</v>
      </c>
      <c r="F3853" s="1" t="s">
        <v>11350</v>
      </c>
      <c r="G3853" s="1">
        <v>1964</v>
      </c>
      <c r="H3853" s="1" t="s">
        <v>11</v>
      </c>
      <c r="I3853" s="6" cm="1">
        <f t="array" ref="I3853">GetLatitude(D3853)</f>
        <v>561242667</v>
      </c>
      <c r="J3853" s="1" cm="1">
        <f t="array" ref="J3853">GetLongitude(D3853)</f>
        <v>100038792</v>
      </c>
      <c r="K3853" s="1">
        <f t="shared" si="181"/>
        <v>56.1242667</v>
      </c>
      <c r="L3853" s="1">
        <f t="shared" si="182"/>
        <v>10.0038792</v>
      </c>
    </row>
    <row r="3854" spans="1:12" ht="16" x14ac:dyDescent="0.2">
      <c r="A3854" s="1">
        <v>3853</v>
      </c>
      <c r="B3854" s="1" t="s">
        <v>11204</v>
      </c>
      <c r="C3854" s="1" t="s">
        <v>11351</v>
      </c>
      <c r="D3854" s="1" t="str">
        <f t="shared" si="180"/>
        <v>Århus KommuneVester Allé 1</v>
      </c>
      <c r="E3854" s="1" t="s">
        <v>11352</v>
      </c>
      <c r="F3854" s="1" t="s">
        <v>11353</v>
      </c>
      <c r="G3854" s="1">
        <v>1979</v>
      </c>
      <c r="H3854" s="1" t="s">
        <v>15</v>
      </c>
      <c r="I3854" s="6" cm="1">
        <f t="array" ref="I3854">GetLatitude(D3854)</f>
        <v>561531770</v>
      </c>
      <c r="J3854" s="1" cm="1">
        <f t="array" ref="J3854">GetLongitude(D3854)</f>
        <v>102018430</v>
      </c>
      <c r="K3854" s="1">
        <f t="shared" si="181"/>
        <v>56.153176999999999</v>
      </c>
      <c r="L3854" s="1">
        <f t="shared" si="182"/>
        <v>10.201843</v>
      </c>
    </row>
    <row r="3855" spans="1:12" ht="16" x14ac:dyDescent="0.2">
      <c r="A3855" s="1">
        <v>3854</v>
      </c>
      <c r="B3855" s="1" t="s">
        <v>11204</v>
      </c>
      <c r="C3855" s="1" t="s">
        <v>11354</v>
      </c>
      <c r="D3855" s="1" t="str">
        <f t="shared" si="180"/>
        <v>Århus KommuneVester Allé 12</v>
      </c>
      <c r="E3855" s="1" t="s">
        <v>11355</v>
      </c>
      <c r="F3855" s="1" t="s">
        <v>11356</v>
      </c>
      <c r="G3855" s="1">
        <v>1988</v>
      </c>
      <c r="H3855" s="1" t="s">
        <v>15</v>
      </c>
      <c r="I3855" s="6" cm="1">
        <f t="array" ref="I3855">GetLatitude(D3855)</f>
        <v>561544080</v>
      </c>
      <c r="J3855" s="1" cm="1">
        <f t="array" ref="J3855">GetLongitude(D3855)</f>
        <v>102000604</v>
      </c>
      <c r="K3855" s="1">
        <f t="shared" si="181"/>
        <v>56.154407999999997</v>
      </c>
      <c r="L3855" s="1">
        <f t="shared" si="182"/>
        <v>10.2000604</v>
      </c>
    </row>
    <row r="3856" spans="1:12" ht="16" x14ac:dyDescent="0.2">
      <c r="A3856" s="1">
        <v>3855</v>
      </c>
      <c r="B3856" s="1" t="s">
        <v>11204</v>
      </c>
      <c r="C3856" s="1" t="s">
        <v>362</v>
      </c>
      <c r="D3856" s="1" t="str">
        <f t="shared" si="180"/>
        <v>Århus KommuneVestergade 1</v>
      </c>
      <c r="E3856" s="1" t="s">
        <v>6731</v>
      </c>
      <c r="F3856" s="1" t="s">
        <v>11357</v>
      </c>
      <c r="G3856" s="1">
        <v>1919</v>
      </c>
      <c r="H3856" s="1" t="s">
        <v>11</v>
      </c>
      <c r="I3856" s="6" cm="1">
        <f t="array" ref="I3856">GetLatitude(D3856)</f>
        <v>561575475</v>
      </c>
      <c r="J3856" s="1" cm="1">
        <f t="array" ref="J3856">GetLongitude(D3856)</f>
        <v>102067194</v>
      </c>
      <c r="K3856" s="1">
        <f t="shared" si="181"/>
        <v>56.1575475</v>
      </c>
      <c r="L3856" s="1">
        <f t="shared" si="182"/>
        <v>10.206719400000001</v>
      </c>
    </row>
    <row r="3857" spans="1:12" ht="16" x14ac:dyDescent="0.2">
      <c r="A3857" s="1">
        <v>3856</v>
      </c>
      <c r="B3857" s="1" t="s">
        <v>11204</v>
      </c>
      <c r="C3857" s="1" t="s">
        <v>10876</v>
      </c>
      <c r="D3857" s="1" t="str">
        <f t="shared" si="180"/>
        <v>Århus KommuneVestergade 29</v>
      </c>
      <c r="E3857" s="1" t="s">
        <v>11358</v>
      </c>
      <c r="F3857" s="1" t="s">
        <v>11359</v>
      </c>
      <c r="G3857" s="1">
        <v>1924</v>
      </c>
      <c r="H3857" s="1" t="s">
        <v>15</v>
      </c>
      <c r="I3857" s="6" cm="1">
        <f t="array" ref="I3857">GetLatitude(D3857)</f>
        <v>561629390</v>
      </c>
      <c r="J3857" s="1" cm="1">
        <f t="array" ref="J3857">GetLongitude(D3857)</f>
        <v>102039210</v>
      </c>
      <c r="K3857" s="1">
        <f t="shared" si="181"/>
        <v>56.162939000000001</v>
      </c>
      <c r="L3857" s="1">
        <f t="shared" si="182"/>
        <v>10.203920999999999</v>
      </c>
    </row>
    <row r="3858" spans="1:12" ht="16" x14ac:dyDescent="0.2">
      <c r="A3858" s="1">
        <v>3857</v>
      </c>
      <c r="B3858" s="1" t="s">
        <v>11204</v>
      </c>
      <c r="C3858" s="1" t="s">
        <v>11360</v>
      </c>
      <c r="D3858" s="1" t="str">
        <f t="shared" si="180"/>
        <v>Århus KommuneVestergade 58</v>
      </c>
      <c r="E3858" s="1" t="s">
        <v>11361</v>
      </c>
      <c r="F3858" s="1" t="s">
        <v>11362</v>
      </c>
      <c r="G3858" s="1">
        <v>1950</v>
      </c>
      <c r="H3858" s="1" t="s">
        <v>11</v>
      </c>
      <c r="I3858" s="6" cm="1">
        <f t="array" ref="I3858">GetLatitude(D3858)</f>
        <v>561575565</v>
      </c>
      <c r="J3858" s="1" cm="1">
        <f t="array" ref="J3858">GetLongitude(D3858)</f>
        <v>102010755</v>
      </c>
      <c r="K3858" s="1">
        <f t="shared" si="181"/>
        <v>56.157556499999998</v>
      </c>
      <c r="L3858" s="1">
        <f t="shared" si="182"/>
        <v>10.2010755</v>
      </c>
    </row>
    <row r="3859" spans="1:12" ht="16" x14ac:dyDescent="0.2">
      <c r="A3859" s="1">
        <v>3858</v>
      </c>
      <c r="B3859" s="1" t="s">
        <v>11204</v>
      </c>
      <c r="C3859" s="1" t="s">
        <v>11363</v>
      </c>
      <c r="D3859" s="1" t="str">
        <f t="shared" si="180"/>
        <v>Århus KommuneVesterport 8 B</v>
      </c>
      <c r="E3859" s="1" t="s">
        <v>11364</v>
      </c>
      <c r="F3859" s="1" t="s">
        <v>11365</v>
      </c>
      <c r="G3859" s="1">
        <v>1970</v>
      </c>
      <c r="H3859" s="1" t="s">
        <v>11</v>
      </c>
      <c r="I3859" s="6" cm="1">
        <f t="array" ref="I3859">GetLatitude(D3859)</f>
        <v>561580739</v>
      </c>
      <c r="J3859" s="1" cm="1">
        <f t="array" ref="J3859">GetLongitude(D3859)</f>
        <v>102000831</v>
      </c>
      <c r="K3859" s="1">
        <f t="shared" si="181"/>
        <v>56.158073899999998</v>
      </c>
      <c r="L3859" s="1">
        <f t="shared" si="182"/>
        <v>10.200083100000001</v>
      </c>
    </row>
    <row r="3860" spans="1:12" ht="16" x14ac:dyDescent="0.2">
      <c r="A3860" s="1">
        <v>3859</v>
      </c>
      <c r="B3860" s="1" t="s">
        <v>11204</v>
      </c>
      <c r="C3860" s="1" t="s">
        <v>11366</v>
      </c>
      <c r="D3860" s="1" t="str">
        <f t="shared" si="180"/>
        <v>Århus KommuneVestre Skovvej 2</v>
      </c>
      <c r="E3860" s="1" t="s">
        <v>1595</v>
      </c>
      <c r="F3860" s="1" t="s">
        <v>11367</v>
      </c>
      <c r="G3860" s="1">
        <v>1996</v>
      </c>
      <c r="H3860" s="1" t="s">
        <v>11</v>
      </c>
      <c r="I3860" s="6" cm="1">
        <f t="array" ref="I3860">GetLatitude(D3860)</f>
        <v>561821279</v>
      </c>
      <c r="J3860" s="1" cm="1">
        <f t="array" ref="J3860">GetLongitude(D3860)</f>
        <v>102262369</v>
      </c>
      <c r="K3860" s="1">
        <f t="shared" si="181"/>
        <v>56.182127899999998</v>
      </c>
      <c r="L3860" s="1">
        <f t="shared" si="182"/>
        <v>10.2262369</v>
      </c>
    </row>
    <row r="3861" spans="1:12" ht="16" x14ac:dyDescent="0.2">
      <c r="A3861" s="1">
        <v>3860</v>
      </c>
      <c r="B3861" s="1" t="s">
        <v>11204</v>
      </c>
      <c r="C3861" s="1" t="s">
        <v>11368</v>
      </c>
      <c r="D3861" s="1" t="str">
        <f t="shared" si="180"/>
        <v>Århus KommuneVærkmestergade 7</v>
      </c>
      <c r="E3861" s="1" t="s">
        <v>11369</v>
      </c>
      <c r="F3861" s="1" t="s">
        <v>11370</v>
      </c>
      <c r="G3861" s="1">
        <v>1996</v>
      </c>
      <c r="H3861" s="1" t="s">
        <v>11</v>
      </c>
      <c r="I3861" s="6" cm="1">
        <f t="array" ref="I3861">GetLatitude(D3861)</f>
        <v>561496439</v>
      </c>
      <c r="J3861" s="1" cm="1">
        <f t="array" ref="J3861">GetLongitude(D3861)</f>
        <v>102079499</v>
      </c>
      <c r="K3861" s="1">
        <f t="shared" si="181"/>
        <v>56.149643900000001</v>
      </c>
      <c r="L3861" s="1">
        <f t="shared" si="182"/>
        <v>10.207949899999999</v>
      </c>
    </row>
    <row r="3862" spans="1:12" ht="16" x14ac:dyDescent="0.2">
      <c r="A3862" s="1">
        <v>3861</v>
      </c>
      <c r="B3862" s="1" t="s">
        <v>11204</v>
      </c>
      <c r="C3862" s="1" t="s">
        <v>11371</v>
      </c>
      <c r="D3862" s="1" t="str">
        <f>B3862 &amp; C3862</f>
        <v>Århus KommuneØstergårdsvej 223</v>
      </c>
      <c r="E3862" s="1" t="s">
        <v>11372</v>
      </c>
      <c r="F3862" s="1" t="s">
        <v>11373</v>
      </c>
      <c r="G3862" s="1">
        <v>1992</v>
      </c>
      <c r="H3862" s="1" t="s">
        <v>15</v>
      </c>
      <c r="I3862" s="6" cm="1">
        <f t="array" ref="I3862">GetLatitude(D3862)</f>
        <v>560333941</v>
      </c>
      <c r="J3862" s="1" cm="1">
        <f t="array" ref="J3862">GetLongitude(D3862)</f>
        <v>101047666</v>
      </c>
      <c r="K3862" s="1">
        <f t="shared" si="181"/>
        <v>56.033394100000002</v>
      </c>
      <c r="L3862" s="1">
        <f t="shared" si="182"/>
        <v>10.1047666</v>
      </c>
    </row>
    <row r="3863" spans="1:12" ht="16" x14ac:dyDescent="0.2">
      <c r="A3863" s="1"/>
      <c r="B3863" s="1"/>
      <c r="C3863" s="1"/>
      <c r="D3863" s="1"/>
      <c r="E3863" s="1"/>
      <c r="F3863" s="1"/>
      <c r="G3863" s="1"/>
      <c r="H3863" s="1" t="s">
        <v>15</v>
      </c>
      <c r="I3863" s="7"/>
      <c r="J3863" s="1"/>
      <c r="K3863" s="1"/>
      <c r="L3863" s="1"/>
    </row>
    <row r="3864" spans="1:12" ht="16" x14ac:dyDescent="0.2">
      <c r="A3864" s="1"/>
      <c r="B3864" s="1"/>
      <c r="C3864" s="1"/>
      <c r="D3864" s="1"/>
      <c r="E3864" s="1"/>
      <c r="F3864" s="1"/>
      <c r="G3864" s="1"/>
      <c r="H3864" s="1" t="s">
        <v>15</v>
      </c>
      <c r="I3864" s="7"/>
      <c r="J3864" s="1"/>
      <c r="K3864" s="1"/>
      <c r="L3864" s="1"/>
    </row>
    <row r="3865" spans="1:12" ht="16" x14ac:dyDescent="0.2">
      <c r="A3865" s="1"/>
      <c r="B3865" s="1"/>
      <c r="C3865" s="1"/>
      <c r="D3865" s="1"/>
      <c r="E3865" s="1"/>
      <c r="F3865" s="1"/>
      <c r="G3865" s="1"/>
      <c r="H3865" s="1" t="s">
        <v>15</v>
      </c>
      <c r="I3865" s="7"/>
      <c r="J3865" s="1"/>
      <c r="K3865" s="1"/>
      <c r="L3865" s="1"/>
    </row>
    <row r="3866" spans="1:12" ht="16" x14ac:dyDescent="0.2">
      <c r="A3866" s="1"/>
      <c r="B3866" s="1"/>
      <c r="C3866" s="1"/>
      <c r="D3866" s="1"/>
      <c r="E3866" s="1"/>
      <c r="F3866" s="1"/>
      <c r="G3866" s="1"/>
      <c r="H3866" s="1" t="s">
        <v>15</v>
      </c>
      <c r="I3866" s="7"/>
      <c r="J3866" s="1"/>
      <c r="K3866" s="1"/>
      <c r="L3866" s="1"/>
    </row>
    <row r="3867" spans="1:12" ht="16" x14ac:dyDescent="0.2">
      <c r="A3867" s="1"/>
      <c r="B3867" s="1"/>
      <c r="C3867" s="1"/>
      <c r="D3867" s="1"/>
      <c r="E3867" s="1"/>
      <c r="F3867" s="1"/>
      <c r="G3867" s="1"/>
      <c r="H3867" s="1" t="s">
        <v>15</v>
      </c>
      <c r="I3867" s="7"/>
      <c r="J3867" s="1"/>
      <c r="K3867" s="1"/>
      <c r="L3867" s="1"/>
    </row>
    <row r="3868" spans="1:12" ht="16" x14ac:dyDescent="0.2">
      <c r="A3868" s="1"/>
      <c r="B3868" s="1"/>
      <c r="C3868" s="1"/>
      <c r="D3868" s="1"/>
      <c r="E3868" s="1"/>
      <c r="F3868" s="1"/>
      <c r="G3868" s="1"/>
      <c r="H3868" s="1" t="s">
        <v>15</v>
      </c>
      <c r="I3868" s="7"/>
      <c r="J3868" s="1"/>
      <c r="K3868" s="1"/>
      <c r="L3868" s="1"/>
    </row>
    <row r="3869" spans="1:12" ht="16" x14ac:dyDescent="0.2">
      <c r="A3869" s="1"/>
      <c r="B3869" s="1"/>
      <c r="C3869" s="1"/>
      <c r="D3869" s="1"/>
      <c r="E3869" s="1"/>
      <c r="F3869" s="1"/>
      <c r="G3869" s="1"/>
      <c r="H3869" s="1" t="s">
        <v>15</v>
      </c>
      <c r="I3869" s="7"/>
      <c r="J3869" s="1"/>
      <c r="K3869" s="1"/>
      <c r="L3869" s="1"/>
    </row>
    <row r="3870" spans="1:12" ht="16" x14ac:dyDescent="0.2">
      <c r="A3870" s="1"/>
      <c r="B3870" s="1"/>
      <c r="C3870" s="1"/>
      <c r="D3870" s="1"/>
      <c r="E3870" s="1"/>
      <c r="F3870" s="1"/>
      <c r="G3870" s="1"/>
      <c r="H3870" s="1" t="s">
        <v>15</v>
      </c>
      <c r="I3870" s="7"/>
      <c r="J3870" s="1"/>
      <c r="K3870" s="1"/>
      <c r="L3870" s="1"/>
    </row>
    <row r="3871" spans="1:12" ht="16" x14ac:dyDescent="0.2">
      <c r="A3871" s="1"/>
      <c r="B3871" s="1"/>
      <c r="C3871" s="1"/>
      <c r="D3871" s="1"/>
      <c r="E3871" s="1"/>
      <c r="F3871" s="1"/>
      <c r="G3871" s="1"/>
      <c r="H3871" s="1" t="s">
        <v>15</v>
      </c>
      <c r="I3871" s="7"/>
      <c r="J3871" s="1"/>
      <c r="K3871" s="1"/>
      <c r="L3871" s="1"/>
    </row>
    <row r="3872" spans="1:12" ht="16" x14ac:dyDescent="0.2">
      <c r="A3872" s="1"/>
      <c r="B3872" s="1"/>
      <c r="C3872" s="1"/>
      <c r="D3872" s="1"/>
      <c r="E3872" s="1"/>
      <c r="F3872" s="1"/>
      <c r="G3872" s="1"/>
      <c r="H3872" s="1" t="s">
        <v>15</v>
      </c>
      <c r="I3872" s="7"/>
      <c r="J3872" s="1"/>
      <c r="K3872" s="1"/>
      <c r="L3872" s="1"/>
    </row>
    <row r="3873" spans="1:12" ht="16" x14ac:dyDescent="0.2">
      <c r="A3873" s="1"/>
      <c r="B3873" s="1"/>
      <c r="C3873" s="1"/>
      <c r="D3873" s="1"/>
      <c r="E3873" s="1"/>
      <c r="F3873" s="1"/>
      <c r="G3873" s="1"/>
      <c r="H3873" s="1" t="s">
        <v>15</v>
      </c>
      <c r="I3873" s="7"/>
      <c r="J3873" s="1"/>
      <c r="K3873" s="1"/>
      <c r="L3873" s="1"/>
    </row>
    <row r="3874" spans="1:12" ht="16" x14ac:dyDescent="0.2">
      <c r="A3874" s="1"/>
      <c r="B3874" s="1"/>
      <c r="C3874" s="1"/>
      <c r="D3874" s="1"/>
      <c r="E3874" s="1"/>
      <c r="F3874" s="1"/>
      <c r="G3874" s="1"/>
      <c r="H3874" s="1" t="s">
        <v>15</v>
      </c>
      <c r="I3874" s="7"/>
      <c r="J3874" s="1"/>
      <c r="K3874" s="1"/>
      <c r="L3874" s="1"/>
    </row>
    <row r="3875" spans="1:12" ht="16" x14ac:dyDescent="0.2">
      <c r="A3875" s="1"/>
      <c r="B3875" s="1"/>
      <c r="C3875" s="1"/>
      <c r="D3875" s="1"/>
      <c r="E3875" s="1"/>
      <c r="F3875" s="1"/>
      <c r="G3875" s="1"/>
      <c r="H3875" s="1" t="s">
        <v>15</v>
      </c>
      <c r="I3875" s="7"/>
      <c r="J3875" s="1"/>
      <c r="K3875" s="1"/>
      <c r="L3875" s="1"/>
    </row>
    <row r="3876" spans="1:12" ht="16" x14ac:dyDescent="0.2">
      <c r="A3876" s="1"/>
      <c r="B3876" s="1"/>
      <c r="C3876" s="1"/>
      <c r="D3876" s="1"/>
      <c r="E3876" s="1"/>
      <c r="F3876" s="1"/>
      <c r="G3876" s="1"/>
      <c r="H3876" s="1" t="s">
        <v>15</v>
      </c>
      <c r="I3876" s="7"/>
      <c r="J3876" s="1"/>
      <c r="K3876" s="1"/>
      <c r="L3876" s="1"/>
    </row>
  </sheetData>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fredningsliste_TIDY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 C</dc:creator>
  <cp:lastModifiedBy>Nanna Elkjær-Larsen</cp:lastModifiedBy>
  <dcterms:created xsi:type="dcterms:W3CDTF">2022-12-06T08:39:04Z</dcterms:created>
  <dcterms:modified xsi:type="dcterms:W3CDTF">2022-12-06T19:49:17Z</dcterms:modified>
</cp:coreProperties>
</file>